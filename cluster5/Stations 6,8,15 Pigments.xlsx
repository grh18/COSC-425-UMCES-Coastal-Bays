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27CC793-912F-464C-BE75-CA71BD64B587}" xr6:coauthVersionLast="47" xr6:coauthVersionMax="47" xr10:uidLastSave="{00000000-0000-0000-0000-000000000000}"/>
  <bookViews>
    <workbookView xWindow="-120" yWindow="-120" windowWidth="20730" windowHeight="11160" firstSheet="2" activeTab="3" xr2:uid="{00000000-000D-0000-FFFF-FFFF00000000}"/>
  </bookViews>
  <sheets>
    <sheet name="Sheet1" sheetId="1" r:id="rId1"/>
    <sheet name="Sheet2" sheetId="2" r:id="rId2"/>
    <sheet name="Sheet3" sheetId="3" r:id="rId3"/>
    <sheet name="Zea update" sheetId="8" r:id="rId4"/>
    <sheet name="Fuco update" sheetId="7" r:id="rId5"/>
    <sheet name="But Fuco update" sheetId="6" r:id="rId6"/>
    <sheet name="Peridin update" sheetId="5" r:id="rId7"/>
  </sheets>
  <definedNames>
    <definedName name="_xlnm._FilterDatabase" localSheetId="1" hidden="1">Sheet2!$L$1:$L$551</definedName>
  </definedNames>
  <calcPr calcId="191029"/>
</workbook>
</file>

<file path=xl/calcChain.xml><?xml version="1.0" encoding="utf-8"?>
<calcChain xmlns="http://schemas.openxmlformats.org/spreadsheetml/2006/main">
  <c r="N895" i="5" l="1"/>
  <c r="N859" i="5"/>
  <c r="N862" i="5" s="1"/>
  <c r="N865" i="5" s="1"/>
  <c r="N868" i="5" s="1"/>
  <c r="N871" i="5" s="1"/>
  <c r="N874" i="5" s="1"/>
  <c r="N877" i="5" s="1"/>
  <c r="N880" i="5" s="1"/>
  <c r="N883" i="5" s="1"/>
  <c r="N886" i="5" s="1"/>
  <c r="N889" i="5" s="1"/>
  <c r="N898" i="5" s="1"/>
  <c r="N901" i="5" s="1"/>
  <c r="N856" i="5"/>
  <c r="M856" i="5"/>
  <c r="M859" i="5"/>
  <c r="M862" i="5"/>
  <c r="M865" i="5"/>
  <c r="M868" i="5"/>
  <c r="M871" i="5"/>
  <c r="M874" i="5"/>
  <c r="M877" i="5"/>
  <c r="M880" i="5"/>
  <c r="M883" i="5"/>
  <c r="M886" i="5"/>
  <c r="M889" i="5"/>
  <c r="M895" i="5"/>
  <c r="M898" i="5"/>
  <c r="M901" i="5"/>
  <c r="L856" i="5"/>
  <c r="L859" i="5"/>
  <c r="L862" i="5"/>
  <c r="L865" i="5"/>
  <c r="L868" i="5"/>
  <c r="L871" i="5"/>
  <c r="L874" i="5"/>
  <c r="L877" i="5"/>
  <c r="L880" i="5"/>
  <c r="L883" i="5"/>
  <c r="L886" i="5"/>
  <c r="L889" i="5"/>
  <c r="L895" i="5"/>
  <c r="L898" i="5"/>
  <c r="L901" i="5"/>
  <c r="J856" i="5"/>
  <c r="J859" i="5"/>
  <c r="J862" i="5"/>
  <c r="J865" i="5"/>
  <c r="J868" i="5"/>
  <c r="J871" i="5"/>
  <c r="J874" i="5"/>
  <c r="J877" i="5"/>
  <c r="J880" i="5"/>
  <c r="J883" i="5"/>
  <c r="J886" i="5"/>
  <c r="J889" i="5"/>
  <c r="J895" i="5"/>
  <c r="J898" i="5"/>
  <c r="J901" i="5"/>
  <c r="I856" i="5"/>
  <c r="I859" i="5"/>
  <c r="I862" i="5"/>
  <c r="I865" i="5"/>
  <c r="I868" i="5"/>
  <c r="I871" i="5"/>
  <c r="I874" i="5"/>
  <c r="I877" i="5"/>
  <c r="I880" i="5"/>
  <c r="I883" i="5"/>
  <c r="I886" i="5"/>
  <c r="I889" i="5"/>
  <c r="I895" i="5"/>
  <c r="I898" i="5"/>
  <c r="I901" i="5"/>
  <c r="L853" i="5"/>
  <c r="J853" i="5"/>
  <c r="I853" i="5"/>
  <c r="L763" i="5"/>
  <c r="L766" i="5"/>
  <c r="L769" i="5"/>
  <c r="L772" i="5"/>
  <c r="L775" i="5"/>
  <c r="L784" i="5"/>
  <c r="L787" i="5"/>
  <c r="L790" i="5"/>
  <c r="L793" i="5"/>
  <c r="L796" i="5"/>
  <c r="L802" i="5"/>
  <c r="L805" i="5"/>
  <c r="L808" i="5"/>
  <c r="L811" i="5"/>
  <c r="L814" i="5"/>
  <c r="J763" i="5"/>
  <c r="J766" i="5"/>
  <c r="J769" i="5"/>
  <c r="J772" i="5"/>
  <c r="J775" i="5"/>
  <c r="J784" i="5"/>
  <c r="J787" i="5"/>
  <c r="J790" i="5"/>
  <c r="J793" i="5"/>
  <c r="J796" i="5"/>
  <c r="J802" i="5"/>
  <c r="J805" i="5"/>
  <c r="J808" i="5"/>
  <c r="J811" i="5"/>
  <c r="J814" i="5"/>
  <c r="I763" i="5"/>
  <c r="I766" i="5"/>
  <c r="I769" i="5"/>
  <c r="I772" i="5"/>
  <c r="I775" i="5"/>
  <c r="I784" i="5"/>
  <c r="I787" i="5"/>
  <c r="I790" i="5"/>
  <c r="I793" i="5"/>
  <c r="I796" i="5"/>
  <c r="I802" i="5"/>
  <c r="I805" i="5"/>
  <c r="I808" i="5"/>
  <c r="I811" i="5"/>
  <c r="I814" i="5"/>
  <c r="L760" i="5"/>
  <c r="J760" i="5"/>
  <c r="I760" i="5"/>
  <c r="L748" i="5"/>
  <c r="J748" i="5"/>
  <c r="I748" i="5"/>
  <c r="N895" i="6"/>
  <c r="N859" i="6"/>
  <c r="N862" i="6" s="1"/>
  <c r="N865" i="6" s="1"/>
  <c r="N868" i="6" s="1"/>
  <c r="N871" i="6" s="1"/>
  <c r="N874" i="6" s="1"/>
  <c r="N877" i="6" s="1"/>
  <c r="N880" i="6" s="1"/>
  <c r="N883" i="6" s="1"/>
  <c r="N886" i="6" s="1"/>
  <c r="N889" i="6" s="1"/>
  <c r="N856" i="6"/>
  <c r="M856" i="6"/>
  <c r="M859" i="6"/>
  <c r="M862" i="6"/>
  <c r="M865" i="6"/>
  <c r="M868" i="6"/>
  <c r="M871" i="6"/>
  <c r="M874" i="6"/>
  <c r="M877" i="6"/>
  <c r="M880" i="6"/>
  <c r="M883" i="6"/>
  <c r="M886" i="6"/>
  <c r="M889" i="6"/>
  <c r="M895" i="6"/>
  <c r="M898" i="6"/>
  <c r="M901" i="6"/>
  <c r="L856" i="6"/>
  <c r="L859" i="6"/>
  <c r="L862" i="6"/>
  <c r="L865" i="6"/>
  <c r="L868" i="6"/>
  <c r="L871" i="6"/>
  <c r="L874" i="6"/>
  <c r="L877" i="6"/>
  <c r="L880" i="6"/>
  <c r="L883" i="6"/>
  <c r="L886" i="6"/>
  <c r="L889" i="6"/>
  <c r="L895" i="6"/>
  <c r="L898" i="6"/>
  <c r="L901" i="6"/>
  <c r="I895" i="6"/>
  <c r="I898" i="6"/>
  <c r="I901" i="6"/>
  <c r="J856" i="6"/>
  <c r="J859" i="6"/>
  <c r="J862" i="6"/>
  <c r="J865" i="6"/>
  <c r="J868" i="6"/>
  <c r="J871" i="6"/>
  <c r="J874" i="6"/>
  <c r="J877" i="6"/>
  <c r="J880" i="6"/>
  <c r="J883" i="6"/>
  <c r="J886" i="6"/>
  <c r="J889" i="6"/>
  <c r="J895" i="6"/>
  <c r="J898" i="6"/>
  <c r="J901" i="6"/>
  <c r="I856" i="6"/>
  <c r="I859" i="6"/>
  <c r="I862" i="6"/>
  <c r="I865" i="6"/>
  <c r="I868" i="6"/>
  <c r="I871" i="6"/>
  <c r="I874" i="6"/>
  <c r="I877" i="6"/>
  <c r="I880" i="6"/>
  <c r="I883" i="6"/>
  <c r="I886" i="6"/>
  <c r="I889" i="6"/>
  <c r="L853" i="6"/>
  <c r="J853" i="6"/>
  <c r="I853" i="6"/>
  <c r="L763" i="6"/>
  <c r="L766" i="6"/>
  <c r="L769" i="6"/>
  <c r="L772" i="6"/>
  <c r="L775" i="6"/>
  <c r="L784" i="6"/>
  <c r="L787" i="6"/>
  <c r="L790" i="6"/>
  <c r="L793" i="6"/>
  <c r="L796" i="6"/>
  <c r="L802" i="6"/>
  <c r="L805" i="6"/>
  <c r="L808" i="6"/>
  <c r="L811" i="6"/>
  <c r="L814" i="6"/>
  <c r="J763" i="6"/>
  <c r="J766" i="6"/>
  <c r="J769" i="6"/>
  <c r="J772" i="6"/>
  <c r="J775" i="6"/>
  <c r="J784" i="6"/>
  <c r="J787" i="6"/>
  <c r="J790" i="6"/>
  <c r="J793" i="6"/>
  <c r="J796" i="6"/>
  <c r="J802" i="6"/>
  <c r="J805" i="6"/>
  <c r="J808" i="6"/>
  <c r="J811" i="6"/>
  <c r="J814" i="6"/>
  <c r="I763" i="6"/>
  <c r="I766" i="6"/>
  <c r="I769" i="6"/>
  <c r="I772" i="6"/>
  <c r="I775" i="6"/>
  <c r="I784" i="6"/>
  <c r="I787" i="6"/>
  <c r="I790" i="6"/>
  <c r="I793" i="6"/>
  <c r="I796" i="6"/>
  <c r="I802" i="6"/>
  <c r="I805" i="6"/>
  <c r="I808" i="6"/>
  <c r="I811" i="6"/>
  <c r="I814" i="6"/>
  <c r="L760" i="6"/>
  <c r="J760" i="6"/>
  <c r="I760" i="6"/>
  <c r="L748" i="6"/>
  <c r="J748" i="6"/>
  <c r="I748" i="6"/>
  <c r="N895" i="7"/>
  <c r="N859" i="7"/>
  <c r="N862" i="7" s="1"/>
  <c r="N865" i="7" s="1"/>
  <c r="N868" i="7" s="1"/>
  <c r="N871" i="7" s="1"/>
  <c r="N874" i="7" s="1"/>
  <c r="N877" i="7" s="1"/>
  <c r="N880" i="7" s="1"/>
  <c r="N883" i="7" s="1"/>
  <c r="N886" i="7" s="1"/>
  <c r="N889" i="7" s="1"/>
  <c r="N856" i="7"/>
  <c r="M856" i="7"/>
  <c r="M859" i="7"/>
  <c r="M862" i="7"/>
  <c r="M865" i="7"/>
  <c r="M868" i="7"/>
  <c r="M871" i="7"/>
  <c r="M874" i="7"/>
  <c r="M877" i="7"/>
  <c r="M880" i="7"/>
  <c r="M883" i="7"/>
  <c r="M886" i="7"/>
  <c r="M889" i="7"/>
  <c r="M895" i="7"/>
  <c r="M898" i="7"/>
  <c r="M901" i="7"/>
  <c r="L856" i="7"/>
  <c r="L859" i="7"/>
  <c r="L862" i="7"/>
  <c r="L865" i="7"/>
  <c r="L868" i="7"/>
  <c r="L871" i="7"/>
  <c r="L874" i="7"/>
  <c r="L877" i="7"/>
  <c r="L880" i="7"/>
  <c r="L883" i="7"/>
  <c r="L886" i="7"/>
  <c r="L889" i="7"/>
  <c r="L895" i="7"/>
  <c r="L898" i="7"/>
  <c r="L901" i="7"/>
  <c r="J856" i="7"/>
  <c r="J859" i="7"/>
  <c r="J862" i="7"/>
  <c r="J865" i="7"/>
  <c r="J868" i="7"/>
  <c r="J871" i="7"/>
  <c r="J874" i="7"/>
  <c r="J877" i="7"/>
  <c r="J880" i="7"/>
  <c r="J883" i="7"/>
  <c r="J886" i="7"/>
  <c r="J889" i="7"/>
  <c r="J895" i="7"/>
  <c r="J898" i="7"/>
  <c r="J901" i="7"/>
  <c r="I856" i="7"/>
  <c r="I859" i="7"/>
  <c r="I862" i="7"/>
  <c r="I865" i="7"/>
  <c r="I868" i="7"/>
  <c r="I871" i="7"/>
  <c r="I874" i="7"/>
  <c r="I877" i="7"/>
  <c r="I880" i="7"/>
  <c r="I883" i="7"/>
  <c r="I886" i="7"/>
  <c r="I889" i="7"/>
  <c r="I895" i="7"/>
  <c r="I898" i="7"/>
  <c r="I901" i="7"/>
  <c r="L853" i="7"/>
  <c r="J853" i="7"/>
  <c r="I853" i="7"/>
  <c r="L787" i="7"/>
  <c r="L790" i="7"/>
  <c r="L793" i="7"/>
  <c r="L796" i="7"/>
  <c r="L802" i="7"/>
  <c r="L805" i="7"/>
  <c r="L808" i="7"/>
  <c r="L811" i="7"/>
  <c r="L814" i="7"/>
  <c r="J787" i="7"/>
  <c r="J790" i="7"/>
  <c r="J793" i="7"/>
  <c r="J796" i="7"/>
  <c r="J802" i="7"/>
  <c r="J805" i="7"/>
  <c r="J808" i="7"/>
  <c r="J811" i="7"/>
  <c r="J814" i="7"/>
  <c r="I787" i="7"/>
  <c r="I790" i="7"/>
  <c r="I793" i="7"/>
  <c r="I796" i="7"/>
  <c r="I802" i="7"/>
  <c r="I805" i="7"/>
  <c r="I808" i="7"/>
  <c r="I811" i="7"/>
  <c r="I814" i="7"/>
  <c r="L784" i="7"/>
  <c r="J784" i="7"/>
  <c r="I784" i="7"/>
  <c r="L763" i="7"/>
  <c r="L766" i="7"/>
  <c r="L769" i="7"/>
  <c r="L772" i="7"/>
  <c r="L775" i="7"/>
  <c r="J763" i="7"/>
  <c r="J766" i="7"/>
  <c r="J769" i="7"/>
  <c r="J772" i="7"/>
  <c r="J775" i="7"/>
  <c r="I763" i="7"/>
  <c r="I766" i="7"/>
  <c r="I769" i="7"/>
  <c r="I772" i="7"/>
  <c r="I775" i="7"/>
  <c r="L760" i="7"/>
  <c r="J760" i="7"/>
  <c r="I760" i="7"/>
  <c r="L748" i="7"/>
  <c r="J748" i="7"/>
  <c r="I748" i="7"/>
  <c r="N895" i="8"/>
  <c r="N859" i="8"/>
  <c r="N862" i="8"/>
  <c r="N865" i="8" s="1"/>
  <c r="N868" i="8" s="1"/>
  <c r="N871" i="8" s="1"/>
  <c r="N874" i="8" s="1"/>
  <c r="N877" i="8" s="1"/>
  <c r="N880" i="8" s="1"/>
  <c r="N883" i="8" s="1"/>
  <c r="N886" i="8" s="1"/>
  <c r="N889" i="8" s="1"/>
  <c r="N856" i="8"/>
  <c r="M856" i="8"/>
  <c r="M859" i="8"/>
  <c r="M862" i="8"/>
  <c r="M865" i="8"/>
  <c r="M868" i="8"/>
  <c r="M871" i="8"/>
  <c r="M874" i="8"/>
  <c r="M877" i="8"/>
  <c r="M880" i="8"/>
  <c r="M883" i="8"/>
  <c r="M886" i="8"/>
  <c r="M889" i="8"/>
  <c r="M895" i="8"/>
  <c r="M898" i="8"/>
  <c r="M901" i="8"/>
  <c r="L856" i="8"/>
  <c r="L859" i="8"/>
  <c r="L862" i="8"/>
  <c r="L865" i="8"/>
  <c r="L868" i="8"/>
  <c r="L871" i="8"/>
  <c r="L874" i="8"/>
  <c r="L877" i="8"/>
  <c r="L880" i="8"/>
  <c r="L883" i="8"/>
  <c r="L886" i="8"/>
  <c r="L889" i="8"/>
  <c r="L895" i="8"/>
  <c r="L898" i="8"/>
  <c r="L901" i="8"/>
  <c r="J856" i="8"/>
  <c r="J859" i="8"/>
  <c r="J862" i="8"/>
  <c r="J865" i="8"/>
  <c r="J868" i="8"/>
  <c r="J871" i="8"/>
  <c r="J874" i="8"/>
  <c r="J877" i="8"/>
  <c r="J880" i="8"/>
  <c r="J883" i="8"/>
  <c r="J886" i="8"/>
  <c r="J889" i="8"/>
  <c r="J895" i="8"/>
  <c r="J898" i="8"/>
  <c r="J901" i="8"/>
  <c r="I856" i="8"/>
  <c r="I859" i="8"/>
  <c r="I862" i="8"/>
  <c r="I865" i="8"/>
  <c r="I868" i="8"/>
  <c r="I871" i="8"/>
  <c r="I874" i="8"/>
  <c r="I877" i="8"/>
  <c r="I880" i="8"/>
  <c r="I883" i="8"/>
  <c r="I886" i="8"/>
  <c r="I889" i="8"/>
  <c r="I895" i="8"/>
  <c r="I898" i="8"/>
  <c r="I901" i="8"/>
  <c r="L853" i="8"/>
  <c r="J853" i="8"/>
  <c r="I853" i="8"/>
  <c r="L787" i="8"/>
  <c r="L790" i="8"/>
  <c r="L793" i="8"/>
  <c r="L796" i="8"/>
  <c r="L802" i="8"/>
  <c r="L805" i="8"/>
  <c r="L808" i="8"/>
  <c r="L811" i="8"/>
  <c r="L814" i="8"/>
  <c r="J787" i="8"/>
  <c r="J790" i="8"/>
  <c r="J793" i="8"/>
  <c r="J796" i="8"/>
  <c r="J802" i="8"/>
  <c r="J805" i="8"/>
  <c r="J808" i="8"/>
  <c r="J811" i="8"/>
  <c r="J814" i="8"/>
  <c r="I787" i="8"/>
  <c r="I790" i="8"/>
  <c r="I793" i="8"/>
  <c r="I796" i="8"/>
  <c r="I802" i="8"/>
  <c r="I805" i="8"/>
  <c r="I808" i="8"/>
  <c r="I811" i="8"/>
  <c r="I814" i="8"/>
  <c r="L784" i="8"/>
  <c r="J784" i="8"/>
  <c r="I784" i="8"/>
  <c r="L763" i="8"/>
  <c r="L766" i="8"/>
  <c r="L769" i="8"/>
  <c r="L772" i="8"/>
  <c r="L775" i="8"/>
  <c r="J763" i="8"/>
  <c r="J766" i="8"/>
  <c r="J769" i="8"/>
  <c r="J772" i="8"/>
  <c r="J775" i="8"/>
  <c r="I763" i="8"/>
  <c r="I766" i="8"/>
  <c r="I769" i="8"/>
  <c r="I772" i="8"/>
  <c r="I775" i="8"/>
  <c r="L760" i="8"/>
  <c r="J760" i="8"/>
  <c r="I760" i="8"/>
  <c r="L748" i="8"/>
  <c r="J748" i="8"/>
  <c r="I748" i="8"/>
  <c r="N898" i="6" l="1"/>
  <c r="N901" i="6" s="1"/>
  <c r="N898" i="7"/>
  <c r="N901" i="7" s="1"/>
  <c r="N898" i="8"/>
  <c r="N901" i="8" s="1"/>
  <c r="F928" i="8" l="1"/>
  <c r="F927" i="8"/>
  <c r="Z685" i="8" l="1"/>
  <c r="Z688" i="8"/>
  <c r="Z691" i="8"/>
  <c r="Z676" i="8"/>
  <c r="Z700" i="8"/>
  <c r="Z694" i="8"/>
  <c r="Z673" i="8"/>
  <c r="Z697" i="8"/>
  <c r="Z679" i="8"/>
  <c r="Z701" i="8"/>
  <c r="Z682" i="8"/>
  <c r="J670" i="5" l="1"/>
  <c r="L670" i="5" s="1"/>
  <c r="I670" i="5"/>
  <c r="J664" i="5"/>
  <c r="I664" i="5"/>
  <c r="J661" i="5"/>
  <c r="L661" i="5" s="1"/>
  <c r="I661" i="5"/>
  <c r="J655" i="5"/>
  <c r="L655" i="5" s="1"/>
  <c r="I655" i="5"/>
  <c r="J652" i="5"/>
  <c r="L652" i="5" s="1"/>
  <c r="I652" i="5"/>
  <c r="J649" i="5"/>
  <c r="I649" i="5"/>
  <c r="J646" i="5"/>
  <c r="L646" i="5" s="1"/>
  <c r="I646" i="5"/>
  <c r="J643" i="5"/>
  <c r="L643" i="5" s="1"/>
  <c r="I643" i="5"/>
  <c r="J670" i="6"/>
  <c r="L670" i="6" s="1"/>
  <c r="I670" i="6"/>
  <c r="J664" i="6"/>
  <c r="I664" i="6"/>
  <c r="J661" i="6"/>
  <c r="L661" i="6" s="1"/>
  <c r="I661" i="6"/>
  <c r="J655" i="6"/>
  <c r="L655" i="6" s="1"/>
  <c r="I655" i="6"/>
  <c r="J652" i="6"/>
  <c r="I652" i="6"/>
  <c r="J649" i="6"/>
  <c r="I649" i="6"/>
  <c r="J646" i="6"/>
  <c r="L646" i="6" s="1"/>
  <c r="I646" i="6"/>
  <c r="J643" i="6"/>
  <c r="I643" i="6"/>
  <c r="J670" i="7"/>
  <c r="I670" i="7"/>
  <c r="L670" i="7" s="1"/>
  <c r="J664" i="7"/>
  <c r="L664" i="7" s="1"/>
  <c r="I664" i="7"/>
  <c r="J661" i="7"/>
  <c r="L661" i="7" s="1"/>
  <c r="I661" i="7"/>
  <c r="J655" i="7"/>
  <c r="L655" i="7" s="1"/>
  <c r="I655" i="7"/>
  <c r="L652" i="7"/>
  <c r="J652" i="7"/>
  <c r="I652" i="7"/>
  <c r="J649" i="7"/>
  <c r="I649" i="7"/>
  <c r="J646" i="7"/>
  <c r="L646" i="7" s="1"/>
  <c r="I646" i="7"/>
  <c r="J643" i="7"/>
  <c r="L643" i="7" s="1"/>
  <c r="I643" i="7"/>
  <c r="I643" i="8"/>
  <c r="Z643" i="8" s="1"/>
  <c r="J643" i="8"/>
  <c r="L643" i="8" s="1"/>
  <c r="I646" i="8"/>
  <c r="Z646" i="8" s="1"/>
  <c r="J646" i="8"/>
  <c r="L646" i="8" s="1"/>
  <c r="I649" i="8"/>
  <c r="Z649" i="8" s="1"/>
  <c r="J649" i="8"/>
  <c r="L649" i="8" s="1"/>
  <c r="I652" i="8"/>
  <c r="Z652" i="8" s="1"/>
  <c r="J652" i="8"/>
  <c r="L652" i="8" s="1"/>
  <c r="I655" i="8"/>
  <c r="Z655" i="8" s="1"/>
  <c r="J655" i="8"/>
  <c r="L655" i="8" s="1"/>
  <c r="I661" i="8"/>
  <c r="Z661" i="8" s="1"/>
  <c r="J661" i="8"/>
  <c r="I664" i="8"/>
  <c r="Z664" i="8" s="1"/>
  <c r="J664" i="8"/>
  <c r="I670" i="8"/>
  <c r="Z670" i="8" s="1"/>
  <c r="J670" i="8"/>
  <c r="J742" i="5"/>
  <c r="I742" i="5"/>
  <c r="L742" i="5" s="1"/>
  <c r="J736" i="5"/>
  <c r="L736" i="5" s="1"/>
  <c r="I736" i="5"/>
  <c r="J733" i="5"/>
  <c r="I733" i="5"/>
  <c r="J730" i="5"/>
  <c r="L730" i="5" s="1"/>
  <c r="I730" i="5"/>
  <c r="J727" i="5"/>
  <c r="I727" i="5"/>
  <c r="L724" i="5"/>
  <c r="J724" i="5"/>
  <c r="I724" i="5"/>
  <c r="J721" i="5"/>
  <c r="I721" i="5"/>
  <c r="J718" i="5"/>
  <c r="I718" i="5"/>
  <c r="J715" i="5"/>
  <c r="I715" i="5"/>
  <c r="J742" i="6"/>
  <c r="L742" i="6" s="1"/>
  <c r="I742" i="6"/>
  <c r="J736" i="6"/>
  <c r="I736" i="6"/>
  <c r="J733" i="6"/>
  <c r="I733" i="6"/>
  <c r="J730" i="6"/>
  <c r="I730" i="6"/>
  <c r="J727" i="6"/>
  <c r="L727" i="6" s="1"/>
  <c r="I727" i="6"/>
  <c r="J724" i="6"/>
  <c r="L724" i="6" s="1"/>
  <c r="I724" i="6"/>
  <c r="J721" i="6"/>
  <c r="L721" i="6" s="1"/>
  <c r="I721" i="6"/>
  <c r="J718" i="6"/>
  <c r="L718" i="6" s="1"/>
  <c r="I718" i="6"/>
  <c r="J715" i="6"/>
  <c r="I715" i="6"/>
  <c r="J742" i="7"/>
  <c r="L742" i="7" s="1"/>
  <c r="I742" i="7"/>
  <c r="J736" i="7"/>
  <c r="I736" i="7"/>
  <c r="J733" i="7"/>
  <c r="L733" i="7" s="1"/>
  <c r="I733" i="7"/>
  <c r="J730" i="7"/>
  <c r="L730" i="7" s="1"/>
  <c r="I730" i="7"/>
  <c r="J727" i="7"/>
  <c r="I727" i="7"/>
  <c r="J724" i="7"/>
  <c r="L724" i="7" s="1"/>
  <c r="I724" i="7"/>
  <c r="J721" i="7"/>
  <c r="I721" i="7"/>
  <c r="J718" i="7"/>
  <c r="I718" i="7"/>
  <c r="J715" i="7"/>
  <c r="L715" i="7" s="1"/>
  <c r="I715" i="7"/>
  <c r="J742" i="8"/>
  <c r="L742" i="8" s="1"/>
  <c r="I742" i="8"/>
  <c r="Z742" i="8" s="1"/>
  <c r="J736" i="8"/>
  <c r="I736" i="8"/>
  <c r="Z736" i="8" s="1"/>
  <c r="J733" i="8"/>
  <c r="I733" i="8"/>
  <c r="J730" i="8"/>
  <c r="I730" i="8"/>
  <c r="J727" i="8"/>
  <c r="I727" i="8"/>
  <c r="Z727" i="8" s="1"/>
  <c r="J724" i="8"/>
  <c r="I724" i="8"/>
  <c r="Z724" i="8" s="1"/>
  <c r="J721" i="8"/>
  <c r="I721" i="8"/>
  <c r="Z721" i="8" s="1"/>
  <c r="J718" i="8"/>
  <c r="L718" i="8" s="1"/>
  <c r="I718" i="8"/>
  <c r="Z718" i="8" s="1"/>
  <c r="J715" i="8"/>
  <c r="I715" i="8"/>
  <c r="Z715" i="8" s="1"/>
  <c r="J634" i="5"/>
  <c r="I634" i="5"/>
  <c r="J631" i="5"/>
  <c r="I631" i="5"/>
  <c r="J628" i="5"/>
  <c r="L628" i="5" s="1"/>
  <c r="I628" i="5"/>
  <c r="J625" i="5"/>
  <c r="I625" i="5"/>
  <c r="L625" i="5" s="1"/>
  <c r="J622" i="5"/>
  <c r="L622" i="5" s="1"/>
  <c r="I622" i="5"/>
  <c r="J619" i="5"/>
  <c r="L619" i="5" s="1"/>
  <c r="I619" i="5"/>
  <c r="J616" i="5"/>
  <c r="L616" i="5" s="1"/>
  <c r="I616" i="5"/>
  <c r="J613" i="5"/>
  <c r="I613" i="5"/>
  <c r="J610" i="5"/>
  <c r="L610" i="5" s="1"/>
  <c r="I610" i="5"/>
  <c r="J607" i="5"/>
  <c r="I607" i="5"/>
  <c r="J604" i="5"/>
  <c r="L604" i="5" s="1"/>
  <c r="I604" i="5"/>
  <c r="J601" i="5"/>
  <c r="I601" i="5"/>
  <c r="L601" i="5" s="1"/>
  <c r="J634" i="6"/>
  <c r="L634" i="6" s="1"/>
  <c r="I634" i="6"/>
  <c r="J631" i="6"/>
  <c r="L631" i="6" s="1"/>
  <c r="I631" i="6"/>
  <c r="J628" i="6"/>
  <c r="I628" i="6"/>
  <c r="J625" i="6"/>
  <c r="I625" i="6"/>
  <c r="J622" i="6"/>
  <c r="L622" i="6" s="1"/>
  <c r="I622" i="6"/>
  <c r="L619" i="6"/>
  <c r="J619" i="6"/>
  <c r="I619" i="6"/>
  <c r="J616" i="6"/>
  <c r="L616" i="6" s="1"/>
  <c r="I616" i="6"/>
  <c r="J613" i="6"/>
  <c r="L613" i="6" s="1"/>
  <c r="I613" i="6"/>
  <c r="J610" i="6"/>
  <c r="I610" i="6"/>
  <c r="J607" i="6"/>
  <c r="I607" i="6"/>
  <c r="J604" i="6"/>
  <c r="L604" i="6" s="1"/>
  <c r="I604" i="6"/>
  <c r="J601" i="6"/>
  <c r="L601" i="6" s="1"/>
  <c r="I601" i="6"/>
  <c r="J634" i="7"/>
  <c r="I634" i="7"/>
  <c r="J631" i="7"/>
  <c r="L631" i="7" s="1"/>
  <c r="I631" i="7"/>
  <c r="J628" i="7"/>
  <c r="I628" i="7"/>
  <c r="J625" i="7"/>
  <c r="I625" i="7"/>
  <c r="J622" i="7"/>
  <c r="I622" i="7"/>
  <c r="J619" i="7"/>
  <c r="I619" i="7"/>
  <c r="L619" i="7" s="1"/>
  <c r="J616" i="7"/>
  <c r="L616" i="7" s="1"/>
  <c r="I616" i="7"/>
  <c r="J613" i="7"/>
  <c r="L613" i="7" s="1"/>
  <c r="I613" i="7"/>
  <c r="J610" i="7"/>
  <c r="L610" i="7" s="1"/>
  <c r="I610" i="7"/>
  <c r="J607" i="7"/>
  <c r="I607" i="7"/>
  <c r="J604" i="7"/>
  <c r="L604" i="7" s="1"/>
  <c r="I604" i="7"/>
  <c r="J601" i="7"/>
  <c r="L601" i="7" s="1"/>
  <c r="I601" i="7"/>
  <c r="J634" i="8"/>
  <c r="I634" i="8"/>
  <c r="J631" i="8"/>
  <c r="I631" i="8"/>
  <c r="Z631" i="8" s="1"/>
  <c r="J628" i="8"/>
  <c r="L628" i="8" s="1"/>
  <c r="I628" i="8"/>
  <c r="Z628" i="8" s="1"/>
  <c r="J625" i="8"/>
  <c r="L625" i="8" s="1"/>
  <c r="I625" i="8"/>
  <c r="Z625" i="8" s="1"/>
  <c r="J622" i="8"/>
  <c r="L622" i="8" s="1"/>
  <c r="I622" i="8"/>
  <c r="Z622" i="8" s="1"/>
  <c r="J619" i="8"/>
  <c r="I619" i="8"/>
  <c r="Z619" i="8" s="1"/>
  <c r="J616" i="8"/>
  <c r="L616" i="8" s="1"/>
  <c r="I616" i="8"/>
  <c r="Z616" i="8" s="1"/>
  <c r="J613" i="8"/>
  <c r="L613" i="8" s="1"/>
  <c r="I613" i="8"/>
  <c r="Z613" i="8" s="1"/>
  <c r="J610" i="8"/>
  <c r="L610" i="8" s="1"/>
  <c r="I610" i="8"/>
  <c r="Z610" i="8" s="1"/>
  <c r="J607" i="8"/>
  <c r="I607" i="8"/>
  <c r="Z607" i="8" s="1"/>
  <c r="J604" i="8"/>
  <c r="I604" i="8"/>
  <c r="Z604" i="8" s="1"/>
  <c r="J601" i="8"/>
  <c r="I601" i="8"/>
  <c r="Z601" i="8" s="1"/>
  <c r="J598" i="8"/>
  <c r="L598" i="8" s="1"/>
  <c r="I598" i="8"/>
  <c r="Z598" i="8" s="1"/>
  <c r="J595" i="8"/>
  <c r="I595" i="8"/>
  <c r="Z595" i="8" s="1"/>
  <c r="J592" i="8"/>
  <c r="L592" i="8" s="1"/>
  <c r="I592" i="8"/>
  <c r="Z592" i="8" s="1"/>
  <c r="L589" i="8"/>
  <c r="J589" i="8"/>
  <c r="I589" i="8"/>
  <c r="Z589" i="8" s="1"/>
  <c r="J586" i="8"/>
  <c r="L586" i="8" s="1"/>
  <c r="I586" i="8"/>
  <c r="Z586" i="8" s="1"/>
  <c r="J583" i="8"/>
  <c r="I583" i="8"/>
  <c r="Z583" i="8" s="1"/>
  <c r="J580" i="8"/>
  <c r="I580" i="8"/>
  <c r="Z580" i="8" s="1"/>
  <c r="J577" i="8"/>
  <c r="I577" i="8"/>
  <c r="Z577" i="8" s="1"/>
  <c r="J574" i="8"/>
  <c r="L574" i="8" s="1"/>
  <c r="I574" i="8"/>
  <c r="Z574" i="8" s="1"/>
  <c r="J571" i="8"/>
  <c r="I571" i="8"/>
  <c r="Z571" i="8" s="1"/>
  <c r="J565" i="8"/>
  <c r="I565" i="8"/>
  <c r="Z565" i="8" s="1"/>
  <c r="J598" i="7"/>
  <c r="I598" i="7"/>
  <c r="J595" i="7"/>
  <c r="L595" i="7" s="1"/>
  <c r="I595" i="7"/>
  <c r="J592" i="7"/>
  <c r="I592" i="7"/>
  <c r="J589" i="7"/>
  <c r="L589" i="7" s="1"/>
  <c r="I589" i="7"/>
  <c r="J586" i="7"/>
  <c r="I586" i="7"/>
  <c r="J583" i="7"/>
  <c r="I583" i="7"/>
  <c r="J580" i="7"/>
  <c r="L580" i="7" s="1"/>
  <c r="I580" i="7"/>
  <c r="J577" i="7"/>
  <c r="L577" i="7" s="1"/>
  <c r="I577" i="7"/>
  <c r="J574" i="7"/>
  <c r="L574" i="7" s="1"/>
  <c r="I574" i="7"/>
  <c r="J571" i="7"/>
  <c r="I571" i="7"/>
  <c r="J565" i="7"/>
  <c r="L565" i="7" s="1"/>
  <c r="I565" i="7"/>
  <c r="J598" i="6"/>
  <c r="I598" i="6"/>
  <c r="J595" i="6"/>
  <c r="L595" i="6" s="1"/>
  <c r="I595" i="6"/>
  <c r="J592" i="6"/>
  <c r="L592" i="6" s="1"/>
  <c r="I592" i="6"/>
  <c r="J589" i="6"/>
  <c r="L589" i="6" s="1"/>
  <c r="I589" i="6"/>
  <c r="J586" i="6"/>
  <c r="L586" i="6" s="1"/>
  <c r="I586" i="6"/>
  <c r="J583" i="6"/>
  <c r="I583" i="6"/>
  <c r="J580" i="6"/>
  <c r="I580" i="6"/>
  <c r="J577" i="6"/>
  <c r="L577" i="6" s="1"/>
  <c r="I577" i="6"/>
  <c r="J574" i="6"/>
  <c r="L574" i="6" s="1"/>
  <c r="I574" i="6"/>
  <c r="J571" i="6"/>
  <c r="L571" i="6" s="1"/>
  <c r="I571" i="6"/>
  <c r="J565" i="6"/>
  <c r="I565" i="6"/>
  <c r="J598" i="5"/>
  <c r="L598" i="5" s="1"/>
  <c r="I598" i="5"/>
  <c r="J595" i="5"/>
  <c r="L595" i="5" s="1"/>
  <c r="I595" i="5"/>
  <c r="J592" i="5"/>
  <c r="L592" i="5" s="1"/>
  <c r="I592" i="5"/>
  <c r="J589" i="5"/>
  <c r="L589" i="5" s="1"/>
  <c r="I589" i="5"/>
  <c r="J586" i="5"/>
  <c r="L586" i="5" s="1"/>
  <c r="I586" i="5"/>
  <c r="J583" i="5"/>
  <c r="L583" i="5" s="1"/>
  <c r="I583" i="5"/>
  <c r="J580" i="5"/>
  <c r="L580" i="5" s="1"/>
  <c r="I580" i="5"/>
  <c r="J577" i="5"/>
  <c r="L577" i="5" s="1"/>
  <c r="I577" i="5"/>
  <c r="J574" i="5"/>
  <c r="L574" i="5" s="1"/>
  <c r="I574" i="5"/>
  <c r="J571" i="5"/>
  <c r="L571" i="5" s="1"/>
  <c r="I571" i="5"/>
  <c r="J565" i="5"/>
  <c r="L565" i="5" s="1"/>
  <c r="I565" i="5"/>
  <c r="J562" i="5"/>
  <c r="L562" i="5" s="1"/>
  <c r="I562" i="5"/>
  <c r="J559" i="5"/>
  <c r="L559" i="5" s="1"/>
  <c r="I559" i="5"/>
  <c r="J556" i="5"/>
  <c r="L556" i="5" s="1"/>
  <c r="I556" i="5"/>
  <c r="J553" i="5"/>
  <c r="L553" i="5" s="1"/>
  <c r="I553" i="5"/>
  <c r="J550" i="5"/>
  <c r="L550" i="5" s="1"/>
  <c r="I550" i="5"/>
  <c r="J547" i="5"/>
  <c r="I547" i="5"/>
  <c r="L547" i="5" s="1"/>
  <c r="J544" i="5"/>
  <c r="I544" i="5"/>
  <c r="J541" i="5"/>
  <c r="I541" i="5"/>
  <c r="J538" i="5"/>
  <c r="I538" i="5"/>
  <c r="J535" i="5"/>
  <c r="I535" i="5"/>
  <c r="J532" i="5"/>
  <c r="I532" i="5"/>
  <c r="J529" i="5"/>
  <c r="I529" i="5"/>
  <c r="J526" i="5"/>
  <c r="I526" i="5"/>
  <c r="J523" i="5"/>
  <c r="L523" i="5" s="1"/>
  <c r="I523" i="5"/>
  <c r="J520" i="5"/>
  <c r="L520" i="5" s="1"/>
  <c r="I520" i="5"/>
  <c r="J517" i="5"/>
  <c r="I517" i="5"/>
  <c r="J514" i="5"/>
  <c r="L514" i="5" s="1"/>
  <c r="I514" i="5"/>
  <c r="J511" i="5"/>
  <c r="L511" i="5" s="1"/>
  <c r="I511" i="5"/>
  <c r="L508" i="5"/>
  <c r="J508" i="5"/>
  <c r="I508" i="5"/>
  <c r="J505" i="5"/>
  <c r="I505" i="5"/>
  <c r="J501" i="5"/>
  <c r="I501" i="5"/>
  <c r="J498" i="5"/>
  <c r="L498" i="5" s="1"/>
  <c r="I498" i="5"/>
  <c r="J494" i="5"/>
  <c r="L494" i="5" s="1"/>
  <c r="I494" i="5"/>
  <c r="J491" i="5"/>
  <c r="I491" i="5"/>
  <c r="J488" i="5"/>
  <c r="L488" i="5" s="1"/>
  <c r="I488" i="5"/>
  <c r="J485" i="5"/>
  <c r="L485" i="5" s="1"/>
  <c r="I485" i="5"/>
  <c r="J482" i="5"/>
  <c r="L482" i="5" s="1"/>
  <c r="I482" i="5"/>
  <c r="J479" i="5"/>
  <c r="L479" i="5" s="1"/>
  <c r="I479" i="5"/>
  <c r="J476" i="5"/>
  <c r="L476" i="5" s="1"/>
  <c r="I476" i="5"/>
  <c r="J473" i="5"/>
  <c r="I473" i="5"/>
  <c r="L473" i="5" s="1"/>
  <c r="J470" i="5"/>
  <c r="I470" i="5"/>
  <c r="J467" i="5"/>
  <c r="I467" i="5"/>
  <c r="J463" i="5"/>
  <c r="I463" i="5"/>
  <c r="J459" i="5"/>
  <c r="I459" i="5"/>
  <c r="J456" i="5"/>
  <c r="I456" i="5"/>
  <c r="J453" i="5"/>
  <c r="I453" i="5"/>
  <c r="J450" i="5"/>
  <c r="I450" i="5"/>
  <c r="J447" i="5"/>
  <c r="L447" i="5" s="1"/>
  <c r="I447" i="5"/>
  <c r="J444" i="5"/>
  <c r="L444" i="5" s="1"/>
  <c r="I444" i="5"/>
  <c r="J440" i="5"/>
  <c r="I440" i="5"/>
  <c r="J436" i="5"/>
  <c r="L436" i="5" s="1"/>
  <c r="I436" i="5"/>
  <c r="J432" i="5"/>
  <c r="L432" i="5" s="1"/>
  <c r="I432" i="5"/>
  <c r="J429" i="5"/>
  <c r="L429" i="5" s="1"/>
  <c r="I429" i="5"/>
  <c r="J425" i="5"/>
  <c r="L425" i="5" s="1"/>
  <c r="I425" i="5"/>
  <c r="J421" i="5"/>
  <c r="I421" i="5"/>
  <c r="J418" i="5"/>
  <c r="I418" i="5"/>
  <c r="L418" i="5" s="1"/>
  <c r="J414" i="5"/>
  <c r="I414" i="5"/>
  <c r="J411" i="5"/>
  <c r="I411" i="5"/>
  <c r="J408" i="5"/>
  <c r="I408" i="5"/>
  <c r="J405" i="5"/>
  <c r="I405" i="5"/>
  <c r="J402" i="5"/>
  <c r="I402" i="5"/>
  <c r="J399" i="5"/>
  <c r="I399" i="5"/>
  <c r="J396" i="5"/>
  <c r="I396" i="5"/>
  <c r="J392" i="5"/>
  <c r="L392" i="5" s="1"/>
  <c r="I392" i="5"/>
  <c r="J389" i="5"/>
  <c r="L389" i="5" s="1"/>
  <c r="I389" i="5"/>
  <c r="J386" i="5"/>
  <c r="I386" i="5"/>
  <c r="J383" i="5"/>
  <c r="L383" i="5" s="1"/>
  <c r="I383" i="5"/>
  <c r="J380" i="5"/>
  <c r="L380" i="5" s="1"/>
  <c r="I380" i="5"/>
  <c r="J377" i="5"/>
  <c r="L377" i="5" s="1"/>
  <c r="I377" i="5"/>
  <c r="J374" i="5"/>
  <c r="L374" i="5" s="1"/>
  <c r="I374" i="5"/>
  <c r="J371" i="5"/>
  <c r="L371" i="5" s="1"/>
  <c r="I371" i="5"/>
  <c r="J368" i="5"/>
  <c r="I368" i="5"/>
  <c r="L368" i="5" s="1"/>
  <c r="J365" i="5"/>
  <c r="I365" i="5"/>
  <c r="J362" i="5"/>
  <c r="I362" i="5"/>
  <c r="J359" i="5"/>
  <c r="I359" i="5"/>
  <c r="J356" i="5"/>
  <c r="I356" i="5"/>
  <c r="J353" i="5"/>
  <c r="I353" i="5"/>
  <c r="J350" i="5"/>
  <c r="I350" i="5"/>
  <c r="J347" i="5"/>
  <c r="I347" i="5"/>
  <c r="J344" i="5"/>
  <c r="L344" i="5" s="1"/>
  <c r="I344" i="5"/>
  <c r="J341" i="5"/>
  <c r="L341" i="5" s="1"/>
  <c r="I341" i="5"/>
  <c r="J338" i="5"/>
  <c r="I338" i="5"/>
  <c r="J335" i="5"/>
  <c r="L335" i="5" s="1"/>
  <c r="I335" i="5"/>
  <c r="J332" i="5"/>
  <c r="L332" i="5" s="1"/>
  <c r="I332" i="5"/>
  <c r="J329" i="5"/>
  <c r="L329" i="5" s="1"/>
  <c r="I329" i="5"/>
  <c r="J326" i="5"/>
  <c r="L326" i="5" s="1"/>
  <c r="I326" i="5"/>
  <c r="J323" i="5"/>
  <c r="I323" i="5"/>
  <c r="L320" i="5"/>
  <c r="J320" i="5"/>
  <c r="I320" i="5"/>
  <c r="J317" i="5"/>
  <c r="I317" i="5"/>
  <c r="J314" i="5"/>
  <c r="I314" i="5"/>
  <c r="J311" i="5"/>
  <c r="I311" i="5"/>
  <c r="J308" i="5"/>
  <c r="I308" i="5"/>
  <c r="J305" i="5"/>
  <c r="I305" i="5"/>
  <c r="J302" i="5"/>
  <c r="I302" i="5"/>
  <c r="J299" i="5"/>
  <c r="I299" i="5"/>
  <c r="J296" i="5"/>
  <c r="L296" i="5" s="1"/>
  <c r="I296" i="5"/>
  <c r="J293" i="5"/>
  <c r="L293" i="5" s="1"/>
  <c r="I293" i="5"/>
  <c r="J290" i="5"/>
  <c r="I290" i="5"/>
  <c r="J287" i="5"/>
  <c r="L287" i="5" s="1"/>
  <c r="I287" i="5"/>
  <c r="J284" i="5"/>
  <c r="L284" i="5" s="1"/>
  <c r="I284" i="5"/>
  <c r="J281" i="5"/>
  <c r="L281" i="5" s="1"/>
  <c r="I281" i="5"/>
  <c r="J278" i="5"/>
  <c r="L278" i="5" s="1"/>
  <c r="I278" i="5"/>
  <c r="J275" i="5"/>
  <c r="L275" i="5" s="1"/>
  <c r="I275" i="5"/>
  <c r="J272" i="5"/>
  <c r="I272" i="5"/>
  <c r="L272" i="5" s="1"/>
  <c r="J269" i="5"/>
  <c r="I269" i="5"/>
  <c r="J266" i="5"/>
  <c r="I266" i="5"/>
  <c r="J263" i="5"/>
  <c r="I263" i="5"/>
  <c r="J260" i="5"/>
  <c r="I260" i="5"/>
  <c r="J257" i="5"/>
  <c r="I257" i="5"/>
  <c r="J254" i="5"/>
  <c r="I254" i="5"/>
  <c r="J251" i="5"/>
  <c r="I251" i="5"/>
  <c r="J248" i="5"/>
  <c r="L248" i="5" s="1"/>
  <c r="I248" i="5"/>
  <c r="J245" i="5"/>
  <c r="L245" i="5" s="1"/>
  <c r="I245" i="5"/>
  <c r="J242" i="5"/>
  <c r="I242" i="5"/>
  <c r="J239" i="5"/>
  <c r="L239" i="5" s="1"/>
  <c r="I239" i="5"/>
  <c r="J236" i="5"/>
  <c r="L236" i="5" s="1"/>
  <c r="I236" i="5"/>
  <c r="J233" i="5"/>
  <c r="L233" i="5" s="1"/>
  <c r="I233" i="5"/>
  <c r="J230" i="5"/>
  <c r="L230" i="5" s="1"/>
  <c r="I230" i="5"/>
  <c r="J227" i="5"/>
  <c r="I227" i="5"/>
  <c r="L224" i="5"/>
  <c r="J224" i="5"/>
  <c r="I224" i="5"/>
  <c r="J221" i="5"/>
  <c r="I221" i="5"/>
  <c r="J218" i="5"/>
  <c r="I218" i="5"/>
  <c r="J215" i="5"/>
  <c r="I215" i="5"/>
  <c r="J212" i="5"/>
  <c r="I212" i="5"/>
  <c r="J209" i="5"/>
  <c r="I209" i="5"/>
  <c r="J206" i="5"/>
  <c r="I206" i="5"/>
  <c r="J203" i="5"/>
  <c r="I203" i="5"/>
  <c r="J200" i="5"/>
  <c r="L200" i="5" s="1"/>
  <c r="I200" i="5"/>
  <c r="J197" i="5"/>
  <c r="L197" i="5" s="1"/>
  <c r="I197" i="5"/>
  <c r="J194" i="5"/>
  <c r="I194" i="5"/>
  <c r="J191" i="5"/>
  <c r="L191" i="5" s="1"/>
  <c r="I191" i="5"/>
  <c r="J188" i="5"/>
  <c r="L188" i="5" s="1"/>
  <c r="I188" i="5"/>
  <c r="J185" i="5"/>
  <c r="L185" i="5" s="1"/>
  <c r="I185" i="5"/>
  <c r="J182" i="5"/>
  <c r="L182" i="5" s="1"/>
  <c r="I182" i="5"/>
  <c r="J179" i="5"/>
  <c r="I179" i="5"/>
  <c r="J176" i="5"/>
  <c r="I176" i="5"/>
  <c r="L176" i="5" s="1"/>
  <c r="J173" i="5"/>
  <c r="I173" i="5"/>
  <c r="J170" i="5"/>
  <c r="I170" i="5"/>
  <c r="J167" i="5"/>
  <c r="I167" i="5"/>
  <c r="J164" i="5"/>
  <c r="I164" i="5"/>
  <c r="J161" i="5"/>
  <c r="I161" i="5"/>
  <c r="J158" i="5"/>
  <c r="I158" i="5"/>
  <c r="J155" i="5"/>
  <c r="I155" i="5"/>
  <c r="J152" i="5"/>
  <c r="L152" i="5" s="1"/>
  <c r="I152" i="5"/>
  <c r="J149" i="5"/>
  <c r="L149" i="5" s="1"/>
  <c r="I149" i="5"/>
  <c r="L146" i="5"/>
  <c r="J146" i="5"/>
  <c r="I146" i="5"/>
  <c r="J143" i="5"/>
  <c r="I143" i="5"/>
  <c r="J140" i="5"/>
  <c r="I140" i="5"/>
  <c r="J137" i="5"/>
  <c r="I137" i="5"/>
  <c r="J134" i="5"/>
  <c r="I134" i="5"/>
  <c r="J131" i="5"/>
  <c r="I131" i="5"/>
  <c r="J128" i="5"/>
  <c r="L128" i="5" s="1"/>
  <c r="I128" i="5"/>
  <c r="J125" i="5"/>
  <c r="L125" i="5" s="1"/>
  <c r="I125" i="5"/>
  <c r="J122" i="5"/>
  <c r="L122" i="5" s="1"/>
  <c r="I122" i="5"/>
  <c r="J119" i="5"/>
  <c r="L119" i="5" s="1"/>
  <c r="I119" i="5"/>
  <c r="J116" i="5"/>
  <c r="L116" i="5" s="1"/>
  <c r="I116" i="5"/>
  <c r="J113" i="5"/>
  <c r="L113" i="5" s="1"/>
  <c r="I113" i="5"/>
  <c r="J110" i="5"/>
  <c r="I110" i="5"/>
  <c r="J107" i="5"/>
  <c r="I107" i="5"/>
  <c r="J104" i="5"/>
  <c r="I104" i="5"/>
  <c r="J101" i="5"/>
  <c r="I101" i="5"/>
  <c r="J98" i="5"/>
  <c r="I98" i="5"/>
  <c r="J95" i="5"/>
  <c r="L95" i="5" s="1"/>
  <c r="I95" i="5"/>
  <c r="J92" i="5"/>
  <c r="I92" i="5"/>
  <c r="J89" i="5"/>
  <c r="L89" i="5" s="1"/>
  <c r="I89" i="5"/>
  <c r="J86" i="5"/>
  <c r="L86" i="5" s="1"/>
  <c r="I86" i="5"/>
  <c r="J83" i="5"/>
  <c r="I83" i="5"/>
  <c r="J80" i="5"/>
  <c r="I80" i="5"/>
  <c r="L80" i="5" s="1"/>
  <c r="J77" i="5"/>
  <c r="I77" i="5"/>
  <c r="J74" i="5"/>
  <c r="I74" i="5"/>
  <c r="J71" i="5"/>
  <c r="I71" i="5"/>
  <c r="J68" i="5"/>
  <c r="I68" i="5"/>
  <c r="J65" i="5"/>
  <c r="L65" i="5" s="1"/>
  <c r="I65" i="5"/>
  <c r="J62" i="5"/>
  <c r="L62" i="5" s="1"/>
  <c r="I62" i="5"/>
  <c r="J59" i="5"/>
  <c r="I59" i="5"/>
  <c r="L56" i="5"/>
  <c r="J56" i="5"/>
  <c r="I56" i="5"/>
  <c r="J53" i="5"/>
  <c r="I53" i="5"/>
  <c r="J50" i="5"/>
  <c r="I50" i="5"/>
  <c r="J47" i="5"/>
  <c r="I47" i="5"/>
  <c r="J44" i="5"/>
  <c r="I44" i="5"/>
  <c r="J41" i="5"/>
  <c r="I41" i="5"/>
  <c r="J38" i="5"/>
  <c r="I38" i="5"/>
  <c r="J35" i="5"/>
  <c r="I35" i="5"/>
  <c r="J32" i="5"/>
  <c r="L32" i="5" s="1"/>
  <c r="I32" i="5"/>
  <c r="J29" i="5"/>
  <c r="L29" i="5" s="1"/>
  <c r="I29" i="5"/>
  <c r="J26" i="5"/>
  <c r="L26" i="5" s="1"/>
  <c r="I26" i="5"/>
  <c r="J23" i="5"/>
  <c r="L23" i="5" s="1"/>
  <c r="I23" i="5"/>
  <c r="J20" i="5"/>
  <c r="I20" i="5"/>
  <c r="L17" i="5"/>
  <c r="J17" i="5"/>
  <c r="I17" i="5"/>
  <c r="J14" i="5"/>
  <c r="I14" i="5"/>
  <c r="J11" i="5"/>
  <c r="I11" i="5"/>
  <c r="J8" i="5"/>
  <c r="L8" i="5" s="1"/>
  <c r="I8" i="5"/>
  <c r="J5" i="5"/>
  <c r="L5" i="5" s="1"/>
  <c r="I5" i="5"/>
  <c r="J562" i="6"/>
  <c r="L562" i="6" s="1"/>
  <c r="I562" i="6"/>
  <c r="J559" i="6"/>
  <c r="L559" i="6" s="1"/>
  <c r="I559" i="6"/>
  <c r="J556" i="6"/>
  <c r="L556" i="6" s="1"/>
  <c r="I556" i="6"/>
  <c r="J553" i="6"/>
  <c r="L553" i="6" s="1"/>
  <c r="I553" i="6"/>
  <c r="J550" i="6"/>
  <c r="L550" i="6" s="1"/>
  <c r="I550" i="6"/>
  <c r="J547" i="6"/>
  <c r="I547" i="6"/>
  <c r="L547" i="6" s="1"/>
  <c r="J544" i="6"/>
  <c r="I544" i="6"/>
  <c r="J541" i="6"/>
  <c r="I541" i="6"/>
  <c r="J538" i="6"/>
  <c r="I538" i="6"/>
  <c r="J535" i="6"/>
  <c r="I535" i="6"/>
  <c r="J532" i="6"/>
  <c r="I532" i="6"/>
  <c r="J529" i="6"/>
  <c r="I529" i="6"/>
  <c r="J526" i="6"/>
  <c r="I526" i="6"/>
  <c r="J523" i="6"/>
  <c r="L523" i="6" s="1"/>
  <c r="I523" i="6"/>
  <c r="J520" i="6"/>
  <c r="L520" i="6" s="1"/>
  <c r="I520" i="6"/>
  <c r="J517" i="6"/>
  <c r="L517" i="6" s="1"/>
  <c r="I517" i="6"/>
  <c r="J514" i="6"/>
  <c r="L514" i="6" s="1"/>
  <c r="I514" i="6"/>
  <c r="J511" i="6"/>
  <c r="L511" i="6" s="1"/>
  <c r="I511" i="6"/>
  <c r="J508" i="6"/>
  <c r="L508" i="6" s="1"/>
  <c r="I508" i="6"/>
  <c r="J505" i="6"/>
  <c r="L505" i="6" s="1"/>
  <c r="I505" i="6"/>
  <c r="J501" i="6"/>
  <c r="L501" i="6" s="1"/>
  <c r="I501" i="6"/>
  <c r="L498" i="6"/>
  <c r="J498" i="6"/>
  <c r="I498" i="6"/>
  <c r="J494" i="6"/>
  <c r="I494" i="6"/>
  <c r="J491" i="6"/>
  <c r="I491" i="6"/>
  <c r="J488" i="6"/>
  <c r="I488" i="6"/>
  <c r="J485" i="6"/>
  <c r="I485" i="6"/>
  <c r="J482" i="6"/>
  <c r="I482" i="6"/>
  <c r="J479" i="6"/>
  <c r="I479" i="6"/>
  <c r="J476" i="6"/>
  <c r="I476" i="6"/>
  <c r="J473" i="6"/>
  <c r="L473" i="6" s="1"/>
  <c r="I473" i="6"/>
  <c r="J470" i="6"/>
  <c r="L470" i="6" s="1"/>
  <c r="I470" i="6"/>
  <c r="J467" i="6"/>
  <c r="L467" i="6" s="1"/>
  <c r="I467" i="6"/>
  <c r="J463" i="6"/>
  <c r="L463" i="6" s="1"/>
  <c r="I463" i="6"/>
  <c r="J459" i="6"/>
  <c r="L459" i="6" s="1"/>
  <c r="I459" i="6"/>
  <c r="J456" i="6"/>
  <c r="L456" i="6" s="1"/>
  <c r="I456" i="6"/>
  <c r="J453" i="6"/>
  <c r="L453" i="6" s="1"/>
  <c r="I453" i="6"/>
  <c r="J450" i="6"/>
  <c r="L450" i="6" s="1"/>
  <c r="I450" i="6"/>
  <c r="J447" i="6"/>
  <c r="I447" i="6"/>
  <c r="L447" i="6" s="1"/>
  <c r="J444" i="6"/>
  <c r="I444" i="6"/>
  <c r="J440" i="6"/>
  <c r="I440" i="6"/>
  <c r="J436" i="6"/>
  <c r="L436" i="6" s="1"/>
  <c r="I436" i="6"/>
  <c r="J432" i="6"/>
  <c r="I432" i="6"/>
  <c r="J429" i="6"/>
  <c r="I429" i="6"/>
  <c r="J425" i="6"/>
  <c r="I425" i="6"/>
  <c r="J421" i="6"/>
  <c r="L421" i="6" s="1"/>
  <c r="I421" i="6"/>
  <c r="J418" i="6"/>
  <c r="L418" i="6" s="1"/>
  <c r="I418" i="6"/>
  <c r="J414" i="6"/>
  <c r="L414" i="6" s="1"/>
  <c r="I414" i="6"/>
  <c r="J411" i="6"/>
  <c r="L411" i="6" s="1"/>
  <c r="I411" i="6"/>
  <c r="J408" i="6"/>
  <c r="L408" i="6" s="1"/>
  <c r="I408" i="6"/>
  <c r="J405" i="6"/>
  <c r="L405" i="6" s="1"/>
  <c r="I405" i="6"/>
  <c r="J402" i="6"/>
  <c r="L402" i="6" s="1"/>
  <c r="I402" i="6"/>
  <c r="J399" i="6"/>
  <c r="L399" i="6" s="1"/>
  <c r="I399" i="6"/>
  <c r="J396" i="6"/>
  <c r="L396" i="6" s="1"/>
  <c r="I396" i="6"/>
  <c r="J392" i="6"/>
  <c r="I392" i="6"/>
  <c r="L392" i="6" s="1"/>
  <c r="J389" i="6"/>
  <c r="I389" i="6"/>
  <c r="J386" i="6"/>
  <c r="I386" i="6"/>
  <c r="J383" i="6"/>
  <c r="I383" i="6"/>
  <c r="J380" i="6"/>
  <c r="I380" i="6"/>
  <c r="J377" i="6"/>
  <c r="I377" i="6"/>
  <c r="J374" i="6"/>
  <c r="L374" i="6" s="1"/>
  <c r="I374" i="6"/>
  <c r="J371" i="6"/>
  <c r="L371" i="6" s="1"/>
  <c r="I371" i="6"/>
  <c r="J368" i="6"/>
  <c r="L368" i="6" s="1"/>
  <c r="I368" i="6"/>
  <c r="J365" i="6"/>
  <c r="L365" i="6" s="1"/>
  <c r="I365" i="6"/>
  <c r="J362" i="6"/>
  <c r="L362" i="6" s="1"/>
  <c r="I362" i="6"/>
  <c r="J359" i="6"/>
  <c r="L359" i="6" s="1"/>
  <c r="I359" i="6"/>
  <c r="J356" i="6"/>
  <c r="L356" i="6" s="1"/>
  <c r="I356" i="6"/>
  <c r="J353" i="6"/>
  <c r="L353" i="6" s="1"/>
  <c r="I353" i="6"/>
  <c r="J350" i="6"/>
  <c r="L350" i="6" s="1"/>
  <c r="I350" i="6"/>
  <c r="J347" i="6"/>
  <c r="L347" i="6" s="1"/>
  <c r="I347" i="6"/>
  <c r="J344" i="6"/>
  <c r="I344" i="6"/>
  <c r="L344" i="6" s="1"/>
  <c r="J341" i="6"/>
  <c r="I341" i="6"/>
  <c r="J338" i="6"/>
  <c r="L338" i="6" s="1"/>
  <c r="I338" i="6"/>
  <c r="J335" i="6"/>
  <c r="I335" i="6"/>
  <c r="J332" i="6"/>
  <c r="I332" i="6"/>
  <c r="J329" i="6"/>
  <c r="L329" i="6" s="1"/>
  <c r="I329" i="6"/>
  <c r="J326" i="6"/>
  <c r="L326" i="6" s="1"/>
  <c r="I326" i="6"/>
  <c r="J323" i="6"/>
  <c r="I323" i="6"/>
  <c r="J320" i="6"/>
  <c r="L320" i="6" s="1"/>
  <c r="I320" i="6"/>
  <c r="J317" i="6"/>
  <c r="I317" i="6"/>
  <c r="J314" i="6"/>
  <c r="L314" i="6" s="1"/>
  <c r="I314" i="6"/>
  <c r="J311" i="6"/>
  <c r="L311" i="6" s="1"/>
  <c r="I311" i="6"/>
  <c r="J308" i="6"/>
  <c r="L308" i="6" s="1"/>
  <c r="I308" i="6"/>
  <c r="J305" i="6"/>
  <c r="L305" i="6" s="1"/>
  <c r="I305" i="6"/>
  <c r="J302" i="6"/>
  <c r="L302" i="6" s="1"/>
  <c r="I302" i="6"/>
  <c r="J299" i="6"/>
  <c r="L299" i="6" s="1"/>
  <c r="I299" i="6"/>
  <c r="L296" i="6"/>
  <c r="J296" i="6"/>
  <c r="I296" i="6"/>
  <c r="J293" i="6"/>
  <c r="I293" i="6"/>
  <c r="J290" i="6"/>
  <c r="I290" i="6"/>
  <c r="J287" i="6"/>
  <c r="I287" i="6"/>
  <c r="J284" i="6"/>
  <c r="I284" i="6"/>
  <c r="J281" i="6"/>
  <c r="I281" i="6"/>
  <c r="J278" i="6"/>
  <c r="I278" i="6"/>
  <c r="J275" i="6"/>
  <c r="I275" i="6"/>
  <c r="J272" i="6"/>
  <c r="L272" i="6" s="1"/>
  <c r="I272" i="6"/>
  <c r="J269" i="6"/>
  <c r="L269" i="6" s="1"/>
  <c r="I269" i="6"/>
  <c r="J266" i="6"/>
  <c r="L266" i="6" s="1"/>
  <c r="I266" i="6"/>
  <c r="J263" i="6"/>
  <c r="L263" i="6" s="1"/>
  <c r="I263" i="6"/>
  <c r="J260" i="6"/>
  <c r="L260" i="6" s="1"/>
  <c r="I260" i="6"/>
  <c r="J257" i="6"/>
  <c r="L257" i="6" s="1"/>
  <c r="I257" i="6"/>
  <c r="J254" i="6"/>
  <c r="L254" i="6" s="1"/>
  <c r="I254" i="6"/>
  <c r="J251" i="6"/>
  <c r="L251" i="6" s="1"/>
  <c r="I251" i="6"/>
  <c r="J248" i="6"/>
  <c r="I248" i="6"/>
  <c r="L248" i="6" s="1"/>
  <c r="J245" i="6"/>
  <c r="I245" i="6"/>
  <c r="J242" i="6"/>
  <c r="I242" i="6"/>
  <c r="J239" i="6"/>
  <c r="I239" i="6"/>
  <c r="J236" i="6"/>
  <c r="I236" i="6"/>
  <c r="J233" i="6"/>
  <c r="I233" i="6"/>
  <c r="J230" i="6"/>
  <c r="I230" i="6"/>
  <c r="J227" i="6"/>
  <c r="L227" i="6" s="1"/>
  <c r="I227" i="6"/>
  <c r="J224" i="6"/>
  <c r="L224" i="6" s="1"/>
  <c r="I224" i="6"/>
  <c r="J221" i="6"/>
  <c r="L221" i="6" s="1"/>
  <c r="I221" i="6"/>
  <c r="J218" i="6"/>
  <c r="L218" i="6" s="1"/>
  <c r="I218" i="6"/>
  <c r="J215" i="6"/>
  <c r="L215" i="6" s="1"/>
  <c r="I215" i="6"/>
  <c r="J212" i="6"/>
  <c r="L212" i="6" s="1"/>
  <c r="I212" i="6"/>
  <c r="J209" i="6"/>
  <c r="L209" i="6" s="1"/>
  <c r="I209" i="6"/>
  <c r="J206" i="6"/>
  <c r="L206" i="6" s="1"/>
  <c r="I206" i="6"/>
  <c r="J203" i="6"/>
  <c r="L203" i="6" s="1"/>
  <c r="I203" i="6"/>
  <c r="J200" i="6"/>
  <c r="I200" i="6"/>
  <c r="L200" i="6" s="1"/>
  <c r="J197" i="6"/>
  <c r="I197" i="6"/>
  <c r="J194" i="6"/>
  <c r="L194" i="6" s="1"/>
  <c r="I194" i="6"/>
  <c r="J191" i="6"/>
  <c r="I191" i="6"/>
  <c r="J188" i="6"/>
  <c r="I188" i="6"/>
  <c r="J185" i="6"/>
  <c r="I185" i="6"/>
  <c r="J182" i="6"/>
  <c r="L182" i="6" s="1"/>
  <c r="I182" i="6"/>
  <c r="J179" i="6"/>
  <c r="I179" i="6"/>
  <c r="J176" i="6"/>
  <c r="L176" i="6" s="1"/>
  <c r="I176" i="6"/>
  <c r="J173" i="6"/>
  <c r="L173" i="6" s="1"/>
  <c r="I173" i="6"/>
  <c r="J170" i="6"/>
  <c r="I170" i="6"/>
  <c r="J167" i="6"/>
  <c r="L167" i="6" s="1"/>
  <c r="I167" i="6"/>
  <c r="J164" i="6"/>
  <c r="L164" i="6" s="1"/>
  <c r="I164" i="6"/>
  <c r="J161" i="6"/>
  <c r="L161" i="6" s="1"/>
  <c r="I161" i="6"/>
  <c r="J158" i="6"/>
  <c r="I158" i="6"/>
  <c r="J155" i="6"/>
  <c r="L155" i="6" s="1"/>
  <c r="I155" i="6"/>
  <c r="J152" i="6"/>
  <c r="I152" i="6"/>
  <c r="L152" i="6" s="1"/>
  <c r="J149" i="6"/>
  <c r="L149" i="6" s="1"/>
  <c r="I149" i="6"/>
  <c r="J146" i="6"/>
  <c r="L146" i="6" s="1"/>
  <c r="I146" i="6"/>
  <c r="J143" i="6"/>
  <c r="I143" i="6"/>
  <c r="J140" i="6"/>
  <c r="I140" i="6"/>
  <c r="J137" i="6"/>
  <c r="L137" i="6" s="1"/>
  <c r="I137" i="6"/>
  <c r="J134" i="6"/>
  <c r="L134" i="6" s="1"/>
  <c r="I134" i="6"/>
  <c r="J131" i="6"/>
  <c r="I131" i="6"/>
  <c r="J128" i="6"/>
  <c r="L128" i="6" s="1"/>
  <c r="I128" i="6"/>
  <c r="J125" i="6"/>
  <c r="I125" i="6"/>
  <c r="J122" i="6"/>
  <c r="L122" i="6" s="1"/>
  <c r="I122" i="6"/>
  <c r="J119" i="6"/>
  <c r="L119" i="6" s="1"/>
  <c r="I119" i="6"/>
  <c r="J116" i="6"/>
  <c r="L116" i="6" s="1"/>
  <c r="I116" i="6"/>
  <c r="J113" i="6"/>
  <c r="I113" i="6"/>
  <c r="J110" i="6"/>
  <c r="L110" i="6" s="1"/>
  <c r="I110" i="6"/>
  <c r="J107" i="6"/>
  <c r="L107" i="6" s="1"/>
  <c r="I107" i="6"/>
  <c r="L104" i="6"/>
  <c r="J104" i="6"/>
  <c r="I104" i="6"/>
  <c r="J101" i="6"/>
  <c r="L101" i="6" s="1"/>
  <c r="I101" i="6"/>
  <c r="J98" i="6"/>
  <c r="I98" i="6"/>
  <c r="J95" i="6"/>
  <c r="I95" i="6"/>
  <c r="J92" i="6"/>
  <c r="L92" i="6" s="1"/>
  <c r="I92" i="6"/>
  <c r="J89" i="6"/>
  <c r="L89" i="6" s="1"/>
  <c r="I89" i="6"/>
  <c r="J86" i="6"/>
  <c r="I86" i="6"/>
  <c r="J83" i="6"/>
  <c r="I83" i="6"/>
  <c r="J80" i="6"/>
  <c r="I80" i="6"/>
  <c r="L80" i="6" s="1"/>
  <c r="J77" i="6"/>
  <c r="L77" i="6" s="1"/>
  <c r="I77" i="6"/>
  <c r="J74" i="6"/>
  <c r="L74" i="6" s="1"/>
  <c r="I74" i="6"/>
  <c r="J71" i="6"/>
  <c r="L71" i="6" s="1"/>
  <c r="I71" i="6"/>
  <c r="J68" i="6"/>
  <c r="I68" i="6"/>
  <c r="J65" i="6"/>
  <c r="L65" i="6" s="1"/>
  <c r="I65" i="6"/>
  <c r="J62" i="6"/>
  <c r="L62" i="6" s="1"/>
  <c r="I62" i="6"/>
  <c r="J59" i="6"/>
  <c r="L59" i="6" s="1"/>
  <c r="I59" i="6"/>
  <c r="J56" i="6"/>
  <c r="L56" i="6" s="1"/>
  <c r="I56" i="6"/>
  <c r="J53" i="6"/>
  <c r="I53" i="6"/>
  <c r="J50" i="6"/>
  <c r="I50" i="6"/>
  <c r="J47" i="6"/>
  <c r="L47" i="6" s="1"/>
  <c r="I47" i="6"/>
  <c r="J44" i="6"/>
  <c r="L44" i="6" s="1"/>
  <c r="I44" i="6"/>
  <c r="J41" i="6"/>
  <c r="I41" i="6"/>
  <c r="J38" i="6"/>
  <c r="I38" i="6"/>
  <c r="J35" i="6"/>
  <c r="L35" i="6" s="1"/>
  <c r="I35" i="6"/>
  <c r="L32" i="6"/>
  <c r="J32" i="6"/>
  <c r="I32" i="6"/>
  <c r="J29" i="6"/>
  <c r="L29" i="6" s="1"/>
  <c r="I29" i="6"/>
  <c r="J26" i="6"/>
  <c r="L26" i="6" s="1"/>
  <c r="I26" i="6"/>
  <c r="J23" i="6"/>
  <c r="I23" i="6"/>
  <c r="J20" i="6"/>
  <c r="L20" i="6" s="1"/>
  <c r="I20" i="6"/>
  <c r="J17" i="6"/>
  <c r="L17" i="6" s="1"/>
  <c r="I17" i="6"/>
  <c r="J14" i="6"/>
  <c r="L14" i="6" s="1"/>
  <c r="I14" i="6"/>
  <c r="J11" i="6"/>
  <c r="I11" i="6"/>
  <c r="J8" i="6"/>
  <c r="I8" i="6"/>
  <c r="L8" i="6" s="1"/>
  <c r="J5" i="6"/>
  <c r="I5" i="6"/>
  <c r="J562" i="7"/>
  <c r="L562" i="7" s="1"/>
  <c r="I562" i="7"/>
  <c r="J559" i="7"/>
  <c r="I559" i="7"/>
  <c r="J556" i="7"/>
  <c r="L556" i="7" s="1"/>
  <c r="I556" i="7"/>
  <c r="J553" i="7"/>
  <c r="L553" i="7" s="1"/>
  <c r="I553" i="7"/>
  <c r="J550" i="7"/>
  <c r="I550" i="7"/>
  <c r="J547" i="7"/>
  <c r="L547" i="7" s="1"/>
  <c r="I547" i="7"/>
  <c r="J544" i="7"/>
  <c r="I544" i="7"/>
  <c r="J541" i="7"/>
  <c r="I541" i="7"/>
  <c r="J538" i="7"/>
  <c r="L538" i="7" s="1"/>
  <c r="I538" i="7"/>
  <c r="J535" i="7"/>
  <c r="I535" i="7"/>
  <c r="J532" i="7"/>
  <c r="L532" i="7" s="1"/>
  <c r="I532" i="7"/>
  <c r="J529" i="7"/>
  <c r="L529" i="7" s="1"/>
  <c r="I529" i="7"/>
  <c r="J526" i="7"/>
  <c r="I526" i="7"/>
  <c r="J523" i="7"/>
  <c r="I523" i="7"/>
  <c r="L523" i="7" s="1"/>
  <c r="J520" i="7"/>
  <c r="I520" i="7"/>
  <c r="J517" i="7"/>
  <c r="I517" i="7"/>
  <c r="J514" i="7"/>
  <c r="I514" i="7"/>
  <c r="J511" i="7"/>
  <c r="I511" i="7"/>
  <c r="J508" i="7"/>
  <c r="I508" i="7"/>
  <c r="J505" i="7"/>
  <c r="L505" i="7" s="1"/>
  <c r="I505" i="7"/>
  <c r="J501" i="7"/>
  <c r="I501" i="7"/>
  <c r="J498" i="7"/>
  <c r="L498" i="7" s="1"/>
  <c r="I498" i="7"/>
  <c r="J494" i="7"/>
  <c r="I494" i="7"/>
  <c r="J491" i="7"/>
  <c r="I491" i="7"/>
  <c r="J488" i="7"/>
  <c r="L488" i="7" s="1"/>
  <c r="I488" i="7"/>
  <c r="J485" i="7"/>
  <c r="L485" i="7" s="1"/>
  <c r="I485" i="7"/>
  <c r="J482" i="7"/>
  <c r="L482" i="7" s="1"/>
  <c r="I482" i="7"/>
  <c r="J479" i="7"/>
  <c r="I479" i="7"/>
  <c r="J476" i="7"/>
  <c r="L476" i="7" s="1"/>
  <c r="I476" i="7"/>
  <c r="J473" i="7"/>
  <c r="I473" i="7"/>
  <c r="L473" i="7" s="1"/>
  <c r="J470" i="7"/>
  <c r="I470" i="7"/>
  <c r="J467" i="7"/>
  <c r="I467" i="7"/>
  <c r="J463" i="7"/>
  <c r="I463" i="7"/>
  <c r="J459" i="7"/>
  <c r="I459" i="7"/>
  <c r="J456" i="7"/>
  <c r="L456" i="7" s="1"/>
  <c r="I456" i="7"/>
  <c r="J453" i="7"/>
  <c r="I453" i="7"/>
  <c r="J450" i="7"/>
  <c r="I450" i="7"/>
  <c r="J447" i="7"/>
  <c r="L447" i="7" s="1"/>
  <c r="I447" i="7"/>
  <c r="J444" i="7"/>
  <c r="I444" i="7"/>
  <c r="J440" i="7"/>
  <c r="L440" i="7" s="1"/>
  <c r="I440" i="7"/>
  <c r="J436" i="7"/>
  <c r="L436" i="7" s="1"/>
  <c r="I436" i="7"/>
  <c r="J432" i="7"/>
  <c r="L432" i="7" s="1"/>
  <c r="I432" i="7"/>
  <c r="J429" i="7"/>
  <c r="I429" i="7"/>
  <c r="J425" i="7"/>
  <c r="L425" i="7" s="1"/>
  <c r="I425" i="7"/>
  <c r="J421" i="7"/>
  <c r="L421" i="7" s="1"/>
  <c r="I421" i="7"/>
  <c r="L418" i="7"/>
  <c r="J418" i="7"/>
  <c r="I418" i="7"/>
  <c r="J414" i="7"/>
  <c r="I414" i="7"/>
  <c r="J411" i="7"/>
  <c r="I411" i="7"/>
  <c r="J408" i="7"/>
  <c r="I408" i="7"/>
  <c r="J405" i="7"/>
  <c r="L405" i="7" s="1"/>
  <c r="I405" i="7"/>
  <c r="J402" i="7"/>
  <c r="I402" i="7"/>
  <c r="J399" i="7"/>
  <c r="I399" i="7"/>
  <c r="J396" i="7"/>
  <c r="I396" i="7"/>
  <c r="J392" i="7"/>
  <c r="I392" i="7"/>
  <c r="L392" i="7" s="1"/>
  <c r="J389" i="7"/>
  <c r="I389" i="7"/>
  <c r="J386" i="7"/>
  <c r="L386" i="7" s="1"/>
  <c r="I386" i="7"/>
  <c r="J383" i="7"/>
  <c r="L383" i="7" s="1"/>
  <c r="I383" i="7"/>
  <c r="J380" i="7"/>
  <c r="I380" i="7"/>
  <c r="J377" i="7"/>
  <c r="L377" i="7" s="1"/>
  <c r="I377" i="7"/>
  <c r="J374" i="7"/>
  <c r="L374" i="7" s="1"/>
  <c r="I374" i="7"/>
  <c r="J371" i="7"/>
  <c r="L371" i="7" s="1"/>
  <c r="I371" i="7"/>
  <c r="J368" i="7"/>
  <c r="L368" i="7" s="1"/>
  <c r="I368" i="7"/>
  <c r="J365" i="7"/>
  <c r="I365" i="7"/>
  <c r="J362" i="7"/>
  <c r="I362" i="7"/>
  <c r="J359" i="7"/>
  <c r="L359" i="7" s="1"/>
  <c r="I359" i="7"/>
  <c r="J356" i="7"/>
  <c r="I356" i="7"/>
  <c r="J353" i="7"/>
  <c r="I353" i="7"/>
  <c r="J350" i="7"/>
  <c r="I350" i="7"/>
  <c r="J347" i="7"/>
  <c r="L347" i="7" s="1"/>
  <c r="I347" i="7"/>
  <c r="J344" i="7"/>
  <c r="L344" i="7" s="1"/>
  <c r="I344" i="7"/>
  <c r="J341" i="7"/>
  <c r="I341" i="7"/>
  <c r="J338" i="7"/>
  <c r="L338" i="7" s="1"/>
  <c r="I338" i="7"/>
  <c r="J335" i="7"/>
  <c r="I335" i="7"/>
  <c r="J332" i="7"/>
  <c r="L332" i="7" s="1"/>
  <c r="I332" i="7"/>
  <c r="J329" i="7"/>
  <c r="L329" i="7" s="1"/>
  <c r="I329" i="7"/>
  <c r="J326" i="7"/>
  <c r="L326" i="7" s="1"/>
  <c r="I326" i="7"/>
  <c r="J323" i="7"/>
  <c r="I323" i="7"/>
  <c r="J320" i="7"/>
  <c r="I320" i="7"/>
  <c r="L320" i="7" s="1"/>
  <c r="J317" i="7"/>
  <c r="I317" i="7"/>
  <c r="J314" i="7"/>
  <c r="L314" i="7" s="1"/>
  <c r="I314" i="7"/>
  <c r="J311" i="7"/>
  <c r="I311" i="7"/>
  <c r="J308" i="7"/>
  <c r="I308" i="7"/>
  <c r="J305" i="7"/>
  <c r="I305" i="7"/>
  <c r="J302" i="7"/>
  <c r="L302" i="7" s="1"/>
  <c r="I302" i="7"/>
  <c r="J299" i="7"/>
  <c r="I299" i="7"/>
  <c r="J296" i="7"/>
  <c r="L296" i="7" s="1"/>
  <c r="I296" i="7"/>
  <c r="J293" i="7"/>
  <c r="I293" i="7"/>
  <c r="J290" i="7"/>
  <c r="I290" i="7"/>
  <c r="J287" i="7"/>
  <c r="L287" i="7" s="1"/>
  <c r="I287" i="7"/>
  <c r="J284" i="7"/>
  <c r="L284" i="7" s="1"/>
  <c r="I284" i="7"/>
  <c r="J281" i="7"/>
  <c r="L281" i="7" s="1"/>
  <c r="I281" i="7"/>
  <c r="J278" i="7"/>
  <c r="I278" i="7"/>
  <c r="J275" i="7"/>
  <c r="L275" i="7" s="1"/>
  <c r="I275" i="7"/>
  <c r="J272" i="7"/>
  <c r="I272" i="7"/>
  <c r="L272" i="7" s="1"/>
  <c r="J269" i="7"/>
  <c r="I269" i="7"/>
  <c r="J266" i="7"/>
  <c r="I266" i="7"/>
  <c r="J263" i="7"/>
  <c r="I263" i="7"/>
  <c r="J260" i="7"/>
  <c r="I260" i="7"/>
  <c r="J257" i="7"/>
  <c r="L257" i="7" s="1"/>
  <c r="I257" i="7"/>
  <c r="J254" i="7"/>
  <c r="I254" i="7"/>
  <c r="J251" i="7"/>
  <c r="I251" i="7"/>
  <c r="J248" i="7"/>
  <c r="L248" i="7" s="1"/>
  <c r="I248" i="7"/>
  <c r="J245" i="7"/>
  <c r="I245" i="7"/>
  <c r="J242" i="7"/>
  <c r="L242" i="7" s="1"/>
  <c r="I242" i="7"/>
  <c r="J239" i="7"/>
  <c r="L239" i="7" s="1"/>
  <c r="I239" i="7"/>
  <c r="J236" i="7"/>
  <c r="L236" i="7" s="1"/>
  <c r="I236" i="7"/>
  <c r="J233" i="7"/>
  <c r="I233" i="7"/>
  <c r="J230" i="7"/>
  <c r="L230" i="7" s="1"/>
  <c r="I230" i="7"/>
  <c r="J227" i="7"/>
  <c r="L227" i="7" s="1"/>
  <c r="I227" i="7"/>
  <c r="L224" i="7"/>
  <c r="J224" i="7"/>
  <c r="I224" i="7"/>
  <c r="J221" i="7"/>
  <c r="I221" i="7"/>
  <c r="J218" i="7"/>
  <c r="I218" i="7"/>
  <c r="J215" i="7"/>
  <c r="I215" i="7"/>
  <c r="J212" i="7"/>
  <c r="L212" i="7" s="1"/>
  <c r="I212" i="7"/>
  <c r="J209" i="7"/>
  <c r="I209" i="7"/>
  <c r="J206" i="7"/>
  <c r="I206" i="7"/>
  <c r="J203" i="7"/>
  <c r="I203" i="7"/>
  <c r="J200" i="7"/>
  <c r="I200" i="7"/>
  <c r="L200" i="7" s="1"/>
  <c r="J197" i="7"/>
  <c r="I197" i="7"/>
  <c r="J194" i="7"/>
  <c r="L194" i="7" s="1"/>
  <c r="I194" i="7"/>
  <c r="J191" i="7"/>
  <c r="L191" i="7" s="1"/>
  <c r="I191" i="7"/>
  <c r="J188" i="7"/>
  <c r="I188" i="7"/>
  <c r="J185" i="7"/>
  <c r="L185" i="7" s="1"/>
  <c r="I185" i="7"/>
  <c r="J182" i="7"/>
  <c r="L182" i="7" s="1"/>
  <c r="I182" i="7"/>
  <c r="J179" i="7"/>
  <c r="I179" i="7"/>
  <c r="J176" i="7"/>
  <c r="L176" i="7" s="1"/>
  <c r="I176" i="7"/>
  <c r="J173" i="7"/>
  <c r="I173" i="7"/>
  <c r="J170" i="7"/>
  <c r="I170" i="7"/>
  <c r="J167" i="7"/>
  <c r="L167" i="7" s="1"/>
  <c r="I167" i="7"/>
  <c r="J164" i="7"/>
  <c r="I164" i="7"/>
  <c r="J161" i="7"/>
  <c r="I161" i="7"/>
  <c r="J158" i="7"/>
  <c r="I158" i="7"/>
  <c r="J155" i="7"/>
  <c r="L155" i="7" s="1"/>
  <c r="I155" i="7"/>
  <c r="J152" i="7"/>
  <c r="L152" i="7" s="1"/>
  <c r="I152" i="7"/>
  <c r="J149" i="7"/>
  <c r="I149" i="7"/>
  <c r="J146" i="7"/>
  <c r="L146" i="7" s="1"/>
  <c r="I146" i="7"/>
  <c r="J143" i="7"/>
  <c r="I143" i="7"/>
  <c r="J140" i="7"/>
  <c r="L140" i="7" s="1"/>
  <c r="I140" i="7"/>
  <c r="J137" i="7"/>
  <c r="L137" i="7" s="1"/>
  <c r="I137" i="7"/>
  <c r="J134" i="7"/>
  <c r="L134" i="7" s="1"/>
  <c r="I134" i="7"/>
  <c r="J131" i="7"/>
  <c r="I131" i="7"/>
  <c r="J128" i="7"/>
  <c r="I128" i="7"/>
  <c r="L128" i="7" s="1"/>
  <c r="J125" i="7"/>
  <c r="I125" i="7"/>
  <c r="J122" i="7"/>
  <c r="L122" i="7" s="1"/>
  <c r="I122" i="7"/>
  <c r="J119" i="7"/>
  <c r="I119" i="7"/>
  <c r="J116" i="7"/>
  <c r="I116" i="7"/>
  <c r="J113" i="7"/>
  <c r="I113" i="7"/>
  <c r="J110" i="7"/>
  <c r="I110" i="7"/>
  <c r="J107" i="7"/>
  <c r="I107" i="7"/>
  <c r="J104" i="7"/>
  <c r="I104" i="7"/>
  <c r="J101" i="7"/>
  <c r="I101" i="7"/>
  <c r="J98" i="7"/>
  <c r="I98" i="7"/>
  <c r="J95" i="7"/>
  <c r="I95" i="7"/>
  <c r="J92" i="7"/>
  <c r="I92" i="7"/>
  <c r="J89" i="7"/>
  <c r="I89" i="7"/>
  <c r="J86" i="7"/>
  <c r="L86" i="7" s="1"/>
  <c r="I86" i="7"/>
  <c r="J83" i="7"/>
  <c r="I83" i="7"/>
  <c r="J80" i="7"/>
  <c r="L80" i="7" s="1"/>
  <c r="I80" i="7"/>
  <c r="J77" i="7"/>
  <c r="I77" i="7"/>
  <c r="J74" i="7"/>
  <c r="I74" i="7"/>
  <c r="J71" i="7"/>
  <c r="L71" i="7" s="1"/>
  <c r="I71" i="7"/>
  <c r="J68" i="7"/>
  <c r="L68" i="7" s="1"/>
  <c r="I68" i="7"/>
  <c r="J65" i="7"/>
  <c r="L65" i="7" s="1"/>
  <c r="I65" i="7"/>
  <c r="J62" i="7"/>
  <c r="I62" i="7"/>
  <c r="J59" i="7"/>
  <c r="L59" i="7" s="1"/>
  <c r="I59" i="7"/>
  <c r="J56" i="7"/>
  <c r="I56" i="7"/>
  <c r="L56" i="7" s="1"/>
  <c r="J53" i="7"/>
  <c r="I53" i="7"/>
  <c r="J50" i="7"/>
  <c r="I50" i="7"/>
  <c r="J47" i="7"/>
  <c r="I47" i="7"/>
  <c r="J44" i="7"/>
  <c r="I44" i="7"/>
  <c r="J41" i="7"/>
  <c r="L41" i="7" s="1"/>
  <c r="I41" i="7"/>
  <c r="J38" i="7"/>
  <c r="I38" i="7"/>
  <c r="J35" i="7"/>
  <c r="I35" i="7"/>
  <c r="J32" i="7"/>
  <c r="L32" i="7" s="1"/>
  <c r="I32" i="7"/>
  <c r="J29" i="7"/>
  <c r="I29" i="7"/>
  <c r="J26" i="7"/>
  <c r="I26" i="7"/>
  <c r="J23" i="7"/>
  <c r="L23" i="7" s="1"/>
  <c r="I23" i="7"/>
  <c r="J20" i="7"/>
  <c r="L20" i="7" s="1"/>
  <c r="I20" i="7"/>
  <c r="J17" i="7"/>
  <c r="I17" i="7"/>
  <c r="J14" i="7"/>
  <c r="I14" i="7"/>
  <c r="J11" i="7"/>
  <c r="L11" i="7" s="1"/>
  <c r="I11" i="7"/>
  <c r="L8" i="7"/>
  <c r="J8" i="7"/>
  <c r="I8" i="7"/>
  <c r="J5" i="7"/>
  <c r="I5" i="7"/>
  <c r="J562" i="8"/>
  <c r="I562" i="8"/>
  <c r="Z562" i="8" s="1"/>
  <c r="J559" i="8"/>
  <c r="I559" i="8"/>
  <c r="Z559" i="8" s="1"/>
  <c r="J556" i="8"/>
  <c r="I556" i="8"/>
  <c r="Z556" i="8" s="1"/>
  <c r="J553" i="8"/>
  <c r="I553" i="8"/>
  <c r="Z553" i="8" s="1"/>
  <c r="J550" i="8"/>
  <c r="I550" i="8"/>
  <c r="Z550" i="8" s="1"/>
  <c r="J547" i="8"/>
  <c r="I547" i="8"/>
  <c r="Z547" i="8" s="1"/>
  <c r="J544" i="8"/>
  <c r="L544" i="8" s="1"/>
  <c r="I544" i="8"/>
  <c r="Z544" i="8" s="1"/>
  <c r="J541" i="8"/>
  <c r="I541" i="8"/>
  <c r="Z541" i="8" s="1"/>
  <c r="J538" i="8"/>
  <c r="I538" i="8"/>
  <c r="Z538" i="8" s="1"/>
  <c r="J535" i="8"/>
  <c r="I535" i="8"/>
  <c r="Z535" i="8" s="1"/>
  <c r="J532" i="8"/>
  <c r="L532" i="8" s="1"/>
  <c r="I532" i="8"/>
  <c r="Z532" i="8" s="1"/>
  <c r="J529" i="8"/>
  <c r="I529" i="8"/>
  <c r="Z529" i="8" s="1"/>
  <c r="J526" i="8"/>
  <c r="I526" i="8"/>
  <c r="Z526" i="8" s="1"/>
  <c r="J523" i="8"/>
  <c r="I523" i="8"/>
  <c r="Z523" i="8" s="1"/>
  <c r="J520" i="8"/>
  <c r="L520" i="8" s="1"/>
  <c r="I520" i="8"/>
  <c r="Z520" i="8" s="1"/>
  <c r="J517" i="8"/>
  <c r="I517" i="8"/>
  <c r="Z517" i="8" s="1"/>
  <c r="J514" i="8"/>
  <c r="I514" i="8"/>
  <c r="Z514" i="8" s="1"/>
  <c r="J511" i="8"/>
  <c r="I511" i="8"/>
  <c r="Z511" i="8" s="1"/>
  <c r="J508" i="8"/>
  <c r="L508" i="8" s="1"/>
  <c r="I508" i="8"/>
  <c r="Z508" i="8" s="1"/>
  <c r="J505" i="8"/>
  <c r="I505" i="8"/>
  <c r="Z505" i="8" s="1"/>
  <c r="J501" i="8"/>
  <c r="I501" i="8"/>
  <c r="Z501" i="8" s="1"/>
  <c r="J498" i="8"/>
  <c r="I498" i="8"/>
  <c r="Z498" i="8" s="1"/>
  <c r="J494" i="8"/>
  <c r="L494" i="8" s="1"/>
  <c r="I494" i="8"/>
  <c r="Z494" i="8" s="1"/>
  <c r="J491" i="8"/>
  <c r="I491" i="8"/>
  <c r="Z491" i="8" s="1"/>
  <c r="J488" i="8"/>
  <c r="I488" i="8"/>
  <c r="Z488" i="8" s="1"/>
  <c r="J485" i="8"/>
  <c r="I485" i="8"/>
  <c r="Z485" i="8" s="1"/>
  <c r="J482" i="8"/>
  <c r="L482" i="8" s="1"/>
  <c r="I482" i="8"/>
  <c r="Z482" i="8" s="1"/>
  <c r="J479" i="8"/>
  <c r="I479" i="8"/>
  <c r="Z479" i="8" s="1"/>
  <c r="J476" i="8"/>
  <c r="I476" i="8"/>
  <c r="Z476" i="8" s="1"/>
  <c r="J473" i="8"/>
  <c r="I473" i="8"/>
  <c r="Z473" i="8" s="1"/>
  <c r="J470" i="8"/>
  <c r="L470" i="8" s="1"/>
  <c r="I470" i="8"/>
  <c r="Z470" i="8" s="1"/>
  <c r="J467" i="8"/>
  <c r="I467" i="8"/>
  <c r="Z467" i="8" s="1"/>
  <c r="J463" i="8"/>
  <c r="I463" i="8"/>
  <c r="Z463" i="8" s="1"/>
  <c r="J459" i="8"/>
  <c r="I459" i="8"/>
  <c r="Z459" i="8" s="1"/>
  <c r="J456" i="8"/>
  <c r="L456" i="8" s="1"/>
  <c r="I456" i="8"/>
  <c r="Z456" i="8" s="1"/>
  <c r="J453" i="8"/>
  <c r="I453" i="8"/>
  <c r="Z453" i="8" s="1"/>
  <c r="J450" i="8"/>
  <c r="I450" i="8"/>
  <c r="Z450" i="8" s="1"/>
  <c r="J447" i="8"/>
  <c r="I447" i="8"/>
  <c r="Z447" i="8" s="1"/>
  <c r="J444" i="8"/>
  <c r="L444" i="8" s="1"/>
  <c r="I444" i="8"/>
  <c r="Z444" i="8" s="1"/>
  <c r="J436" i="8"/>
  <c r="I436" i="8"/>
  <c r="Z436" i="8" s="1"/>
  <c r="J432" i="8"/>
  <c r="I432" i="8"/>
  <c r="Z432" i="8" s="1"/>
  <c r="J440" i="8"/>
  <c r="I440" i="8"/>
  <c r="Z440" i="8" s="1"/>
  <c r="J429" i="8"/>
  <c r="I429" i="8"/>
  <c r="Z429" i="8" s="1"/>
  <c r="J421" i="8"/>
  <c r="L421" i="8" s="1"/>
  <c r="I421" i="8"/>
  <c r="Z421" i="8" s="1"/>
  <c r="J418" i="8"/>
  <c r="I418" i="8"/>
  <c r="J414" i="8"/>
  <c r="I414" i="8"/>
  <c r="Z414" i="8" s="1"/>
  <c r="J425" i="8"/>
  <c r="I425" i="8"/>
  <c r="Z425" i="8" s="1"/>
  <c r="J411" i="8"/>
  <c r="L411" i="8" s="1"/>
  <c r="I411" i="8"/>
  <c r="Z411" i="8" s="1"/>
  <c r="J408" i="8"/>
  <c r="L408" i="8" s="1"/>
  <c r="I408" i="8"/>
  <c r="Z408" i="8" s="1"/>
  <c r="J405" i="8"/>
  <c r="I405" i="8"/>
  <c r="Z405" i="8" s="1"/>
  <c r="J402" i="8"/>
  <c r="I402" i="8"/>
  <c r="Z402" i="8" s="1"/>
  <c r="J399" i="8"/>
  <c r="L399" i="8" s="1"/>
  <c r="I399" i="8"/>
  <c r="Z399" i="8" s="1"/>
  <c r="J396" i="8"/>
  <c r="L396" i="8" s="1"/>
  <c r="I396" i="8"/>
  <c r="Z396" i="8" s="1"/>
  <c r="J392" i="8"/>
  <c r="I392" i="8"/>
  <c r="Z392" i="8" s="1"/>
  <c r="J389" i="8"/>
  <c r="I389" i="8"/>
  <c r="Z389" i="8" s="1"/>
  <c r="J386" i="8"/>
  <c r="L386" i="8" s="1"/>
  <c r="I386" i="8"/>
  <c r="Z386" i="8" s="1"/>
  <c r="J383" i="8"/>
  <c r="L383" i="8" s="1"/>
  <c r="I383" i="8"/>
  <c r="Z383" i="8" s="1"/>
  <c r="J380" i="8"/>
  <c r="I380" i="8"/>
  <c r="Z380" i="8" s="1"/>
  <c r="J377" i="8"/>
  <c r="I377" i="8"/>
  <c r="Z377" i="8" s="1"/>
  <c r="J374" i="8"/>
  <c r="I374" i="8"/>
  <c r="Z374" i="8" s="1"/>
  <c r="J371" i="8"/>
  <c r="I371" i="8"/>
  <c r="Z371" i="8" s="1"/>
  <c r="J368" i="8"/>
  <c r="L368" i="8" s="1"/>
  <c r="I368" i="8"/>
  <c r="Z368" i="8" s="1"/>
  <c r="J365" i="8"/>
  <c r="I365" i="8"/>
  <c r="Z365" i="8" s="1"/>
  <c r="J362" i="8"/>
  <c r="I362" i="8"/>
  <c r="Z362" i="8" s="1"/>
  <c r="J359" i="8"/>
  <c r="I359" i="8"/>
  <c r="Z359" i="8" s="1"/>
  <c r="J356" i="8"/>
  <c r="L356" i="8" s="1"/>
  <c r="I356" i="8"/>
  <c r="Z356" i="8" s="1"/>
  <c r="J353" i="8"/>
  <c r="I353" i="8"/>
  <c r="Z353" i="8" s="1"/>
  <c r="J350" i="8"/>
  <c r="I350" i="8"/>
  <c r="Z350" i="8" s="1"/>
  <c r="J347" i="8"/>
  <c r="L347" i="8" s="1"/>
  <c r="I347" i="8"/>
  <c r="Z347" i="8" s="1"/>
  <c r="J344" i="8"/>
  <c r="L344" i="8" s="1"/>
  <c r="I344" i="8"/>
  <c r="Z344" i="8" s="1"/>
  <c r="J341" i="8"/>
  <c r="I341" i="8"/>
  <c r="Z341" i="8" s="1"/>
  <c r="J338" i="8"/>
  <c r="L338" i="8" s="1"/>
  <c r="I338" i="8"/>
  <c r="Z338" i="8" s="1"/>
  <c r="J335" i="8"/>
  <c r="I335" i="8"/>
  <c r="Z335" i="8" s="1"/>
  <c r="J332" i="8"/>
  <c r="L332" i="8" s="1"/>
  <c r="I332" i="8"/>
  <c r="Z332" i="8" s="1"/>
  <c r="J329" i="8"/>
  <c r="I329" i="8"/>
  <c r="Z329" i="8" s="1"/>
  <c r="J326" i="8"/>
  <c r="L326" i="8" s="1"/>
  <c r="I326" i="8"/>
  <c r="Z326" i="8" s="1"/>
  <c r="J323" i="8"/>
  <c r="I323" i="8"/>
  <c r="Z323" i="8" s="1"/>
  <c r="J320" i="8"/>
  <c r="L320" i="8" s="1"/>
  <c r="I320" i="8"/>
  <c r="Z320" i="8" s="1"/>
  <c r="J317" i="8"/>
  <c r="I317" i="8"/>
  <c r="Z317" i="8" s="1"/>
  <c r="J314" i="8"/>
  <c r="I314" i="8"/>
  <c r="Z314" i="8" s="1"/>
  <c r="J311" i="8"/>
  <c r="L311" i="8" s="1"/>
  <c r="I311" i="8"/>
  <c r="Z311" i="8" s="1"/>
  <c r="J308" i="8"/>
  <c r="I308" i="8"/>
  <c r="Z308" i="8" s="1"/>
  <c r="J305" i="8"/>
  <c r="I305" i="8"/>
  <c r="Z305" i="8" s="1"/>
  <c r="J302" i="8"/>
  <c r="I302" i="8"/>
  <c r="Z302" i="8" s="1"/>
  <c r="J299" i="8"/>
  <c r="L299" i="8" s="1"/>
  <c r="I299" i="8"/>
  <c r="Z299" i="8" s="1"/>
  <c r="J296" i="8"/>
  <c r="I296" i="8"/>
  <c r="Z296" i="8" s="1"/>
  <c r="J293" i="8"/>
  <c r="I293" i="8"/>
  <c r="Z293" i="8" s="1"/>
  <c r="J290" i="8"/>
  <c r="I290" i="8"/>
  <c r="Z290" i="8" s="1"/>
  <c r="L287" i="8"/>
  <c r="J287" i="8"/>
  <c r="I287" i="8"/>
  <c r="Z287" i="8" s="1"/>
  <c r="J284" i="8"/>
  <c r="L284" i="8" s="1"/>
  <c r="I284" i="8"/>
  <c r="Z284" i="8" s="1"/>
  <c r="J281" i="8"/>
  <c r="I281" i="8"/>
  <c r="Z281" i="8" s="1"/>
  <c r="J278" i="8"/>
  <c r="I278" i="8"/>
  <c r="Z278" i="8" s="1"/>
  <c r="J275" i="8"/>
  <c r="I275" i="8"/>
  <c r="Z275" i="8" s="1"/>
  <c r="J272" i="8"/>
  <c r="L272" i="8" s="1"/>
  <c r="I272" i="8"/>
  <c r="Z272" i="8" s="1"/>
  <c r="J269" i="8"/>
  <c r="I269" i="8"/>
  <c r="Z269" i="8" s="1"/>
  <c r="J266" i="8"/>
  <c r="I266" i="8"/>
  <c r="Z266" i="8" s="1"/>
  <c r="J263" i="8"/>
  <c r="L263" i="8" s="1"/>
  <c r="I263" i="8"/>
  <c r="Z263" i="8" s="1"/>
  <c r="J260" i="8"/>
  <c r="L260" i="8" s="1"/>
  <c r="I260" i="8"/>
  <c r="Z260" i="8" s="1"/>
  <c r="J257" i="8"/>
  <c r="L257" i="8" s="1"/>
  <c r="I257" i="8"/>
  <c r="Z257" i="8" s="1"/>
  <c r="J254" i="8"/>
  <c r="L254" i="8" s="1"/>
  <c r="I254" i="8"/>
  <c r="Z254" i="8" s="1"/>
  <c r="J251" i="8"/>
  <c r="I251" i="8"/>
  <c r="Z251" i="8" s="1"/>
  <c r="J248" i="8"/>
  <c r="I248" i="8"/>
  <c r="Z248" i="8" s="1"/>
  <c r="J245" i="8"/>
  <c r="I245" i="8"/>
  <c r="Z245" i="8" s="1"/>
  <c r="J242" i="8"/>
  <c r="L242" i="8" s="1"/>
  <c r="I242" i="8"/>
  <c r="Z242" i="8" s="1"/>
  <c r="J239" i="8"/>
  <c r="I239" i="8"/>
  <c r="Z239" i="8" s="1"/>
  <c r="J236" i="8"/>
  <c r="I236" i="8"/>
  <c r="Z236" i="8" s="1"/>
  <c r="J233" i="8"/>
  <c r="I233" i="8"/>
  <c r="Z233" i="8" s="1"/>
  <c r="J230" i="8"/>
  <c r="L230" i="8" s="1"/>
  <c r="I230" i="8"/>
  <c r="Z230" i="8" s="1"/>
  <c r="J227" i="8"/>
  <c r="L227" i="8" s="1"/>
  <c r="I227" i="8"/>
  <c r="Z227" i="8" s="1"/>
  <c r="J224" i="8"/>
  <c r="I224" i="8"/>
  <c r="Z224" i="8" s="1"/>
  <c r="J221" i="8"/>
  <c r="I221" i="8"/>
  <c r="Z221" i="8" s="1"/>
  <c r="J218" i="8"/>
  <c r="L218" i="8" s="1"/>
  <c r="I218" i="8"/>
  <c r="Z218" i="8" s="1"/>
  <c r="J215" i="8"/>
  <c r="L215" i="8" s="1"/>
  <c r="I215" i="8"/>
  <c r="Z215" i="8" s="1"/>
  <c r="J212" i="8"/>
  <c r="I212" i="8"/>
  <c r="Z212" i="8" s="1"/>
  <c r="J209" i="8"/>
  <c r="I209" i="8"/>
  <c r="Z209" i="8" s="1"/>
  <c r="J206" i="8"/>
  <c r="L206" i="8" s="1"/>
  <c r="I206" i="8"/>
  <c r="Z206" i="8" s="1"/>
  <c r="J203" i="8"/>
  <c r="L203" i="8" s="1"/>
  <c r="I203" i="8"/>
  <c r="Z203" i="8" s="1"/>
  <c r="J200" i="8"/>
  <c r="I200" i="8"/>
  <c r="Z200" i="8" s="1"/>
  <c r="J197" i="8"/>
  <c r="L197" i="8" s="1"/>
  <c r="I197" i="8"/>
  <c r="Z197" i="8" s="1"/>
  <c r="J194" i="8"/>
  <c r="I194" i="8"/>
  <c r="Z194" i="8" s="1"/>
  <c r="J191" i="8"/>
  <c r="I191" i="8"/>
  <c r="Z191" i="8" s="1"/>
  <c r="J188" i="8"/>
  <c r="I188" i="8"/>
  <c r="Z188" i="8" s="1"/>
  <c r="J185" i="8"/>
  <c r="L185" i="8" s="1"/>
  <c r="I185" i="8"/>
  <c r="Z185" i="8" s="1"/>
  <c r="J182" i="8"/>
  <c r="I182" i="8"/>
  <c r="Z182" i="8" s="1"/>
  <c r="J179" i="8"/>
  <c r="I179" i="8"/>
  <c r="Z179" i="8" s="1"/>
  <c r="J176" i="8"/>
  <c r="I176" i="8"/>
  <c r="Z176" i="8" s="1"/>
  <c r="J173" i="8"/>
  <c r="L173" i="8" s="1"/>
  <c r="I173" i="8"/>
  <c r="Z173" i="8" s="1"/>
  <c r="J170" i="8"/>
  <c r="I170" i="8"/>
  <c r="Z170" i="8" s="1"/>
  <c r="J167" i="8"/>
  <c r="L167" i="8" s="1"/>
  <c r="I167" i="8"/>
  <c r="Z167" i="8" s="1"/>
  <c r="J164" i="8"/>
  <c r="I164" i="8"/>
  <c r="Z164" i="8" s="1"/>
  <c r="J161" i="8"/>
  <c r="L161" i="8" s="1"/>
  <c r="I161" i="8"/>
  <c r="Z161" i="8" s="1"/>
  <c r="J158" i="8"/>
  <c r="L158" i="8" s="1"/>
  <c r="I158" i="8"/>
  <c r="Z158" i="8" s="1"/>
  <c r="J155" i="8"/>
  <c r="L155" i="8" s="1"/>
  <c r="I155" i="8"/>
  <c r="Z155" i="8" s="1"/>
  <c r="J152" i="8"/>
  <c r="I152" i="8"/>
  <c r="Z152" i="8" s="1"/>
  <c r="J149" i="8"/>
  <c r="L149" i="8" s="1"/>
  <c r="I149" i="8"/>
  <c r="Z149" i="8" s="1"/>
  <c r="J146" i="8"/>
  <c r="L146" i="8" s="1"/>
  <c r="I146" i="8"/>
  <c r="Z146" i="8" s="1"/>
  <c r="J143" i="8"/>
  <c r="L143" i="8" s="1"/>
  <c r="I143" i="8"/>
  <c r="Z143" i="8" s="1"/>
  <c r="J140" i="8"/>
  <c r="I140" i="8"/>
  <c r="Z140" i="8" s="1"/>
  <c r="J137" i="8"/>
  <c r="I137" i="8"/>
  <c r="Z137" i="8" s="1"/>
  <c r="J134" i="8"/>
  <c r="I134" i="8"/>
  <c r="Z134" i="8" s="1"/>
  <c r="J131" i="8"/>
  <c r="I131" i="8"/>
  <c r="Z131" i="8" s="1"/>
  <c r="J128" i="8"/>
  <c r="I128" i="8"/>
  <c r="Z128" i="8" s="1"/>
  <c r="J125" i="8"/>
  <c r="I125" i="8"/>
  <c r="Z125" i="8" s="1"/>
  <c r="J122" i="8"/>
  <c r="I122" i="8"/>
  <c r="Z122" i="8" s="1"/>
  <c r="J119" i="8"/>
  <c r="I119" i="8"/>
  <c r="Z119" i="8" s="1"/>
  <c r="J116" i="8"/>
  <c r="I116" i="8"/>
  <c r="Z116" i="8" s="1"/>
  <c r="J113" i="8"/>
  <c r="I113" i="8"/>
  <c r="Z113" i="8" s="1"/>
  <c r="J110" i="8"/>
  <c r="I110" i="8"/>
  <c r="J107" i="8"/>
  <c r="I107" i="8"/>
  <c r="J104" i="8"/>
  <c r="I104" i="8"/>
  <c r="J101" i="8"/>
  <c r="I101" i="8"/>
  <c r="J98" i="8"/>
  <c r="I98" i="8"/>
  <c r="J95" i="8"/>
  <c r="I95" i="8"/>
  <c r="Z95" i="8" s="1"/>
  <c r="J92" i="8"/>
  <c r="I92" i="8"/>
  <c r="Z92" i="8" s="1"/>
  <c r="J89" i="8"/>
  <c r="I89" i="8"/>
  <c r="Z89" i="8" s="1"/>
  <c r="J86" i="8"/>
  <c r="I86" i="8"/>
  <c r="Z86" i="8" s="1"/>
  <c r="J83" i="8"/>
  <c r="I83" i="8"/>
  <c r="Z83" i="8" s="1"/>
  <c r="J80" i="8"/>
  <c r="I80" i="8"/>
  <c r="Z80" i="8" s="1"/>
  <c r="J77" i="8"/>
  <c r="L77" i="8" s="1"/>
  <c r="I77" i="8"/>
  <c r="Z77" i="8" s="1"/>
  <c r="J74" i="8"/>
  <c r="L74" i="8" s="1"/>
  <c r="I74" i="8"/>
  <c r="Z74" i="8" s="1"/>
  <c r="J71" i="8"/>
  <c r="I71" i="8"/>
  <c r="Z71" i="8" s="1"/>
  <c r="J68" i="8"/>
  <c r="I68" i="8"/>
  <c r="Z68" i="8" s="1"/>
  <c r="J65" i="8"/>
  <c r="L65" i="8" s="1"/>
  <c r="I65" i="8"/>
  <c r="Z65" i="8" s="1"/>
  <c r="J62" i="8"/>
  <c r="L62" i="8" s="1"/>
  <c r="I62" i="8"/>
  <c r="Z62" i="8" s="1"/>
  <c r="J59" i="8"/>
  <c r="I59" i="8"/>
  <c r="Z59" i="8" s="1"/>
  <c r="J56" i="8"/>
  <c r="I56" i="8"/>
  <c r="Z56" i="8" s="1"/>
  <c r="J53" i="8"/>
  <c r="L53" i="8" s="1"/>
  <c r="I53" i="8"/>
  <c r="Z53" i="8" s="1"/>
  <c r="J50" i="8"/>
  <c r="L50" i="8" s="1"/>
  <c r="I50" i="8"/>
  <c r="Z50" i="8" s="1"/>
  <c r="J47" i="8"/>
  <c r="L47" i="8" s="1"/>
  <c r="I47" i="8"/>
  <c r="Z47" i="8" s="1"/>
  <c r="J44" i="8"/>
  <c r="I44" i="8"/>
  <c r="Z44" i="8" s="1"/>
  <c r="J41" i="8"/>
  <c r="I41" i="8"/>
  <c r="Z41" i="8" s="1"/>
  <c r="J38" i="8"/>
  <c r="I38" i="8"/>
  <c r="Z38" i="8" s="1"/>
  <c r="J35" i="8"/>
  <c r="L35" i="8" s="1"/>
  <c r="I35" i="8"/>
  <c r="Z35" i="8" s="1"/>
  <c r="J32" i="8"/>
  <c r="I32" i="8"/>
  <c r="Z32" i="8" s="1"/>
  <c r="J29" i="8"/>
  <c r="I29" i="8"/>
  <c r="Z29" i="8" s="1"/>
  <c r="J26" i="8"/>
  <c r="I26" i="8"/>
  <c r="Z26" i="8" s="1"/>
  <c r="J23" i="8"/>
  <c r="L23" i="8" s="1"/>
  <c r="I23" i="8"/>
  <c r="Z23" i="8" s="1"/>
  <c r="J20" i="8"/>
  <c r="I20" i="8"/>
  <c r="Z20" i="8" s="1"/>
  <c r="J17" i="8"/>
  <c r="L17" i="8" s="1"/>
  <c r="I17" i="8"/>
  <c r="Z17" i="8" s="1"/>
  <c r="J14" i="8"/>
  <c r="I14" i="8"/>
  <c r="Z14" i="8" s="1"/>
  <c r="J11" i="8"/>
  <c r="L11" i="8" s="1"/>
  <c r="I11" i="8"/>
  <c r="Z11" i="8" s="1"/>
  <c r="J8" i="8"/>
  <c r="I8" i="8"/>
  <c r="Z8" i="8" s="1"/>
  <c r="J5" i="8"/>
  <c r="L5" i="8" s="1"/>
  <c r="I5" i="8"/>
  <c r="Z5" i="8" s="1"/>
  <c r="AA5" i="8" s="1"/>
  <c r="L14" i="5" l="1"/>
  <c r="L35" i="5"/>
  <c r="L47" i="5"/>
  <c r="L68" i="5"/>
  <c r="L137" i="5"/>
  <c r="L158" i="5"/>
  <c r="L170" i="5"/>
  <c r="L215" i="5"/>
  <c r="L260" i="5"/>
  <c r="L305" i="5"/>
  <c r="L317" i="5"/>
  <c r="L350" i="5"/>
  <c r="L408" i="5"/>
  <c r="L459" i="5"/>
  <c r="L529" i="5"/>
  <c r="L541" i="5"/>
  <c r="L631" i="5"/>
  <c r="L715" i="5"/>
  <c r="L38" i="5"/>
  <c r="L50" i="5"/>
  <c r="L71" i="5"/>
  <c r="L161" i="5"/>
  <c r="L173" i="5"/>
  <c r="L206" i="5"/>
  <c r="L251" i="5"/>
  <c r="L263" i="5"/>
  <c r="L308" i="5"/>
  <c r="L353" i="5"/>
  <c r="L365" i="5"/>
  <c r="L399" i="5"/>
  <c r="L450" i="5"/>
  <c r="L463" i="5"/>
  <c r="L532" i="5"/>
  <c r="L544" i="5"/>
  <c r="L634" i="5"/>
  <c r="L613" i="5"/>
  <c r="L727" i="5"/>
  <c r="L649" i="5"/>
  <c r="L41" i="5"/>
  <c r="L53" i="5"/>
  <c r="L74" i="5"/>
  <c r="L143" i="5"/>
  <c r="L209" i="5"/>
  <c r="L221" i="5"/>
  <c r="L254" i="5"/>
  <c r="L311" i="5"/>
  <c r="L356" i="5"/>
  <c r="L402" i="5"/>
  <c r="L414" i="5"/>
  <c r="L453" i="5"/>
  <c r="L535" i="5"/>
  <c r="L718" i="5"/>
  <c r="L664" i="5"/>
  <c r="L77" i="5"/>
  <c r="L134" i="5"/>
  <c r="L167" i="5"/>
  <c r="L212" i="5"/>
  <c r="L257" i="5"/>
  <c r="L269" i="5"/>
  <c r="L302" i="5"/>
  <c r="L347" i="5"/>
  <c r="L359" i="5"/>
  <c r="L405" i="5"/>
  <c r="L456" i="5"/>
  <c r="L470" i="5"/>
  <c r="L505" i="5"/>
  <c r="L538" i="5"/>
  <c r="L721" i="5"/>
  <c r="L607" i="5"/>
  <c r="L733" i="5"/>
  <c r="L5" i="6"/>
  <c r="L38" i="6"/>
  <c r="L50" i="6"/>
  <c r="L83" i="6"/>
  <c r="L95" i="6"/>
  <c r="L140" i="6"/>
  <c r="L185" i="6"/>
  <c r="L197" i="6"/>
  <c r="L230" i="6"/>
  <c r="L242" i="6"/>
  <c r="L275" i="6"/>
  <c r="L287" i="6"/>
  <c r="L332" i="6"/>
  <c r="L377" i="6"/>
  <c r="L389" i="6"/>
  <c r="L425" i="6"/>
  <c r="L440" i="6"/>
  <c r="L476" i="6"/>
  <c r="L488" i="6"/>
  <c r="L535" i="6"/>
  <c r="L598" i="6"/>
  <c r="L625" i="6"/>
  <c r="L730" i="6"/>
  <c r="L649" i="6"/>
  <c r="L664" i="6"/>
  <c r="L41" i="6"/>
  <c r="L53" i="6"/>
  <c r="L86" i="6"/>
  <c r="L98" i="6"/>
  <c r="L131" i="6"/>
  <c r="L143" i="6"/>
  <c r="L188" i="6"/>
  <c r="L233" i="6"/>
  <c r="L245" i="6"/>
  <c r="L278" i="6"/>
  <c r="L290" i="6"/>
  <c r="L323" i="6"/>
  <c r="L335" i="6"/>
  <c r="L380" i="6"/>
  <c r="L429" i="6"/>
  <c r="L444" i="6"/>
  <c r="L479" i="6"/>
  <c r="L491" i="6"/>
  <c r="L526" i="6"/>
  <c r="L538" i="6"/>
  <c r="L628" i="6"/>
  <c r="L733" i="6"/>
  <c r="L652" i="6"/>
  <c r="L565" i="6"/>
  <c r="L580" i="6"/>
  <c r="L607" i="6"/>
  <c r="L191" i="6"/>
  <c r="L236" i="6"/>
  <c r="L281" i="6"/>
  <c r="L293" i="6"/>
  <c r="L383" i="6"/>
  <c r="L432" i="6"/>
  <c r="L482" i="6"/>
  <c r="L494" i="6"/>
  <c r="L529" i="6"/>
  <c r="L541" i="6"/>
  <c r="L736" i="6"/>
  <c r="L643" i="6"/>
  <c r="L11" i="6"/>
  <c r="L23" i="6"/>
  <c r="L68" i="6"/>
  <c r="L113" i="6"/>
  <c r="L125" i="6"/>
  <c r="L158" i="6"/>
  <c r="L170" i="6"/>
  <c r="L317" i="6"/>
  <c r="L583" i="6"/>
  <c r="L610" i="6"/>
  <c r="L715" i="6"/>
  <c r="L239" i="6"/>
  <c r="L284" i="6"/>
  <c r="L341" i="6"/>
  <c r="L386" i="6"/>
  <c r="L485" i="6"/>
  <c r="L532" i="6"/>
  <c r="L544" i="6"/>
  <c r="L44" i="7"/>
  <c r="L89" i="7"/>
  <c r="L113" i="7"/>
  <c r="L158" i="7"/>
  <c r="L170" i="7"/>
  <c r="L203" i="7"/>
  <c r="L215" i="7"/>
  <c r="L260" i="7"/>
  <c r="L305" i="7"/>
  <c r="L350" i="7"/>
  <c r="L362" i="7"/>
  <c r="L396" i="7"/>
  <c r="L408" i="7"/>
  <c r="L459" i="7"/>
  <c r="L508" i="7"/>
  <c r="L520" i="7"/>
  <c r="L541" i="7"/>
  <c r="L598" i="7"/>
  <c r="L622" i="7"/>
  <c r="L634" i="7"/>
  <c r="L718" i="7"/>
  <c r="L35" i="7"/>
  <c r="L47" i="7"/>
  <c r="L92" i="7"/>
  <c r="L116" i="7"/>
  <c r="L161" i="7"/>
  <c r="L206" i="7"/>
  <c r="L218" i="7"/>
  <c r="L251" i="7"/>
  <c r="L263" i="7"/>
  <c r="L308" i="7"/>
  <c r="L353" i="7"/>
  <c r="L399" i="7"/>
  <c r="L411" i="7"/>
  <c r="L450" i="7"/>
  <c r="L463" i="7"/>
  <c r="L544" i="7"/>
  <c r="L625" i="7"/>
  <c r="L721" i="7"/>
  <c r="L83" i="7"/>
  <c r="L209" i="7"/>
  <c r="L266" i="7"/>
  <c r="L299" i="7"/>
  <c r="L356" i="7"/>
  <c r="L402" i="7"/>
  <c r="L453" i="7"/>
  <c r="L467" i="7"/>
  <c r="L501" i="7"/>
  <c r="L514" i="7"/>
  <c r="L592" i="7"/>
  <c r="L628" i="7"/>
  <c r="L649" i="7"/>
  <c r="L26" i="7"/>
  <c r="L50" i="7"/>
  <c r="L119" i="7"/>
  <c r="L164" i="7"/>
  <c r="L254" i="7"/>
  <c r="L311" i="7"/>
  <c r="L17" i="7"/>
  <c r="L62" i="7"/>
  <c r="L74" i="7"/>
  <c r="L131" i="7"/>
  <c r="L143" i="7"/>
  <c r="L188" i="7"/>
  <c r="L233" i="7"/>
  <c r="L278" i="7"/>
  <c r="L290" i="7"/>
  <c r="L323" i="7"/>
  <c r="L335" i="7"/>
  <c r="L380" i="7"/>
  <c r="L429" i="7"/>
  <c r="L479" i="7"/>
  <c r="L491" i="7"/>
  <c r="L517" i="7"/>
  <c r="L571" i="7"/>
  <c r="L583" i="7"/>
  <c r="L607" i="7"/>
  <c r="L736" i="7"/>
  <c r="L14" i="7"/>
  <c r="L38" i="7"/>
  <c r="L95" i="7"/>
  <c r="L586" i="7"/>
  <c r="L727" i="7"/>
  <c r="L736" i="8"/>
  <c r="L661" i="8"/>
  <c r="L8" i="8"/>
  <c r="L56" i="8"/>
  <c r="L68" i="8"/>
  <c r="L80" i="8"/>
  <c r="L92" i="8"/>
  <c r="L116" i="8"/>
  <c r="L128" i="8"/>
  <c r="L200" i="8"/>
  <c r="L212" i="8"/>
  <c r="L224" i="8"/>
  <c r="L329" i="8"/>
  <c r="L341" i="8"/>
  <c r="L389" i="8"/>
  <c r="L402" i="8"/>
  <c r="L425" i="8"/>
  <c r="L595" i="8"/>
  <c r="L607" i="8"/>
  <c r="L619" i="8"/>
  <c r="L631" i="8"/>
  <c r="L429" i="8"/>
  <c r="L556" i="8"/>
  <c r="L281" i="8"/>
  <c r="L269" i="8"/>
  <c r="L275" i="8"/>
  <c r="L664" i="8"/>
  <c r="AA8" i="8"/>
  <c r="AA11" i="8" s="1"/>
  <c r="AA14" i="8" s="1"/>
  <c r="AA17" i="8" s="1"/>
  <c r="AA20" i="8" s="1"/>
  <c r="AA23" i="8" s="1"/>
  <c r="AA26" i="8" s="1"/>
  <c r="AA29" i="8" s="1"/>
  <c r="AA32" i="8" s="1"/>
  <c r="AA35" i="8" s="1"/>
  <c r="AA38" i="8" s="1"/>
  <c r="AA41" i="8" s="1"/>
  <c r="AA44" i="8" s="1"/>
  <c r="AA47" i="8" s="1"/>
  <c r="AA50" i="8" s="1"/>
  <c r="AA53" i="8" s="1"/>
  <c r="AA56" i="8" s="1"/>
  <c r="AA59" i="8" s="1"/>
  <c r="AA62" i="8" s="1"/>
  <c r="AA65" i="8" s="1"/>
  <c r="AA68" i="8" s="1"/>
  <c r="AA71" i="8" s="1"/>
  <c r="AA74" i="8" s="1"/>
  <c r="AA77" i="8" s="1"/>
  <c r="AA80" i="8" s="1"/>
  <c r="AA83" i="8" s="1"/>
  <c r="AA86" i="8" s="1"/>
  <c r="AA89" i="8" s="1"/>
  <c r="AA92" i="8" s="1"/>
  <c r="AA95" i="8" s="1"/>
  <c r="AA113" i="8" s="1"/>
  <c r="AA116" i="8" s="1"/>
  <c r="AA119" i="8" s="1"/>
  <c r="AA122" i="8" s="1"/>
  <c r="AA125" i="8" s="1"/>
  <c r="AA128" i="8" s="1"/>
  <c r="AA131" i="8" s="1"/>
  <c r="AA134" i="8" s="1"/>
  <c r="AA137" i="8" s="1"/>
  <c r="AA140" i="8" s="1"/>
  <c r="AA143" i="8" s="1"/>
  <c r="AA146" i="8" s="1"/>
  <c r="AA149" i="8" s="1"/>
  <c r="AA152" i="8" s="1"/>
  <c r="AA155" i="8" s="1"/>
  <c r="AA158" i="8" s="1"/>
  <c r="AA161" i="8" s="1"/>
  <c r="AA164" i="8" s="1"/>
  <c r="AA167" i="8" s="1"/>
  <c r="AA170" i="8" s="1"/>
  <c r="AA173" i="8" s="1"/>
  <c r="AA176" i="8" s="1"/>
  <c r="AA179" i="8" s="1"/>
  <c r="AA182" i="8" s="1"/>
  <c r="AA185" i="8" s="1"/>
  <c r="AA188" i="8" s="1"/>
  <c r="AA191" i="8" s="1"/>
  <c r="AA194" i="8" s="1"/>
  <c r="AA197" i="8" s="1"/>
  <c r="AA200" i="8" s="1"/>
  <c r="AA203" i="8" s="1"/>
  <c r="AA206" i="8" s="1"/>
  <c r="AA209" i="8" s="1"/>
  <c r="AA212" i="8" s="1"/>
  <c r="AA215" i="8" s="1"/>
  <c r="AA218" i="8" s="1"/>
  <c r="AA221" i="8" s="1"/>
  <c r="AA224" i="8" s="1"/>
  <c r="AA227" i="8" s="1"/>
  <c r="AA230" i="8" s="1"/>
  <c r="AA233" i="8" s="1"/>
  <c r="AA236" i="8" s="1"/>
  <c r="AA239" i="8" s="1"/>
  <c r="AA242" i="8" s="1"/>
  <c r="AA245" i="8" s="1"/>
  <c r="AA248" i="8" s="1"/>
  <c r="AA251" i="8" s="1"/>
  <c r="AA254" i="8" s="1"/>
  <c r="AA257" i="8" s="1"/>
  <c r="AA260" i="8" s="1"/>
  <c r="AA263" i="8" s="1"/>
  <c r="AA266" i="8" s="1"/>
  <c r="AA269" i="8" s="1"/>
  <c r="AA272" i="8" s="1"/>
  <c r="AA275" i="8" s="1"/>
  <c r="AA278" i="8" s="1"/>
  <c r="AA281" i="8" s="1"/>
  <c r="AA284" i="8" s="1"/>
  <c r="AA287" i="8" s="1"/>
  <c r="AA290" i="8" s="1"/>
  <c r="AA293" i="8" s="1"/>
  <c r="AA296" i="8" s="1"/>
  <c r="AA299" i="8" s="1"/>
  <c r="AA302" i="8" s="1"/>
  <c r="AA305" i="8" s="1"/>
  <c r="AA308" i="8" s="1"/>
  <c r="AA311" i="8" s="1"/>
  <c r="AA314" i="8" s="1"/>
  <c r="AA317" i="8" s="1"/>
  <c r="AA320" i="8" s="1"/>
  <c r="AA323" i="8" s="1"/>
  <c r="AA326" i="8" s="1"/>
  <c r="AA329" i="8" s="1"/>
  <c r="AA332" i="8" s="1"/>
  <c r="AA335" i="8" s="1"/>
  <c r="AA338" i="8" s="1"/>
  <c r="AA341" i="8" s="1"/>
  <c r="AA344" i="8" s="1"/>
  <c r="AA347" i="8" s="1"/>
  <c r="AA350" i="8" s="1"/>
  <c r="AA353" i="8" s="1"/>
  <c r="AA356" i="8" s="1"/>
  <c r="AA359" i="8" s="1"/>
  <c r="AA362" i="8" s="1"/>
  <c r="AA365" i="8" s="1"/>
  <c r="AA368" i="8" s="1"/>
  <c r="AA371" i="8" s="1"/>
  <c r="AA374" i="8" s="1"/>
  <c r="AA377" i="8" s="1"/>
  <c r="AA380" i="8" s="1"/>
  <c r="AA383" i="8" s="1"/>
  <c r="AA386" i="8" s="1"/>
  <c r="AA389" i="8" s="1"/>
  <c r="AA392" i="8" s="1"/>
  <c r="AA396" i="8" s="1"/>
  <c r="AA399" i="8" s="1"/>
  <c r="AA402" i="8" s="1"/>
  <c r="AA405" i="8" s="1"/>
  <c r="AA408" i="8" s="1"/>
  <c r="AA411" i="8" s="1"/>
  <c r="AA414" i="8" s="1"/>
  <c r="L29" i="8"/>
  <c r="L41" i="8"/>
  <c r="L86" i="8"/>
  <c r="L122" i="8"/>
  <c r="L134" i="8"/>
  <c r="L191" i="8"/>
  <c r="L236" i="8"/>
  <c r="L248" i="8"/>
  <c r="L293" i="8"/>
  <c r="L305" i="8"/>
  <c r="L350" i="8"/>
  <c r="L362" i="8"/>
  <c r="L374" i="8"/>
  <c r="L432" i="8"/>
  <c r="L450" i="8"/>
  <c r="L463" i="8"/>
  <c r="L476" i="8"/>
  <c r="L488" i="8"/>
  <c r="L501" i="8"/>
  <c r="L514" i="8"/>
  <c r="L526" i="8"/>
  <c r="L538" i="8"/>
  <c r="L550" i="8"/>
  <c r="L562" i="8"/>
  <c r="L565" i="8"/>
  <c r="L580" i="8"/>
  <c r="L724" i="8"/>
  <c r="L317" i="8"/>
  <c r="L20" i="8"/>
  <c r="L32" i="8"/>
  <c r="L44" i="8"/>
  <c r="L89" i="8"/>
  <c r="L113" i="8"/>
  <c r="L125" i="8"/>
  <c r="L170" i="8"/>
  <c r="L182" i="8"/>
  <c r="L194" i="8"/>
  <c r="L239" i="8"/>
  <c r="L251" i="8"/>
  <c r="L296" i="8"/>
  <c r="L308" i="8"/>
  <c r="L353" i="8"/>
  <c r="L365" i="8"/>
  <c r="L436" i="8"/>
  <c r="L453" i="8"/>
  <c r="L467" i="8"/>
  <c r="L479" i="8"/>
  <c r="L491" i="8"/>
  <c r="L505" i="8"/>
  <c r="L517" i="8"/>
  <c r="L529" i="8"/>
  <c r="L541" i="8"/>
  <c r="L553" i="8"/>
  <c r="L571" i="8"/>
  <c r="L583" i="8"/>
  <c r="L715" i="8"/>
  <c r="L137" i="8"/>
  <c r="L377" i="8"/>
  <c r="L727" i="8"/>
  <c r="L634" i="8"/>
  <c r="Z634" i="8"/>
  <c r="L730" i="8"/>
  <c r="Z730" i="8"/>
  <c r="L14" i="8"/>
  <c r="L59" i="8"/>
  <c r="L71" i="8"/>
  <c r="L140" i="8"/>
  <c r="L152" i="8"/>
  <c r="L164" i="8"/>
  <c r="L209" i="8"/>
  <c r="L221" i="8"/>
  <c r="L266" i="8"/>
  <c r="L278" i="8"/>
  <c r="L323" i="8"/>
  <c r="L335" i="8"/>
  <c r="L380" i="8"/>
  <c r="L392" i="8"/>
  <c r="L405" i="8"/>
  <c r="L414" i="8"/>
  <c r="L670" i="8"/>
  <c r="L26" i="8"/>
  <c r="L38" i="8"/>
  <c r="L83" i="8"/>
  <c r="L95" i="8"/>
  <c r="L119" i="8"/>
  <c r="L131" i="8"/>
  <c r="L176" i="8"/>
  <c r="L188" i="8"/>
  <c r="L233" i="8"/>
  <c r="L245" i="8"/>
  <c r="L290" i="8"/>
  <c r="L302" i="8"/>
  <c r="L314" i="8"/>
  <c r="L359" i="8"/>
  <c r="L371" i="8"/>
  <c r="L418" i="8"/>
  <c r="Z418" i="8"/>
  <c r="L440" i="8"/>
  <c r="L447" i="8"/>
  <c r="L459" i="8"/>
  <c r="L473" i="8"/>
  <c r="L485" i="8"/>
  <c r="L498" i="8"/>
  <c r="L511" i="8"/>
  <c r="L523" i="8"/>
  <c r="L535" i="8"/>
  <c r="L547" i="8"/>
  <c r="L559" i="8"/>
  <c r="L577" i="8"/>
  <c r="L721" i="8"/>
  <c r="L733" i="8"/>
  <c r="Z733" i="8"/>
  <c r="L601" i="8"/>
  <c r="L604" i="8"/>
  <c r="L140" i="5"/>
  <c r="L59" i="5"/>
  <c r="L266" i="5"/>
  <c r="L362" i="5"/>
  <c r="L467" i="5"/>
  <c r="L20" i="5"/>
  <c r="L927" i="5" s="1"/>
  <c r="L131" i="5"/>
  <c r="L203" i="5"/>
  <c r="L299" i="5"/>
  <c r="L396" i="5"/>
  <c r="L501" i="5"/>
  <c r="L11" i="5"/>
  <c r="L92" i="5"/>
  <c r="L194" i="5"/>
  <c r="L290" i="5"/>
  <c r="L386" i="5"/>
  <c r="L491" i="5"/>
  <c r="L83" i="5"/>
  <c r="L164" i="5"/>
  <c r="L227" i="5"/>
  <c r="L323" i="5"/>
  <c r="L421" i="5"/>
  <c r="L526" i="5"/>
  <c r="L44" i="5"/>
  <c r="L155" i="5"/>
  <c r="L218" i="5"/>
  <c r="L314" i="5"/>
  <c r="L411" i="5"/>
  <c r="L517" i="5"/>
  <c r="L242" i="5"/>
  <c r="L338" i="5"/>
  <c r="L440" i="5"/>
  <c r="L535" i="7"/>
  <c r="L5" i="7"/>
  <c r="L53" i="7"/>
  <c r="L149" i="7"/>
  <c r="L197" i="7"/>
  <c r="L245" i="7"/>
  <c r="L293" i="7"/>
  <c r="L341" i="7"/>
  <c r="L389" i="7"/>
  <c r="L444" i="7"/>
  <c r="L494" i="7"/>
  <c r="L526" i="7"/>
  <c r="L550" i="7"/>
  <c r="L559" i="7"/>
  <c r="L29" i="7"/>
  <c r="L77" i="7"/>
  <c r="L125" i="7"/>
  <c r="L173" i="7"/>
  <c r="L221" i="7"/>
  <c r="L269" i="7"/>
  <c r="L317" i="7"/>
  <c r="L365" i="7"/>
  <c r="L414" i="7"/>
  <c r="L470" i="7"/>
  <c r="L511" i="7"/>
  <c r="R552" i="3"/>
  <c r="R553" i="3"/>
  <c r="R554" i="3"/>
  <c r="R555" i="3"/>
  <c r="R565" i="3"/>
  <c r="R516" i="3"/>
  <c r="R567" i="3" s="1"/>
  <c r="R480" i="3"/>
  <c r="R566" i="3" s="1"/>
  <c r="R444" i="3"/>
  <c r="R408" i="3"/>
  <c r="R564" i="3" s="1"/>
  <c r="R372" i="3"/>
  <c r="R563" i="3" s="1"/>
  <c r="R336" i="3"/>
  <c r="R562" i="3" s="1"/>
  <c r="R300" i="3"/>
  <c r="R561" i="3" s="1"/>
  <c r="R264" i="3"/>
  <c r="R560" i="3" s="1"/>
  <c r="R228" i="3"/>
  <c r="R559" i="3" s="1"/>
  <c r="R192" i="3"/>
  <c r="R558" i="3" s="1"/>
  <c r="R156" i="3"/>
  <c r="R557" i="3" s="1"/>
  <c r="Q120" i="3"/>
  <c r="R120" i="3"/>
  <c r="R556" i="3" s="1"/>
  <c r="Q84" i="3"/>
  <c r="Q48" i="3"/>
  <c r="P3" i="3"/>
  <c r="Q12" i="3"/>
  <c r="Q3" i="3"/>
  <c r="L928" i="5" l="1"/>
  <c r="M679" i="5" s="1"/>
  <c r="L928" i="6"/>
  <c r="L927" i="6"/>
  <c r="M853" i="6" s="1"/>
  <c r="L927" i="7"/>
  <c r="M853" i="7" s="1"/>
  <c r="L928" i="7"/>
  <c r="M17" i="7" s="1"/>
  <c r="AA418" i="8"/>
  <c r="AA421" i="8" s="1"/>
  <c r="AA425" i="8" s="1"/>
  <c r="AA429" i="8" s="1"/>
  <c r="AA432" i="8" s="1"/>
  <c r="AA436" i="8" s="1"/>
  <c r="AA440" i="8" s="1"/>
  <c r="AA444" i="8" s="1"/>
  <c r="AA447" i="8" s="1"/>
  <c r="AA450" i="8" s="1"/>
  <c r="AA453" i="8" s="1"/>
  <c r="AA456" i="8" s="1"/>
  <c r="AA459" i="8" s="1"/>
  <c r="AA463" i="8" s="1"/>
  <c r="AA467" i="8" s="1"/>
  <c r="AA470" i="8" s="1"/>
  <c r="AA473" i="8" s="1"/>
  <c r="AA476" i="8" s="1"/>
  <c r="AA479" i="8" s="1"/>
  <c r="AA482" i="8" s="1"/>
  <c r="AA485" i="8" s="1"/>
  <c r="AA488" i="8" s="1"/>
  <c r="AA491" i="8" s="1"/>
  <c r="AA494" i="8" s="1"/>
  <c r="AA498" i="8" s="1"/>
  <c r="AA501" i="8" s="1"/>
  <c r="AA505" i="8" s="1"/>
  <c r="AA508" i="8" s="1"/>
  <c r="AA511" i="8" s="1"/>
  <c r="AA514" i="8" s="1"/>
  <c r="AA517" i="8" s="1"/>
  <c r="AA520" i="8" s="1"/>
  <c r="AA523" i="8" s="1"/>
  <c r="AA526" i="8" s="1"/>
  <c r="AA529" i="8" s="1"/>
  <c r="AA532" i="8" s="1"/>
  <c r="AA535" i="8" s="1"/>
  <c r="AA538" i="8" s="1"/>
  <c r="AA541" i="8" s="1"/>
  <c r="AA544" i="8" s="1"/>
  <c r="AA547" i="8" s="1"/>
  <c r="AA550" i="8" s="1"/>
  <c r="AA553" i="8" s="1"/>
  <c r="AA556" i="8" s="1"/>
  <c r="AA559" i="8" s="1"/>
  <c r="AA562" i="8" s="1"/>
  <c r="AA565" i="8" s="1"/>
  <c r="AA571" i="8" s="1"/>
  <c r="AA574" i="8" s="1"/>
  <c r="AA577" i="8" s="1"/>
  <c r="AA580" i="8" s="1"/>
  <c r="AA583" i="8" s="1"/>
  <c r="AA586" i="8" s="1"/>
  <c r="AA589" i="8" s="1"/>
  <c r="AA592" i="8" s="1"/>
  <c r="AA595" i="8" s="1"/>
  <c r="AA598" i="8" s="1"/>
  <c r="AA601" i="8" s="1"/>
  <c r="AA604" i="8" s="1"/>
  <c r="AA607" i="8" s="1"/>
  <c r="AA610" i="8" s="1"/>
  <c r="AA613" i="8" s="1"/>
  <c r="AA616" i="8" s="1"/>
  <c r="AA619" i="8" s="1"/>
  <c r="AA622" i="8" s="1"/>
  <c r="AA625" i="8" s="1"/>
  <c r="AA628" i="8" s="1"/>
  <c r="AA631" i="8" s="1"/>
  <c r="AA634" i="8" s="1"/>
  <c r="AA643" i="8" s="1"/>
  <c r="AA646" i="8" s="1"/>
  <c r="AA649" i="8" s="1"/>
  <c r="AA652" i="8" s="1"/>
  <c r="AA655" i="8" s="1"/>
  <c r="AA661" i="8" s="1"/>
  <c r="AA664" i="8" s="1"/>
  <c r="AA670" i="8" s="1"/>
  <c r="AA673" i="8" s="1"/>
  <c r="AA676" i="8" s="1"/>
  <c r="AA679" i="8" s="1"/>
  <c r="AA682" i="8" s="1"/>
  <c r="AA685" i="8" s="1"/>
  <c r="AA688" i="8" s="1"/>
  <c r="AA691" i="8" s="1"/>
  <c r="AA694" i="8" s="1"/>
  <c r="AA697" i="8" s="1"/>
  <c r="AA700" i="8" s="1"/>
  <c r="AA701" i="8" s="1"/>
  <c r="AA715" i="8" s="1"/>
  <c r="AA718" i="8" s="1"/>
  <c r="AA721" i="8" s="1"/>
  <c r="AA724" i="8" s="1"/>
  <c r="AA727" i="8" s="1"/>
  <c r="AA730" i="8" s="1"/>
  <c r="AA733" i="8" s="1"/>
  <c r="AA736" i="8" s="1"/>
  <c r="AA742" i="8" s="1"/>
  <c r="L928" i="8"/>
  <c r="L927" i="8"/>
  <c r="M853" i="8" s="1"/>
  <c r="Q516" i="3"/>
  <c r="Q480" i="3"/>
  <c r="Q444" i="3"/>
  <c r="Q408" i="3"/>
  <c r="Q372" i="3"/>
  <c r="Q336" i="3"/>
  <c r="Q300" i="3"/>
  <c r="Q264" i="3"/>
  <c r="Q228" i="3"/>
  <c r="Q192" i="3"/>
  <c r="Q156" i="3"/>
  <c r="M3" i="3"/>
  <c r="M12" i="3"/>
  <c r="N3" i="3"/>
  <c r="O3" i="3"/>
  <c r="M853" i="5" l="1"/>
  <c r="M769" i="5"/>
  <c r="M811" i="5"/>
  <c r="M796" i="5"/>
  <c r="M784" i="5"/>
  <c r="M787" i="5"/>
  <c r="M802" i="5"/>
  <c r="M790" i="5"/>
  <c r="M766" i="5"/>
  <c r="M808" i="5"/>
  <c r="M793" i="5"/>
  <c r="M775" i="5"/>
  <c r="M763" i="5"/>
  <c r="M805" i="5"/>
  <c r="M814" i="5"/>
  <c r="M772" i="5"/>
  <c r="M760" i="5"/>
  <c r="M20" i="5"/>
  <c r="M701" i="5"/>
  <c r="M59" i="5"/>
  <c r="M14" i="5"/>
  <c r="M89" i="5"/>
  <c r="M628" i="5"/>
  <c r="M470" i="5"/>
  <c r="M122" i="5"/>
  <c r="M408" i="5"/>
  <c r="M113" i="5"/>
  <c r="M290" i="5"/>
  <c r="M526" i="5"/>
  <c r="M314" i="5"/>
  <c r="M281" i="5"/>
  <c r="M494" i="5"/>
  <c r="M405" i="5"/>
  <c r="M362" i="5"/>
  <c r="M482" i="5"/>
  <c r="M299" i="5"/>
  <c r="M137" i="5"/>
  <c r="M748" i="5"/>
  <c r="M134" i="5"/>
  <c r="M721" i="5"/>
  <c r="M140" i="5"/>
  <c r="M598" i="5"/>
  <c r="M580" i="5"/>
  <c r="M402" i="5"/>
  <c r="M514" i="5"/>
  <c r="M601" i="5"/>
  <c r="M646" i="5"/>
  <c r="M287" i="5"/>
  <c r="M293" i="5"/>
  <c r="M625" i="5"/>
  <c r="M425" i="5"/>
  <c r="M185" i="5"/>
  <c r="M176" i="5"/>
  <c r="M260" i="5"/>
  <c r="M730" i="5"/>
  <c r="M488" i="5"/>
  <c r="M670" i="5"/>
  <c r="M308" i="5"/>
  <c r="M44" i="5"/>
  <c r="M532" i="5"/>
  <c r="M191" i="5"/>
  <c r="M62" i="5"/>
  <c r="M586" i="5"/>
  <c r="M655" i="5"/>
  <c r="M634" i="5"/>
  <c r="M215" i="5"/>
  <c r="M311" i="5"/>
  <c r="M377" i="5"/>
  <c r="M736" i="5"/>
  <c r="M592" i="5"/>
  <c r="M323" i="5"/>
  <c r="M143" i="5"/>
  <c r="M613" i="5"/>
  <c r="M529" i="5"/>
  <c r="M541" i="5"/>
  <c r="M396" i="5"/>
  <c r="M257" i="5"/>
  <c r="M544" i="5"/>
  <c r="M92" i="5"/>
  <c r="M5" i="5"/>
  <c r="N5" i="5" s="1"/>
  <c r="M589" i="5"/>
  <c r="M418" i="5"/>
  <c r="M520" i="5"/>
  <c r="M296" i="5"/>
  <c r="M485" i="5"/>
  <c r="M610" i="5"/>
  <c r="M26" i="5"/>
  <c r="M682" i="5"/>
  <c r="M35" i="5"/>
  <c r="M432" i="5"/>
  <c r="M86" i="5"/>
  <c r="M236" i="5"/>
  <c r="M383" i="5"/>
  <c r="M71" i="5"/>
  <c r="M491" i="5"/>
  <c r="M305" i="5"/>
  <c r="M80" i="5"/>
  <c r="M389" i="5"/>
  <c r="M365" i="5"/>
  <c r="M440" i="5"/>
  <c r="M715" i="5"/>
  <c r="M302" i="5"/>
  <c r="M170" i="5"/>
  <c r="M212" i="5"/>
  <c r="M607" i="5"/>
  <c r="M643" i="5"/>
  <c r="M476" i="5"/>
  <c r="M233" i="5"/>
  <c r="M467" i="5"/>
  <c r="M353" i="5"/>
  <c r="M359" i="5"/>
  <c r="M209" i="5"/>
  <c r="M173" i="5"/>
  <c r="M463" i="5"/>
  <c r="M218" i="5"/>
  <c r="M505" i="5"/>
  <c r="M269" i="5"/>
  <c r="M350" i="5"/>
  <c r="M8" i="5"/>
  <c r="M371" i="5"/>
  <c r="M128" i="5"/>
  <c r="M368" i="5"/>
  <c r="M17" i="5"/>
  <c r="M149" i="5"/>
  <c r="M447" i="5"/>
  <c r="M622" i="5"/>
  <c r="M688" i="5"/>
  <c r="M227" i="5"/>
  <c r="M556" i="5"/>
  <c r="M56" i="5"/>
  <c r="M700" i="5"/>
  <c r="M338" i="5"/>
  <c r="M83" i="5"/>
  <c r="M411" i="5"/>
  <c r="M95" i="5"/>
  <c r="M511" i="5"/>
  <c r="M278" i="5"/>
  <c r="M53" i="5"/>
  <c r="M158" i="5"/>
  <c r="M155" i="5"/>
  <c r="M649" i="5"/>
  <c r="M399" i="5"/>
  <c r="M263" i="5"/>
  <c r="M565" i="5"/>
  <c r="M508" i="5"/>
  <c r="M197" i="5"/>
  <c r="M68" i="5"/>
  <c r="M414" i="5"/>
  <c r="M131" i="5"/>
  <c r="M535" i="5"/>
  <c r="M450" i="5"/>
  <c r="M254" i="5"/>
  <c r="M664" i="5"/>
  <c r="M266" i="5"/>
  <c r="M538" i="5"/>
  <c r="M50" i="5"/>
  <c r="M152" i="5"/>
  <c r="M444" i="5"/>
  <c r="M326" i="5"/>
  <c r="M562" i="5"/>
  <c r="M724" i="5"/>
  <c r="M32" i="5"/>
  <c r="M272" i="5"/>
  <c r="M583" i="5"/>
  <c r="M694" i="5"/>
  <c r="M760" i="6"/>
  <c r="M769" i="6"/>
  <c r="M802" i="6"/>
  <c r="M811" i="6"/>
  <c r="M772" i="6"/>
  <c r="M805" i="6"/>
  <c r="M784" i="6"/>
  <c r="M814" i="6"/>
  <c r="M775" i="6"/>
  <c r="M808" i="6"/>
  <c r="M787" i="6"/>
  <c r="M790" i="6"/>
  <c r="M766" i="6"/>
  <c r="M796" i="6"/>
  <c r="M763" i="6"/>
  <c r="M793" i="6"/>
  <c r="M742" i="6"/>
  <c r="M95" i="6"/>
  <c r="M748" i="6"/>
  <c r="M784" i="7"/>
  <c r="M787" i="7"/>
  <c r="M814" i="7"/>
  <c r="M790" i="7"/>
  <c r="M793" i="7"/>
  <c r="M802" i="7"/>
  <c r="M805" i="7"/>
  <c r="M796" i="7"/>
  <c r="M808" i="7"/>
  <c r="M811" i="7"/>
  <c r="M760" i="7"/>
  <c r="M775" i="7"/>
  <c r="M769" i="7"/>
  <c r="M763" i="7"/>
  <c r="M766" i="7"/>
  <c r="M772" i="7"/>
  <c r="M718" i="7"/>
  <c r="M748" i="7"/>
  <c r="M784" i="8"/>
  <c r="M802" i="8"/>
  <c r="M811" i="8"/>
  <c r="M793" i="8"/>
  <c r="M805" i="8"/>
  <c r="M808" i="8"/>
  <c r="M796" i="8"/>
  <c r="M787" i="8"/>
  <c r="M814" i="8"/>
  <c r="M790" i="8"/>
  <c r="M760" i="8"/>
  <c r="M763" i="8"/>
  <c r="M772" i="8"/>
  <c r="M775" i="8"/>
  <c r="M766" i="8"/>
  <c r="M769" i="8"/>
  <c r="M748" i="8"/>
  <c r="M436" i="5"/>
  <c r="M559" i="5"/>
  <c r="M65" i="5"/>
  <c r="M188" i="5"/>
  <c r="M673" i="5"/>
  <c r="M676" i="5"/>
  <c r="M421" i="5"/>
  <c r="M347" i="5"/>
  <c r="M453" i="5"/>
  <c r="M459" i="5"/>
  <c r="M203" i="5"/>
  <c r="M718" i="5"/>
  <c r="M206" i="5"/>
  <c r="M221" i="5"/>
  <c r="M631" i="5"/>
  <c r="M501" i="5"/>
  <c r="M41" i="5"/>
  <c r="M317" i="5"/>
  <c r="M74" i="5"/>
  <c r="M119" i="5"/>
  <c r="M479" i="5"/>
  <c r="M125" i="5"/>
  <c r="M553" i="5"/>
  <c r="M604" i="5"/>
  <c r="M239" i="5"/>
  <c r="M550" i="5"/>
  <c r="M182" i="5"/>
  <c r="M230" i="5"/>
  <c r="M23" i="5"/>
  <c r="M116" i="5"/>
  <c r="M245" i="5"/>
  <c r="M392" i="5"/>
  <c r="M332" i="5"/>
  <c r="M691" i="5"/>
  <c r="M242" i="5"/>
  <c r="M47" i="5"/>
  <c r="M733" i="5"/>
  <c r="M77" i="5"/>
  <c r="M161" i="5"/>
  <c r="M386" i="5"/>
  <c r="M167" i="5"/>
  <c r="M727" i="5"/>
  <c r="M456" i="5"/>
  <c r="M251" i="5"/>
  <c r="M164" i="5"/>
  <c r="M356" i="5"/>
  <c r="M38" i="5"/>
  <c r="M194" i="5"/>
  <c r="M341" i="5"/>
  <c r="M571" i="5"/>
  <c r="M616" i="5"/>
  <c r="M284" i="5"/>
  <c r="M429" i="5"/>
  <c r="M523" i="5"/>
  <c r="M498" i="5"/>
  <c r="M547" i="5"/>
  <c r="M661" i="5"/>
  <c r="M574" i="5"/>
  <c r="M619" i="5"/>
  <c r="M595" i="5"/>
  <c r="M200" i="5"/>
  <c r="M329" i="5"/>
  <c r="M685" i="5"/>
  <c r="M11" i="5"/>
  <c r="M517" i="5"/>
  <c r="M652" i="5"/>
  <c r="M146" i="5"/>
  <c r="M473" i="5"/>
  <c r="M320" i="5"/>
  <c r="M577" i="5"/>
  <c r="M29" i="5"/>
  <c r="M380" i="5"/>
  <c r="M275" i="5"/>
  <c r="M335" i="5"/>
  <c r="M248" i="5"/>
  <c r="M742" i="5"/>
  <c r="M224" i="5"/>
  <c r="M374" i="5"/>
  <c r="M344" i="5"/>
  <c r="M697" i="5"/>
  <c r="M197" i="6"/>
  <c r="M284" i="6"/>
  <c r="M50" i="6"/>
  <c r="M652" i="6"/>
  <c r="M532" i="6"/>
  <c r="M230" i="6"/>
  <c r="M736" i="6"/>
  <c r="M86" i="6"/>
  <c r="M293" i="6"/>
  <c r="M628" i="6"/>
  <c r="M625" i="6"/>
  <c r="M526" i="6"/>
  <c r="M565" i="6"/>
  <c r="M664" i="6"/>
  <c r="M11" i="6"/>
  <c r="M440" i="6"/>
  <c r="M544" i="6"/>
  <c r="M491" i="6"/>
  <c r="M494" i="6"/>
  <c r="M529" i="6"/>
  <c r="M583" i="6"/>
  <c r="M140" i="6"/>
  <c r="M429" i="6"/>
  <c r="M377" i="6"/>
  <c r="M649" i="6"/>
  <c r="M278" i="6"/>
  <c r="M143" i="6"/>
  <c r="M281" i="6"/>
  <c r="M170" i="6"/>
  <c r="M233" i="6"/>
  <c r="M290" i="6"/>
  <c r="M41" i="6"/>
  <c r="M488" i="6"/>
  <c r="M236" i="6"/>
  <c r="M335" i="6"/>
  <c r="M113" i="6"/>
  <c r="M715" i="6"/>
  <c r="M485" i="6"/>
  <c r="M380" i="6"/>
  <c r="M185" i="6"/>
  <c r="M610" i="6"/>
  <c r="M444" i="6"/>
  <c r="M68" i="6"/>
  <c r="M245" i="6"/>
  <c r="M541" i="6"/>
  <c r="M482" i="6"/>
  <c r="M83" i="6"/>
  <c r="M317" i="6"/>
  <c r="M733" i="6"/>
  <c r="M389" i="6"/>
  <c r="M239" i="6"/>
  <c r="M580" i="6"/>
  <c r="M131" i="6"/>
  <c r="M479" i="6"/>
  <c r="M38" i="6"/>
  <c r="M643" i="6"/>
  <c r="M287" i="6"/>
  <c r="M386" i="6"/>
  <c r="M188" i="6"/>
  <c r="M425" i="6"/>
  <c r="M158" i="6"/>
  <c r="M730" i="6"/>
  <c r="M125" i="6"/>
  <c r="M383" i="6"/>
  <c r="M5" i="6"/>
  <c r="N5" i="6" s="1"/>
  <c r="M607" i="6"/>
  <c r="M242" i="6"/>
  <c r="M23" i="6"/>
  <c r="M535" i="6"/>
  <c r="M676" i="6"/>
  <c r="M673" i="6"/>
  <c r="M700" i="6"/>
  <c r="M694" i="6"/>
  <c r="M682" i="6"/>
  <c r="M691" i="6"/>
  <c r="M701" i="6"/>
  <c r="M685" i="6"/>
  <c r="M688" i="6"/>
  <c r="M697" i="6"/>
  <c r="M679" i="6"/>
  <c r="M80" i="6"/>
  <c r="M272" i="6"/>
  <c r="M547" i="6"/>
  <c r="M251" i="6"/>
  <c r="M601" i="6"/>
  <c r="M209" i="6"/>
  <c r="M414" i="6"/>
  <c r="M616" i="6"/>
  <c r="M122" i="6"/>
  <c r="M347" i="6"/>
  <c r="M562" i="6"/>
  <c r="M89" i="6"/>
  <c r="M338" i="6"/>
  <c r="M592" i="6"/>
  <c r="M586" i="6"/>
  <c r="M362" i="6"/>
  <c r="M574" i="6"/>
  <c r="M227" i="6"/>
  <c r="M436" i="6"/>
  <c r="M646" i="6"/>
  <c r="M396" i="6"/>
  <c r="M655" i="6"/>
  <c r="M311" i="6"/>
  <c r="M505" i="6"/>
  <c r="M305" i="6"/>
  <c r="M152" i="6"/>
  <c r="M344" i="6"/>
  <c r="M8" i="6"/>
  <c r="M353" i="6"/>
  <c r="M661" i="6"/>
  <c r="M221" i="6"/>
  <c r="M453" i="6"/>
  <c r="M721" i="6"/>
  <c r="M155" i="6"/>
  <c r="M359" i="6"/>
  <c r="M134" i="6"/>
  <c r="M371" i="6"/>
  <c r="M619" i="6"/>
  <c r="M613" i="6"/>
  <c r="M35" i="6"/>
  <c r="M74" i="6"/>
  <c r="M520" i="6"/>
  <c r="M164" i="6"/>
  <c r="M314" i="6"/>
  <c r="M326" i="6"/>
  <c r="M727" i="6"/>
  <c r="M200" i="6"/>
  <c r="M392" i="6"/>
  <c r="M523" i="6"/>
  <c r="M556" i="6"/>
  <c r="M17" i="6"/>
  <c r="M254" i="6"/>
  <c r="M467" i="6"/>
  <c r="M173" i="6"/>
  <c r="M167" i="6"/>
  <c r="M405" i="6"/>
  <c r="M146" i="6"/>
  <c r="M631" i="6"/>
  <c r="M718" i="6"/>
  <c r="M203" i="6"/>
  <c r="M408" i="6"/>
  <c r="M47" i="6"/>
  <c r="M368" i="6"/>
  <c r="M206" i="6"/>
  <c r="M559" i="6"/>
  <c r="M20" i="6"/>
  <c r="M498" i="6"/>
  <c r="M71" i="6"/>
  <c r="M149" i="6"/>
  <c r="M622" i="6"/>
  <c r="M194" i="6"/>
  <c r="M248" i="6"/>
  <c r="M447" i="6"/>
  <c r="M589" i="6"/>
  <c r="M14" i="6"/>
  <c r="M29" i="6"/>
  <c r="M266" i="6"/>
  <c r="M501" i="6"/>
  <c r="M263" i="6"/>
  <c r="M212" i="6"/>
  <c r="M456" i="6"/>
  <c r="M215" i="6"/>
  <c r="M459" i="6"/>
  <c r="M26" i="6"/>
  <c r="M92" i="6"/>
  <c r="M329" i="6"/>
  <c r="M374" i="6"/>
  <c r="M604" i="6"/>
  <c r="M511" i="6"/>
  <c r="M56" i="6"/>
  <c r="M320" i="6"/>
  <c r="M724" i="6"/>
  <c r="M116" i="6"/>
  <c r="M62" i="6"/>
  <c r="M299" i="6"/>
  <c r="M514" i="6"/>
  <c r="M450" i="6"/>
  <c r="M257" i="6"/>
  <c r="M470" i="6"/>
  <c r="M670" i="6"/>
  <c r="M260" i="6"/>
  <c r="M508" i="6"/>
  <c r="M218" i="6"/>
  <c r="M137" i="6"/>
  <c r="M595" i="6"/>
  <c r="M128" i="6"/>
  <c r="M269" i="6"/>
  <c r="M308" i="6"/>
  <c r="M571" i="6"/>
  <c r="M176" i="6"/>
  <c r="M418" i="6"/>
  <c r="M59" i="6"/>
  <c r="M296" i="6"/>
  <c r="M119" i="6"/>
  <c r="M356" i="6"/>
  <c r="M577" i="6"/>
  <c r="M65" i="6"/>
  <c r="M302" i="6"/>
  <c r="M517" i="6"/>
  <c r="M32" i="6"/>
  <c r="M365" i="6"/>
  <c r="M553" i="6"/>
  <c r="M411" i="6"/>
  <c r="M182" i="6"/>
  <c r="M634" i="6"/>
  <c r="M224" i="6"/>
  <c r="M473" i="6"/>
  <c r="M161" i="6"/>
  <c r="M399" i="6"/>
  <c r="M402" i="6"/>
  <c r="M77" i="6"/>
  <c r="M550" i="6"/>
  <c r="M44" i="6"/>
  <c r="M463" i="6"/>
  <c r="M350" i="6"/>
  <c r="M421" i="6"/>
  <c r="M191" i="6"/>
  <c r="M476" i="6"/>
  <c r="M341" i="6"/>
  <c r="M323" i="6"/>
  <c r="M332" i="6"/>
  <c r="M432" i="6"/>
  <c r="M53" i="6"/>
  <c r="M275" i="6"/>
  <c r="M538" i="6"/>
  <c r="M598" i="6"/>
  <c r="M44" i="7"/>
  <c r="M299" i="7"/>
  <c r="M170" i="7"/>
  <c r="M511" i="7"/>
  <c r="M62" i="7"/>
  <c r="M622" i="7"/>
  <c r="M158" i="7"/>
  <c r="M429" i="7"/>
  <c r="M215" i="7"/>
  <c r="M14" i="7"/>
  <c r="M116" i="7"/>
  <c r="M494" i="7"/>
  <c r="M35" i="7"/>
  <c r="M305" i="7"/>
  <c r="M290" i="7"/>
  <c r="M335" i="7"/>
  <c r="M263" i="7"/>
  <c r="M89" i="7"/>
  <c r="M323" i="7"/>
  <c r="M463" i="7"/>
  <c r="M634" i="7"/>
  <c r="M470" i="7"/>
  <c r="M508" i="7"/>
  <c r="M5" i="7"/>
  <c r="N5" i="7" s="1"/>
  <c r="M399" i="7"/>
  <c r="M221" i="7"/>
  <c r="M143" i="7"/>
  <c r="M541" i="7"/>
  <c r="M571" i="7"/>
  <c r="M95" i="7"/>
  <c r="M119" i="7"/>
  <c r="M350" i="7"/>
  <c r="M583" i="7"/>
  <c r="M628" i="7"/>
  <c r="M649" i="7"/>
  <c r="M203" i="7"/>
  <c r="M92" i="7"/>
  <c r="M396" i="7"/>
  <c r="M514" i="7"/>
  <c r="M362" i="7"/>
  <c r="M736" i="7"/>
  <c r="M188" i="7"/>
  <c r="M266" i="7"/>
  <c r="M317" i="7"/>
  <c r="M245" i="7"/>
  <c r="M625" i="7"/>
  <c r="M727" i="7"/>
  <c r="M233" i="7"/>
  <c r="M260" i="7"/>
  <c r="M517" i="7"/>
  <c r="M293" i="7"/>
  <c r="M26" i="7"/>
  <c r="M218" i="7"/>
  <c r="M414" i="7"/>
  <c r="M125" i="7"/>
  <c r="M592" i="7"/>
  <c r="M113" i="7"/>
  <c r="M365" i="7"/>
  <c r="M402" i="7"/>
  <c r="M389" i="7"/>
  <c r="M491" i="7"/>
  <c r="M520" i="7"/>
  <c r="M53" i="7"/>
  <c r="M631" i="7"/>
  <c r="M673" i="7"/>
  <c r="M682" i="7"/>
  <c r="M679" i="7"/>
  <c r="M700" i="7"/>
  <c r="M697" i="7"/>
  <c r="M701" i="7"/>
  <c r="M685" i="7"/>
  <c r="M691" i="7"/>
  <c r="M694" i="7"/>
  <c r="M676" i="7"/>
  <c r="M688" i="7"/>
  <c r="M128" i="7"/>
  <c r="M200" i="7"/>
  <c r="M248" i="7"/>
  <c r="M272" i="7"/>
  <c r="M482" i="7"/>
  <c r="M182" i="7"/>
  <c r="M421" i="7"/>
  <c r="M655" i="7"/>
  <c r="M275" i="7"/>
  <c r="M556" i="7"/>
  <c r="M185" i="7"/>
  <c r="M212" i="7"/>
  <c r="M505" i="7"/>
  <c r="M670" i="7"/>
  <c r="M485" i="7"/>
  <c r="M332" i="7"/>
  <c r="M230" i="7"/>
  <c r="M447" i="7"/>
  <c r="M498" i="7"/>
  <c r="M284" i="7"/>
  <c r="M616" i="7"/>
  <c r="M20" i="7"/>
  <c r="M547" i="7"/>
  <c r="M440" i="7"/>
  <c r="M236" i="7"/>
  <c r="M11" i="7"/>
  <c r="M359" i="7"/>
  <c r="M80" i="7"/>
  <c r="M724" i="7"/>
  <c r="M368" i="7"/>
  <c r="M661" i="7"/>
  <c r="M529" i="7"/>
  <c r="M194" i="7"/>
  <c r="M436" i="7"/>
  <c r="M146" i="7"/>
  <c r="M287" i="7"/>
  <c r="M565" i="7"/>
  <c r="M140" i="7"/>
  <c r="M257" i="7"/>
  <c r="M538" i="7"/>
  <c r="M152" i="7"/>
  <c r="M473" i="7"/>
  <c r="M8" i="7"/>
  <c r="M562" i="7"/>
  <c r="M227" i="7"/>
  <c r="M281" i="7"/>
  <c r="M580" i="7"/>
  <c r="M302" i="7"/>
  <c r="M619" i="7"/>
  <c r="M191" i="7"/>
  <c r="M68" i="7"/>
  <c r="M377" i="7"/>
  <c r="M604" i="7"/>
  <c r="M314" i="7"/>
  <c r="M32" i="7"/>
  <c r="M338" i="7"/>
  <c r="M577" i="7"/>
  <c r="M347" i="7"/>
  <c r="M176" i="7"/>
  <c r="M371" i="7"/>
  <c r="M329" i="7"/>
  <c r="M523" i="7"/>
  <c r="M320" i="7"/>
  <c r="M646" i="7"/>
  <c r="M383" i="7"/>
  <c r="M643" i="7"/>
  <c r="M418" i="7"/>
  <c r="M374" i="7"/>
  <c r="M613" i="7"/>
  <c r="M59" i="7"/>
  <c r="M476" i="7"/>
  <c r="M224" i="7"/>
  <c r="M326" i="7"/>
  <c r="M155" i="7"/>
  <c r="M405" i="7"/>
  <c r="M664" i="7"/>
  <c r="M589" i="7"/>
  <c r="M532" i="7"/>
  <c r="M56" i="7"/>
  <c r="M432" i="7"/>
  <c r="M652" i="7"/>
  <c r="M137" i="7"/>
  <c r="M386" i="7"/>
  <c r="M730" i="7"/>
  <c r="M242" i="7"/>
  <c r="M488" i="7"/>
  <c r="M23" i="7"/>
  <c r="M71" i="7"/>
  <c r="M167" i="7"/>
  <c r="M456" i="7"/>
  <c r="M392" i="7"/>
  <c r="M574" i="7"/>
  <c r="M239" i="7"/>
  <c r="M553" i="7"/>
  <c r="M41" i="7"/>
  <c r="M595" i="7"/>
  <c r="M296" i="7"/>
  <c r="M610" i="7"/>
  <c r="M425" i="7"/>
  <c r="M134" i="7"/>
  <c r="M86" i="7"/>
  <c r="M715" i="7"/>
  <c r="M344" i="7"/>
  <c r="M742" i="7"/>
  <c r="M65" i="7"/>
  <c r="M601" i="7"/>
  <c r="M733" i="7"/>
  <c r="M122" i="7"/>
  <c r="M501" i="7"/>
  <c r="M544" i="7"/>
  <c r="M411" i="7"/>
  <c r="M526" i="7"/>
  <c r="M251" i="7"/>
  <c r="M459" i="7"/>
  <c r="M206" i="7"/>
  <c r="M197" i="7"/>
  <c r="M607" i="7"/>
  <c r="M29" i="7"/>
  <c r="M453" i="7"/>
  <c r="M467" i="7"/>
  <c r="M444" i="7"/>
  <c r="M311" i="7"/>
  <c r="M356" i="7"/>
  <c r="M164" i="7"/>
  <c r="M83" i="7"/>
  <c r="M341" i="7"/>
  <c r="M161" i="7"/>
  <c r="M149" i="7"/>
  <c r="M559" i="7"/>
  <c r="M77" i="7"/>
  <c r="M598" i="7"/>
  <c r="M38" i="7"/>
  <c r="M74" i="7"/>
  <c r="M380" i="7"/>
  <c r="M721" i="7"/>
  <c r="M353" i="7"/>
  <c r="M308" i="7"/>
  <c r="M209" i="7"/>
  <c r="M269" i="7"/>
  <c r="M50" i="7"/>
  <c r="M47" i="7"/>
  <c r="M450" i="7"/>
  <c r="M550" i="7"/>
  <c r="M586" i="7"/>
  <c r="M408" i="7"/>
  <c r="M479" i="7"/>
  <c r="M254" i="7"/>
  <c r="M173" i="7"/>
  <c r="M278" i="7"/>
  <c r="M131" i="7"/>
  <c r="M535" i="7"/>
  <c r="M676" i="8"/>
  <c r="M691" i="8"/>
  <c r="M700" i="8"/>
  <c r="M682" i="8"/>
  <c r="M697" i="8"/>
  <c r="M694" i="8"/>
  <c r="M679" i="8"/>
  <c r="M701" i="8"/>
  <c r="M685" i="8"/>
  <c r="M688" i="8"/>
  <c r="M673" i="8"/>
  <c r="M17" i="8"/>
  <c r="M62" i="8"/>
  <c r="M341" i="8"/>
  <c r="M736" i="8"/>
  <c r="M203" i="8"/>
  <c r="M65" i="8"/>
  <c r="M161" i="8"/>
  <c r="M230" i="8"/>
  <c r="M429" i="8"/>
  <c r="M532" i="8"/>
  <c r="M383" i="8"/>
  <c r="M143" i="8"/>
  <c r="M197" i="8"/>
  <c r="M329" i="8"/>
  <c r="M215" i="8"/>
  <c r="M218" i="8"/>
  <c r="M396" i="8"/>
  <c r="M456" i="8"/>
  <c r="M649" i="8"/>
  <c r="M116" i="8"/>
  <c r="M47" i="8"/>
  <c r="M260" i="8"/>
  <c r="M320" i="8"/>
  <c r="M128" i="8"/>
  <c r="M494" i="8"/>
  <c r="M625" i="8"/>
  <c r="M616" i="8"/>
  <c r="M356" i="8"/>
  <c r="M74" i="8"/>
  <c r="M77" i="8"/>
  <c r="M212" i="8"/>
  <c r="M386" i="8"/>
  <c r="M652" i="8"/>
  <c r="M272" i="8"/>
  <c r="M158" i="8"/>
  <c r="M206" i="8"/>
  <c r="M389" i="8"/>
  <c r="M742" i="8"/>
  <c r="M242" i="8"/>
  <c r="M444" i="8"/>
  <c r="M544" i="8"/>
  <c r="M23" i="8"/>
  <c r="M269" i="8"/>
  <c r="M257" i="8"/>
  <c r="M399" i="8"/>
  <c r="M643" i="8"/>
  <c r="M402" i="8"/>
  <c r="M254" i="8"/>
  <c r="M556" i="8"/>
  <c r="M92" i="8"/>
  <c r="M610" i="8"/>
  <c r="M68" i="8"/>
  <c r="M622" i="8"/>
  <c r="M227" i="8"/>
  <c r="M619" i="8"/>
  <c r="M508" i="8"/>
  <c r="M664" i="8"/>
  <c r="M628" i="8"/>
  <c r="M344" i="8"/>
  <c r="M185" i="8"/>
  <c r="M520" i="8"/>
  <c r="M224" i="8"/>
  <c r="M646" i="8"/>
  <c r="M338" i="8"/>
  <c r="M155" i="8"/>
  <c r="M411" i="8"/>
  <c r="M200" i="8"/>
  <c r="M11" i="8"/>
  <c r="M263" i="8"/>
  <c r="M425" i="8"/>
  <c r="M35" i="8"/>
  <c r="M287" i="8"/>
  <c r="M470" i="8"/>
  <c r="M574" i="8"/>
  <c r="M598" i="8"/>
  <c r="M167" i="8"/>
  <c r="M589" i="8"/>
  <c r="M281" i="8"/>
  <c r="M421" i="8"/>
  <c r="M408" i="8"/>
  <c r="M56" i="8"/>
  <c r="M275" i="8"/>
  <c r="M595" i="8"/>
  <c r="M80" i="8"/>
  <c r="M299" i="8"/>
  <c r="M482" i="8"/>
  <c r="M586" i="8"/>
  <c r="M655" i="8"/>
  <c r="M613" i="8"/>
  <c r="M592" i="8"/>
  <c r="M8" i="8"/>
  <c r="M607" i="8"/>
  <c r="M311" i="8"/>
  <c r="M5" i="8"/>
  <c r="N5" i="8" s="1"/>
  <c r="M347" i="8"/>
  <c r="M284" i="8"/>
  <c r="M53" i="8"/>
  <c r="M332" i="8"/>
  <c r="M173" i="8"/>
  <c r="M661" i="8"/>
  <c r="M146" i="8"/>
  <c r="M326" i="8"/>
  <c r="M149" i="8"/>
  <c r="M631" i="8"/>
  <c r="M368" i="8"/>
  <c r="M718" i="8"/>
  <c r="M50" i="8"/>
  <c r="M374" i="8"/>
  <c r="M491" i="8"/>
  <c r="M377" i="8"/>
  <c r="M44" i="8"/>
  <c r="M405" i="8"/>
  <c r="M634" i="8"/>
  <c r="M122" i="8"/>
  <c r="M526" i="8"/>
  <c r="M335" i="8"/>
  <c r="M29" i="8"/>
  <c r="M727" i="8"/>
  <c r="M724" i="8"/>
  <c r="M479" i="8"/>
  <c r="M305" i="8"/>
  <c r="M176" i="8"/>
  <c r="M541" i="8"/>
  <c r="M447" i="8"/>
  <c r="M248" i="8"/>
  <c r="M362" i="8"/>
  <c r="M266" i="8"/>
  <c r="M32" i="8"/>
  <c r="M538" i="8"/>
  <c r="M302" i="8"/>
  <c r="M293" i="8"/>
  <c r="M730" i="8"/>
  <c r="M436" i="8"/>
  <c r="M71" i="8"/>
  <c r="M488" i="8"/>
  <c r="M371" i="8"/>
  <c r="M414" i="8"/>
  <c r="M236" i="8"/>
  <c r="M562" i="8"/>
  <c r="M514" i="8"/>
  <c r="M26" i="8"/>
  <c r="M239" i="8"/>
  <c r="M251" i="8"/>
  <c r="M463" i="8"/>
  <c r="M125" i="8"/>
  <c r="M59" i="8"/>
  <c r="M296" i="8"/>
  <c r="M365" i="8"/>
  <c r="M86" i="8"/>
  <c r="M278" i="8"/>
  <c r="M715" i="8"/>
  <c r="M380" i="8"/>
  <c r="M453" i="8"/>
  <c r="M601" i="8"/>
  <c r="M517" i="8"/>
  <c r="M485" i="8"/>
  <c r="M432" i="8"/>
  <c r="M670" i="8"/>
  <c r="M209" i="8"/>
  <c r="M501" i="8"/>
  <c r="M604" i="8"/>
  <c r="M95" i="8"/>
  <c r="M473" i="8"/>
  <c r="M535" i="8"/>
  <c r="M577" i="8"/>
  <c r="M721" i="8"/>
  <c r="M459" i="8"/>
  <c r="M182" i="8"/>
  <c r="M559" i="8"/>
  <c r="M14" i="8"/>
  <c r="M191" i="8"/>
  <c r="M476" i="8"/>
  <c r="M164" i="8"/>
  <c r="M221" i="8"/>
  <c r="M83" i="8"/>
  <c r="M580" i="8"/>
  <c r="M498" i="8"/>
  <c r="M188" i="8"/>
  <c r="M550" i="8"/>
  <c r="M113" i="8"/>
  <c r="M20" i="8"/>
  <c r="M233" i="8"/>
  <c r="M467" i="8"/>
  <c r="M583" i="8"/>
  <c r="M317" i="8"/>
  <c r="M565" i="8"/>
  <c r="M392" i="8"/>
  <c r="M418" i="8"/>
  <c r="M547" i="8"/>
  <c r="M170" i="8"/>
  <c r="M733" i="8"/>
  <c r="M511" i="8"/>
  <c r="M89" i="8"/>
  <c r="M505" i="8"/>
  <c r="M194" i="8"/>
  <c r="M523" i="8"/>
  <c r="M571" i="8"/>
  <c r="M323" i="8"/>
  <c r="M308" i="8"/>
  <c r="M131" i="8"/>
  <c r="M41" i="8"/>
  <c r="M290" i="8"/>
  <c r="M152" i="8"/>
  <c r="M353" i="8"/>
  <c r="M359" i="8"/>
  <c r="M245" i="8"/>
  <c r="M137" i="8"/>
  <c r="M529" i="8"/>
  <c r="M350" i="8"/>
  <c r="M440" i="8"/>
  <c r="M140" i="8"/>
  <c r="M119" i="8"/>
  <c r="M553" i="8"/>
  <c r="M134" i="8"/>
  <c r="M38" i="8"/>
  <c r="M450" i="8"/>
  <c r="M314" i="8"/>
  <c r="Q552" i="3"/>
  <c r="Q553" i="3"/>
  <c r="Q554" i="3"/>
  <c r="Q555" i="3"/>
  <c r="Q556" i="3"/>
  <c r="Q557" i="3"/>
  <c r="V557" i="3" s="1"/>
  <c r="Q558" i="3"/>
  <c r="Q559" i="3"/>
  <c r="V559" i="3" s="1"/>
  <c r="Q560" i="3"/>
  <c r="Q561" i="3"/>
  <c r="Q562" i="3"/>
  <c r="Q563" i="3"/>
  <c r="Q564" i="3"/>
  <c r="Q565" i="3"/>
  <c r="V565" i="3" s="1"/>
  <c r="Q566" i="3"/>
  <c r="Q567" i="3"/>
  <c r="V567" i="3" s="1"/>
  <c r="P516" i="3"/>
  <c r="P567" i="3" s="1"/>
  <c r="O516" i="3"/>
  <c r="O567" i="3" s="1"/>
  <c r="N516" i="3"/>
  <c r="N567" i="3" s="1"/>
  <c r="M516" i="3"/>
  <c r="M567" i="3" s="1"/>
  <c r="P480" i="3"/>
  <c r="P566" i="3" s="1"/>
  <c r="O480" i="3"/>
  <c r="O566" i="3" s="1"/>
  <c r="N480" i="3"/>
  <c r="N566" i="3" s="1"/>
  <c r="M480" i="3"/>
  <c r="M566" i="3" s="1"/>
  <c r="P444" i="3"/>
  <c r="P565" i="3" s="1"/>
  <c r="O444" i="3"/>
  <c r="O565" i="3" s="1"/>
  <c r="N444" i="3"/>
  <c r="N565" i="3" s="1"/>
  <c r="M444" i="3"/>
  <c r="M565" i="3" s="1"/>
  <c r="P408" i="3"/>
  <c r="P564" i="3" s="1"/>
  <c r="O408" i="3"/>
  <c r="O564" i="3" s="1"/>
  <c r="N408" i="3"/>
  <c r="N564" i="3" s="1"/>
  <c r="M408" i="3"/>
  <c r="M564" i="3" s="1"/>
  <c r="P372" i="3"/>
  <c r="P563" i="3" s="1"/>
  <c r="O372" i="3"/>
  <c r="O563" i="3" s="1"/>
  <c r="N372" i="3"/>
  <c r="N563" i="3" s="1"/>
  <c r="M372" i="3"/>
  <c r="M563" i="3" s="1"/>
  <c r="P336" i="3"/>
  <c r="P562" i="3" s="1"/>
  <c r="O336" i="3"/>
  <c r="O562" i="3" s="1"/>
  <c r="N336" i="3"/>
  <c r="N562" i="3" s="1"/>
  <c r="M336" i="3"/>
  <c r="M562" i="3" s="1"/>
  <c r="P300" i="3"/>
  <c r="P561" i="3" s="1"/>
  <c r="O300" i="3"/>
  <c r="O561" i="3" s="1"/>
  <c r="N300" i="3"/>
  <c r="N561" i="3" s="1"/>
  <c r="M300" i="3"/>
  <c r="M561" i="3" s="1"/>
  <c r="P264" i="3"/>
  <c r="P560" i="3" s="1"/>
  <c r="O264" i="3"/>
  <c r="O560" i="3" s="1"/>
  <c r="N264" i="3"/>
  <c r="N560" i="3" s="1"/>
  <c r="M264" i="3"/>
  <c r="M560" i="3" s="1"/>
  <c r="P228" i="3"/>
  <c r="P559" i="3" s="1"/>
  <c r="O228" i="3"/>
  <c r="O559" i="3" s="1"/>
  <c r="N228" i="3"/>
  <c r="N559" i="3" s="1"/>
  <c r="M228" i="3"/>
  <c r="M559" i="3" s="1"/>
  <c r="P192" i="3"/>
  <c r="P558" i="3" s="1"/>
  <c r="O192" i="3"/>
  <c r="O558" i="3" s="1"/>
  <c r="N192" i="3"/>
  <c r="N558" i="3" s="1"/>
  <c r="M192" i="3"/>
  <c r="M558" i="3" s="1"/>
  <c r="P156" i="3"/>
  <c r="P557" i="3" s="1"/>
  <c r="O156" i="3"/>
  <c r="O557" i="3" s="1"/>
  <c r="T557" i="3" s="1"/>
  <c r="N156" i="3"/>
  <c r="N557" i="3" s="1"/>
  <c r="M156" i="3"/>
  <c r="M557" i="3" s="1"/>
  <c r="P120" i="3"/>
  <c r="P556" i="3" s="1"/>
  <c r="O120" i="3"/>
  <c r="O556" i="3" s="1"/>
  <c r="N120" i="3"/>
  <c r="N556" i="3" s="1"/>
  <c r="M120" i="3"/>
  <c r="M556" i="3" s="1"/>
  <c r="P84" i="3"/>
  <c r="P555" i="3" s="1"/>
  <c r="O84" i="3"/>
  <c r="O555" i="3" s="1"/>
  <c r="N84" i="3"/>
  <c r="N555" i="3" s="1"/>
  <c r="M84" i="3"/>
  <c r="M555" i="3" s="1"/>
  <c r="P48" i="3"/>
  <c r="P554" i="3" s="1"/>
  <c r="O48" i="3"/>
  <c r="O554" i="3" s="1"/>
  <c r="N48" i="3"/>
  <c r="N554" i="3" s="1"/>
  <c r="M48" i="3"/>
  <c r="M554" i="3" s="1"/>
  <c r="P12" i="3"/>
  <c r="P553" i="3" s="1"/>
  <c r="O12" i="3"/>
  <c r="O553" i="3" s="1"/>
  <c r="N12" i="3"/>
  <c r="N553" i="3" s="1"/>
  <c r="M553" i="3"/>
  <c r="P552" i="3"/>
  <c r="O552" i="3"/>
  <c r="N552" i="3"/>
  <c r="M552" i="3"/>
  <c r="N8" i="5" l="1"/>
  <c r="N11" i="5" s="1"/>
  <c r="N14" i="5" s="1"/>
  <c r="N17" i="5" s="1"/>
  <c r="N20" i="5" s="1"/>
  <c r="N23" i="5" s="1"/>
  <c r="N26" i="5" s="1"/>
  <c r="N29" i="5" s="1"/>
  <c r="N32" i="5" s="1"/>
  <c r="N35" i="5" s="1"/>
  <c r="N38" i="5" s="1"/>
  <c r="N41" i="5" s="1"/>
  <c r="N44" i="5" s="1"/>
  <c r="N47" i="5" s="1"/>
  <c r="N50" i="5" s="1"/>
  <c r="N53" i="5" s="1"/>
  <c r="N56" i="5" s="1"/>
  <c r="N59" i="5" s="1"/>
  <c r="N62" i="5" s="1"/>
  <c r="N65" i="5" s="1"/>
  <c r="N68" i="5" s="1"/>
  <c r="N71" i="5" s="1"/>
  <c r="N74" i="5" s="1"/>
  <c r="N77" i="5" s="1"/>
  <c r="N80" i="5" s="1"/>
  <c r="N83" i="5" s="1"/>
  <c r="N86" i="5" s="1"/>
  <c r="N89" i="5" s="1"/>
  <c r="N92" i="5" s="1"/>
  <c r="N95" i="5" s="1"/>
  <c r="N113" i="5" s="1"/>
  <c r="N116" i="5" s="1"/>
  <c r="N119" i="5" s="1"/>
  <c r="N122" i="5" s="1"/>
  <c r="N125" i="5" s="1"/>
  <c r="N128" i="5" s="1"/>
  <c r="N131" i="5" s="1"/>
  <c r="N134" i="5" s="1"/>
  <c r="N137" i="5" s="1"/>
  <c r="N140" i="5" s="1"/>
  <c r="N143" i="5" s="1"/>
  <c r="N146" i="5" s="1"/>
  <c r="N149" i="5" s="1"/>
  <c r="N152" i="5" s="1"/>
  <c r="N155" i="5" s="1"/>
  <c r="N158" i="5" s="1"/>
  <c r="N161" i="5" s="1"/>
  <c r="N164" i="5" s="1"/>
  <c r="N167" i="5" s="1"/>
  <c r="N170" i="5" s="1"/>
  <c r="N173" i="5" s="1"/>
  <c r="N176" i="5" s="1"/>
  <c r="N182" i="5" s="1"/>
  <c r="N185" i="5" s="1"/>
  <c r="N188" i="5" s="1"/>
  <c r="N191" i="5" s="1"/>
  <c r="N194" i="5" s="1"/>
  <c r="N197" i="5" s="1"/>
  <c r="N200" i="5" s="1"/>
  <c r="N203" i="5" s="1"/>
  <c r="N206" i="5" s="1"/>
  <c r="N209" i="5" s="1"/>
  <c r="N212" i="5" s="1"/>
  <c r="N215" i="5" s="1"/>
  <c r="N218" i="5" s="1"/>
  <c r="N221" i="5" s="1"/>
  <c r="N224" i="5" s="1"/>
  <c r="N227" i="5" s="1"/>
  <c r="N230" i="5" s="1"/>
  <c r="N233" i="5" s="1"/>
  <c r="N236" i="5" s="1"/>
  <c r="N239" i="5" s="1"/>
  <c r="N242" i="5" s="1"/>
  <c r="N245" i="5" s="1"/>
  <c r="N248" i="5" s="1"/>
  <c r="N251" i="5" s="1"/>
  <c r="N254" i="5" s="1"/>
  <c r="N257" i="5" s="1"/>
  <c r="N260" i="5" s="1"/>
  <c r="N263" i="5" s="1"/>
  <c r="N266" i="5" s="1"/>
  <c r="N269" i="5" s="1"/>
  <c r="N272" i="5" s="1"/>
  <c r="N275" i="5" s="1"/>
  <c r="N278" i="5" s="1"/>
  <c r="N281" i="5" s="1"/>
  <c r="N284" i="5" s="1"/>
  <c r="N287" i="5" s="1"/>
  <c r="N290" i="5" s="1"/>
  <c r="N293" i="5" s="1"/>
  <c r="N296" i="5" s="1"/>
  <c r="N299" i="5" s="1"/>
  <c r="N302" i="5" s="1"/>
  <c r="N305" i="5" s="1"/>
  <c r="N308" i="5" s="1"/>
  <c r="N311" i="5" s="1"/>
  <c r="N314" i="5" s="1"/>
  <c r="N317" i="5" s="1"/>
  <c r="N320" i="5" s="1"/>
  <c r="N323" i="5" s="1"/>
  <c r="N326" i="5" s="1"/>
  <c r="N329" i="5" s="1"/>
  <c r="N332" i="5" s="1"/>
  <c r="N335" i="5" s="1"/>
  <c r="N338" i="5" s="1"/>
  <c r="N341" i="5" s="1"/>
  <c r="N344" i="5" s="1"/>
  <c r="N347" i="5" s="1"/>
  <c r="N350" i="5" s="1"/>
  <c r="N353" i="5" s="1"/>
  <c r="N356" i="5" s="1"/>
  <c r="N359" i="5" s="1"/>
  <c r="N362" i="5" s="1"/>
  <c r="N365" i="5" s="1"/>
  <c r="N368" i="5" s="1"/>
  <c r="N371" i="5" s="1"/>
  <c r="N374" i="5" s="1"/>
  <c r="N377" i="5" s="1"/>
  <c r="N380" i="5" s="1"/>
  <c r="N383" i="5" s="1"/>
  <c r="N386" i="5" s="1"/>
  <c r="N389" i="5" s="1"/>
  <c r="N392" i="5" s="1"/>
  <c r="N396" i="5" s="1"/>
  <c r="N399" i="5" s="1"/>
  <c r="N402" i="5" s="1"/>
  <c r="N405" i="5" s="1"/>
  <c r="N408" i="5" s="1"/>
  <c r="N411" i="5" s="1"/>
  <c r="N414" i="5" s="1"/>
  <c r="N418" i="5" s="1"/>
  <c r="N421" i="5" s="1"/>
  <c r="N425" i="5" s="1"/>
  <c r="N429" i="5" s="1"/>
  <c r="N432" i="5" s="1"/>
  <c r="N436" i="5" s="1"/>
  <c r="N440" i="5" s="1"/>
  <c r="N444" i="5" s="1"/>
  <c r="N447" i="5" s="1"/>
  <c r="N450" i="5" s="1"/>
  <c r="N453" i="5" s="1"/>
  <c r="N456" i="5" s="1"/>
  <c r="N459" i="5" s="1"/>
  <c r="N463" i="5" s="1"/>
  <c r="N467" i="5" s="1"/>
  <c r="N470" i="5" s="1"/>
  <c r="N473" i="5" s="1"/>
  <c r="N476" i="5" s="1"/>
  <c r="N479" i="5" s="1"/>
  <c r="N482" i="5" s="1"/>
  <c r="N485" i="5" s="1"/>
  <c r="N488" i="5" s="1"/>
  <c r="N491" i="5" s="1"/>
  <c r="N494" i="5" s="1"/>
  <c r="N498" i="5" s="1"/>
  <c r="N501" i="5" s="1"/>
  <c r="N505" i="5" s="1"/>
  <c r="N508" i="5" s="1"/>
  <c r="N511" i="5" s="1"/>
  <c r="N514" i="5" s="1"/>
  <c r="N517" i="5" s="1"/>
  <c r="N520" i="5" s="1"/>
  <c r="N523" i="5" s="1"/>
  <c r="N526" i="5" s="1"/>
  <c r="N529" i="5" s="1"/>
  <c r="N532" i="5" s="1"/>
  <c r="N535" i="5" s="1"/>
  <c r="N538" i="5" s="1"/>
  <c r="N541" i="5" s="1"/>
  <c r="N544" i="5" s="1"/>
  <c r="N547" i="5" s="1"/>
  <c r="N550" i="5" s="1"/>
  <c r="N553" i="5" s="1"/>
  <c r="N556" i="5" s="1"/>
  <c r="N559" i="5" s="1"/>
  <c r="N562" i="5" s="1"/>
  <c r="N565" i="5" s="1"/>
  <c r="N571" i="5" s="1"/>
  <c r="N574" i="5" s="1"/>
  <c r="N577" i="5" s="1"/>
  <c r="N580" i="5" s="1"/>
  <c r="N583" i="5" s="1"/>
  <c r="N586" i="5" s="1"/>
  <c r="N589" i="5" s="1"/>
  <c r="N592" i="5" s="1"/>
  <c r="N595" i="5" s="1"/>
  <c r="N598" i="5" s="1"/>
  <c r="N601" i="5" s="1"/>
  <c r="N604" i="5" s="1"/>
  <c r="N607" i="5" s="1"/>
  <c r="N610" i="5" s="1"/>
  <c r="N613" i="5" s="1"/>
  <c r="N616" i="5" s="1"/>
  <c r="N619" i="5" s="1"/>
  <c r="N622" i="5" s="1"/>
  <c r="N625" i="5" s="1"/>
  <c r="N628" i="5" s="1"/>
  <c r="N631" i="5" s="1"/>
  <c r="N634" i="5" s="1"/>
  <c r="N643" i="5" s="1"/>
  <c r="N646" i="5" s="1"/>
  <c r="N649" i="5" s="1"/>
  <c r="N652" i="5" s="1"/>
  <c r="N655" i="5" s="1"/>
  <c r="N661" i="5" s="1"/>
  <c r="N664" i="5" s="1"/>
  <c r="N670" i="5" s="1"/>
  <c r="N673" i="5" s="1"/>
  <c r="N676" i="5" s="1"/>
  <c r="N679" i="5" s="1"/>
  <c r="N682" i="5" s="1"/>
  <c r="N685" i="5" s="1"/>
  <c r="N688" i="5" s="1"/>
  <c r="N691" i="5" s="1"/>
  <c r="N694" i="5" s="1"/>
  <c r="N697" i="5" s="1"/>
  <c r="N700" i="5" s="1"/>
  <c r="N701" i="5" s="1"/>
  <c r="N715" i="5" s="1"/>
  <c r="N718" i="5" s="1"/>
  <c r="N721" i="5" s="1"/>
  <c r="N724" i="5" s="1"/>
  <c r="N727" i="5" s="1"/>
  <c r="N730" i="5" s="1"/>
  <c r="N733" i="5" s="1"/>
  <c r="N736" i="5" s="1"/>
  <c r="N742" i="5" s="1"/>
  <c r="N748" i="5" s="1"/>
  <c r="N760" i="5" s="1"/>
  <c r="N763" i="5" s="1"/>
  <c r="N766" i="5" s="1"/>
  <c r="N769" i="5" s="1"/>
  <c r="N772" i="5" s="1"/>
  <c r="N775" i="5" s="1"/>
  <c r="N8" i="8"/>
  <c r="N11" i="8" s="1"/>
  <c r="N14" i="8" s="1"/>
  <c r="N17" i="8" s="1"/>
  <c r="N20" i="8" s="1"/>
  <c r="N23" i="8" s="1"/>
  <c r="N26" i="8" s="1"/>
  <c r="N29" i="8" s="1"/>
  <c r="N32" i="8" s="1"/>
  <c r="N35" i="8" s="1"/>
  <c r="N38" i="8" s="1"/>
  <c r="N41" i="8" s="1"/>
  <c r="N44" i="8" s="1"/>
  <c r="N47" i="8" s="1"/>
  <c r="N50" i="8" s="1"/>
  <c r="N53" i="8" s="1"/>
  <c r="N56" i="8" s="1"/>
  <c r="N59" i="8" s="1"/>
  <c r="N62" i="8" s="1"/>
  <c r="N65" i="8" s="1"/>
  <c r="N68" i="8" s="1"/>
  <c r="N71" i="8" s="1"/>
  <c r="N74" i="8" s="1"/>
  <c r="N77" i="8" s="1"/>
  <c r="N80" i="8" s="1"/>
  <c r="N83" i="8" s="1"/>
  <c r="N86" i="8" s="1"/>
  <c r="N89" i="8" s="1"/>
  <c r="N92" i="8" s="1"/>
  <c r="N95" i="8" s="1"/>
  <c r="N113" i="8" s="1"/>
  <c r="N116" i="8" s="1"/>
  <c r="N119" i="8" s="1"/>
  <c r="N122" i="8" s="1"/>
  <c r="N125" i="8" s="1"/>
  <c r="N128" i="8" s="1"/>
  <c r="N131" i="8" s="1"/>
  <c r="N134" i="8" s="1"/>
  <c r="N137" i="8" s="1"/>
  <c r="N140" i="8" s="1"/>
  <c r="N143" i="8" s="1"/>
  <c r="N146" i="8" s="1"/>
  <c r="N149" i="8" s="1"/>
  <c r="N152" i="8" s="1"/>
  <c r="N155" i="8" s="1"/>
  <c r="N158" i="8" s="1"/>
  <c r="N161" i="8" s="1"/>
  <c r="N164" i="8" s="1"/>
  <c r="N167" i="8" s="1"/>
  <c r="N170" i="8" s="1"/>
  <c r="N173" i="8" s="1"/>
  <c r="N176" i="8" s="1"/>
  <c r="N182" i="8" s="1"/>
  <c r="N185" i="8" s="1"/>
  <c r="N188" i="8" s="1"/>
  <c r="N191" i="8" s="1"/>
  <c r="N194" i="8" s="1"/>
  <c r="N197" i="8" s="1"/>
  <c r="N200" i="8" s="1"/>
  <c r="N203" i="8" s="1"/>
  <c r="N206" i="8" s="1"/>
  <c r="N209" i="8" s="1"/>
  <c r="N212" i="8" s="1"/>
  <c r="N215" i="8" s="1"/>
  <c r="N218" i="8" s="1"/>
  <c r="N221" i="8" s="1"/>
  <c r="N224" i="8" s="1"/>
  <c r="N227" i="8" s="1"/>
  <c r="N230" i="8" s="1"/>
  <c r="N233" i="8" s="1"/>
  <c r="N236" i="8" s="1"/>
  <c r="N239" i="8" s="1"/>
  <c r="N242" i="8" s="1"/>
  <c r="N245" i="8" s="1"/>
  <c r="N248" i="8" s="1"/>
  <c r="N251" i="8" s="1"/>
  <c r="N254" i="8" s="1"/>
  <c r="N257" i="8" s="1"/>
  <c r="N260" i="8" s="1"/>
  <c r="N263" i="8" s="1"/>
  <c r="N266" i="8" s="1"/>
  <c r="N269" i="8" s="1"/>
  <c r="N272" i="8" s="1"/>
  <c r="N275" i="8" s="1"/>
  <c r="N278" i="8" s="1"/>
  <c r="N281" i="8" s="1"/>
  <c r="N284" i="8" s="1"/>
  <c r="N287" i="8" s="1"/>
  <c r="N290" i="8" s="1"/>
  <c r="N293" i="8" s="1"/>
  <c r="N296" i="8" s="1"/>
  <c r="N299" i="8" s="1"/>
  <c r="N302" i="8" s="1"/>
  <c r="N305" i="8" s="1"/>
  <c r="N308" i="8" s="1"/>
  <c r="N311" i="8" s="1"/>
  <c r="N314" i="8" s="1"/>
  <c r="N317" i="8" s="1"/>
  <c r="N320" i="8" s="1"/>
  <c r="N323" i="8" s="1"/>
  <c r="N326" i="8" s="1"/>
  <c r="N329" i="8" s="1"/>
  <c r="N332" i="8" s="1"/>
  <c r="N335" i="8" s="1"/>
  <c r="N338" i="8" s="1"/>
  <c r="N341" i="8" s="1"/>
  <c r="N344" i="8" s="1"/>
  <c r="N347" i="8" s="1"/>
  <c r="N350" i="8" s="1"/>
  <c r="N353" i="8" s="1"/>
  <c r="N356" i="8" s="1"/>
  <c r="N359" i="8" s="1"/>
  <c r="N362" i="8" s="1"/>
  <c r="N365" i="8" s="1"/>
  <c r="N368" i="8" s="1"/>
  <c r="N371" i="8" s="1"/>
  <c r="N374" i="8" s="1"/>
  <c r="N377" i="8" s="1"/>
  <c r="N380" i="8" s="1"/>
  <c r="N383" i="8" s="1"/>
  <c r="N386" i="8" s="1"/>
  <c r="N389" i="8" s="1"/>
  <c r="N392" i="8" s="1"/>
  <c r="N396" i="8" s="1"/>
  <c r="N399" i="8" s="1"/>
  <c r="N402" i="8" s="1"/>
  <c r="N405" i="8" s="1"/>
  <c r="N408" i="8" s="1"/>
  <c r="N411" i="8" s="1"/>
  <c r="N414" i="8" s="1"/>
  <c r="N418" i="8" s="1"/>
  <c r="N421" i="8" s="1"/>
  <c r="N425" i="8" s="1"/>
  <c r="N429" i="8" s="1"/>
  <c r="N432" i="8" s="1"/>
  <c r="N436" i="8" s="1"/>
  <c r="N440" i="8" s="1"/>
  <c r="N444" i="8" s="1"/>
  <c r="N447" i="8" s="1"/>
  <c r="N450" i="8" s="1"/>
  <c r="N453" i="8" s="1"/>
  <c r="N456" i="8" s="1"/>
  <c r="N459" i="8" s="1"/>
  <c r="N463" i="8" s="1"/>
  <c r="N467" i="8" s="1"/>
  <c r="N470" i="8" s="1"/>
  <c r="N473" i="8" s="1"/>
  <c r="N476" i="8" s="1"/>
  <c r="N479" i="8" s="1"/>
  <c r="N482" i="8" s="1"/>
  <c r="N485" i="8" s="1"/>
  <c r="N488" i="8" s="1"/>
  <c r="N491" i="8" s="1"/>
  <c r="N494" i="8" s="1"/>
  <c r="N498" i="8" s="1"/>
  <c r="N501" i="8" s="1"/>
  <c r="N505" i="8" s="1"/>
  <c r="N508" i="8" s="1"/>
  <c r="N511" i="8" s="1"/>
  <c r="N514" i="8" s="1"/>
  <c r="N517" i="8" s="1"/>
  <c r="N520" i="8" s="1"/>
  <c r="N523" i="8" s="1"/>
  <c r="N526" i="8" s="1"/>
  <c r="N529" i="8" s="1"/>
  <c r="N532" i="8" s="1"/>
  <c r="N535" i="8" s="1"/>
  <c r="N538" i="8" s="1"/>
  <c r="N541" i="8" s="1"/>
  <c r="N544" i="8" s="1"/>
  <c r="N547" i="8" s="1"/>
  <c r="N550" i="8" s="1"/>
  <c r="N553" i="8" s="1"/>
  <c r="N556" i="8" s="1"/>
  <c r="N559" i="8" s="1"/>
  <c r="N562" i="8" s="1"/>
  <c r="N565" i="8" s="1"/>
  <c r="N571" i="8" s="1"/>
  <c r="N574" i="8" s="1"/>
  <c r="N577" i="8" s="1"/>
  <c r="N580" i="8" s="1"/>
  <c r="N583" i="8" s="1"/>
  <c r="N586" i="8" s="1"/>
  <c r="N589" i="8" s="1"/>
  <c r="N592" i="8" s="1"/>
  <c r="N595" i="8" s="1"/>
  <c r="N598" i="8" s="1"/>
  <c r="N601" i="8" s="1"/>
  <c r="N604" i="8" s="1"/>
  <c r="N607" i="8" s="1"/>
  <c r="N610" i="8" s="1"/>
  <c r="N613" i="8" s="1"/>
  <c r="N616" i="8" s="1"/>
  <c r="N619" i="8" s="1"/>
  <c r="N622" i="8" s="1"/>
  <c r="N625" i="8" s="1"/>
  <c r="N628" i="8" s="1"/>
  <c r="N631" i="8" s="1"/>
  <c r="N634" i="8" s="1"/>
  <c r="N643" i="8" s="1"/>
  <c r="N646" i="8" s="1"/>
  <c r="N649" i="8" s="1"/>
  <c r="N652" i="8" s="1"/>
  <c r="N655" i="8" s="1"/>
  <c r="N661" i="8" s="1"/>
  <c r="N664" i="8" s="1"/>
  <c r="N670" i="8" s="1"/>
  <c r="N673" i="8" s="1"/>
  <c r="N676" i="8" s="1"/>
  <c r="N679" i="8" s="1"/>
  <c r="N682" i="8" s="1"/>
  <c r="N685" i="8" s="1"/>
  <c r="N688" i="8" s="1"/>
  <c r="N691" i="8" s="1"/>
  <c r="N694" i="8" s="1"/>
  <c r="N697" i="8" s="1"/>
  <c r="N700" i="8" s="1"/>
  <c r="N701" i="8" s="1"/>
  <c r="N715" i="8" s="1"/>
  <c r="N718" i="8" s="1"/>
  <c r="N721" i="8" s="1"/>
  <c r="N724" i="8" s="1"/>
  <c r="N727" i="8" s="1"/>
  <c r="N730" i="8" s="1"/>
  <c r="N733" i="8" s="1"/>
  <c r="N736" i="8" s="1"/>
  <c r="N742" i="8" s="1"/>
  <c r="N748" i="8" s="1"/>
  <c r="N760" i="8" s="1"/>
  <c r="N763" i="8" s="1"/>
  <c r="N766" i="8" s="1"/>
  <c r="N769" i="8" s="1"/>
  <c r="N772" i="8" s="1"/>
  <c r="N775" i="8" s="1"/>
  <c r="N784" i="8" s="1"/>
  <c r="N787" i="8" s="1"/>
  <c r="N790" i="8" s="1"/>
  <c r="N793" i="8" s="1"/>
  <c r="N796" i="8" s="1"/>
  <c r="N802" i="8" s="1"/>
  <c r="N805" i="8" s="1"/>
  <c r="N808" i="8" s="1"/>
  <c r="N811" i="8" s="1"/>
  <c r="N814" i="8" s="1"/>
  <c r="N853" i="8" s="1"/>
  <c r="N8" i="6"/>
  <c r="N11" i="6" s="1"/>
  <c r="N14" i="6" s="1"/>
  <c r="N17" i="6" s="1"/>
  <c r="N20" i="6" s="1"/>
  <c r="N23" i="6" s="1"/>
  <c r="N26" i="6" s="1"/>
  <c r="N29" i="6" s="1"/>
  <c r="N32" i="6" s="1"/>
  <c r="N35" i="6" s="1"/>
  <c r="N38" i="6" s="1"/>
  <c r="N41" i="6" s="1"/>
  <c r="N44" i="6" s="1"/>
  <c r="N47" i="6" s="1"/>
  <c r="N50" i="6" s="1"/>
  <c r="N53" i="6" s="1"/>
  <c r="N56" i="6" s="1"/>
  <c r="N59" i="6" s="1"/>
  <c r="N62" i="6" s="1"/>
  <c r="N65" i="6" s="1"/>
  <c r="N68" i="6" s="1"/>
  <c r="N71" i="6" s="1"/>
  <c r="N74" i="6" s="1"/>
  <c r="N77" i="6" s="1"/>
  <c r="N80" i="6" s="1"/>
  <c r="N83" i="6" s="1"/>
  <c r="N86" i="6" s="1"/>
  <c r="N89" i="6" s="1"/>
  <c r="N92" i="6" s="1"/>
  <c r="N95" i="6" s="1"/>
  <c r="N113" i="6" s="1"/>
  <c r="N116" i="6" s="1"/>
  <c r="N119" i="6" s="1"/>
  <c r="N122" i="6" s="1"/>
  <c r="N125" i="6" s="1"/>
  <c r="N128" i="6" s="1"/>
  <c r="N131" i="6" s="1"/>
  <c r="N134" i="6" s="1"/>
  <c r="N137" i="6" s="1"/>
  <c r="N140" i="6" s="1"/>
  <c r="N143" i="6" s="1"/>
  <c r="N146" i="6" s="1"/>
  <c r="N149" i="6" s="1"/>
  <c r="N152" i="6" s="1"/>
  <c r="N155" i="6" s="1"/>
  <c r="N158" i="6" s="1"/>
  <c r="N161" i="6" s="1"/>
  <c r="N164" i="6" s="1"/>
  <c r="N167" i="6" s="1"/>
  <c r="N170" i="6" s="1"/>
  <c r="N173" i="6" s="1"/>
  <c r="N176" i="6" s="1"/>
  <c r="N182" i="6" s="1"/>
  <c r="N185" i="6" s="1"/>
  <c r="N188" i="6" s="1"/>
  <c r="N191" i="6" s="1"/>
  <c r="N194" i="6" s="1"/>
  <c r="N197" i="6" s="1"/>
  <c r="N200" i="6" s="1"/>
  <c r="N203" i="6" s="1"/>
  <c r="N206" i="6" s="1"/>
  <c r="N209" i="6" s="1"/>
  <c r="N212" i="6" s="1"/>
  <c r="N215" i="6" s="1"/>
  <c r="N218" i="6" s="1"/>
  <c r="N221" i="6" s="1"/>
  <c r="N224" i="6" s="1"/>
  <c r="N227" i="6" s="1"/>
  <c r="N230" i="6" s="1"/>
  <c r="N233" i="6" s="1"/>
  <c r="N236" i="6" s="1"/>
  <c r="N239" i="6" s="1"/>
  <c r="N242" i="6" s="1"/>
  <c r="N245" i="6" s="1"/>
  <c r="N248" i="6" s="1"/>
  <c r="N251" i="6" s="1"/>
  <c r="N254" i="6" s="1"/>
  <c r="N257" i="6" s="1"/>
  <c r="N260" i="6" s="1"/>
  <c r="N263" i="6" s="1"/>
  <c r="N266" i="6" s="1"/>
  <c r="N269" i="6" s="1"/>
  <c r="N272" i="6" s="1"/>
  <c r="N275" i="6" s="1"/>
  <c r="N278" i="6" s="1"/>
  <c r="N281" i="6" s="1"/>
  <c r="N284" i="6" s="1"/>
  <c r="N287" i="6" s="1"/>
  <c r="N290" i="6" s="1"/>
  <c r="N293" i="6" s="1"/>
  <c r="N296" i="6" s="1"/>
  <c r="N299" i="6" s="1"/>
  <c r="N302" i="6" s="1"/>
  <c r="N305" i="6" s="1"/>
  <c r="N308" i="6" s="1"/>
  <c r="N311" i="6" s="1"/>
  <c r="N314" i="6" s="1"/>
  <c r="N317" i="6" s="1"/>
  <c r="N320" i="6" s="1"/>
  <c r="N323" i="6" s="1"/>
  <c r="N326" i="6" s="1"/>
  <c r="N329" i="6" s="1"/>
  <c r="N332" i="6" s="1"/>
  <c r="N335" i="6" s="1"/>
  <c r="N338" i="6" s="1"/>
  <c r="N341" i="6" s="1"/>
  <c r="N344" i="6" s="1"/>
  <c r="N347" i="6" s="1"/>
  <c r="N350" i="6" s="1"/>
  <c r="N353" i="6" s="1"/>
  <c r="N356" i="6" s="1"/>
  <c r="N359" i="6" s="1"/>
  <c r="N362" i="6" s="1"/>
  <c r="N365" i="6" s="1"/>
  <c r="N368" i="6" s="1"/>
  <c r="N371" i="6" s="1"/>
  <c r="N374" i="6" s="1"/>
  <c r="N377" i="6" s="1"/>
  <c r="N380" i="6" s="1"/>
  <c r="N383" i="6" s="1"/>
  <c r="N386" i="6" s="1"/>
  <c r="N389" i="6" s="1"/>
  <c r="N392" i="6" s="1"/>
  <c r="N396" i="6" s="1"/>
  <c r="N399" i="6" s="1"/>
  <c r="N402" i="6" s="1"/>
  <c r="N405" i="6" s="1"/>
  <c r="N408" i="6" s="1"/>
  <c r="N411" i="6" s="1"/>
  <c r="N414" i="6" s="1"/>
  <c r="N418" i="6" s="1"/>
  <c r="N421" i="6" s="1"/>
  <c r="N425" i="6" s="1"/>
  <c r="N429" i="6" s="1"/>
  <c r="N432" i="6" s="1"/>
  <c r="N436" i="6" s="1"/>
  <c r="N440" i="6" s="1"/>
  <c r="N444" i="6" s="1"/>
  <c r="N447" i="6" s="1"/>
  <c r="N450" i="6" s="1"/>
  <c r="N453" i="6" s="1"/>
  <c r="N456" i="6" s="1"/>
  <c r="N459" i="6" s="1"/>
  <c r="N463" i="6" s="1"/>
  <c r="N467" i="6" s="1"/>
  <c r="N470" i="6" s="1"/>
  <c r="N473" i="6" s="1"/>
  <c r="N476" i="6" s="1"/>
  <c r="N479" i="6" s="1"/>
  <c r="N482" i="6" s="1"/>
  <c r="N485" i="6" s="1"/>
  <c r="N488" i="6" s="1"/>
  <c r="N491" i="6" s="1"/>
  <c r="N494" i="6" s="1"/>
  <c r="N498" i="6" s="1"/>
  <c r="N501" i="6" s="1"/>
  <c r="N505" i="6" s="1"/>
  <c r="N508" i="6" s="1"/>
  <c r="N511" i="6" s="1"/>
  <c r="N514" i="6" s="1"/>
  <c r="N517" i="6" s="1"/>
  <c r="N520" i="6" s="1"/>
  <c r="N523" i="6" s="1"/>
  <c r="N526" i="6" s="1"/>
  <c r="N529" i="6" s="1"/>
  <c r="N532" i="6" s="1"/>
  <c r="N535" i="6" s="1"/>
  <c r="N538" i="6" s="1"/>
  <c r="N541" i="6" s="1"/>
  <c r="N544" i="6" s="1"/>
  <c r="N547" i="6" s="1"/>
  <c r="N550" i="6" s="1"/>
  <c r="N553" i="6" s="1"/>
  <c r="N556" i="6" s="1"/>
  <c r="N559" i="6" s="1"/>
  <c r="N562" i="6" s="1"/>
  <c r="N565" i="6" s="1"/>
  <c r="N571" i="6" s="1"/>
  <c r="N574" i="6" s="1"/>
  <c r="N577" i="6" s="1"/>
  <c r="N580" i="6" s="1"/>
  <c r="N583" i="6" s="1"/>
  <c r="N586" i="6" s="1"/>
  <c r="N589" i="6" s="1"/>
  <c r="N592" i="6" s="1"/>
  <c r="N595" i="6" s="1"/>
  <c r="N598" i="6" s="1"/>
  <c r="N601" i="6" s="1"/>
  <c r="N604" i="6" s="1"/>
  <c r="N607" i="6" s="1"/>
  <c r="N610" i="6" s="1"/>
  <c r="N613" i="6" s="1"/>
  <c r="N616" i="6" s="1"/>
  <c r="N619" i="6" s="1"/>
  <c r="N622" i="6" s="1"/>
  <c r="N625" i="6" s="1"/>
  <c r="N628" i="6" s="1"/>
  <c r="N631" i="6" s="1"/>
  <c r="N634" i="6" s="1"/>
  <c r="N643" i="6" s="1"/>
  <c r="N646" i="6" s="1"/>
  <c r="N649" i="6" s="1"/>
  <c r="N652" i="6" s="1"/>
  <c r="N655" i="6" s="1"/>
  <c r="N661" i="6" s="1"/>
  <c r="N664" i="6" s="1"/>
  <c r="N670" i="6" s="1"/>
  <c r="N673" i="6" s="1"/>
  <c r="N676" i="6" s="1"/>
  <c r="N679" i="6" s="1"/>
  <c r="N682" i="6" s="1"/>
  <c r="N685" i="6" s="1"/>
  <c r="N688" i="6" s="1"/>
  <c r="N691" i="6" s="1"/>
  <c r="N694" i="6" s="1"/>
  <c r="N697" i="6" s="1"/>
  <c r="N700" i="6" s="1"/>
  <c r="N701" i="6" s="1"/>
  <c r="N715" i="6" s="1"/>
  <c r="N718" i="6" s="1"/>
  <c r="N721" i="6" s="1"/>
  <c r="N724" i="6" s="1"/>
  <c r="N727" i="6" s="1"/>
  <c r="N730" i="6" s="1"/>
  <c r="N733" i="6" s="1"/>
  <c r="N736" i="6" s="1"/>
  <c r="N742" i="6" s="1"/>
  <c r="N748" i="6" s="1"/>
  <c r="N760" i="6" s="1"/>
  <c r="N763" i="6" s="1"/>
  <c r="N766" i="6" s="1"/>
  <c r="N769" i="6" s="1"/>
  <c r="N772" i="6" s="1"/>
  <c r="N775" i="6" s="1"/>
  <c r="N784" i="6" s="1"/>
  <c r="N787" i="6" s="1"/>
  <c r="N790" i="6" s="1"/>
  <c r="N793" i="6" s="1"/>
  <c r="N796" i="6" s="1"/>
  <c r="N8" i="7"/>
  <c r="N11" i="7" s="1"/>
  <c r="N14" i="7" s="1"/>
  <c r="N17" i="7" s="1"/>
  <c r="N20" i="7" s="1"/>
  <c r="N23" i="7" s="1"/>
  <c r="N26" i="7" s="1"/>
  <c r="N29" i="7" s="1"/>
  <c r="N32" i="7" s="1"/>
  <c r="N35" i="7" s="1"/>
  <c r="N38" i="7" s="1"/>
  <c r="N41" i="7" s="1"/>
  <c r="N44" i="7" s="1"/>
  <c r="N47" i="7" s="1"/>
  <c r="N50" i="7" s="1"/>
  <c r="N53" i="7" s="1"/>
  <c r="N56" i="7" s="1"/>
  <c r="N59" i="7" s="1"/>
  <c r="N62" i="7" s="1"/>
  <c r="N65" i="7" s="1"/>
  <c r="N68" i="7" s="1"/>
  <c r="N71" i="7" s="1"/>
  <c r="N74" i="7" s="1"/>
  <c r="N77" i="7" s="1"/>
  <c r="N80" i="7" s="1"/>
  <c r="N83" i="7" s="1"/>
  <c r="N86" i="7" s="1"/>
  <c r="N89" i="7" s="1"/>
  <c r="N92" i="7" s="1"/>
  <c r="N95" i="7" s="1"/>
  <c r="N113" i="7" s="1"/>
  <c r="N116" i="7" s="1"/>
  <c r="N119" i="7" s="1"/>
  <c r="N122" i="7" s="1"/>
  <c r="N125" i="7" s="1"/>
  <c r="N128" i="7" s="1"/>
  <c r="N131" i="7" s="1"/>
  <c r="N134" i="7" s="1"/>
  <c r="N137" i="7" s="1"/>
  <c r="N140" i="7" s="1"/>
  <c r="N143" i="7" s="1"/>
  <c r="N146" i="7" s="1"/>
  <c r="N149" i="7" s="1"/>
  <c r="N152" i="7" s="1"/>
  <c r="N155" i="7" s="1"/>
  <c r="N158" i="7" s="1"/>
  <c r="N161" i="7" s="1"/>
  <c r="N164" i="7" s="1"/>
  <c r="N167" i="7" s="1"/>
  <c r="N170" i="7" s="1"/>
  <c r="N173" i="7" s="1"/>
  <c r="N176" i="7" s="1"/>
  <c r="N182" i="7" s="1"/>
  <c r="N185" i="7" s="1"/>
  <c r="N188" i="7" s="1"/>
  <c r="N191" i="7" s="1"/>
  <c r="N194" i="7" s="1"/>
  <c r="N197" i="7" s="1"/>
  <c r="N200" i="7" s="1"/>
  <c r="N203" i="7" s="1"/>
  <c r="N206" i="7" s="1"/>
  <c r="N209" i="7" s="1"/>
  <c r="N212" i="7" s="1"/>
  <c r="N215" i="7" s="1"/>
  <c r="N218" i="7" s="1"/>
  <c r="N221" i="7" s="1"/>
  <c r="N224" i="7" s="1"/>
  <c r="N227" i="7" s="1"/>
  <c r="N230" i="7" s="1"/>
  <c r="N233" i="7" s="1"/>
  <c r="N236" i="7" s="1"/>
  <c r="N239" i="7" s="1"/>
  <c r="N242" i="7" s="1"/>
  <c r="N245" i="7" s="1"/>
  <c r="N248" i="7" s="1"/>
  <c r="N251" i="7" s="1"/>
  <c r="N254" i="7" s="1"/>
  <c r="N257" i="7" s="1"/>
  <c r="N260" i="7" s="1"/>
  <c r="N263" i="7" s="1"/>
  <c r="N266" i="7" s="1"/>
  <c r="N269" i="7" s="1"/>
  <c r="N272" i="7" s="1"/>
  <c r="N275" i="7" s="1"/>
  <c r="N278" i="7" s="1"/>
  <c r="N281" i="7" s="1"/>
  <c r="N284" i="7" s="1"/>
  <c r="N287" i="7" s="1"/>
  <c r="N290" i="7" s="1"/>
  <c r="N293" i="7" s="1"/>
  <c r="N296" i="7" s="1"/>
  <c r="N299" i="7" s="1"/>
  <c r="N302" i="7" s="1"/>
  <c r="N305" i="7" s="1"/>
  <c r="N308" i="7" s="1"/>
  <c r="N311" i="7" s="1"/>
  <c r="N314" i="7" s="1"/>
  <c r="N317" i="7" s="1"/>
  <c r="N320" i="7" s="1"/>
  <c r="N323" i="7" s="1"/>
  <c r="N326" i="7" s="1"/>
  <c r="N329" i="7" s="1"/>
  <c r="N332" i="7" s="1"/>
  <c r="N335" i="7" s="1"/>
  <c r="N338" i="7" s="1"/>
  <c r="N341" i="7" s="1"/>
  <c r="N344" i="7" s="1"/>
  <c r="N347" i="7" s="1"/>
  <c r="N350" i="7" s="1"/>
  <c r="N353" i="7" s="1"/>
  <c r="N356" i="7" s="1"/>
  <c r="N359" i="7" s="1"/>
  <c r="N362" i="7" s="1"/>
  <c r="N365" i="7" s="1"/>
  <c r="N368" i="7" s="1"/>
  <c r="N371" i="7" s="1"/>
  <c r="N374" i="7" s="1"/>
  <c r="N377" i="7" s="1"/>
  <c r="N380" i="7" s="1"/>
  <c r="N383" i="7" s="1"/>
  <c r="N386" i="7" s="1"/>
  <c r="N389" i="7" s="1"/>
  <c r="N392" i="7" s="1"/>
  <c r="N396" i="7" s="1"/>
  <c r="N399" i="7" s="1"/>
  <c r="N402" i="7" s="1"/>
  <c r="N405" i="7" s="1"/>
  <c r="N408" i="7" s="1"/>
  <c r="N411" i="7" s="1"/>
  <c r="N414" i="7" s="1"/>
  <c r="N418" i="7" s="1"/>
  <c r="N421" i="7" s="1"/>
  <c r="N425" i="7" s="1"/>
  <c r="N429" i="7" s="1"/>
  <c r="N432" i="7" s="1"/>
  <c r="N436" i="7" s="1"/>
  <c r="N440" i="7" s="1"/>
  <c r="N444" i="7" s="1"/>
  <c r="N447" i="7" s="1"/>
  <c r="N450" i="7" s="1"/>
  <c r="N453" i="7" s="1"/>
  <c r="N456" i="7" s="1"/>
  <c r="N459" i="7" s="1"/>
  <c r="N463" i="7" s="1"/>
  <c r="N467" i="7" s="1"/>
  <c r="N470" i="7" s="1"/>
  <c r="N473" i="7" s="1"/>
  <c r="N476" i="7" s="1"/>
  <c r="N479" i="7" s="1"/>
  <c r="N482" i="7" s="1"/>
  <c r="N485" i="7" s="1"/>
  <c r="N488" i="7" s="1"/>
  <c r="N491" i="7" s="1"/>
  <c r="N494" i="7" s="1"/>
  <c r="N498" i="7" s="1"/>
  <c r="N501" i="7" s="1"/>
  <c r="N505" i="7" s="1"/>
  <c r="N508" i="7" s="1"/>
  <c r="N511" i="7" s="1"/>
  <c r="N514" i="7" s="1"/>
  <c r="N517" i="7" s="1"/>
  <c r="N520" i="7" s="1"/>
  <c r="N523" i="7" s="1"/>
  <c r="N526" i="7" s="1"/>
  <c r="N529" i="7" s="1"/>
  <c r="N532" i="7" s="1"/>
  <c r="N535" i="7" s="1"/>
  <c r="N538" i="7" s="1"/>
  <c r="N541" i="7" s="1"/>
  <c r="N544" i="7" s="1"/>
  <c r="N547" i="7" s="1"/>
  <c r="N550" i="7" s="1"/>
  <c r="N553" i="7" s="1"/>
  <c r="N556" i="7" s="1"/>
  <c r="N559" i="7" s="1"/>
  <c r="N562" i="7" s="1"/>
  <c r="N565" i="7" s="1"/>
  <c r="N571" i="7" s="1"/>
  <c r="N574" i="7" s="1"/>
  <c r="N577" i="7" s="1"/>
  <c r="N580" i="7" s="1"/>
  <c r="N583" i="7" s="1"/>
  <c r="N586" i="7" s="1"/>
  <c r="N589" i="7" s="1"/>
  <c r="N592" i="7" s="1"/>
  <c r="N595" i="7" s="1"/>
  <c r="N598" i="7" s="1"/>
  <c r="N601" i="7" s="1"/>
  <c r="N604" i="7" s="1"/>
  <c r="N607" i="7" s="1"/>
  <c r="N610" i="7" s="1"/>
  <c r="N613" i="7" s="1"/>
  <c r="N616" i="7" s="1"/>
  <c r="N619" i="7" s="1"/>
  <c r="N622" i="7" s="1"/>
  <c r="N625" i="7" s="1"/>
  <c r="N628" i="7" s="1"/>
  <c r="N631" i="7" s="1"/>
  <c r="N634" i="7" s="1"/>
  <c r="N643" i="7" s="1"/>
  <c r="N646" i="7" s="1"/>
  <c r="N649" i="7" s="1"/>
  <c r="N652" i="7" s="1"/>
  <c r="N655" i="7" s="1"/>
  <c r="N661" i="7" s="1"/>
  <c r="N664" i="7" s="1"/>
  <c r="N670" i="7" s="1"/>
  <c r="N673" i="7" s="1"/>
  <c r="N676" i="7" s="1"/>
  <c r="N679" i="7" s="1"/>
  <c r="N682" i="7" s="1"/>
  <c r="N685" i="7" s="1"/>
  <c r="N688" i="7" s="1"/>
  <c r="N691" i="7" s="1"/>
  <c r="N694" i="7" s="1"/>
  <c r="N697" i="7" s="1"/>
  <c r="N700" i="7" s="1"/>
  <c r="N701" i="7" s="1"/>
  <c r="N715" i="7" s="1"/>
  <c r="N718" i="7" s="1"/>
  <c r="N721" i="7" s="1"/>
  <c r="N724" i="7" s="1"/>
  <c r="N727" i="7" s="1"/>
  <c r="N730" i="7" s="1"/>
  <c r="N733" i="7" s="1"/>
  <c r="N736" i="7" s="1"/>
  <c r="N742" i="7" s="1"/>
  <c r="N748" i="7" s="1"/>
  <c r="N760" i="7" s="1"/>
  <c r="N763" i="7" s="1"/>
  <c r="N766" i="7" s="1"/>
  <c r="N769" i="7" s="1"/>
  <c r="N772" i="7" s="1"/>
  <c r="N775" i="7" s="1"/>
  <c r="N784" i="7" s="1"/>
  <c r="N787" i="7" s="1"/>
  <c r="N790" i="7" s="1"/>
  <c r="N793" i="7" s="1"/>
  <c r="N796" i="7" s="1"/>
  <c r="N802" i="7" s="1"/>
  <c r="N805" i="7" s="1"/>
  <c r="N808" i="7" s="1"/>
  <c r="N811" i="7" s="1"/>
  <c r="N814" i="7" s="1"/>
  <c r="N853" i="7" s="1"/>
  <c r="S556" i="3"/>
  <c r="S560" i="3"/>
  <c r="S562" i="3"/>
  <c r="S564" i="3"/>
  <c r="V558" i="3"/>
  <c r="U564" i="3"/>
  <c r="U566" i="3"/>
  <c r="V564" i="3"/>
  <c r="V556" i="3"/>
  <c r="V555" i="3"/>
  <c r="S554" i="3"/>
  <c r="S566" i="3"/>
  <c r="T554" i="3"/>
  <c r="T556" i="3"/>
  <c r="T558" i="3"/>
  <c r="T560" i="3"/>
  <c r="T562" i="3"/>
  <c r="T564" i="3"/>
  <c r="U560" i="3"/>
  <c r="V563" i="3"/>
  <c r="S553" i="3"/>
  <c r="S555" i="3"/>
  <c r="S557" i="3"/>
  <c r="S559" i="3"/>
  <c r="S561" i="3"/>
  <c r="S563" i="3"/>
  <c r="S565" i="3"/>
  <c r="S567" i="3"/>
  <c r="V562" i="3"/>
  <c r="V554" i="3"/>
  <c r="T559" i="3"/>
  <c r="T561" i="3"/>
  <c r="T563" i="3"/>
  <c r="T565" i="3"/>
  <c r="T567" i="3"/>
  <c r="V561" i="3"/>
  <c r="V553" i="3"/>
  <c r="S552" i="3"/>
  <c r="S558" i="3"/>
  <c r="V566" i="3"/>
  <c r="T552" i="3"/>
  <c r="T566" i="3"/>
  <c r="U552" i="3"/>
  <c r="U554" i="3"/>
  <c r="U556" i="3"/>
  <c r="U558" i="3"/>
  <c r="U562" i="3"/>
  <c r="T553" i="3"/>
  <c r="T555" i="3"/>
  <c r="U553" i="3"/>
  <c r="U555" i="3"/>
  <c r="U557" i="3"/>
  <c r="U559" i="3"/>
  <c r="U561" i="3"/>
  <c r="U563" i="3"/>
  <c r="U565" i="3"/>
  <c r="U567" i="3"/>
  <c r="V560" i="3"/>
  <c r="V552" i="3"/>
  <c r="N784" i="5" l="1"/>
  <c r="N787" i="5" s="1"/>
  <c r="N790" i="5" s="1"/>
  <c r="N793" i="5" s="1"/>
  <c r="N796" i="5" s="1"/>
  <c r="N802" i="5" s="1"/>
  <c r="N805" i="5" s="1"/>
  <c r="N808" i="5" s="1"/>
  <c r="N811" i="5" s="1"/>
  <c r="N814" i="5" s="1"/>
  <c r="N853" i="5" s="1"/>
  <c r="N802" i="6"/>
  <c r="N805" i="6" s="1"/>
  <c r="N808" i="6" s="1"/>
  <c r="N811" i="6" s="1"/>
  <c r="N814" i="6" s="1"/>
  <c r="N853" i="6" s="1"/>
</calcChain>
</file>

<file path=xl/sharedStrings.xml><?xml version="1.0" encoding="utf-8"?>
<sst xmlns="http://schemas.openxmlformats.org/spreadsheetml/2006/main" count="5283" uniqueCount="98">
  <si>
    <t>ug/l</t>
  </si>
  <si>
    <t>ug/L</t>
  </si>
  <si>
    <t>STA</t>
  </si>
  <si>
    <t>DATE</t>
  </si>
  <si>
    <t>YEAR</t>
  </si>
  <si>
    <t>MONTH</t>
  </si>
  <si>
    <t>MONTH#</t>
  </si>
  <si>
    <t>[TChl a]</t>
  </si>
  <si>
    <t>Perid</t>
  </si>
  <si>
    <t>But fuco</t>
  </si>
  <si>
    <t>Fuco</t>
  </si>
  <si>
    <t>Zea</t>
  </si>
  <si>
    <t>Gyr diester</t>
  </si>
  <si>
    <t>duplicate</t>
  </si>
  <si>
    <t>OCTOBER</t>
  </si>
  <si>
    <t>no data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</si>
  <si>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</si>
  <si>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</si>
  <si>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</si>
  <si>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</si>
  <si>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</si>
  <si>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</si>
  <si>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</si>
  <si>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</si>
  <si>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</si>
  <si>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</si>
  <si>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</si>
  <si>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 xml:space="preserve"> no data</t>
  </si>
  <si>
    <t>February</t>
  </si>
  <si>
    <t>March</t>
  </si>
  <si>
    <t>April</t>
  </si>
  <si>
    <t>May</t>
  </si>
  <si>
    <t>June</t>
  </si>
  <si>
    <t>July</t>
  </si>
  <si>
    <t>August</t>
  </si>
  <si>
    <t>Septemeber</t>
  </si>
  <si>
    <t>October</t>
  </si>
  <si>
    <t>November</t>
  </si>
  <si>
    <t>December</t>
  </si>
  <si>
    <t>January</t>
  </si>
  <si>
    <t>September</t>
  </si>
  <si>
    <t>dup</t>
    <phoneticPr fontId="1" type="noConversion"/>
  </si>
  <si>
    <t>Average</t>
    <phoneticPr fontId="1" type="noConversion"/>
  </si>
  <si>
    <t>Average</t>
    <phoneticPr fontId="1" type="noConversion"/>
  </si>
  <si>
    <t>1999</t>
    <phoneticPr fontId="1" type="noConversion"/>
  </si>
  <si>
    <t>2000</t>
    <phoneticPr fontId="1" type="noConversion"/>
  </si>
  <si>
    <t>2001</t>
    <phoneticPr fontId="1" type="noConversion"/>
  </si>
  <si>
    <t>2002</t>
    <phoneticPr fontId="1" type="noConversion"/>
  </si>
  <si>
    <t>2003</t>
    <phoneticPr fontId="1" type="noConversion"/>
  </si>
  <si>
    <t>2004</t>
    <phoneticPr fontId="1" type="noConversion"/>
  </si>
  <si>
    <t>2005</t>
    <phoneticPr fontId="1" type="noConversion"/>
  </si>
  <si>
    <t>2006</t>
    <phoneticPr fontId="1" type="noConversion"/>
  </si>
  <si>
    <t>2007</t>
    <phoneticPr fontId="1" type="noConversion"/>
  </si>
  <si>
    <t>2008</t>
    <phoneticPr fontId="1" type="noConversion"/>
  </si>
  <si>
    <t>2009</t>
    <phoneticPr fontId="1" type="noConversion"/>
  </si>
  <si>
    <t>2010</t>
    <phoneticPr fontId="1" type="noConversion"/>
  </si>
  <si>
    <t>2010</t>
    <phoneticPr fontId="1" type="noConversion"/>
  </si>
  <si>
    <t>2011</t>
    <phoneticPr fontId="1" type="noConversion"/>
  </si>
  <si>
    <t>2011</t>
    <phoneticPr fontId="1" type="noConversion"/>
  </si>
  <si>
    <t>2012</t>
    <phoneticPr fontId="1" type="noConversion"/>
  </si>
  <si>
    <t>2013</t>
    <phoneticPr fontId="1" type="noConversion"/>
  </si>
  <si>
    <t>2014</t>
    <phoneticPr fontId="1" type="noConversion"/>
  </si>
  <si>
    <t>Year</t>
    <phoneticPr fontId="1" type="noConversion"/>
  </si>
  <si>
    <t>1999</t>
    <phoneticPr fontId="1" type="noConversion"/>
  </si>
  <si>
    <t>2000</t>
    <phoneticPr fontId="1" type="noConversion"/>
  </si>
  <si>
    <t>2001</t>
    <phoneticPr fontId="1" type="noConversion"/>
  </si>
  <si>
    <t>2002</t>
    <phoneticPr fontId="1" type="noConversion"/>
  </si>
  <si>
    <t>2004</t>
    <phoneticPr fontId="1" type="noConversion"/>
  </si>
  <si>
    <t>2006</t>
    <phoneticPr fontId="1" type="noConversion"/>
  </si>
  <si>
    <t>2007</t>
    <phoneticPr fontId="1" type="noConversion"/>
  </si>
  <si>
    <t>2008</t>
    <phoneticPr fontId="1" type="noConversion"/>
  </si>
  <si>
    <t>2009</t>
    <phoneticPr fontId="1" type="noConversion"/>
  </si>
  <si>
    <t>2012</t>
    <phoneticPr fontId="1" type="noConversion"/>
  </si>
  <si>
    <t>2013</t>
    <phoneticPr fontId="1" type="noConversion"/>
  </si>
  <si>
    <t>dup</t>
    <phoneticPr fontId="1" type="noConversion"/>
  </si>
  <si>
    <t>Perid/Chl a</t>
    <phoneticPr fontId="1" type="noConversion"/>
  </si>
  <si>
    <t>But fuco/Chl a</t>
    <phoneticPr fontId="1" type="noConversion"/>
  </si>
  <si>
    <t>Fuco/Chl a</t>
    <phoneticPr fontId="1" type="noConversion"/>
  </si>
  <si>
    <t>Zea/Chl a</t>
    <phoneticPr fontId="1" type="noConversion"/>
  </si>
  <si>
    <t>average</t>
  </si>
  <si>
    <t>peridin</t>
  </si>
  <si>
    <t>perid/chl</t>
  </si>
  <si>
    <t>CUSUM</t>
  </si>
  <si>
    <t>butfuco/chl</t>
  </si>
  <si>
    <t>fuco/CHL</t>
  </si>
  <si>
    <t>zea/chl</t>
  </si>
  <si>
    <t>mean</t>
  </si>
  <si>
    <t>stdev</t>
  </si>
  <si>
    <t>z acore</t>
  </si>
  <si>
    <t>Chlorophyll</t>
  </si>
  <si>
    <t>graphs not updated for 2020-2024 data</t>
  </si>
  <si>
    <t>unassigned</t>
  </si>
  <si>
    <t>values in July</t>
  </si>
  <si>
    <t>values in</t>
  </si>
  <si>
    <t>2022 not yet</t>
  </si>
  <si>
    <t>available</t>
  </si>
  <si>
    <t>remaining</t>
  </si>
  <si>
    <t>dates unavail.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</si>
</sst>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[$-409]mmm\-yy;@"/>
  </numFmts>
  <fonts count="19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4"/>
      <color indexed="41"/>
      <name val="Geneva"/>
      <family val="2"/>
    </font>
    <font>
      <sz val="10"/>
      <color indexed="12"/>
      <name val="Geneva"/>
      <family val="2"/>
    </font>
    <font>
      <sz val="11"/>
      <color rgb="FF0070C0"/>
      <name val="Calibri"/>
      <family val="3"/>
      <charset val="134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neva"/>
      <family val="2"/>
    </font>
    <font>
      <sz val="8"/>
      <name val="Arial"/>
      <family val="2"/>
    </font>
    <font>
      <sz val="10"/>
      <color indexed="8"/>
      <name val="Helv"/>
    </font>
    <font>
      <sz val="10"/>
      <name val="Geneva"/>
      <family val="2"/>
    </font>
    <font>
      <sz val="10"/>
      <name val="Geneva"/>
      <family val="2"/>
    </font>
    <font>
      <sz val="10"/>
      <color rgb="FFFF0000"/>
      <name val="Arial"/>
      <family val="2"/>
    </font>
    <font>
      <sz val="10"/>
      <color rgb="FFFF0000"/>
      <name val="Geneva"/>
      <family val="2"/>
    </font>
    <font>
      <sz val="11"/>
      <color rgb="FFFF0000"/>
      <name val="Calibri"/>
      <family val="2"/>
      <scheme val="minor"/>
    </font>
    <font>
      <sz val="10"/>
      <name val="Helv"/>
    </font>
    <font>
      <b/>
      <sz val="14"/>
      <color rgb="FFCCFFFF"/>
      <name val="Geneva"/>
      <family val="2"/>
      <charset val="1"/>
    </font>
    <font>
      <sz val="10"/>
      <name val="Geneva"/>
      <family val="2"/>
      <charset val="1"/>
    </font>
    <font>
      <sz val="10"/>
      <name val="Geneva"/>
    </font>
  </fonts>
  <fills count="10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22"/>
      </left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/>
      <top/>
      <bottom style="hair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 style="hair">
        <color rgb="FFC0C0C0"/>
      </right>
      <top/>
      <bottom style="hair">
        <color rgb="FFC0C0C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indexed="22"/>
      </right>
      <top/>
      <bottom style="hair">
        <color indexed="22"/>
      </bottom>
      <diagonal/>
    </border>
  </borders>
  <cellStyleXfs count="3">
    <xf numFmtId="0" fontId="0" fillId="0" borderId="0"/>
    <xf numFmtId="0" fontId="5" fillId="0" borderId="0"/>
    <xf numFmtId="0" fontId="15" fillId="0" borderId="0"/>
  </cellStyleXfs>
  <cellXfs count="102">
    <xf numFmtId="0" fontId="0" fillId="0" borderId="0" xfId="0"/>
    <xf numFmtId="164" fontId="2" fillId="2" borderId="0" xfId="0" applyNumberFormat="1" applyFont="1" applyFill="1" applyAlignment="1">
      <alignment horizontal="center"/>
    </xf>
    <xf numFmtId="1" fontId="0" fillId="0" borderId="0" xfId="0" quotePrefix="1" applyNumberForma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horizontal="right"/>
    </xf>
    <xf numFmtId="14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64" fontId="0" fillId="0" borderId="0" xfId="0" applyNumberFormat="1" applyAlignment="1">
      <alignment horizontal="center"/>
    </xf>
    <xf numFmtId="164" fontId="7" fillId="0" borderId="0" xfId="0" applyNumberFormat="1" applyFont="1" applyAlignment="1">
      <alignment horizontal="center" vertical="center" wrapText="1"/>
    </xf>
    <xf numFmtId="0" fontId="5" fillId="0" borderId="0" xfId="0" applyFont="1"/>
    <xf numFmtId="164" fontId="5" fillId="0" borderId="0" xfId="0" applyNumberFormat="1" applyFont="1"/>
    <xf numFmtId="164" fontId="8" fillId="0" borderId="0" xfId="0" applyNumberFormat="1" applyFont="1" applyAlignment="1">
      <alignment horizontal="center" vertical="center"/>
    </xf>
    <xf numFmtId="164" fontId="0" fillId="0" borderId="0" xfId="0" applyNumberFormat="1"/>
    <xf numFmtId="14" fontId="0" fillId="0" borderId="0" xfId="0" applyNumberFormat="1"/>
    <xf numFmtId="164" fontId="0" fillId="4" borderId="0" xfId="0" applyNumberFormat="1" applyFill="1" applyAlignment="1">
      <alignment horizontal="center"/>
    </xf>
    <xf numFmtId="164" fontId="9" fillId="0" borderId="0" xfId="0" applyNumberFormat="1" applyFont="1" applyAlignment="1">
      <alignment horizontal="center" vertical="center"/>
    </xf>
    <xf numFmtId="14" fontId="5" fillId="0" borderId="0" xfId="0" applyNumberFormat="1" applyFont="1"/>
    <xf numFmtId="164" fontId="10" fillId="0" borderId="0" xfId="0" applyNumberFormat="1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4" fontId="5" fillId="0" borderId="0" xfId="1" applyNumberFormat="1"/>
    <xf numFmtId="164" fontId="5" fillId="0" borderId="2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164" fontId="11" fillId="0" borderId="0" xfId="1" applyNumberFormat="1" applyFont="1" applyAlignment="1">
      <alignment horizontal="center" vertical="center" wrapText="1"/>
    </xf>
    <xf numFmtId="0" fontId="12" fillId="5" borderId="0" xfId="0" applyFont="1" applyFill="1"/>
    <xf numFmtId="14" fontId="12" fillId="5" borderId="0" xfId="0" applyNumberFormat="1" applyFont="1" applyFill="1"/>
    <xf numFmtId="0" fontId="12" fillId="5" borderId="0" xfId="0" applyFont="1" applyFill="1" applyAlignment="1">
      <alignment horizontal="left"/>
    </xf>
    <xf numFmtId="164" fontId="13" fillId="5" borderId="2" xfId="0" applyNumberFormat="1" applyFont="1" applyFill="1" applyBorder="1" applyAlignment="1">
      <alignment horizontal="center" vertical="center" wrapText="1"/>
    </xf>
    <xf numFmtId="164" fontId="0" fillId="5" borderId="0" xfId="0" applyNumberFormat="1" applyFill="1"/>
    <xf numFmtId="0" fontId="14" fillId="5" borderId="0" xfId="0" applyFont="1" applyFill="1"/>
    <xf numFmtId="164" fontId="11" fillId="0" borderId="2" xfId="2" applyNumberFormat="1" applyFont="1" applyBorder="1" applyAlignment="1">
      <alignment horizontal="center" vertical="center" wrapText="1"/>
    </xf>
    <xf numFmtId="49" fontId="0" fillId="0" borderId="0" xfId="0" applyNumberFormat="1"/>
    <xf numFmtId="2" fontId="0" fillId="0" borderId="0" xfId="0" applyNumberFormat="1"/>
    <xf numFmtId="0" fontId="0" fillId="6" borderId="0" xfId="0" applyFill="1" applyAlignment="1">
      <alignment horizontal="right"/>
    </xf>
    <xf numFmtId="164" fontId="5" fillId="0" borderId="0" xfId="0" applyNumberFormat="1" applyFont="1" applyAlignment="1">
      <alignment horizontal="center"/>
    </xf>
    <xf numFmtId="0" fontId="6" fillId="6" borderId="0" xfId="0" applyFont="1" applyFill="1" applyAlignment="1">
      <alignment horizontal="right"/>
    </xf>
    <xf numFmtId="164" fontId="5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right"/>
    </xf>
    <xf numFmtId="14" fontId="5" fillId="6" borderId="0" xfId="0" applyNumberFormat="1" applyFont="1" applyFill="1" applyAlignment="1">
      <alignment horizontal="right"/>
    </xf>
    <xf numFmtId="0" fontId="5" fillId="6" borderId="0" xfId="0" applyFont="1" applyFill="1" applyAlignment="1">
      <alignment horizontal="left"/>
    </xf>
    <xf numFmtId="164" fontId="5" fillId="0" borderId="0" xfId="0" applyNumberFormat="1" applyFont="1" applyAlignment="1" applyProtection="1">
      <alignment horizontal="center"/>
      <protection locked="0"/>
    </xf>
    <xf numFmtId="164" fontId="5" fillId="6" borderId="0" xfId="0" applyNumberFormat="1" applyFont="1" applyFill="1" applyAlignment="1" applyProtection="1">
      <alignment horizontal="center"/>
      <protection locked="0"/>
    </xf>
    <xf numFmtId="0" fontId="5" fillId="6" borderId="0" xfId="0" applyFont="1" applyFill="1"/>
    <xf numFmtId="164" fontId="5" fillId="6" borderId="0" xfId="0" applyNumberFormat="1" applyFont="1" applyFill="1"/>
    <xf numFmtId="164" fontId="0" fillId="6" borderId="0" xfId="0" applyNumberFormat="1" applyFill="1"/>
    <xf numFmtId="164" fontId="6" fillId="0" borderId="0" xfId="0" applyNumberFormat="1" applyFont="1" applyAlignment="1">
      <alignment horizontal="right" vertical="center"/>
    </xf>
    <xf numFmtId="14" fontId="0" fillId="6" borderId="0" xfId="0" applyNumberFormat="1" applyFill="1"/>
    <xf numFmtId="164" fontId="6" fillId="6" borderId="0" xfId="0" applyNumberFormat="1" applyFont="1" applyFill="1" applyAlignment="1">
      <alignment horizontal="right" vertical="center"/>
    </xf>
    <xf numFmtId="164" fontId="0" fillId="6" borderId="0" xfId="0" applyNumberFormat="1" applyFill="1" applyAlignment="1">
      <alignment horizontal="center"/>
    </xf>
    <xf numFmtId="14" fontId="5" fillId="6" borderId="0" xfId="0" applyNumberFormat="1" applyFont="1" applyFill="1"/>
    <xf numFmtId="164" fontId="5" fillId="6" borderId="0" xfId="0" applyNumberFormat="1" applyFon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 wrapText="1"/>
    </xf>
    <xf numFmtId="165" fontId="6" fillId="6" borderId="0" xfId="0" applyNumberFormat="1" applyFont="1" applyFill="1" applyAlignment="1">
      <alignment horizontal="center" vertical="center" wrapText="1"/>
    </xf>
    <xf numFmtId="164" fontId="11" fillId="6" borderId="0" xfId="0" applyNumberFormat="1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6" borderId="2" xfId="0" applyNumberFormat="1" applyFont="1" applyFill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6" borderId="3" xfId="0" applyNumberFormat="1" applyFont="1" applyFill="1" applyBorder="1" applyAlignment="1">
      <alignment horizontal="center" vertical="center" wrapText="1"/>
    </xf>
    <xf numFmtId="164" fontId="5" fillId="6" borderId="2" xfId="0" applyNumberFormat="1" applyFont="1" applyFill="1" applyBorder="1" applyAlignment="1">
      <alignment horizontal="center" vertical="center" wrapText="1"/>
    </xf>
    <xf numFmtId="164" fontId="11" fillId="0" borderId="3" xfId="2" applyNumberFormat="1" applyFont="1" applyBorder="1" applyAlignment="1">
      <alignment horizontal="center" vertical="center" wrapText="1"/>
    </xf>
    <xf numFmtId="164" fontId="5" fillId="6" borderId="0" xfId="0" applyNumberFormat="1" applyFont="1" applyFill="1" applyAlignment="1">
      <alignment horizontal="center" vertical="center" wrapText="1"/>
    </xf>
    <xf numFmtId="164" fontId="11" fillId="0" borderId="0" xfId="2" applyNumberFormat="1" applyFont="1" applyAlignment="1">
      <alignment horizontal="center" vertical="center" wrapText="1"/>
    </xf>
    <xf numFmtId="164" fontId="3" fillId="3" borderId="4" xfId="0" applyNumberFormat="1" applyFont="1" applyFill="1" applyBorder="1" applyAlignment="1">
      <alignment horizontal="center" vertical="center" wrapText="1"/>
    </xf>
    <xf numFmtId="164" fontId="3" fillId="3" borderId="5" xfId="0" applyNumberFormat="1" applyFont="1" applyFill="1" applyBorder="1" applyAlignment="1">
      <alignment horizontal="center" vertical="center" wrapText="1"/>
    </xf>
    <xf numFmtId="164" fontId="16" fillId="7" borderId="0" xfId="0" applyNumberFormat="1" applyFont="1" applyFill="1" applyAlignment="1">
      <alignment horizontal="center"/>
    </xf>
    <xf numFmtId="166" fontId="0" fillId="0" borderId="0" xfId="0" applyNumberFormat="1"/>
    <xf numFmtId="166" fontId="10" fillId="0" borderId="0" xfId="0" applyNumberFormat="1" applyFont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5" fillId="0" borderId="0" xfId="0" applyNumberFormat="1" applyFont="1" applyAlignment="1">
      <alignment horizontal="right"/>
    </xf>
    <xf numFmtId="166" fontId="5" fillId="0" borderId="0" xfId="0" applyNumberFormat="1" applyFont="1"/>
    <xf numFmtId="166" fontId="5" fillId="0" borderId="0" xfId="1" applyNumberFormat="1"/>
    <xf numFmtId="166" fontId="12" fillId="5" borderId="0" xfId="0" applyNumberFormat="1" applyFont="1" applyFill="1"/>
    <xf numFmtId="0" fontId="17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164" fontId="17" fillId="0" borderId="7" xfId="0" applyNumberFormat="1" applyFont="1" applyBorder="1" applyAlignment="1">
      <alignment horizontal="center" vertical="center" wrapText="1"/>
    </xf>
    <xf numFmtId="164" fontId="17" fillId="0" borderId="2" xfId="0" applyNumberFormat="1" applyFont="1" applyBorder="1" applyAlignment="1">
      <alignment horizontal="center" vertical="center" wrapText="1"/>
    </xf>
    <xf numFmtId="164" fontId="17" fillId="0" borderId="6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0" fillId="5" borderId="0" xfId="0" applyFill="1"/>
    <xf numFmtId="166" fontId="0" fillId="8" borderId="0" xfId="0" applyNumberFormat="1" applyFill="1" applyAlignment="1">
      <alignment horizontal="center"/>
    </xf>
    <xf numFmtId="0" fontId="0" fillId="8" borderId="0" xfId="0" applyFill="1"/>
    <xf numFmtId="0" fontId="5" fillId="8" borderId="0" xfId="0" applyFont="1" applyFill="1" applyAlignment="1">
      <alignment horizontal="left"/>
    </xf>
    <xf numFmtId="0" fontId="5" fillId="8" borderId="0" xfId="0" applyFont="1" applyFill="1"/>
    <xf numFmtId="0" fontId="0" fillId="8" borderId="0" xfId="0" applyFill="1" applyAlignment="1">
      <alignment horizontal="right"/>
    </xf>
    <xf numFmtId="164" fontId="18" fillId="0" borderId="2" xfId="0" applyNumberFormat="1" applyFont="1" applyBorder="1" applyAlignment="1">
      <alignment horizontal="center" vertical="center" wrapText="1"/>
    </xf>
    <xf numFmtId="164" fontId="18" fillId="0" borderId="9" xfId="0" applyNumberFormat="1" applyFont="1" applyBorder="1" applyAlignment="1">
      <alignment horizontal="center" vertical="center" wrapText="1"/>
    </xf>
    <xf numFmtId="164" fontId="15" fillId="0" borderId="6" xfId="0" applyNumberFormat="1" applyFont="1" applyBorder="1" applyAlignment="1">
      <alignment horizontal="center"/>
    </xf>
    <xf numFmtId="0" fontId="0" fillId="9" borderId="0" xfId="0" applyFill="1"/>
  </cellXfs>
  <cellStyles count="3">
    <cellStyle name="Normal" xfId="0" builtinId="0"/>
    <cellStyle name="Normal 2" xfId="1" xr:uid="{00000000-0005-0000-0000-000000000000}"/>
    <cellStyle name="Normal 3" xfId="2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Zea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update'!$B$3:$B$742</c:f>
              <c:numCache>
                <c:formatCode>[$-409]mmm\-yy;@</c:formatCode>
                <c:ptCount val="740"/>
                <c:pt idx="0">
                  <c:v>36445</c:v>
                </c:pt>
                <c:pt idx="1">
                  <c:v>36446</c:v>
                </c:pt>
                <c:pt idx="2">
                  <c:v>36445</c:v>
                </c:pt>
                <c:pt idx="3">
                  <c:v>36472</c:v>
                </c:pt>
                <c:pt idx="4">
                  <c:v>36473</c:v>
                </c:pt>
                <c:pt idx="5">
                  <c:v>36472</c:v>
                </c:pt>
                <c:pt idx="6">
                  <c:v>36501</c:v>
                </c:pt>
                <c:pt idx="7">
                  <c:v>36502</c:v>
                </c:pt>
                <c:pt idx="8">
                  <c:v>36501</c:v>
                </c:pt>
                <c:pt idx="9">
                  <c:v>36530</c:v>
                </c:pt>
                <c:pt idx="10">
                  <c:v>36531</c:v>
                </c:pt>
                <c:pt idx="11">
                  <c:v>36530</c:v>
                </c:pt>
                <c:pt idx="12">
                  <c:v>36579</c:v>
                </c:pt>
                <c:pt idx="13">
                  <c:v>36578</c:v>
                </c:pt>
                <c:pt idx="14">
                  <c:v>36579</c:v>
                </c:pt>
                <c:pt idx="15">
                  <c:v>36598</c:v>
                </c:pt>
                <c:pt idx="16">
                  <c:v>36599</c:v>
                </c:pt>
                <c:pt idx="17">
                  <c:v>36598</c:v>
                </c:pt>
                <c:pt idx="18">
                  <c:v>36627</c:v>
                </c:pt>
                <c:pt idx="19">
                  <c:v>36626</c:v>
                </c:pt>
                <c:pt idx="20">
                  <c:v>36627</c:v>
                </c:pt>
                <c:pt idx="21">
                  <c:v>36662</c:v>
                </c:pt>
                <c:pt idx="22">
                  <c:v>36663</c:v>
                </c:pt>
                <c:pt idx="23">
                  <c:v>36662</c:v>
                </c:pt>
                <c:pt idx="24">
                  <c:v>36690</c:v>
                </c:pt>
                <c:pt idx="25">
                  <c:v>36692</c:v>
                </c:pt>
                <c:pt idx="26">
                  <c:v>36690</c:v>
                </c:pt>
                <c:pt idx="27">
                  <c:v>36718</c:v>
                </c:pt>
                <c:pt idx="28">
                  <c:v>36719</c:v>
                </c:pt>
                <c:pt idx="29">
                  <c:v>36718</c:v>
                </c:pt>
                <c:pt idx="30">
                  <c:v>36753</c:v>
                </c:pt>
                <c:pt idx="31">
                  <c:v>36755</c:v>
                </c:pt>
                <c:pt idx="32">
                  <c:v>36753</c:v>
                </c:pt>
                <c:pt idx="33">
                  <c:v>36781</c:v>
                </c:pt>
                <c:pt idx="34">
                  <c:v>36783</c:v>
                </c:pt>
                <c:pt idx="35">
                  <c:v>36781</c:v>
                </c:pt>
                <c:pt idx="36">
                  <c:v>36817</c:v>
                </c:pt>
                <c:pt idx="37">
                  <c:v>36815</c:v>
                </c:pt>
                <c:pt idx="38">
                  <c:v>36817</c:v>
                </c:pt>
                <c:pt idx="39">
                  <c:v>36845</c:v>
                </c:pt>
                <c:pt idx="40">
                  <c:v>36846</c:v>
                </c:pt>
                <c:pt idx="41">
                  <c:v>36845</c:v>
                </c:pt>
                <c:pt idx="42">
                  <c:v>36871</c:v>
                </c:pt>
                <c:pt idx="43">
                  <c:v>36873</c:v>
                </c:pt>
                <c:pt idx="44">
                  <c:v>36871</c:v>
                </c:pt>
                <c:pt idx="45">
                  <c:v>36901</c:v>
                </c:pt>
                <c:pt idx="46">
                  <c:v>36902</c:v>
                </c:pt>
                <c:pt idx="47">
                  <c:v>36901</c:v>
                </c:pt>
                <c:pt idx="48">
                  <c:v>36928</c:v>
                </c:pt>
                <c:pt idx="49">
                  <c:v>36929</c:v>
                </c:pt>
                <c:pt idx="50">
                  <c:v>36928</c:v>
                </c:pt>
                <c:pt idx="51">
                  <c:v>36965</c:v>
                </c:pt>
                <c:pt idx="52">
                  <c:v>36962</c:v>
                </c:pt>
                <c:pt idx="53">
                  <c:v>36964</c:v>
                </c:pt>
                <c:pt idx="54">
                  <c:v>37000</c:v>
                </c:pt>
                <c:pt idx="55">
                  <c:v>36998</c:v>
                </c:pt>
                <c:pt idx="56">
                  <c:v>36997</c:v>
                </c:pt>
                <c:pt idx="57">
                  <c:v>37026</c:v>
                </c:pt>
                <c:pt idx="58">
                  <c:v>37025</c:v>
                </c:pt>
                <c:pt idx="59">
                  <c:v>37026</c:v>
                </c:pt>
                <c:pt idx="60">
                  <c:v>37055</c:v>
                </c:pt>
                <c:pt idx="61">
                  <c:v>37054</c:v>
                </c:pt>
                <c:pt idx="62">
                  <c:v>37055</c:v>
                </c:pt>
                <c:pt idx="63">
                  <c:v>37092</c:v>
                </c:pt>
                <c:pt idx="64">
                  <c:v>37090</c:v>
                </c:pt>
                <c:pt idx="65">
                  <c:v>37092</c:v>
                </c:pt>
                <c:pt idx="66">
                  <c:v>37118</c:v>
                </c:pt>
                <c:pt idx="67">
                  <c:v>37117</c:v>
                </c:pt>
                <c:pt idx="68">
                  <c:v>37118</c:v>
                </c:pt>
                <c:pt idx="69">
                  <c:v>37152</c:v>
                </c:pt>
                <c:pt idx="70">
                  <c:v>37145</c:v>
                </c:pt>
                <c:pt idx="71">
                  <c:v>37145</c:v>
                </c:pt>
                <c:pt idx="72">
                  <c:v>37180</c:v>
                </c:pt>
                <c:pt idx="73">
                  <c:v>37182</c:v>
                </c:pt>
                <c:pt idx="74">
                  <c:v>37180</c:v>
                </c:pt>
                <c:pt idx="75">
                  <c:v>37201</c:v>
                </c:pt>
                <c:pt idx="76">
                  <c:v>37202</c:v>
                </c:pt>
                <c:pt idx="77">
                  <c:v>37201</c:v>
                </c:pt>
                <c:pt idx="78">
                  <c:v>37229</c:v>
                </c:pt>
                <c:pt idx="79">
                  <c:v>37230</c:v>
                </c:pt>
                <c:pt idx="80">
                  <c:v>37229</c:v>
                </c:pt>
                <c:pt idx="81">
                  <c:v>37271</c:v>
                </c:pt>
                <c:pt idx="82">
                  <c:v>37272</c:v>
                </c:pt>
                <c:pt idx="83">
                  <c:v>37271</c:v>
                </c:pt>
                <c:pt idx="84">
                  <c:v>37306</c:v>
                </c:pt>
                <c:pt idx="85">
                  <c:v>37301</c:v>
                </c:pt>
                <c:pt idx="86">
                  <c:v>37306</c:v>
                </c:pt>
                <c:pt idx="87">
                  <c:v>37334</c:v>
                </c:pt>
                <c:pt idx="88">
                  <c:v>37336</c:v>
                </c:pt>
                <c:pt idx="89">
                  <c:v>37336</c:v>
                </c:pt>
                <c:pt idx="90">
                  <c:v>37362</c:v>
                </c:pt>
                <c:pt idx="91">
                  <c:v>37363</c:v>
                </c:pt>
                <c:pt idx="92">
                  <c:v>37362</c:v>
                </c:pt>
                <c:pt idx="93">
                  <c:v>37392</c:v>
                </c:pt>
                <c:pt idx="94">
                  <c:v>37392</c:v>
                </c:pt>
                <c:pt idx="95">
                  <c:v>37392</c:v>
                </c:pt>
                <c:pt idx="96">
                  <c:v>37419</c:v>
                </c:pt>
                <c:pt idx="97">
                  <c:v>37420</c:v>
                </c:pt>
                <c:pt idx="98">
                  <c:v>37419</c:v>
                </c:pt>
                <c:pt idx="99">
                  <c:v>37454</c:v>
                </c:pt>
                <c:pt idx="100">
                  <c:v>37453</c:v>
                </c:pt>
                <c:pt idx="101">
                  <c:v>37454</c:v>
                </c:pt>
                <c:pt idx="102">
                  <c:v>37482</c:v>
                </c:pt>
                <c:pt idx="103">
                  <c:v>37481</c:v>
                </c:pt>
                <c:pt idx="104">
                  <c:v>37482</c:v>
                </c:pt>
                <c:pt idx="105">
                  <c:v>37517</c:v>
                </c:pt>
                <c:pt idx="106">
                  <c:v>37518</c:v>
                </c:pt>
                <c:pt idx="107">
                  <c:v>37517</c:v>
                </c:pt>
                <c:pt idx="108">
                  <c:v>37544</c:v>
                </c:pt>
                <c:pt idx="109">
                  <c:v>37546</c:v>
                </c:pt>
                <c:pt idx="110">
                  <c:v>37546</c:v>
                </c:pt>
                <c:pt idx="111">
                  <c:v>37575</c:v>
                </c:pt>
                <c:pt idx="112">
                  <c:v>37574</c:v>
                </c:pt>
                <c:pt idx="113">
                  <c:v>37574</c:v>
                </c:pt>
                <c:pt idx="114">
                  <c:v>37609</c:v>
                </c:pt>
                <c:pt idx="115">
                  <c:v>37608</c:v>
                </c:pt>
                <c:pt idx="116">
                  <c:v>37608</c:v>
                </c:pt>
                <c:pt idx="117">
                  <c:v>37635</c:v>
                </c:pt>
                <c:pt idx="118">
                  <c:v>37636</c:v>
                </c:pt>
                <c:pt idx="119">
                  <c:v>37636</c:v>
                </c:pt>
                <c:pt idx="120">
                  <c:v>37665</c:v>
                </c:pt>
                <c:pt idx="121">
                  <c:v>37663</c:v>
                </c:pt>
                <c:pt idx="122">
                  <c:v>37663</c:v>
                </c:pt>
                <c:pt idx="123">
                  <c:v>37692</c:v>
                </c:pt>
                <c:pt idx="124">
                  <c:v>37691</c:v>
                </c:pt>
                <c:pt idx="125">
                  <c:v>37692</c:v>
                </c:pt>
                <c:pt idx="126">
                  <c:v>37726</c:v>
                </c:pt>
                <c:pt idx="127">
                  <c:v>37727</c:v>
                </c:pt>
                <c:pt idx="128">
                  <c:v>37726</c:v>
                </c:pt>
                <c:pt idx="129">
                  <c:v>37761</c:v>
                </c:pt>
                <c:pt idx="130">
                  <c:v>37756</c:v>
                </c:pt>
                <c:pt idx="131">
                  <c:v>37761</c:v>
                </c:pt>
                <c:pt idx="132">
                  <c:v>37792</c:v>
                </c:pt>
                <c:pt idx="133">
                  <c:v>37790</c:v>
                </c:pt>
                <c:pt idx="134">
                  <c:v>37790</c:v>
                </c:pt>
                <c:pt idx="135">
                  <c:v>37819</c:v>
                </c:pt>
                <c:pt idx="136">
                  <c:v>37818</c:v>
                </c:pt>
                <c:pt idx="137">
                  <c:v>37819</c:v>
                </c:pt>
                <c:pt idx="138">
                  <c:v>37847</c:v>
                </c:pt>
                <c:pt idx="139">
                  <c:v>37846</c:v>
                </c:pt>
                <c:pt idx="140">
                  <c:v>37847</c:v>
                </c:pt>
                <c:pt idx="141">
                  <c:v>37888</c:v>
                </c:pt>
                <c:pt idx="142">
                  <c:v>37886</c:v>
                </c:pt>
                <c:pt idx="143">
                  <c:v>37886</c:v>
                </c:pt>
                <c:pt idx="144">
                  <c:v>37910</c:v>
                </c:pt>
                <c:pt idx="145">
                  <c:v>37910</c:v>
                </c:pt>
                <c:pt idx="146">
                  <c:v>37910</c:v>
                </c:pt>
                <c:pt idx="147">
                  <c:v>37943</c:v>
                </c:pt>
                <c:pt idx="148">
                  <c:v>37942</c:v>
                </c:pt>
                <c:pt idx="149">
                  <c:v>37942</c:v>
                </c:pt>
                <c:pt idx="150">
                  <c:v>37973</c:v>
                </c:pt>
                <c:pt idx="151">
                  <c:v>37971</c:v>
                </c:pt>
                <c:pt idx="152">
                  <c:v>37971</c:v>
                </c:pt>
                <c:pt idx="153">
                  <c:v>37999</c:v>
                </c:pt>
                <c:pt idx="156">
                  <c:v>38027</c:v>
                </c:pt>
                <c:pt idx="157">
                  <c:v>38026</c:v>
                </c:pt>
                <c:pt idx="158">
                  <c:v>38026</c:v>
                </c:pt>
                <c:pt idx="159">
                  <c:v>38063</c:v>
                </c:pt>
                <c:pt idx="160">
                  <c:v>38061</c:v>
                </c:pt>
                <c:pt idx="161">
                  <c:v>38063</c:v>
                </c:pt>
                <c:pt idx="162">
                  <c:v>38094</c:v>
                </c:pt>
                <c:pt idx="163">
                  <c:v>38093</c:v>
                </c:pt>
                <c:pt idx="164">
                  <c:v>38094</c:v>
                </c:pt>
                <c:pt idx="165">
                  <c:v>38118</c:v>
                </c:pt>
                <c:pt idx="166">
                  <c:v>38117</c:v>
                </c:pt>
                <c:pt idx="167">
                  <c:v>38118</c:v>
                </c:pt>
                <c:pt idx="168">
                  <c:v>38153</c:v>
                </c:pt>
                <c:pt idx="169">
                  <c:v>38160</c:v>
                </c:pt>
                <c:pt idx="170">
                  <c:v>38155</c:v>
                </c:pt>
                <c:pt idx="171">
                  <c:v>38181</c:v>
                </c:pt>
                <c:pt idx="172">
                  <c:v>38182</c:v>
                </c:pt>
                <c:pt idx="173">
                  <c:v>38182</c:v>
                </c:pt>
                <c:pt idx="174">
                  <c:v>38217</c:v>
                </c:pt>
                <c:pt idx="175">
                  <c:v>38218</c:v>
                </c:pt>
                <c:pt idx="176">
                  <c:v>38218</c:v>
                </c:pt>
                <c:pt idx="177">
                  <c:v>38244</c:v>
                </c:pt>
                <c:pt idx="178">
                  <c:v>38246</c:v>
                </c:pt>
                <c:pt idx="179">
                  <c:v>38246</c:v>
                </c:pt>
                <c:pt idx="180">
                  <c:v>38273</c:v>
                </c:pt>
                <c:pt idx="181">
                  <c:v>38274</c:v>
                </c:pt>
                <c:pt idx="182">
                  <c:v>38273</c:v>
                </c:pt>
                <c:pt idx="183">
                  <c:v>38307</c:v>
                </c:pt>
                <c:pt idx="184">
                  <c:v>38309</c:v>
                </c:pt>
                <c:pt idx="185">
                  <c:v>38307</c:v>
                </c:pt>
                <c:pt idx="186">
                  <c:v>38337</c:v>
                </c:pt>
                <c:pt idx="187">
                  <c:v>38337</c:v>
                </c:pt>
                <c:pt idx="188">
                  <c:v>38337</c:v>
                </c:pt>
                <c:pt idx="189">
                  <c:v>38363</c:v>
                </c:pt>
                <c:pt idx="190">
                  <c:v>38364</c:v>
                </c:pt>
                <c:pt idx="191">
                  <c:v>38363</c:v>
                </c:pt>
                <c:pt idx="192">
                  <c:v>38399</c:v>
                </c:pt>
                <c:pt idx="193">
                  <c:v>38398</c:v>
                </c:pt>
                <c:pt idx="194">
                  <c:v>38398</c:v>
                </c:pt>
                <c:pt idx="195">
                  <c:v>38428</c:v>
                </c:pt>
                <c:pt idx="196">
                  <c:v>38427</c:v>
                </c:pt>
                <c:pt idx="197">
                  <c:v>38427</c:v>
                </c:pt>
                <c:pt idx="198">
                  <c:v>38469</c:v>
                </c:pt>
                <c:pt idx="199">
                  <c:v>38470</c:v>
                </c:pt>
                <c:pt idx="200">
                  <c:v>38469</c:v>
                </c:pt>
                <c:pt idx="201">
                  <c:v>38490</c:v>
                </c:pt>
                <c:pt idx="202">
                  <c:v>38488</c:v>
                </c:pt>
                <c:pt idx="203">
                  <c:v>38488</c:v>
                </c:pt>
                <c:pt idx="204">
                  <c:v>38518</c:v>
                </c:pt>
                <c:pt idx="205">
                  <c:v>38525</c:v>
                </c:pt>
                <c:pt idx="206">
                  <c:v>38525</c:v>
                </c:pt>
                <c:pt idx="207">
                  <c:v>38547</c:v>
                </c:pt>
                <c:pt idx="208">
                  <c:v>38546</c:v>
                </c:pt>
                <c:pt idx="209">
                  <c:v>38546</c:v>
                </c:pt>
                <c:pt idx="210">
                  <c:v>38587</c:v>
                </c:pt>
                <c:pt idx="211">
                  <c:v>38587</c:v>
                </c:pt>
                <c:pt idx="212">
                  <c:v>38587</c:v>
                </c:pt>
                <c:pt idx="213">
                  <c:v>38608</c:v>
                </c:pt>
                <c:pt idx="214">
                  <c:v>38609</c:v>
                </c:pt>
                <c:pt idx="215">
                  <c:v>38609</c:v>
                </c:pt>
                <c:pt idx="216">
                  <c:v>38636</c:v>
                </c:pt>
                <c:pt idx="217">
                  <c:v>38642</c:v>
                </c:pt>
                <c:pt idx="218">
                  <c:v>38637</c:v>
                </c:pt>
                <c:pt idx="219">
                  <c:v>38671</c:v>
                </c:pt>
                <c:pt idx="220">
                  <c:v>38670</c:v>
                </c:pt>
                <c:pt idx="221">
                  <c:v>38670</c:v>
                </c:pt>
                <c:pt idx="222">
                  <c:v>38707</c:v>
                </c:pt>
                <c:pt idx="223">
                  <c:v>38706</c:v>
                </c:pt>
                <c:pt idx="224">
                  <c:v>38706</c:v>
                </c:pt>
                <c:pt idx="225">
                  <c:v>38734</c:v>
                </c:pt>
                <c:pt idx="226">
                  <c:v>38740</c:v>
                </c:pt>
                <c:pt idx="227">
                  <c:v>38737</c:v>
                </c:pt>
                <c:pt idx="228">
                  <c:v>38762</c:v>
                </c:pt>
                <c:pt idx="229">
                  <c:v>38763</c:v>
                </c:pt>
                <c:pt idx="230">
                  <c:v>38763</c:v>
                </c:pt>
                <c:pt idx="231">
                  <c:v>38789</c:v>
                </c:pt>
                <c:pt idx="232">
                  <c:v>38792</c:v>
                </c:pt>
                <c:pt idx="233">
                  <c:v>38792</c:v>
                </c:pt>
                <c:pt idx="234">
                  <c:v>38825</c:v>
                </c:pt>
                <c:pt idx="235">
                  <c:v>38826</c:v>
                </c:pt>
                <c:pt idx="236">
                  <c:v>38826</c:v>
                </c:pt>
                <c:pt idx="237">
                  <c:v>38852</c:v>
                </c:pt>
                <c:pt idx="238">
                  <c:v>38853</c:v>
                </c:pt>
                <c:pt idx="239">
                  <c:v>38853</c:v>
                </c:pt>
                <c:pt idx="240">
                  <c:v>38883</c:v>
                </c:pt>
                <c:pt idx="241">
                  <c:v>38884</c:v>
                </c:pt>
                <c:pt idx="242">
                  <c:v>38884</c:v>
                </c:pt>
                <c:pt idx="243">
                  <c:v>38916</c:v>
                </c:pt>
                <c:pt idx="244">
                  <c:v>38915</c:v>
                </c:pt>
                <c:pt idx="245">
                  <c:v>38915</c:v>
                </c:pt>
                <c:pt idx="246">
                  <c:v>38953</c:v>
                </c:pt>
                <c:pt idx="247">
                  <c:v>38952</c:v>
                </c:pt>
                <c:pt idx="248">
                  <c:v>38952</c:v>
                </c:pt>
                <c:pt idx="249">
                  <c:v>38972</c:v>
                </c:pt>
                <c:pt idx="250">
                  <c:v>38975</c:v>
                </c:pt>
                <c:pt idx="251">
                  <c:v>38975</c:v>
                </c:pt>
                <c:pt idx="252">
                  <c:v>39008</c:v>
                </c:pt>
                <c:pt idx="253">
                  <c:v>39006</c:v>
                </c:pt>
                <c:pt idx="254">
                  <c:v>39006</c:v>
                </c:pt>
                <c:pt idx="255">
                  <c:v>39035</c:v>
                </c:pt>
                <c:pt idx="256">
                  <c:v>39041</c:v>
                </c:pt>
                <c:pt idx="257">
                  <c:v>39041</c:v>
                </c:pt>
                <c:pt idx="258">
                  <c:v>39063</c:v>
                </c:pt>
                <c:pt idx="259">
                  <c:v>39062</c:v>
                </c:pt>
                <c:pt idx="260">
                  <c:v>39062</c:v>
                </c:pt>
                <c:pt idx="261">
                  <c:v>39100</c:v>
                </c:pt>
                <c:pt idx="262">
                  <c:v>39100</c:v>
                </c:pt>
                <c:pt idx="263">
                  <c:v>39100</c:v>
                </c:pt>
                <c:pt idx="264">
                  <c:v>39134</c:v>
                </c:pt>
                <c:pt idx="265">
                  <c:v>39135</c:v>
                </c:pt>
                <c:pt idx="266">
                  <c:v>39135</c:v>
                </c:pt>
                <c:pt idx="267">
                  <c:v>39154</c:v>
                </c:pt>
                <c:pt idx="268">
                  <c:v>39153</c:v>
                </c:pt>
                <c:pt idx="269">
                  <c:v>39153</c:v>
                </c:pt>
                <c:pt idx="270">
                  <c:v>39190</c:v>
                </c:pt>
                <c:pt idx="271">
                  <c:v>39191</c:v>
                </c:pt>
                <c:pt idx="272">
                  <c:v>39191</c:v>
                </c:pt>
                <c:pt idx="273">
                  <c:v>39217</c:v>
                </c:pt>
                <c:pt idx="274">
                  <c:v>39216</c:v>
                </c:pt>
                <c:pt idx="275">
                  <c:v>39216</c:v>
                </c:pt>
                <c:pt idx="276">
                  <c:v>39246</c:v>
                </c:pt>
                <c:pt idx="277">
                  <c:v>39248</c:v>
                </c:pt>
                <c:pt idx="278">
                  <c:v>39248</c:v>
                </c:pt>
                <c:pt idx="279">
                  <c:v>39280</c:v>
                </c:pt>
                <c:pt idx="280">
                  <c:v>39279</c:v>
                </c:pt>
                <c:pt idx="281">
                  <c:v>39279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39336</c:v>
                </c:pt>
                <c:pt idx="286">
                  <c:v>39335</c:v>
                </c:pt>
                <c:pt idx="287">
                  <c:v>39335</c:v>
                </c:pt>
                <c:pt idx="288">
                  <c:v>39370</c:v>
                </c:pt>
                <c:pt idx="289">
                  <c:v>39370</c:v>
                </c:pt>
                <c:pt idx="290">
                  <c:v>39370</c:v>
                </c:pt>
                <c:pt idx="291">
                  <c:v>39400</c:v>
                </c:pt>
                <c:pt idx="292">
                  <c:v>39400</c:v>
                </c:pt>
                <c:pt idx="293">
                  <c:v>39400</c:v>
                </c:pt>
                <c:pt idx="294">
                  <c:v>39427</c:v>
                </c:pt>
                <c:pt idx="295">
                  <c:v>39434</c:v>
                </c:pt>
                <c:pt idx="296">
                  <c:v>39434</c:v>
                </c:pt>
                <c:pt idx="297">
                  <c:v>39462</c:v>
                </c:pt>
                <c:pt idx="298">
                  <c:v>39463</c:v>
                </c:pt>
                <c:pt idx="299">
                  <c:v>39463</c:v>
                </c:pt>
                <c:pt idx="300">
                  <c:v>39490</c:v>
                </c:pt>
                <c:pt idx="301">
                  <c:v>39493</c:v>
                </c:pt>
                <c:pt idx="302">
                  <c:v>39493</c:v>
                </c:pt>
                <c:pt idx="303">
                  <c:v>39517</c:v>
                </c:pt>
                <c:pt idx="304">
                  <c:v>39517</c:v>
                </c:pt>
                <c:pt idx="305">
                  <c:v>39517</c:v>
                </c:pt>
                <c:pt idx="306">
                  <c:v>39553</c:v>
                </c:pt>
                <c:pt idx="307">
                  <c:v>39552</c:v>
                </c:pt>
                <c:pt idx="308">
                  <c:v>39552</c:v>
                </c:pt>
                <c:pt idx="309">
                  <c:v>39582</c:v>
                </c:pt>
                <c:pt idx="310">
                  <c:v>39583</c:v>
                </c:pt>
                <c:pt idx="311">
                  <c:v>39583</c:v>
                </c:pt>
                <c:pt idx="312">
                  <c:v>39616</c:v>
                </c:pt>
                <c:pt idx="313">
                  <c:v>39617</c:v>
                </c:pt>
                <c:pt idx="314">
                  <c:v>39617</c:v>
                </c:pt>
                <c:pt idx="315">
                  <c:v>39644</c:v>
                </c:pt>
                <c:pt idx="316">
                  <c:v>39645</c:v>
                </c:pt>
                <c:pt idx="317">
                  <c:v>39645</c:v>
                </c:pt>
                <c:pt idx="318">
                  <c:v>39672</c:v>
                </c:pt>
                <c:pt idx="319">
                  <c:v>39672</c:v>
                </c:pt>
                <c:pt idx="320">
                  <c:v>39672</c:v>
                </c:pt>
                <c:pt idx="321">
                  <c:v>39709</c:v>
                </c:pt>
                <c:pt idx="322">
                  <c:v>39709</c:v>
                </c:pt>
                <c:pt idx="323">
                  <c:v>39709</c:v>
                </c:pt>
                <c:pt idx="324">
                  <c:v>39737</c:v>
                </c:pt>
                <c:pt idx="325">
                  <c:v>39735</c:v>
                </c:pt>
                <c:pt idx="326">
                  <c:v>39735</c:v>
                </c:pt>
                <c:pt idx="327">
                  <c:v>39763</c:v>
                </c:pt>
                <c:pt idx="328">
                  <c:v>39769</c:v>
                </c:pt>
                <c:pt idx="329">
                  <c:v>39769</c:v>
                </c:pt>
                <c:pt idx="330">
                  <c:v>39797</c:v>
                </c:pt>
                <c:pt idx="331">
                  <c:v>39797</c:v>
                </c:pt>
                <c:pt idx="332">
                  <c:v>39797</c:v>
                </c:pt>
                <c:pt idx="333">
                  <c:v>39825</c:v>
                </c:pt>
                <c:pt idx="334">
                  <c:v>39826</c:v>
                </c:pt>
                <c:pt idx="335">
                  <c:v>39826</c:v>
                </c:pt>
                <c:pt idx="336">
                  <c:v>39854</c:v>
                </c:pt>
                <c:pt idx="337">
                  <c:v>39855</c:v>
                </c:pt>
                <c:pt idx="338">
                  <c:v>39855</c:v>
                </c:pt>
                <c:pt idx="339">
                  <c:v>39890</c:v>
                </c:pt>
                <c:pt idx="340">
                  <c:v>39888</c:v>
                </c:pt>
                <c:pt idx="341">
                  <c:v>39888</c:v>
                </c:pt>
                <c:pt idx="342">
                  <c:v>39920</c:v>
                </c:pt>
                <c:pt idx="343">
                  <c:v>39916</c:v>
                </c:pt>
                <c:pt idx="344">
                  <c:v>39916</c:v>
                </c:pt>
                <c:pt idx="345">
                  <c:v>39945</c:v>
                </c:pt>
                <c:pt idx="346">
                  <c:v>39946</c:v>
                </c:pt>
                <c:pt idx="347">
                  <c:v>39946</c:v>
                </c:pt>
                <c:pt idx="348">
                  <c:v>39980</c:v>
                </c:pt>
                <c:pt idx="349">
                  <c:v>39983</c:v>
                </c:pt>
                <c:pt idx="350">
                  <c:v>39983</c:v>
                </c:pt>
                <c:pt idx="351">
                  <c:v>40007</c:v>
                </c:pt>
                <c:pt idx="352">
                  <c:v>40007</c:v>
                </c:pt>
                <c:pt idx="353">
                  <c:v>40007</c:v>
                </c:pt>
                <c:pt idx="354">
                  <c:v>40043</c:v>
                </c:pt>
                <c:pt idx="355">
                  <c:v>40042</c:v>
                </c:pt>
                <c:pt idx="356">
                  <c:v>40042</c:v>
                </c:pt>
                <c:pt idx="357">
                  <c:v>40070</c:v>
                </c:pt>
                <c:pt idx="358">
                  <c:v>40071</c:v>
                </c:pt>
                <c:pt idx="359">
                  <c:v>40071</c:v>
                </c:pt>
                <c:pt idx="360">
                  <c:v>40099</c:v>
                </c:pt>
                <c:pt idx="361">
                  <c:v>40100</c:v>
                </c:pt>
                <c:pt idx="362">
                  <c:v>40100</c:v>
                </c:pt>
                <c:pt idx="363">
                  <c:v>40133</c:v>
                </c:pt>
                <c:pt idx="364">
                  <c:v>40133</c:v>
                </c:pt>
                <c:pt idx="365">
                  <c:v>40133</c:v>
                </c:pt>
                <c:pt idx="366">
                  <c:v>40161</c:v>
                </c:pt>
                <c:pt idx="367">
                  <c:v>40161</c:v>
                </c:pt>
                <c:pt idx="368">
                  <c:v>40161</c:v>
                </c:pt>
                <c:pt idx="369">
                  <c:v>40197</c:v>
                </c:pt>
                <c:pt idx="370">
                  <c:v>40197</c:v>
                </c:pt>
                <c:pt idx="371">
                  <c:v>40197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40254</c:v>
                </c:pt>
                <c:pt idx="376">
                  <c:v>40255</c:v>
                </c:pt>
                <c:pt idx="377">
                  <c:v>40255</c:v>
                </c:pt>
                <c:pt idx="378">
                  <c:v>40280</c:v>
                </c:pt>
                <c:pt idx="379">
                  <c:v>40281</c:v>
                </c:pt>
                <c:pt idx="380">
                  <c:v>40281</c:v>
                </c:pt>
                <c:pt idx="381">
                  <c:v>40315</c:v>
                </c:pt>
                <c:pt idx="382">
                  <c:v>40317</c:v>
                </c:pt>
                <c:pt idx="383">
                  <c:v>40317</c:v>
                </c:pt>
                <c:pt idx="384">
                  <c:v>40344</c:v>
                </c:pt>
                <c:pt idx="385">
                  <c:v>40345</c:v>
                </c:pt>
                <c:pt idx="386">
                  <c:v>40345</c:v>
                </c:pt>
                <c:pt idx="387">
                  <c:v>40374</c:v>
                </c:pt>
                <c:pt idx="388">
                  <c:v>40374</c:v>
                </c:pt>
                <c:pt idx="389">
                  <c:v>40374</c:v>
                </c:pt>
                <c:pt idx="390">
                  <c:v>40407</c:v>
                </c:pt>
                <c:pt idx="391">
                  <c:v>40409</c:v>
                </c:pt>
                <c:pt idx="392">
                  <c:v>40409</c:v>
                </c:pt>
                <c:pt idx="393">
                  <c:v>40409</c:v>
                </c:pt>
                <c:pt idx="394">
                  <c:v>40436</c:v>
                </c:pt>
                <c:pt idx="395">
                  <c:v>40434</c:v>
                </c:pt>
                <c:pt idx="396">
                  <c:v>40434</c:v>
                </c:pt>
                <c:pt idx="397">
                  <c:v>40464</c:v>
                </c:pt>
                <c:pt idx="398">
                  <c:v>40463</c:v>
                </c:pt>
                <c:pt idx="399">
                  <c:v>40463</c:v>
                </c:pt>
                <c:pt idx="400">
                  <c:v>40498</c:v>
                </c:pt>
                <c:pt idx="401">
                  <c:v>40500</c:v>
                </c:pt>
                <c:pt idx="402">
                  <c:v>40500</c:v>
                </c:pt>
                <c:pt idx="403">
                  <c:v>40520</c:v>
                </c:pt>
                <c:pt idx="404">
                  <c:v>40521</c:v>
                </c:pt>
                <c:pt idx="405">
                  <c:v>40521</c:v>
                </c:pt>
                <c:pt idx="406">
                  <c:v>40562</c:v>
                </c:pt>
                <c:pt idx="407">
                  <c:v>40563</c:v>
                </c:pt>
                <c:pt idx="408">
                  <c:v>40563</c:v>
                </c:pt>
                <c:pt idx="409">
                  <c:v>40591</c:v>
                </c:pt>
                <c:pt idx="410">
                  <c:v>40598</c:v>
                </c:pt>
                <c:pt idx="411">
                  <c:v>40598</c:v>
                </c:pt>
                <c:pt idx="412">
                  <c:v>40619</c:v>
                </c:pt>
                <c:pt idx="413">
                  <c:v>40617</c:v>
                </c:pt>
                <c:pt idx="414">
                  <c:v>40617</c:v>
                </c:pt>
                <c:pt idx="415">
                  <c:v>40617</c:v>
                </c:pt>
                <c:pt idx="416">
                  <c:v>40646</c:v>
                </c:pt>
                <c:pt idx="417">
                  <c:v>40647</c:v>
                </c:pt>
                <c:pt idx="418">
                  <c:v>40647</c:v>
                </c:pt>
                <c:pt idx="419">
                  <c:v>40681</c:v>
                </c:pt>
                <c:pt idx="420">
                  <c:v>40681</c:v>
                </c:pt>
                <c:pt idx="421">
                  <c:v>40682</c:v>
                </c:pt>
                <c:pt idx="422">
                  <c:v>40682</c:v>
                </c:pt>
                <c:pt idx="423">
                  <c:v>40709</c:v>
                </c:pt>
                <c:pt idx="424">
                  <c:v>40709</c:v>
                </c:pt>
                <c:pt idx="425">
                  <c:v>40709</c:v>
                </c:pt>
                <c:pt idx="426">
                  <c:v>40709</c:v>
                </c:pt>
                <c:pt idx="427">
                  <c:v>40735</c:v>
                </c:pt>
                <c:pt idx="428">
                  <c:v>40736</c:v>
                </c:pt>
                <c:pt idx="429">
                  <c:v>40736</c:v>
                </c:pt>
                <c:pt idx="430">
                  <c:v>40736</c:v>
                </c:pt>
                <c:pt idx="431">
                  <c:v>40771</c:v>
                </c:pt>
                <c:pt idx="432">
                  <c:v>40772</c:v>
                </c:pt>
                <c:pt idx="433">
                  <c:v>40772</c:v>
                </c:pt>
                <c:pt idx="434">
                  <c:v>40799</c:v>
                </c:pt>
                <c:pt idx="435">
                  <c:v>40798</c:v>
                </c:pt>
                <c:pt idx="436">
                  <c:v>40798</c:v>
                </c:pt>
                <c:pt idx="437">
                  <c:v>40798</c:v>
                </c:pt>
                <c:pt idx="438">
                  <c:v>40827</c:v>
                </c:pt>
                <c:pt idx="439">
                  <c:v>40827</c:v>
                </c:pt>
                <c:pt idx="440">
                  <c:v>40829</c:v>
                </c:pt>
                <c:pt idx="441">
                  <c:v>40829</c:v>
                </c:pt>
                <c:pt idx="442">
                  <c:v>40862</c:v>
                </c:pt>
                <c:pt idx="443">
                  <c:v>40865</c:v>
                </c:pt>
                <c:pt idx="444">
                  <c:v>40865</c:v>
                </c:pt>
                <c:pt idx="445">
                  <c:v>40891</c:v>
                </c:pt>
                <c:pt idx="446">
                  <c:v>40891</c:v>
                </c:pt>
                <c:pt idx="447">
                  <c:v>40891</c:v>
                </c:pt>
                <c:pt idx="448">
                  <c:v>40919</c:v>
                </c:pt>
                <c:pt idx="449">
                  <c:v>40919</c:v>
                </c:pt>
                <c:pt idx="450">
                  <c:v>40919</c:v>
                </c:pt>
                <c:pt idx="451">
                  <c:v>40962</c:v>
                </c:pt>
                <c:pt idx="452">
                  <c:v>40960</c:v>
                </c:pt>
                <c:pt idx="453">
                  <c:v>40960</c:v>
                </c:pt>
                <c:pt idx="454">
                  <c:v>40980</c:v>
                </c:pt>
                <c:pt idx="455">
                  <c:v>40982</c:v>
                </c:pt>
                <c:pt idx="456">
                  <c:v>40982</c:v>
                </c:pt>
                <c:pt idx="457">
                  <c:v>41015</c:v>
                </c:pt>
                <c:pt idx="458">
                  <c:v>41016</c:v>
                </c:pt>
                <c:pt idx="459">
                  <c:v>41016</c:v>
                </c:pt>
                <c:pt idx="460">
                  <c:v>41016</c:v>
                </c:pt>
                <c:pt idx="461">
                  <c:v>41045</c:v>
                </c:pt>
                <c:pt idx="462">
                  <c:v>41051</c:v>
                </c:pt>
                <c:pt idx="463">
                  <c:v>41051</c:v>
                </c:pt>
                <c:pt idx="464">
                  <c:v>41051</c:v>
                </c:pt>
                <c:pt idx="465">
                  <c:v>41073</c:v>
                </c:pt>
                <c:pt idx="466">
                  <c:v>41080</c:v>
                </c:pt>
                <c:pt idx="467">
                  <c:v>41080</c:v>
                </c:pt>
                <c:pt idx="468">
                  <c:v>41107</c:v>
                </c:pt>
                <c:pt idx="469">
                  <c:v>41106</c:v>
                </c:pt>
                <c:pt idx="470">
                  <c:v>41106</c:v>
                </c:pt>
                <c:pt idx="471">
                  <c:v>41135</c:v>
                </c:pt>
                <c:pt idx="472">
                  <c:v>41137</c:v>
                </c:pt>
                <c:pt idx="473">
                  <c:v>41137</c:v>
                </c:pt>
                <c:pt idx="474">
                  <c:v>41164</c:v>
                </c:pt>
                <c:pt idx="475">
                  <c:v>41163</c:v>
                </c:pt>
                <c:pt idx="476">
                  <c:v>41163</c:v>
                </c:pt>
                <c:pt idx="477">
                  <c:v>41199</c:v>
                </c:pt>
                <c:pt idx="478">
                  <c:v>41199</c:v>
                </c:pt>
                <c:pt idx="479">
                  <c:v>41199</c:v>
                </c:pt>
                <c:pt idx="480">
                  <c:v>41225</c:v>
                </c:pt>
                <c:pt idx="481">
                  <c:v>41225</c:v>
                </c:pt>
                <c:pt idx="482">
                  <c:v>41225</c:v>
                </c:pt>
                <c:pt idx="483">
                  <c:v>41254</c:v>
                </c:pt>
                <c:pt idx="484">
                  <c:v>41255</c:v>
                </c:pt>
                <c:pt idx="485">
                  <c:v>41255</c:v>
                </c:pt>
                <c:pt idx="486">
                  <c:v>41288</c:v>
                </c:pt>
                <c:pt idx="487">
                  <c:v>41297</c:v>
                </c:pt>
                <c:pt idx="488">
                  <c:v>41297</c:v>
                </c:pt>
                <c:pt idx="489">
                  <c:v>41318</c:v>
                </c:pt>
                <c:pt idx="490">
                  <c:v>41319</c:v>
                </c:pt>
                <c:pt idx="491">
                  <c:v>41319</c:v>
                </c:pt>
                <c:pt idx="492">
                  <c:v>41344</c:v>
                </c:pt>
                <c:pt idx="493">
                  <c:v>41346</c:v>
                </c:pt>
                <c:pt idx="494">
                  <c:v>41346</c:v>
                </c:pt>
                <c:pt idx="495">
                  <c:v>41346</c:v>
                </c:pt>
                <c:pt idx="496">
                  <c:v>41379</c:v>
                </c:pt>
                <c:pt idx="497">
                  <c:v>41380</c:v>
                </c:pt>
                <c:pt idx="498">
                  <c:v>41380</c:v>
                </c:pt>
                <c:pt idx="499">
                  <c:v>41408</c:v>
                </c:pt>
                <c:pt idx="500">
                  <c:v>41408</c:v>
                </c:pt>
                <c:pt idx="501">
                  <c:v>41407</c:v>
                </c:pt>
                <c:pt idx="502">
                  <c:v>41407</c:v>
                </c:pt>
                <c:pt idx="503">
                  <c:v>41436</c:v>
                </c:pt>
                <c:pt idx="504">
                  <c:v>41437</c:v>
                </c:pt>
                <c:pt idx="505">
                  <c:v>41437</c:v>
                </c:pt>
                <c:pt idx="506">
                  <c:v>41470</c:v>
                </c:pt>
                <c:pt idx="507">
                  <c:v>41470</c:v>
                </c:pt>
                <c:pt idx="508">
                  <c:v>41470</c:v>
                </c:pt>
                <c:pt idx="509">
                  <c:v>41498</c:v>
                </c:pt>
                <c:pt idx="510">
                  <c:v>41498</c:v>
                </c:pt>
                <c:pt idx="511">
                  <c:v>41498</c:v>
                </c:pt>
                <c:pt idx="512">
                  <c:v>41535</c:v>
                </c:pt>
                <c:pt idx="513">
                  <c:v>41535</c:v>
                </c:pt>
                <c:pt idx="514">
                  <c:v>41535</c:v>
                </c:pt>
                <c:pt idx="515">
                  <c:v>41569</c:v>
                </c:pt>
                <c:pt idx="516">
                  <c:v>406810</c:v>
                </c:pt>
                <c:pt idx="517">
                  <c:v>406810</c:v>
                </c:pt>
                <c:pt idx="518">
                  <c:v>41599</c:v>
                </c:pt>
                <c:pt idx="519">
                  <c:v>41599</c:v>
                </c:pt>
                <c:pt idx="520">
                  <c:v>41599</c:v>
                </c:pt>
                <c:pt idx="521">
                  <c:v>41624</c:v>
                </c:pt>
                <c:pt idx="522">
                  <c:v>41627</c:v>
                </c:pt>
                <c:pt idx="523">
                  <c:v>41627</c:v>
                </c:pt>
                <c:pt idx="524">
                  <c:v>41654</c:v>
                </c:pt>
                <c:pt idx="525">
                  <c:v>41655</c:v>
                </c:pt>
                <c:pt idx="526">
                  <c:v>41655</c:v>
                </c:pt>
                <c:pt idx="527">
                  <c:v>41688</c:v>
                </c:pt>
                <c:pt idx="528">
                  <c:v>41690</c:v>
                </c:pt>
                <c:pt idx="529">
                  <c:v>41690</c:v>
                </c:pt>
                <c:pt idx="530">
                  <c:v>41719</c:v>
                </c:pt>
                <c:pt idx="531">
                  <c:v>41718</c:v>
                </c:pt>
                <c:pt idx="532">
                  <c:v>41718</c:v>
                </c:pt>
                <c:pt idx="533">
                  <c:v>41747</c:v>
                </c:pt>
                <c:pt idx="534">
                  <c:v>41750</c:v>
                </c:pt>
                <c:pt idx="535">
                  <c:v>41750</c:v>
                </c:pt>
                <c:pt idx="536">
                  <c:v>41772</c:v>
                </c:pt>
                <c:pt idx="537">
                  <c:v>41406</c:v>
                </c:pt>
                <c:pt idx="538">
                  <c:v>41406</c:v>
                </c:pt>
                <c:pt idx="539">
                  <c:v>41808</c:v>
                </c:pt>
                <c:pt idx="540">
                  <c:v>41807</c:v>
                </c:pt>
                <c:pt idx="541">
                  <c:v>41807</c:v>
                </c:pt>
                <c:pt idx="542">
                  <c:v>41834</c:v>
                </c:pt>
                <c:pt idx="543">
                  <c:v>41837</c:v>
                </c:pt>
                <c:pt idx="544">
                  <c:v>41837</c:v>
                </c:pt>
                <c:pt idx="545">
                  <c:v>41862</c:v>
                </c:pt>
                <c:pt idx="546">
                  <c:v>41862</c:v>
                </c:pt>
                <c:pt idx="547">
                  <c:v>41862</c:v>
                </c:pt>
                <c:pt idx="548">
                  <c:v>41898</c:v>
                </c:pt>
                <c:pt idx="549">
                  <c:v>41897</c:v>
                </c:pt>
                <c:pt idx="550">
                  <c:v>41897</c:v>
                </c:pt>
                <c:pt idx="551">
                  <c:v>41929</c:v>
                </c:pt>
                <c:pt idx="552">
                  <c:v>41928</c:v>
                </c:pt>
                <c:pt idx="553">
                  <c:v>41928</c:v>
                </c:pt>
                <c:pt idx="554">
                  <c:v>41953</c:v>
                </c:pt>
                <c:pt idx="555">
                  <c:v>41955</c:v>
                </c:pt>
                <c:pt idx="556">
                  <c:v>41955</c:v>
                </c:pt>
                <c:pt idx="557">
                  <c:v>41988</c:v>
                </c:pt>
                <c:pt idx="558">
                  <c:v>41992</c:v>
                </c:pt>
                <c:pt idx="559">
                  <c:v>41992</c:v>
                </c:pt>
                <c:pt idx="560">
                  <c:v>42014</c:v>
                </c:pt>
                <c:pt idx="561">
                  <c:v>42009</c:v>
                </c:pt>
                <c:pt idx="562">
                  <c:v>42009</c:v>
                </c:pt>
                <c:pt idx="563">
                  <c:v>42036</c:v>
                </c:pt>
                <c:pt idx="564">
                  <c:v>42036</c:v>
                </c:pt>
                <c:pt idx="565">
                  <c:v>42036</c:v>
                </c:pt>
                <c:pt idx="566">
                  <c:v>42064</c:v>
                </c:pt>
                <c:pt idx="567">
                  <c:v>42064</c:v>
                </c:pt>
                <c:pt idx="568">
                  <c:v>42064</c:v>
                </c:pt>
                <c:pt idx="569">
                  <c:v>42095</c:v>
                </c:pt>
                <c:pt idx="570">
                  <c:v>42095</c:v>
                </c:pt>
                <c:pt idx="571">
                  <c:v>42095</c:v>
                </c:pt>
                <c:pt idx="572">
                  <c:v>42125</c:v>
                </c:pt>
                <c:pt idx="573">
                  <c:v>42125</c:v>
                </c:pt>
                <c:pt idx="574">
                  <c:v>42125</c:v>
                </c:pt>
                <c:pt idx="575">
                  <c:v>42156</c:v>
                </c:pt>
                <c:pt idx="576">
                  <c:v>42156</c:v>
                </c:pt>
                <c:pt idx="577">
                  <c:v>42156</c:v>
                </c:pt>
                <c:pt idx="578">
                  <c:v>42186</c:v>
                </c:pt>
                <c:pt idx="579">
                  <c:v>42186</c:v>
                </c:pt>
                <c:pt idx="580">
                  <c:v>42186</c:v>
                </c:pt>
                <c:pt idx="581">
                  <c:v>42217</c:v>
                </c:pt>
                <c:pt idx="582">
                  <c:v>42217</c:v>
                </c:pt>
                <c:pt idx="583">
                  <c:v>42217</c:v>
                </c:pt>
                <c:pt idx="584">
                  <c:v>42248</c:v>
                </c:pt>
                <c:pt idx="585">
                  <c:v>42248</c:v>
                </c:pt>
                <c:pt idx="586">
                  <c:v>42248</c:v>
                </c:pt>
                <c:pt idx="587">
                  <c:v>42278</c:v>
                </c:pt>
                <c:pt idx="588">
                  <c:v>42278</c:v>
                </c:pt>
                <c:pt idx="589">
                  <c:v>42278</c:v>
                </c:pt>
                <c:pt idx="590">
                  <c:v>42309</c:v>
                </c:pt>
                <c:pt idx="591">
                  <c:v>42309</c:v>
                </c:pt>
                <c:pt idx="592">
                  <c:v>42309</c:v>
                </c:pt>
                <c:pt idx="593">
                  <c:v>42339</c:v>
                </c:pt>
                <c:pt idx="594">
                  <c:v>42339</c:v>
                </c:pt>
                <c:pt idx="595">
                  <c:v>42339</c:v>
                </c:pt>
                <c:pt idx="596">
                  <c:v>42379</c:v>
                </c:pt>
                <c:pt idx="597">
                  <c:v>42374</c:v>
                </c:pt>
                <c:pt idx="598">
                  <c:v>42374</c:v>
                </c:pt>
                <c:pt idx="599">
                  <c:v>42401</c:v>
                </c:pt>
                <c:pt idx="600">
                  <c:v>42401</c:v>
                </c:pt>
                <c:pt idx="601">
                  <c:v>42401</c:v>
                </c:pt>
                <c:pt idx="602">
                  <c:v>42430</c:v>
                </c:pt>
                <c:pt idx="603">
                  <c:v>42430</c:v>
                </c:pt>
                <c:pt idx="604">
                  <c:v>42430</c:v>
                </c:pt>
                <c:pt idx="605">
                  <c:v>42461</c:v>
                </c:pt>
                <c:pt idx="606">
                  <c:v>42461</c:v>
                </c:pt>
                <c:pt idx="607">
                  <c:v>42461</c:v>
                </c:pt>
                <c:pt idx="608">
                  <c:v>42491</c:v>
                </c:pt>
                <c:pt idx="609">
                  <c:v>42491</c:v>
                </c:pt>
                <c:pt idx="610">
                  <c:v>42491</c:v>
                </c:pt>
                <c:pt idx="611">
                  <c:v>42522</c:v>
                </c:pt>
                <c:pt idx="612">
                  <c:v>42522</c:v>
                </c:pt>
                <c:pt idx="613">
                  <c:v>42522</c:v>
                </c:pt>
                <c:pt idx="614">
                  <c:v>42552</c:v>
                </c:pt>
                <c:pt idx="615">
                  <c:v>42552</c:v>
                </c:pt>
                <c:pt idx="616">
                  <c:v>42552</c:v>
                </c:pt>
                <c:pt idx="617">
                  <c:v>42583</c:v>
                </c:pt>
                <c:pt idx="618">
                  <c:v>42583</c:v>
                </c:pt>
                <c:pt idx="619">
                  <c:v>42583</c:v>
                </c:pt>
                <c:pt idx="620">
                  <c:v>42614</c:v>
                </c:pt>
                <c:pt idx="621">
                  <c:v>42614</c:v>
                </c:pt>
                <c:pt idx="622">
                  <c:v>42614</c:v>
                </c:pt>
                <c:pt idx="623">
                  <c:v>42644</c:v>
                </c:pt>
                <c:pt idx="624">
                  <c:v>42644</c:v>
                </c:pt>
                <c:pt idx="625">
                  <c:v>42644</c:v>
                </c:pt>
                <c:pt idx="626">
                  <c:v>42675</c:v>
                </c:pt>
                <c:pt idx="627">
                  <c:v>42675</c:v>
                </c:pt>
                <c:pt idx="628">
                  <c:v>42675</c:v>
                </c:pt>
                <c:pt idx="629">
                  <c:v>42705</c:v>
                </c:pt>
                <c:pt idx="630">
                  <c:v>42705</c:v>
                </c:pt>
                <c:pt idx="631">
                  <c:v>42705</c:v>
                </c:pt>
                <c:pt idx="632">
                  <c:v>42745</c:v>
                </c:pt>
                <c:pt idx="633">
                  <c:v>42740</c:v>
                </c:pt>
                <c:pt idx="634">
                  <c:v>42740</c:v>
                </c:pt>
                <c:pt idx="635">
                  <c:v>42767</c:v>
                </c:pt>
                <c:pt idx="636">
                  <c:v>42767</c:v>
                </c:pt>
                <c:pt idx="637">
                  <c:v>42767</c:v>
                </c:pt>
                <c:pt idx="638">
                  <c:v>42795</c:v>
                </c:pt>
                <c:pt idx="639">
                  <c:v>42795</c:v>
                </c:pt>
                <c:pt idx="640">
                  <c:v>42795</c:v>
                </c:pt>
                <c:pt idx="641">
                  <c:v>42826</c:v>
                </c:pt>
                <c:pt idx="642">
                  <c:v>42826</c:v>
                </c:pt>
                <c:pt idx="643">
                  <c:v>42826</c:v>
                </c:pt>
                <c:pt idx="644">
                  <c:v>42856</c:v>
                </c:pt>
                <c:pt idx="645">
                  <c:v>42856</c:v>
                </c:pt>
                <c:pt idx="646">
                  <c:v>42856</c:v>
                </c:pt>
                <c:pt idx="647">
                  <c:v>42887</c:v>
                </c:pt>
                <c:pt idx="648">
                  <c:v>42887</c:v>
                </c:pt>
                <c:pt idx="649">
                  <c:v>42887</c:v>
                </c:pt>
                <c:pt idx="650">
                  <c:v>42917</c:v>
                </c:pt>
                <c:pt idx="651">
                  <c:v>42917</c:v>
                </c:pt>
                <c:pt idx="652">
                  <c:v>42917</c:v>
                </c:pt>
                <c:pt idx="653">
                  <c:v>42948</c:v>
                </c:pt>
                <c:pt idx="654">
                  <c:v>42948</c:v>
                </c:pt>
                <c:pt idx="655">
                  <c:v>42948</c:v>
                </c:pt>
                <c:pt idx="656">
                  <c:v>42979</c:v>
                </c:pt>
                <c:pt idx="657">
                  <c:v>42979</c:v>
                </c:pt>
                <c:pt idx="658">
                  <c:v>42979</c:v>
                </c:pt>
                <c:pt idx="659">
                  <c:v>43009</c:v>
                </c:pt>
                <c:pt idx="660">
                  <c:v>43009</c:v>
                </c:pt>
                <c:pt idx="661">
                  <c:v>43009</c:v>
                </c:pt>
                <c:pt idx="662">
                  <c:v>43040</c:v>
                </c:pt>
                <c:pt idx="663">
                  <c:v>43040</c:v>
                </c:pt>
                <c:pt idx="664">
                  <c:v>43040</c:v>
                </c:pt>
                <c:pt idx="665">
                  <c:v>43070</c:v>
                </c:pt>
                <c:pt idx="666">
                  <c:v>43070</c:v>
                </c:pt>
                <c:pt idx="667">
                  <c:v>43070</c:v>
                </c:pt>
                <c:pt idx="668">
                  <c:v>43110</c:v>
                </c:pt>
                <c:pt idx="669">
                  <c:v>43105</c:v>
                </c:pt>
                <c:pt idx="670">
                  <c:v>43105</c:v>
                </c:pt>
                <c:pt idx="671">
                  <c:v>43132</c:v>
                </c:pt>
                <c:pt idx="672">
                  <c:v>43132</c:v>
                </c:pt>
                <c:pt idx="673">
                  <c:v>43132</c:v>
                </c:pt>
                <c:pt idx="674">
                  <c:v>43160</c:v>
                </c:pt>
                <c:pt idx="675">
                  <c:v>43160</c:v>
                </c:pt>
                <c:pt idx="676">
                  <c:v>43160</c:v>
                </c:pt>
                <c:pt idx="677">
                  <c:v>43191</c:v>
                </c:pt>
                <c:pt idx="678">
                  <c:v>43191</c:v>
                </c:pt>
                <c:pt idx="679">
                  <c:v>43191</c:v>
                </c:pt>
                <c:pt idx="680">
                  <c:v>43221</c:v>
                </c:pt>
                <c:pt idx="681">
                  <c:v>43221</c:v>
                </c:pt>
                <c:pt idx="682">
                  <c:v>43221</c:v>
                </c:pt>
                <c:pt idx="683">
                  <c:v>43252</c:v>
                </c:pt>
                <c:pt idx="684">
                  <c:v>43252</c:v>
                </c:pt>
                <c:pt idx="685">
                  <c:v>43252</c:v>
                </c:pt>
                <c:pt idx="686">
                  <c:v>43282</c:v>
                </c:pt>
                <c:pt idx="687">
                  <c:v>43282</c:v>
                </c:pt>
                <c:pt idx="688">
                  <c:v>43282</c:v>
                </c:pt>
                <c:pt idx="689">
                  <c:v>43313</c:v>
                </c:pt>
                <c:pt idx="690">
                  <c:v>43313</c:v>
                </c:pt>
                <c:pt idx="691">
                  <c:v>43313</c:v>
                </c:pt>
                <c:pt idx="692">
                  <c:v>43344</c:v>
                </c:pt>
                <c:pt idx="693">
                  <c:v>43344</c:v>
                </c:pt>
                <c:pt idx="694">
                  <c:v>43344</c:v>
                </c:pt>
                <c:pt idx="695">
                  <c:v>43374</c:v>
                </c:pt>
                <c:pt idx="696">
                  <c:v>43374</c:v>
                </c:pt>
                <c:pt idx="697">
                  <c:v>43374</c:v>
                </c:pt>
                <c:pt idx="698">
                  <c:v>43405</c:v>
                </c:pt>
                <c:pt idx="699">
                  <c:v>43405</c:v>
                </c:pt>
                <c:pt idx="700">
                  <c:v>43405</c:v>
                </c:pt>
                <c:pt idx="701">
                  <c:v>43435</c:v>
                </c:pt>
                <c:pt idx="702">
                  <c:v>43435</c:v>
                </c:pt>
                <c:pt idx="703">
                  <c:v>43435</c:v>
                </c:pt>
                <c:pt idx="704">
                  <c:v>43475</c:v>
                </c:pt>
                <c:pt idx="705">
                  <c:v>43470</c:v>
                </c:pt>
                <c:pt idx="706">
                  <c:v>43470</c:v>
                </c:pt>
                <c:pt idx="707">
                  <c:v>43497</c:v>
                </c:pt>
                <c:pt idx="708">
                  <c:v>43497</c:v>
                </c:pt>
                <c:pt idx="709">
                  <c:v>43497</c:v>
                </c:pt>
                <c:pt idx="710">
                  <c:v>43525</c:v>
                </c:pt>
                <c:pt idx="711">
                  <c:v>43525</c:v>
                </c:pt>
                <c:pt idx="712">
                  <c:v>43525</c:v>
                </c:pt>
                <c:pt idx="713">
                  <c:v>43556</c:v>
                </c:pt>
                <c:pt idx="714">
                  <c:v>43556</c:v>
                </c:pt>
                <c:pt idx="715">
                  <c:v>43556</c:v>
                </c:pt>
                <c:pt idx="716">
                  <c:v>43586</c:v>
                </c:pt>
                <c:pt idx="717">
                  <c:v>43586</c:v>
                </c:pt>
                <c:pt idx="718">
                  <c:v>43586</c:v>
                </c:pt>
                <c:pt idx="719">
                  <c:v>43617</c:v>
                </c:pt>
                <c:pt idx="720">
                  <c:v>43617</c:v>
                </c:pt>
                <c:pt idx="721">
                  <c:v>43617</c:v>
                </c:pt>
                <c:pt idx="722">
                  <c:v>43647</c:v>
                </c:pt>
                <c:pt idx="723">
                  <c:v>43647</c:v>
                </c:pt>
                <c:pt idx="724">
                  <c:v>43647</c:v>
                </c:pt>
                <c:pt idx="725">
                  <c:v>43678</c:v>
                </c:pt>
                <c:pt idx="726">
                  <c:v>43678</c:v>
                </c:pt>
                <c:pt idx="727">
                  <c:v>43678</c:v>
                </c:pt>
                <c:pt idx="728">
                  <c:v>43709</c:v>
                </c:pt>
                <c:pt idx="729">
                  <c:v>43709</c:v>
                </c:pt>
                <c:pt idx="730">
                  <c:v>43709</c:v>
                </c:pt>
                <c:pt idx="731">
                  <c:v>43739</c:v>
                </c:pt>
                <c:pt idx="732">
                  <c:v>43739</c:v>
                </c:pt>
                <c:pt idx="733">
                  <c:v>43739</c:v>
                </c:pt>
                <c:pt idx="734">
                  <c:v>43770</c:v>
                </c:pt>
                <c:pt idx="735">
                  <c:v>43770</c:v>
                </c:pt>
                <c:pt idx="736">
                  <c:v>43770</c:v>
                </c:pt>
                <c:pt idx="737">
                  <c:v>43800</c:v>
                </c:pt>
                <c:pt idx="738">
                  <c:v>43800</c:v>
                </c:pt>
                <c:pt idx="739">
                  <c:v>43800</c:v>
                </c:pt>
              </c:numCache>
            </c:numRef>
          </c:xVal>
          <c:yVal>
            <c:numRef>
              <c:f>'Zea update'!$N$3:$N$742</c:f>
              <c:numCache>
                <c:formatCode>General</c:formatCode>
                <c:ptCount val="740"/>
                <c:pt idx="2">
                  <c:v>-0.26959679817050192</c:v>
                </c:pt>
                <c:pt idx="5">
                  <c:v>-0.88543108437310836</c:v>
                </c:pt>
                <c:pt idx="8">
                  <c:v>-1.5480934240146074</c:v>
                </c:pt>
                <c:pt idx="11">
                  <c:v>-2.0829708883510349</c:v>
                </c:pt>
                <c:pt idx="14">
                  <c:v>-2.4641981318194501</c:v>
                </c:pt>
                <c:pt idx="17">
                  <c:v>-2.82493985281249</c:v>
                </c:pt>
                <c:pt idx="20">
                  <c:v>-3.6184001457559756</c:v>
                </c:pt>
                <c:pt idx="23">
                  <c:v>-4.1307699666134656</c:v>
                </c:pt>
                <c:pt idx="26">
                  <c:v>-4.4957754839480293</c:v>
                </c:pt>
                <c:pt idx="29">
                  <c:v>-3.6664026414218274</c:v>
                </c:pt>
                <c:pt idx="32">
                  <c:v>-2.202868479340832</c:v>
                </c:pt>
                <c:pt idx="35">
                  <c:v>-1.4190894663070266</c:v>
                </c:pt>
                <c:pt idx="38">
                  <c:v>-2.0827178580383299</c:v>
                </c:pt>
                <c:pt idx="41">
                  <c:v>-2.8261087409844903</c:v>
                </c:pt>
                <c:pt idx="44">
                  <c:v>-3.5371144244145869</c:v>
                </c:pt>
                <c:pt idx="47">
                  <c:v>-4.0745459195963347</c:v>
                </c:pt>
                <c:pt idx="50">
                  <c:v>-4.5660399839363812</c:v>
                </c:pt>
                <c:pt idx="53">
                  <c:v>-5.071160486908874</c:v>
                </c:pt>
                <c:pt idx="56">
                  <c:v>-5.6504753204521441</c:v>
                </c:pt>
                <c:pt idx="59">
                  <c:v>-5.9732111522108546</c:v>
                </c:pt>
                <c:pt idx="62">
                  <c:v>-5.4003269890266115</c:v>
                </c:pt>
                <c:pt idx="65">
                  <c:v>-3.2420765809185679</c:v>
                </c:pt>
                <c:pt idx="68">
                  <c:v>-1.4967966473973107</c:v>
                </c:pt>
                <c:pt idx="71">
                  <c:v>-1.5939820607780304</c:v>
                </c:pt>
                <c:pt idx="74">
                  <c:v>-2.1825906797947789</c:v>
                </c:pt>
                <c:pt idx="77">
                  <c:v>-2.6132840645689153</c:v>
                </c:pt>
                <c:pt idx="80">
                  <c:v>-3.3452119587019817</c:v>
                </c:pt>
                <c:pt idx="83">
                  <c:v>-4.0405353443418317</c:v>
                </c:pt>
                <c:pt idx="86">
                  <c:v>-4.1755705880978651</c:v>
                </c:pt>
                <c:pt idx="89">
                  <c:v>-4.8134494369585514</c:v>
                </c:pt>
                <c:pt idx="92">
                  <c:v>-5.2218208868149052</c:v>
                </c:pt>
                <c:pt idx="110">
                  <c:v>-4.6958273330785945</c:v>
                </c:pt>
                <c:pt idx="113">
                  <c:v>-5.337132217950022</c:v>
                </c:pt>
                <c:pt idx="116">
                  <c:v>-6.0027045700164363</c:v>
                </c:pt>
                <c:pt idx="119">
                  <c:v>-6.4880021775326364</c:v>
                </c:pt>
                <c:pt idx="122">
                  <c:v>-7.0232300000641494</c:v>
                </c:pt>
                <c:pt idx="125">
                  <c:v>-7.5152324960421106</c:v>
                </c:pt>
                <c:pt idx="128">
                  <c:v>-8.1606862374658711</c:v>
                </c:pt>
                <c:pt idx="131">
                  <c:v>-8.4484834752241227</c:v>
                </c:pt>
                <c:pt idx="134">
                  <c:v>-8.6684676624083856</c:v>
                </c:pt>
                <c:pt idx="137">
                  <c:v>-6.6625110771615921</c:v>
                </c:pt>
                <c:pt idx="140">
                  <c:v>-3.850456893736014</c:v>
                </c:pt>
                <c:pt idx="143">
                  <c:v>-3.4062069544662297</c:v>
                </c:pt>
                <c:pt idx="146">
                  <c:v>-3.9138624600879943</c:v>
                </c:pt>
                <c:pt idx="149">
                  <c:v>-4.4531876535539432</c:v>
                </c:pt>
                <c:pt idx="152">
                  <c:v>-5.0324159341459209</c:v>
                </c:pt>
                <c:pt idx="155">
                  <c:v>-5.6895949231811462</c:v>
                </c:pt>
                <c:pt idx="158">
                  <c:v>-6.3255364486582071</c:v>
                </c:pt>
                <c:pt idx="161">
                  <c:v>-6.9627189015277597</c:v>
                </c:pt>
                <c:pt idx="164">
                  <c:v>-7.3584040133465871</c:v>
                </c:pt>
                <c:pt idx="167">
                  <c:v>-6.9327158790171559</c:v>
                </c:pt>
                <c:pt idx="170">
                  <c:v>-6.3389261262756866</c:v>
                </c:pt>
                <c:pt idx="173">
                  <c:v>-4.3325606872412319</c:v>
                </c:pt>
                <c:pt idx="179">
                  <c:v>-3.8192543148145126</c:v>
                </c:pt>
                <c:pt idx="182">
                  <c:v>-3.8688518224071009</c:v>
                </c:pt>
                <c:pt idx="185">
                  <c:v>-4.3940483598955851</c:v>
                </c:pt>
                <c:pt idx="188">
                  <c:v>-4.9329827726884865</c:v>
                </c:pt>
                <c:pt idx="191">
                  <c:v>-5.5996744656095938</c:v>
                </c:pt>
                <c:pt idx="194">
                  <c:v>-6.0777505862428205</c:v>
                </c:pt>
                <c:pt idx="197">
                  <c:v>-6.7056429994908626</c:v>
                </c:pt>
                <c:pt idx="200">
                  <c:v>-7.256223968531974</c:v>
                </c:pt>
                <c:pt idx="203">
                  <c:v>-7.6875485095401421</c:v>
                </c:pt>
                <c:pt idx="206">
                  <c:v>-7.4008574778293781</c:v>
                </c:pt>
                <c:pt idx="209">
                  <c:v>-5.0470766790133119</c:v>
                </c:pt>
                <c:pt idx="212">
                  <c:v>-3.9710741376136101</c:v>
                </c:pt>
                <c:pt idx="215">
                  <c:v>-3.5609986260688462</c:v>
                </c:pt>
                <c:pt idx="218">
                  <c:v>-3.8990771556650294</c:v>
                </c:pt>
                <c:pt idx="221">
                  <c:v>-4.6033625235749307</c:v>
                </c:pt>
                <c:pt idx="224">
                  <c:v>-5.2799150428552357</c:v>
                </c:pt>
                <c:pt idx="227">
                  <c:v>-5.8737486439808455</c:v>
                </c:pt>
                <c:pt idx="230">
                  <c:v>-6.4520845209037319</c:v>
                </c:pt>
                <c:pt idx="233">
                  <c:v>-7.1161700477635268</c:v>
                </c:pt>
                <c:pt idx="236">
                  <c:v>-7.4093776391598327</c:v>
                </c:pt>
                <c:pt idx="239">
                  <c:v>-7.4197040030067747</c:v>
                </c:pt>
                <c:pt idx="242">
                  <c:v>-7.5420256929599878</c:v>
                </c:pt>
                <c:pt idx="245">
                  <c:v>-6.2122184290531619</c:v>
                </c:pt>
                <c:pt idx="248">
                  <c:v>-5.1987665447906242</c:v>
                </c:pt>
                <c:pt idx="251">
                  <c:v>-4.923973664731399</c:v>
                </c:pt>
                <c:pt idx="254">
                  <c:v>-4.2756035611587926</c:v>
                </c:pt>
                <c:pt idx="257">
                  <c:v>-4.7492389353826185</c:v>
                </c:pt>
                <c:pt idx="260">
                  <c:v>-5.1442715139740871</c:v>
                </c:pt>
                <c:pt idx="263">
                  <c:v>-5.3879397201972603</c:v>
                </c:pt>
                <c:pt idx="266">
                  <c:v>-5.9842209716441088</c:v>
                </c:pt>
                <c:pt idx="269">
                  <c:v>-6.4663640205978208</c:v>
                </c:pt>
                <c:pt idx="272">
                  <c:v>-7.1393137556473878</c:v>
                </c:pt>
                <c:pt idx="275">
                  <c:v>-7.5686915202283496</c:v>
                </c:pt>
                <c:pt idx="278">
                  <c:v>-8.0289981935490715</c:v>
                </c:pt>
                <c:pt idx="281">
                  <c:v>-6.7691775278951347</c:v>
                </c:pt>
                <c:pt idx="284">
                  <c:v>-4.7100240134350067</c:v>
                </c:pt>
                <c:pt idx="287">
                  <c:v>-2.599172703597934</c:v>
                </c:pt>
                <c:pt idx="290">
                  <c:v>-0.24711194010577175</c:v>
                </c:pt>
                <c:pt idx="293">
                  <c:v>-0.84322944189374749</c:v>
                </c:pt>
                <c:pt idx="296">
                  <c:v>-1.4998174324694045</c:v>
                </c:pt>
                <c:pt idx="299">
                  <c:v>-1.8582532722096059</c:v>
                </c:pt>
                <c:pt idx="302">
                  <c:v>-2.261108312164505</c:v>
                </c:pt>
                <c:pt idx="305">
                  <c:v>-2.6543909039701763</c:v>
                </c:pt>
                <c:pt idx="308">
                  <c:v>-3.1761222279273316</c:v>
                </c:pt>
                <c:pt idx="311">
                  <c:v>-3.4693944262514176</c:v>
                </c:pt>
                <c:pt idx="314">
                  <c:v>-2.5482550059155415</c:v>
                </c:pt>
                <c:pt idx="317">
                  <c:v>-0.87145155626835868</c:v>
                </c:pt>
                <c:pt idx="320">
                  <c:v>0.56783036766543638</c:v>
                </c:pt>
                <c:pt idx="323">
                  <c:v>0.84184250346085043</c:v>
                </c:pt>
                <c:pt idx="326">
                  <c:v>1.6493493464150704</c:v>
                </c:pt>
                <c:pt idx="329">
                  <c:v>1.0283876912706933</c:v>
                </c:pt>
                <c:pt idx="332">
                  <c:v>0.3374194468788877</c:v>
                </c:pt>
                <c:pt idx="335">
                  <c:v>-0.31520733499226694</c:v>
                </c:pt>
                <c:pt idx="338">
                  <c:v>-0.94538745307715066</c:v>
                </c:pt>
                <c:pt idx="341">
                  <c:v>-1.5921432049960789</c:v>
                </c:pt>
                <c:pt idx="344">
                  <c:v>-1.9752748973931453</c:v>
                </c:pt>
                <c:pt idx="347">
                  <c:v>-2.3063358363937723</c:v>
                </c:pt>
                <c:pt idx="350">
                  <c:v>-2.2866632594652274</c:v>
                </c:pt>
                <c:pt idx="353">
                  <c:v>-0.14549342464952764</c:v>
                </c:pt>
                <c:pt idx="356">
                  <c:v>2.8448850639299255</c:v>
                </c:pt>
                <c:pt idx="359">
                  <c:v>3.0189970646556747</c:v>
                </c:pt>
                <c:pt idx="362">
                  <c:v>4.0781984772731787</c:v>
                </c:pt>
                <c:pt idx="365">
                  <c:v>3.5701112528903018</c:v>
                </c:pt>
                <c:pt idx="368">
                  <c:v>2.9152486062805663</c:v>
                </c:pt>
                <c:pt idx="371">
                  <c:v>2.2158702877405405</c:v>
                </c:pt>
                <c:pt idx="374">
                  <c:v>1.6955970427057039</c:v>
                </c:pt>
                <c:pt idx="377">
                  <c:v>1.1907132069735038</c:v>
                </c:pt>
                <c:pt idx="380">
                  <c:v>0.62792738010360172</c:v>
                </c:pt>
                <c:pt idx="383">
                  <c:v>1.1157831728550689</c:v>
                </c:pt>
                <c:pt idx="386">
                  <c:v>3.2751561296062239</c:v>
                </c:pt>
                <c:pt idx="389">
                  <c:v>6.0920747353356095</c:v>
                </c:pt>
                <c:pt idx="393">
                  <c:v>7.0327655960412967</c:v>
                </c:pt>
                <c:pt idx="396">
                  <c:v>7.9425798926387747</c:v>
                </c:pt>
                <c:pt idx="399">
                  <c:v>8.0099744118042153</c:v>
                </c:pt>
                <c:pt idx="402">
                  <c:v>7.7482936416194592</c:v>
                </c:pt>
                <c:pt idx="405">
                  <c:v>7.8755012623874165</c:v>
                </c:pt>
                <c:pt idx="408">
                  <c:v>7.2160013535024365</c:v>
                </c:pt>
                <c:pt idx="411">
                  <c:v>6.547005207237417</c:v>
                </c:pt>
                <c:pt idx="415">
                  <c:v>5.883903503013058</c:v>
                </c:pt>
                <c:pt idx="418">
                  <c:v>5.2433262354964514</c:v>
                </c:pt>
                <c:pt idx="422">
                  <c:v>6.3288865885353625</c:v>
                </c:pt>
                <c:pt idx="426">
                  <c:v>8.5072060524762669</c:v>
                </c:pt>
                <c:pt idx="429">
                  <c:v>8.8561060931163169</c:v>
                </c:pt>
                <c:pt idx="433">
                  <c:v>8.9324335589914732</c:v>
                </c:pt>
                <c:pt idx="437">
                  <c:v>10.702735782888434</c:v>
                </c:pt>
                <c:pt idx="441">
                  <c:v>11.405772554097078</c:v>
                </c:pt>
                <c:pt idx="444">
                  <c:v>11.034746891406852</c:v>
                </c:pt>
                <c:pt idx="447">
                  <c:v>10.449061928944557</c:v>
                </c:pt>
                <c:pt idx="450">
                  <c:v>9.7747438340752701</c:v>
                </c:pt>
                <c:pt idx="453">
                  <c:v>9.290253636738802</c:v>
                </c:pt>
                <c:pt idx="456">
                  <c:v>8.9614493083823561</c:v>
                </c:pt>
                <c:pt idx="460">
                  <c:v>8.4419815014704618</c:v>
                </c:pt>
                <c:pt idx="464">
                  <c:v>8.0168203516599679</c:v>
                </c:pt>
                <c:pt idx="467">
                  <c:v>7.9845244755257747</c:v>
                </c:pt>
                <c:pt idx="470">
                  <c:v>11.749261707338739</c:v>
                </c:pt>
                <c:pt idx="473">
                  <c:v>11.989978081022061</c:v>
                </c:pt>
                <c:pt idx="476">
                  <c:v>12.689187141340648</c:v>
                </c:pt>
                <c:pt idx="479">
                  <c:v>12.439784412625229</c:v>
                </c:pt>
                <c:pt idx="482">
                  <c:v>11.793356151262333</c:v>
                </c:pt>
                <c:pt idx="485">
                  <c:v>11.113734419752548</c:v>
                </c:pt>
                <c:pt idx="488">
                  <c:v>10.511421021798382</c:v>
                </c:pt>
                <c:pt idx="491">
                  <c:v>9.8773412797365783</c:v>
                </c:pt>
                <c:pt idx="495">
                  <c:v>9.1839180012375152</c:v>
                </c:pt>
                <c:pt idx="498">
                  <c:v>8.7817306858371431</c:v>
                </c:pt>
                <c:pt idx="502">
                  <c:v>8.3545720182788443</c:v>
                </c:pt>
                <c:pt idx="505">
                  <c:v>7.7724884580850366</c:v>
                </c:pt>
                <c:pt idx="508">
                  <c:v>11.055854385152196</c:v>
                </c:pt>
                <c:pt idx="511">
                  <c:v>13.159486963458995</c:v>
                </c:pt>
                <c:pt idx="514">
                  <c:v>12.865380248784733</c:v>
                </c:pt>
                <c:pt idx="517">
                  <c:v>12.071919955841247</c:v>
                </c:pt>
                <c:pt idx="520">
                  <c:v>11.355076697381708</c:v>
                </c:pt>
                <c:pt idx="523">
                  <c:v>10.604863957328462</c:v>
                </c:pt>
                <c:pt idx="526">
                  <c:v>9.9637037373500288</c:v>
                </c:pt>
                <c:pt idx="529">
                  <c:v>9.3828200617172115</c:v>
                </c:pt>
                <c:pt idx="532">
                  <c:v>8.7967899370381222</c:v>
                </c:pt>
                <c:pt idx="535">
                  <c:v>8.1495798819369405</c:v>
                </c:pt>
                <c:pt idx="538">
                  <c:v>7.444460712789799</c:v>
                </c:pt>
                <c:pt idx="541">
                  <c:v>7.5905867141315113</c:v>
                </c:pt>
                <c:pt idx="544">
                  <c:v>7.2838689360932545</c:v>
                </c:pt>
                <c:pt idx="547">
                  <c:v>10.647279151057042</c:v>
                </c:pt>
                <c:pt idx="550">
                  <c:v>10.162708396045145</c:v>
                </c:pt>
                <c:pt idx="553">
                  <c:v>9.4416168031931598</c:v>
                </c:pt>
                <c:pt idx="556">
                  <c:v>8.7631512672488796</c:v>
                </c:pt>
                <c:pt idx="559">
                  <c:v>8.0216761953977223</c:v>
                </c:pt>
                <c:pt idx="562">
                  <c:v>7.3753579204954187</c:v>
                </c:pt>
                <c:pt idx="568">
                  <c:v>6.7487724887474911</c:v>
                </c:pt>
                <c:pt idx="571">
                  <c:v>6.2855468270225785</c:v>
                </c:pt>
                <c:pt idx="574">
                  <c:v>5.5907629680997157</c:v>
                </c:pt>
                <c:pt idx="577">
                  <c:v>5.3793621160651686</c:v>
                </c:pt>
                <c:pt idx="580">
                  <c:v>7.3303877186595434</c:v>
                </c:pt>
                <c:pt idx="583">
                  <c:v>6.9840870462028928</c:v>
                </c:pt>
                <c:pt idx="586">
                  <c:v>7.5366326334476339</c:v>
                </c:pt>
                <c:pt idx="589">
                  <c:v>6.8433147188393271</c:v>
                </c:pt>
                <c:pt idx="592">
                  <c:v>6.8432320349437745</c:v>
                </c:pt>
                <c:pt idx="595">
                  <c:v>6.2258892727670654</c:v>
                </c:pt>
                <c:pt idx="598">
                  <c:v>5.5358860220847745</c:v>
                </c:pt>
                <c:pt idx="601">
                  <c:v>4.9060710206699678</c:v>
                </c:pt>
                <c:pt idx="604">
                  <c:v>4.3717014809809642</c:v>
                </c:pt>
                <c:pt idx="607">
                  <c:v>3.683764817032527</c:v>
                </c:pt>
                <c:pt idx="610">
                  <c:v>3.1192376510889357</c:v>
                </c:pt>
                <c:pt idx="613">
                  <c:v>2.8099477394649184</c:v>
                </c:pt>
                <c:pt idx="616">
                  <c:v>3.6312256747349174</c:v>
                </c:pt>
                <c:pt idx="619">
                  <c:v>5.9530004852852958</c:v>
                </c:pt>
                <c:pt idx="622">
                  <c:v>6.3839149632664176</c:v>
                </c:pt>
                <c:pt idx="625">
                  <c:v>5.8947918994669486</c:v>
                </c:pt>
                <c:pt idx="628">
                  <c:v>5.2410469832725699</c:v>
                </c:pt>
                <c:pt idx="631">
                  <c:v>4.5675752346677694</c:v>
                </c:pt>
                <c:pt idx="640">
                  <c:v>4.0119258321914577</c:v>
                </c:pt>
                <c:pt idx="643">
                  <c:v>3.4765779249783275</c:v>
                </c:pt>
                <c:pt idx="646">
                  <c:v>3.1608156002544434</c:v>
                </c:pt>
                <c:pt idx="649">
                  <c:v>3.5557025839164607</c:v>
                </c:pt>
                <c:pt idx="652">
                  <c:v>8.6929085016222469</c:v>
                </c:pt>
                <c:pt idx="658">
                  <c:v>8.9274567516486751</c:v>
                </c:pt>
                <c:pt idx="661">
                  <c:v>8.3437955139257518</c:v>
                </c:pt>
                <c:pt idx="667">
                  <c:v>7.5785387211833894</c:v>
                </c:pt>
                <c:pt idx="670">
                  <c:v>6.8658889770321991</c:v>
                </c:pt>
                <c:pt idx="673">
                  <c:v>6.2794872656055558</c:v>
                </c:pt>
                <c:pt idx="676">
                  <c:v>5.5831678646166605</c:v>
                </c:pt>
                <c:pt idx="679">
                  <c:v>5.0023892530787979</c:v>
                </c:pt>
                <c:pt idx="682">
                  <c:v>4.3107433910274979</c:v>
                </c:pt>
                <c:pt idx="685">
                  <c:v>7.8096783157819356</c:v>
                </c:pt>
                <c:pt idx="688">
                  <c:v>8.7370947285857703</c:v>
                </c:pt>
                <c:pt idx="691">
                  <c:v>10.35799642612599</c:v>
                </c:pt>
                <c:pt idx="694">
                  <c:v>11.164106093940047</c:v>
                </c:pt>
                <c:pt idx="697">
                  <c:v>10.915388129127878</c:v>
                </c:pt>
                <c:pt idx="698">
                  <c:v>10.22566602126229</c:v>
                </c:pt>
                <c:pt idx="712">
                  <c:v>9.7018272794916829</c:v>
                </c:pt>
                <c:pt idx="715">
                  <c:v>9.1076554665503018</c:v>
                </c:pt>
                <c:pt idx="718">
                  <c:v>8.5697880553488393</c:v>
                </c:pt>
                <c:pt idx="721">
                  <c:v>9.6303579058565223</c:v>
                </c:pt>
                <c:pt idx="724">
                  <c:v>9.8905403770785281</c:v>
                </c:pt>
                <c:pt idx="727">
                  <c:v>11.357672140496838</c:v>
                </c:pt>
                <c:pt idx="730">
                  <c:v>11.958981796894872</c:v>
                </c:pt>
                <c:pt idx="733">
                  <c:v>11.447854026166242</c:v>
                </c:pt>
                <c:pt idx="739">
                  <c:v>10.83198329111236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A9-CE43-A0D7-5B91132AD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462"/>
        <c:minorUnit val="730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Zea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update'!$B$3:$B$742</c:f>
              <c:numCache>
                <c:formatCode>[$-409]mmm\-yy;@</c:formatCode>
                <c:ptCount val="740"/>
                <c:pt idx="0">
                  <c:v>36445</c:v>
                </c:pt>
                <c:pt idx="1">
                  <c:v>36446</c:v>
                </c:pt>
                <c:pt idx="2">
                  <c:v>36445</c:v>
                </c:pt>
                <c:pt idx="3">
                  <c:v>36472</c:v>
                </c:pt>
                <c:pt idx="4">
                  <c:v>36473</c:v>
                </c:pt>
                <c:pt idx="5">
                  <c:v>36472</c:v>
                </c:pt>
                <c:pt idx="6">
                  <c:v>36501</c:v>
                </c:pt>
                <c:pt idx="7">
                  <c:v>36502</c:v>
                </c:pt>
                <c:pt idx="8">
                  <c:v>36501</c:v>
                </c:pt>
                <c:pt idx="9">
                  <c:v>36530</c:v>
                </c:pt>
                <c:pt idx="10">
                  <c:v>36531</c:v>
                </c:pt>
                <c:pt idx="11">
                  <c:v>36530</c:v>
                </c:pt>
                <c:pt idx="12">
                  <c:v>36579</c:v>
                </c:pt>
                <c:pt idx="13">
                  <c:v>36578</c:v>
                </c:pt>
                <c:pt idx="14">
                  <c:v>36579</c:v>
                </c:pt>
                <c:pt idx="15">
                  <c:v>36598</c:v>
                </c:pt>
                <c:pt idx="16">
                  <c:v>36599</c:v>
                </c:pt>
                <c:pt idx="17">
                  <c:v>36598</c:v>
                </c:pt>
                <c:pt idx="18">
                  <c:v>36627</c:v>
                </c:pt>
                <c:pt idx="19">
                  <c:v>36626</c:v>
                </c:pt>
                <c:pt idx="20">
                  <c:v>36627</c:v>
                </c:pt>
                <c:pt idx="21">
                  <c:v>36662</c:v>
                </c:pt>
                <c:pt idx="22">
                  <c:v>36663</c:v>
                </c:pt>
                <c:pt idx="23">
                  <c:v>36662</c:v>
                </c:pt>
                <c:pt idx="24">
                  <c:v>36690</c:v>
                </c:pt>
                <c:pt idx="25">
                  <c:v>36692</c:v>
                </c:pt>
                <c:pt idx="26">
                  <c:v>36690</c:v>
                </c:pt>
                <c:pt idx="27">
                  <c:v>36718</c:v>
                </c:pt>
                <c:pt idx="28">
                  <c:v>36719</c:v>
                </c:pt>
                <c:pt idx="29">
                  <c:v>36718</c:v>
                </c:pt>
                <c:pt idx="30">
                  <c:v>36753</c:v>
                </c:pt>
                <c:pt idx="31">
                  <c:v>36755</c:v>
                </c:pt>
                <c:pt idx="32">
                  <c:v>36753</c:v>
                </c:pt>
                <c:pt idx="33">
                  <c:v>36781</c:v>
                </c:pt>
                <c:pt idx="34">
                  <c:v>36783</c:v>
                </c:pt>
                <c:pt idx="35">
                  <c:v>36781</c:v>
                </c:pt>
                <c:pt idx="36">
                  <c:v>36817</c:v>
                </c:pt>
                <c:pt idx="37">
                  <c:v>36815</c:v>
                </c:pt>
                <c:pt idx="38">
                  <c:v>36817</c:v>
                </c:pt>
                <c:pt idx="39">
                  <c:v>36845</c:v>
                </c:pt>
                <c:pt idx="40">
                  <c:v>36846</c:v>
                </c:pt>
                <c:pt idx="41">
                  <c:v>36845</c:v>
                </c:pt>
                <c:pt idx="42">
                  <c:v>36871</c:v>
                </c:pt>
                <c:pt idx="43">
                  <c:v>36873</c:v>
                </c:pt>
                <c:pt idx="44">
                  <c:v>36871</c:v>
                </c:pt>
                <c:pt idx="45">
                  <c:v>36901</c:v>
                </c:pt>
                <c:pt idx="46">
                  <c:v>36902</c:v>
                </c:pt>
                <c:pt idx="47">
                  <c:v>36901</c:v>
                </c:pt>
                <c:pt idx="48">
                  <c:v>36928</c:v>
                </c:pt>
                <c:pt idx="49">
                  <c:v>36929</c:v>
                </c:pt>
                <c:pt idx="50">
                  <c:v>36928</c:v>
                </c:pt>
                <c:pt idx="51">
                  <c:v>36965</c:v>
                </c:pt>
                <c:pt idx="52">
                  <c:v>36962</c:v>
                </c:pt>
                <c:pt idx="53">
                  <c:v>36964</c:v>
                </c:pt>
                <c:pt idx="54">
                  <c:v>37000</c:v>
                </c:pt>
                <c:pt idx="55">
                  <c:v>36998</c:v>
                </c:pt>
                <c:pt idx="56">
                  <c:v>36997</c:v>
                </c:pt>
                <c:pt idx="57">
                  <c:v>37026</c:v>
                </c:pt>
                <c:pt idx="58">
                  <c:v>37025</c:v>
                </c:pt>
                <c:pt idx="59">
                  <c:v>37026</c:v>
                </c:pt>
                <c:pt idx="60">
                  <c:v>37055</c:v>
                </c:pt>
                <c:pt idx="61">
                  <c:v>37054</c:v>
                </c:pt>
                <c:pt idx="62">
                  <c:v>37055</c:v>
                </c:pt>
                <c:pt idx="63">
                  <c:v>37092</c:v>
                </c:pt>
                <c:pt idx="64">
                  <c:v>37090</c:v>
                </c:pt>
                <c:pt idx="65">
                  <c:v>37092</c:v>
                </c:pt>
                <c:pt idx="66">
                  <c:v>37118</c:v>
                </c:pt>
                <c:pt idx="67">
                  <c:v>37117</c:v>
                </c:pt>
                <c:pt idx="68">
                  <c:v>37118</c:v>
                </c:pt>
                <c:pt idx="69">
                  <c:v>37152</c:v>
                </c:pt>
                <c:pt idx="70">
                  <c:v>37145</c:v>
                </c:pt>
                <c:pt idx="71">
                  <c:v>37145</c:v>
                </c:pt>
                <c:pt idx="72">
                  <c:v>37180</c:v>
                </c:pt>
                <c:pt idx="73">
                  <c:v>37182</c:v>
                </c:pt>
                <c:pt idx="74">
                  <c:v>37180</c:v>
                </c:pt>
                <c:pt idx="75">
                  <c:v>37201</c:v>
                </c:pt>
                <c:pt idx="76">
                  <c:v>37202</c:v>
                </c:pt>
                <c:pt idx="77">
                  <c:v>37201</c:v>
                </c:pt>
                <c:pt idx="78">
                  <c:v>37229</c:v>
                </c:pt>
                <c:pt idx="79">
                  <c:v>37230</c:v>
                </c:pt>
                <c:pt idx="80">
                  <c:v>37229</c:v>
                </c:pt>
                <c:pt idx="81">
                  <c:v>37271</c:v>
                </c:pt>
                <c:pt idx="82">
                  <c:v>37272</c:v>
                </c:pt>
                <c:pt idx="83">
                  <c:v>37271</c:v>
                </c:pt>
                <c:pt idx="84">
                  <c:v>37306</c:v>
                </c:pt>
                <c:pt idx="85">
                  <c:v>37301</c:v>
                </c:pt>
                <c:pt idx="86">
                  <c:v>37306</c:v>
                </c:pt>
                <c:pt idx="87">
                  <c:v>37334</c:v>
                </c:pt>
                <c:pt idx="88">
                  <c:v>37336</c:v>
                </c:pt>
                <c:pt idx="89">
                  <c:v>37336</c:v>
                </c:pt>
                <c:pt idx="90">
                  <c:v>37362</c:v>
                </c:pt>
                <c:pt idx="91">
                  <c:v>37363</c:v>
                </c:pt>
                <c:pt idx="92">
                  <c:v>37362</c:v>
                </c:pt>
                <c:pt idx="93">
                  <c:v>37392</c:v>
                </c:pt>
                <c:pt idx="94">
                  <c:v>37392</c:v>
                </c:pt>
                <c:pt idx="95">
                  <c:v>37392</c:v>
                </c:pt>
                <c:pt idx="96">
                  <c:v>37419</c:v>
                </c:pt>
                <c:pt idx="97">
                  <c:v>37420</c:v>
                </c:pt>
                <c:pt idx="98">
                  <c:v>37419</c:v>
                </c:pt>
                <c:pt idx="99">
                  <c:v>37454</c:v>
                </c:pt>
                <c:pt idx="100">
                  <c:v>37453</c:v>
                </c:pt>
                <c:pt idx="101">
                  <c:v>37454</c:v>
                </c:pt>
                <c:pt idx="102">
                  <c:v>37482</c:v>
                </c:pt>
                <c:pt idx="103">
                  <c:v>37481</c:v>
                </c:pt>
                <c:pt idx="104">
                  <c:v>37482</c:v>
                </c:pt>
                <c:pt idx="105">
                  <c:v>37517</c:v>
                </c:pt>
                <c:pt idx="106">
                  <c:v>37518</c:v>
                </c:pt>
                <c:pt idx="107">
                  <c:v>37517</c:v>
                </c:pt>
                <c:pt idx="108">
                  <c:v>37544</c:v>
                </c:pt>
                <c:pt idx="109">
                  <c:v>37546</c:v>
                </c:pt>
                <c:pt idx="110">
                  <c:v>37546</c:v>
                </c:pt>
                <c:pt idx="111">
                  <c:v>37575</c:v>
                </c:pt>
                <c:pt idx="112">
                  <c:v>37574</c:v>
                </c:pt>
                <c:pt idx="113">
                  <c:v>37574</c:v>
                </c:pt>
                <c:pt idx="114">
                  <c:v>37609</c:v>
                </c:pt>
                <c:pt idx="115">
                  <c:v>37608</c:v>
                </c:pt>
                <c:pt idx="116">
                  <c:v>37608</c:v>
                </c:pt>
                <c:pt idx="117">
                  <c:v>37635</c:v>
                </c:pt>
                <c:pt idx="118">
                  <c:v>37636</c:v>
                </c:pt>
                <c:pt idx="119">
                  <c:v>37636</c:v>
                </c:pt>
                <c:pt idx="120">
                  <c:v>37665</c:v>
                </c:pt>
                <c:pt idx="121">
                  <c:v>37663</c:v>
                </c:pt>
                <c:pt idx="122">
                  <c:v>37663</c:v>
                </c:pt>
                <c:pt idx="123">
                  <c:v>37692</c:v>
                </c:pt>
                <c:pt idx="124">
                  <c:v>37691</c:v>
                </c:pt>
                <c:pt idx="125">
                  <c:v>37692</c:v>
                </c:pt>
                <c:pt idx="126">
                  <c:v>37726</c:v>
                </c:pt>
                <c:pt idx="127">
                  <c:v>37727</c:v>
                </c:pt>
                <c:pt idx="128">
                  <c:v>37726</c:v>
                </c:pt>
                <c:pt idx="129">
                  <c:v>37761</c:v>
                </c:pt>
                <c:pt idx="130">
                  <c:v>37756</c:v>
                </c:pt>
                <c:pt idx="131">
                  <c:v>37761</c:v>
                </c:pt>
                <c:pt idx="132">
                  <c:v>37792</c:v>
                </c:pt>
                <c:pt idx="133">
                  <c:v>37790</c:v>
                </c:pt>
                <c:pt idx="134">
                  <c:v>37790</c:v>
                </c:pt>
                <c:pt idx="135">
                  <c:v>37819</c:v>
                </c:pt>
                <c:pt idx="136">
                  <c:v>37818</c:v>
                </c:pt>
                <c:pt idx="137">
                  <c:v>37819</c:v>
                </c:pt>
                <c:pt idx="138">
                  <c:v>37847</c:v>
                </c:pt>
                <c:pt idx="139">
                  <c:v>37846</c:v>
                </c:pt>
                <c:pt idx="140">
                  <c:v>37847</c:v>
                </c:pt>
                <c:pt idx="141">
                  <c:v>37888</c:v>
                </c:pt>
                <c:pt idx="142">
                  <c:v>37886</c:v>
                </c:pt>
                <c:pt idx="143">
                  <c:v>37886</c:v>
                </c:pt>
                <c:pt idx="144">
                  <c:v>37910</c:v>
                </c:pt>
                <c:pt idx="145">
                  <c:v>37910</c:v>
                </c:pt>
                <c:pt idx="146">
                  <c:v>37910</c:v>
                </c:pt>
                <c:pt idx="147">
                  <c:v>37943</c:v>
                </c:pt>
                <c:pt idx="148">
                  <c:v>37942</c:v>
                </c:pt>
                <c:pt idx="149">
                  <c:v>37942</c:v>
                </c:pt>
                <c:pt idx="150">
                  <c:v>37973</c:v>
                </c:pt>
                <c:pt idx="151">
                  <c:v>37971</c:v>
                </c:pt>
                <c:pt idx="152">
                  <c:v>37971</c:v>
                </c:pt>
                <c:pt idx="153">
                  <c:v>37999</c:v>
                </c:pt>
                <c:pt idx="156">
                  <c:v>38027</c:v>
                </c:pt>
                <c:pt idx="157">
                  <c:v>38026</c:v>
                </c:pt>
                <c:pt idx="158">
                  <c:v>38026</c:v>
                </c:pt>
                <c:pt idx="159">
                  <c:v>38063</c:v>
                </c:pt>
                <c:pt idx="160">
                  <c:v>38061</c:v>
                </c:pt>
                <c:pt idx="161">
                  <c:v>38063</c:v>
                </c:pt>
                <c:pt idx="162">
                  <c:v>38094</c:v>
                </c:pt>
                <c:pt idx="163">
                  <c:v>38093</c:v>
                </c:pt>
                <c:pt idx="164">
                  <c:v>38094</c:v>
                </c:pt>
                <c:pt idx="165">
                  <c:v>38118</c:v>
                </c:pt>
                <c:pt idx="166">
                  <c:v>38117</c:v>
                </c:pt>
                <c:pt idx="167">
                  <c:v>38118</c:v>
                </c:pt>
                <c:pt idx="168">
                  <c:v>38153</c:v>
                </c:pt>
                <c:pt idx="169">
                  <c:v>38160</c:v>
                </c:pt>
                <c:pt idx="170">
                  <c:v>38155</c:v>
                </c:pt>
                <c:pt idx="171">
                  <c:v>38181</c:v>
                </c:pt>
                <c:pt idx="172">
                  <c:v>38182</c:v>
                </c:pt>
                <c:pt idx="173">
                  <c:v>38182</c:v>
                </c:pt>
                <c:pt idx="174">
                  <c:v>38217</c:v>
                </c:pt>
                <c:pt idx="175">
                  <c:v>38218</c:v>
                </c:pt>
                <c:pt idx="176">
                  <c:v>38218</c:v>
                </c:pt>
                <c:pt idx="177">
                  <c:v>38244</c:v>
                </c:pt>
                <c:pt idx="178">
                  <c:v>38246</c:v>
                </c:pt>
                <c:pt idx="179">
                  <c:v>38246</c:v>
                </c:pt>
                <c:pt idx="180">
                  <c:v>38273</c:v>
                </c:pt>
                <c:pt idx="181">
                  <c:v>38274</c:v>
                </c:pt>
                <c:pt idx="182">
                  <c:v>38273</c:v>
                </c:pt>
                <c:pt idx="183">
                  <c:v>38307</c:v>
                </c:pt>
                <c:pt idx="184">
                  <c:v>38309</c:v>
                </c:pt>
                <c:pt idx="185">
                  <c:v>38307</c:v>
                </c:pt>
                <c:pt idx="186">
                  <c:v>38337</c:v>
                </c:pt>
                <c:pt idx="187">
                  <c:v>38337</c:v>
                </c:pt>
                <c:pt idx="188">
                  <c:v>38337</c:v>
                </c:pt>
                <c:pt idx="189">
                  <c:v>38363</c:v>
                </c:pt>
                <c:pt idx="190">
                  <c:v>38364</c:v>
                </c:pt>
                <c:pt idx="191">
                  <c:v>38363</c:v>
                </c:pt>
                <c:pt idx="192">
                  <c:v>38399</c:v>
                </c:pt>
                <c:pt idx="193">
                  <c:v>38398</c:v>
                </c:pt>
                <c:pt idx="194">
                  <c:v>38398</c:v>
                </c:pt>
                <c:pt idx="195">
                  <c:v>38428</c:v>
                </c:pt>
                <c:pt idx="196">
                  <c:v>38427</c:v>
                </c:pt>
                <c:pt idx="197">
                  <c:v>38427</c:v>
                </c:pt>
                <c:pt idx="198">
                  <c:v>38469</c:v>
                </c:pt>
                <c:pt idx="199">
                  <c:v>38470</c:v>
                </c:pt>
                <c:pt idx="200">
                  <c:v>38469</c:v>
                </c:pt>
                <c:pt idx="201">
                  <c:v>38490</c:v>
                </c:pt>
                <c:pt idx="202">
                  <c:v>38488</c:v>
                </c:pt>
                <c:pt idx="203">
                  <c:v>38488</c:v>
                </c:pt>
                <c:pt idx="204">
                  <c:v>38518</c:v>
                </c:pt>
                <c:pt idx="205">
                  <c:v>38525</c:v>
                </c:pt>
                <c:pt idx="206">
                  <c:v>38525</c:v>
                </c:pt>
                <c:pt idx="207">
                  <c:v>38547</c:v>
                </c:pt>
                <c:pt idx="208">
                  <c:v>38546</c:v>
                </c:pt>
                <c:pt idx="209">
                  <c:v>38546</c:v>
                </c:pt>
                <c:pt idx="210">
                  <c:v>38587</c:v>
                </c:pt>
                <c:pt idx="211">
                  <c:v>38587</c:v>
                </c:pt>
                <c:pt idx="212">
                  <c:v>38587</c:v>
                </c:pt>
                <c:pt idx="213">
                  <c:v>38608</c:v>
                </c:pt>
                <c:pt idx="214">
                  <c:v>38609</c:v>
                </c:pt>
                <c:pt idx="215">
                  <c:v>38609</c:v>
                </c:pt>
                <c:pt idx="216">
                  <c:v>38636</c:v>
                </c:pt>
                <c:pt idx="217">
                  <c:v>38642</c:v>
                </c:pt>
                <c:pt idx="218">
                  <c:v>38637</c:v>
                </c:pt>
                <c:pt idx="219">
                  <c:v>38671</c:v>
                </c:pt>
                <c:pt idx="220">
                  <c:v>38670</c:v>
                </c:pt>
                <c:pt idx="221">
                  <c:v>38670</c:v>
                </c:pt>
                <c:pt idx="222">
                  <c:v>38707</c:v>
                </c:pt>
                <c:pt idx="223">
                  <c:v>38706</c:v>
                </c:pt>
                <c:pt idx="224">
                  <c:v>38706</c:v>
                </c:pt>
                <c:pt idx="225">
                  <c:v>38734</c:v>
                </c:pt>
                <c:pt idx="226">
                  <c:v>38740</c:v>
                </c:pt>
                <c:pt idx="227">
                  <c:v>38737</c:v>
                </c:pt>
                <c:pt idx="228">
                  <c:v>38762</c:v>
                </c:pt>
                <c:pt idx="229">
                  <c:v>38763</c:v>
                </c:pt>
                <c:pt idx="230">
                  <c:v>38763</c:v>
                </c:pt>
                <c:pt idx="231">
                  <c:v>38789</c:v>
                </c:pt>
                <c:pt idx="232">
                  <c:v>38792</c:v>
                </c:pt>
                <c:pt idx="233">
                  <c:v>38792</c:v>
                </c:pt>
                <c:pt idx="234">
                  <c:v>38825</c:v>
                </c:pt>
                <c:pt idx="235">
                  <c:v>38826</c:v>
                </c:pt>
                <c:pt idx="236">
                  <c:v>38826</c:v>
                </c:pt>
                <c:pt idx="237">
                  <c:v>38852</c:v>
                </c:pt>
                <c:pt idx="238">
                  <c:v>38853</c:v>
                </c:pt>
                <c:pt idx="239">
                  <c:v>38853</c:v>
                </c:pt>
                <c:pt idx="240">
                  <c:v>38883</c:v>
                </c:pt>
                <c:pt idx="241">
                  <c:v>38884</c:v>
                </c:pt>
                <c:pt idx="242">
                  <c:v>38884</c:v>
                </c:pt>
                <c:pt idx="243">
                  <c:v>38916</c:v>
                </c:pt>
                <c:pt idx="244">
                  <c:v>38915</c:v>
                </c:pt>
                <c:pt idx="245">
                  <c:v>38915</c:v>
                </c:pt>
                <c:pt idx="246">
                  <c:v>38953</c:v>
                </c:pt>
                <c:pt idx="247">
                  <c:v>38952</c:v>
                </c:pt>
                <c:pt idx="248">
                  <c:v>38952</c:v>
                </c:pt>
                <c:pt idx="249">
                  <c:v>38972</c:v>
                </c:pt>
                <c:pt idx="250">
                  <c:v>38975</c:v>
                </c:pt>
                <c:pt idx="251">
                  <c:v>38975</c:v>
                </c:pt>
                <c:pt idx="252">
                  <c:v>39008</c:v>
                </c:pt>
                <c:pt idx="253">
                  <c:v>39006</c:v>
                </c:pt>
                <c:pt idx="254">
                  <c:v>39006</c:v>
                </c:pt>
                <c:pt idx="255">
                  <c:v>39035</c:v>
                </c:pt>
                <c:pt idx="256">
                  <c:v>39041</c:v>
                </c:pt>
                <c:pt idx="257">
                  <c:v>39041</c:v>
                </c:pt>
                <c:pt idx="258">
                  <c:v>39063</c:v>
                </c:pt>
                <c:pt idx="259">
                  <c:v>39062</c:v>
                </c:pt>
                <c:pt idx="260">
                  <c:v>39062</c:v>
                </c:pt>
                <c:pt idx="261">
                  <c:v>39100</c:v>
                </c:pt>
                <c:pt idx="262">
                  <c:v>39100</c:v>
                </c:pt>
                <c:pt idx="263">
                  <c:v>39100</c:v>
                </c:pt>
                <c:pt idx="264">
                  <c:v>39134</c:v>
                </c:pt>
                <c:pt idx="265">
                  <c:v>39135</c:v>
                </c:pt>
                <c:pt idx="266">
                  <c:v>39135</c:v>
                </c:pt>
                <c:pt idx="267">
                  <c:v>39154</c:v>
                </c:pt>
                <c:pt idx="268">
                  <c:v>39153</c:v>
                </c:pt>
                <c:pt idx="269">
                  <c:v>39153</c:v>
                </c:pt>
                <c:pt idx="270">
                  <c:v>39190</c:v>
                </c:pt>
                <c:pt idx="271">
                  <c:v>39191</c:v>
                </c:pt>
                <c:pt idx="272">
                  <c:v>39191</c:v>
                </c:pt>
                <c:pt idx="273">
                  <c:v>39217</c:v>
                </c:pt>
                <c:pt idx="274">
                  <c:v>39216</c:v>
                </c:pt>
                <c:pt idx="275">
                  <c:v>39216</c:v>
                </c:pt>
                <c:pt idx="276">
                  <c:v>39246</c:v>
                </c:pt>
                <c:pt idx="277">
                  <c:v>39248</c:v>
                </c:pt>
                <c:pt idx="278">
                  <c:v>39248</c:v>
                </c:pt>
                <c:pt idx="279">
                  <c:v>39280</c:v>
                </c:pt>
                <c:pt idx="280">
                  <c:v>39279</c:v>
                </c:pt>
                <c:pt idx="281">
                  <c:v>39279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39336</c:v>
                </c:pt>
                <c:pt idx="286">
                  <c:v>39335</c:v>
                </c:pt>
                <c:pt idx="287">
                  <c:v>39335</c:v>
                </c:pt>
                <c:pt idx="288">
                  <c:v>39370</c:v>
                </c:pt>
                <c:pt idx="289">
                  <c:v>39370</c:v>
                </c:pt>
                <c:pt idx="290">
                  <c:v>39370</c:v>
                </c:pt>
                <c:pt idx="291">
                  <c:v>39400</c:v>
                </c:pt>
                <c:pt idx="292">
                  <c:v>39400</c:v>
                </c:pt>
                <c:pt idx="293">
                  <c:v>39400</c:v>
                </c:pt>
                <c:pt idx="294">
                  <c:v>39427</c:v>
                </c:pt>
                <c:pt idx="295">
                  <c:v>39434</c:v>
                </c:pt>
                <c:pt idx="296">
                  <c:v>39434</c:v>
                </c:pt>
                <c:pt idx="297">
                  <c:v>39462</c:v>
                </c:pt>
                <c:pt idx="298">
                  <c:v>39463</c:v>
                </c:pt>
                <c:pt idx="299">
                  <c:v>39463</c:v>
                </c:pt>
                <c:pt idx="300">
                  <c:v>39490</c:v>
                </c:pt>
                <c:pt idx="301">
                  <c:v>39493</c:v>
                </c:pt>
                <c:pt idx="302">
                  <c:v>39493</c:v>
                </c:pt>
                <c:pt idx="303">
                  <c:v>39517</c:v>
                </c:pt>
                <c:pt idx="304">
                  <c:v>39517</c:v>
                </c:pt>
                <c:pt idx="305">
                  <c:v>39517</c:v>
                </c:pt>
                <c:pt idx="306">
                  <c:v>39553</c:v>
                </c:pt>
                <c:pt idx="307">
                  <c:v>39552</c:v>
                </c:pt>
                <c:pt idx="308">
                  <c:v>39552</c:v>
                </c:pt>
                <c:pt idx="309">
                  <c:v>39582</c:v>
                </c:pt>
                <c:pt idx="310">
                  <c:v>39583</c:v>
                </c:pt>
                <c:pt idx="311">
                  <c:v>39583</c:v>
                </c:pt>
                <c:pt idx="312">
                  <c:v>39616</c:v>
                </c:pt>
                <c:pt idx="313">
                  <c:v>39617</c:v>
                </c:pt>
                <c:pt idx="314">
                  <c:v>39617</c:v>
                </c:pt>
                <c:pt idx="315">
                  <c:v>39644</c:v>
                </c:pt>
                <c:pt idx="316">
                  <c:v>39645</c:v>
                </c:pt>
                <c:pt idx="317">
                  <c:v>39645</c:v>
                </c:pt>
                <c:pt idx="318">
                  <c:v>39672</c:v>
                </c:pt>
                <c:pt idx="319">
                  <c:v>39672</c:v>
                </c:pt>
                <c:pt idx="320">
                  <c:v>39672</c:v>
                </c:pt>
                <c:pt idx="321">
                  <c:v>39709</c:v>
                </c:pt>
                <c:pt idx="322">
                  <c:v>39709</c:v>
                </c:pt>
                <c:pt idx="323">
                  <c:v>39709</c:v>
                </c:pt>
                <c:pt idx="324">
                  <c:v>39737</c:v>
                </c:pt>
                <c:pt idx="325">
                  <c:v>39735</c:v>
                </c:pt>
                <c:pt idx="326">
                  <c:v>39735</c:v>
                </c:pt>
                <c:pt idx="327">
                  <c:v>39763</c:v>
                </c:pt>
                <c:pt idx="328">
                  <c:v>39769</c:v>
                </c:pt>
                <c:pt idx="329">
                  <c:v>39769</c:v>
                </c:pt>
                <c:pt idx="330">
                  <c:v>39797</c:v>
                </c:pt>
                <c:pt idx="331">
                  <c:v>39797</c:v>
                </c:pt>
                <c:pt idx="332">
                  <c:v>39797</c:v>
                </c:pt>
                <c:pt idx="333">
                  <c:v>39825</c:v>
                </c:pt>
                <c:pt idx="334">
                  <c:v>39826</c:v>
                </c:pt>
                <c:pt idx="335">
                  <c:v>39826</c:v>
                </c:pt>
                <c:pt idx="336">
                  <c:v>39854</c:v>
                </c:pt>
                <c:pt idx="337">
                  <c:v>39855</c:v>
                </c:pt>
                <c:pt idx="338">
                  <c:v>39855</c:v>
                </c:pt>
                <c:pt idx="339">
                  <c:v>39890</c:v>
                </c:pt>
                <c:pt idx="340">
                  <c:v>39888</c:v>
                </c:pt>
                <c:pt idx="341">
                  <c:v>39888</c:v>
                </c:pt>
                <c:pt idx="342">
                  <c:v>39920</c:v>
                </c:pt>
                <c:pt idx="343">
                  <c:v>39916</c:v>
                </c:pt>
                <c:pt idx="344">
                  <c:v>39916</c:v>
                </c:pt>
                <c:pt idx="345">
                  <c:v>39945</c:v>
                </c:pt>
                <c:pt idx="346">
                  <c:v>39946</c:v>
                </c:pt>
                <c:pt idx="347">
                  <c:v>39946</c:v>
                </c:pt>
                <c:pt idx="348">
                  <c:v>39980</c:v>
                </c:pt>
                <c:pt idx="349">
                  <c:v>39983</c:v>
                </c:pt>
                <c:pt idx="350">
                  <c:v>39983</c:v>
                </c:pt>
                <c:pt idx="351">
                  <c:v>40007</c:v>
                </c:pt>
                <c:pt idx="352">
                  <c:v>40007</c:v>
                </c:pt>
                <c:pt idx="353">
                  <c:v>40007</c:v>
                </c:pt>
                <c:pt idx="354">
                  <c:v>40043</c:v>
                </c:pt>
                <c:pt idx="355">
                  <c:v>40042</c:v>
                </c:pt>
                <c:pt idx="356">
                  <c:v>40042</c:v>
                </c:pt>
                <c:pt idx="357">
                  <c:v>40070</c:v>
                </c:pt>
                <c:pt idx="358">
                  <c:v>40071</c:v>
                </c:pt>
                <c:pt idx="359">
                  <c:v>40071</c:v>
                </c:pt>
                <c:pt idx="360">
                  <c:v>40099</c:v>
                </c:pt>
                <c:pt idx="361">
                  <c:v>40100</c:v>
                </c:pt>
                <c:pt idx="362">
                  <c:v>40100</c:v>
                </c:pt>
                <c:pt idx="363">
                  <c:v>40133</c:v>
                </c:pt>
                <c:pt idx="364">
                  <c:v>40133</c:v>
                </c:pt>
                <c:pt idx="365">
                  <c:v>40133</c:v>
                </c:pt>
                <c:pt idx="366">
                  <c:v>40161</c:v>
                </c:pt>
                <c:pt idx="367">
                  <c:v>40161</c:v>
                </c:pt>
                <c:pt idx="368">
                  <c:v>40161</c:v>
                </c:pt>
                <c:pt idx="369">
                  <c:v>40197</c:v>
                </c:pt>
                <c:pt idx="370">
                  <c:v>40197</c:v>
                </c:pt>
                <c:pt idx="371">
                  <c:v>40197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40254</c:v>
                </c:pt>
                <c:pt idx="376">
                  <c:v>40255</c:v>
                </c:pt>
                <c:pt idx="377">
                  <c:v>40255</c:v>
                </c:pt>
                <c:pt idx="378">
                  <c:v>40280</c:v>
                </c:pt>
                <c:pt idx="379">
                  <c:v>40281</c:v>
                </c:pt>
                <c:pt idx="380">
                  <c:v>40281</c:v>
                </c:pt>
                <c:pt idx="381">
                  <c:v>40315</c:v>
                </c:pt>
                <c:pt idx="382">
                  <c:v>40317</c:v>
                </c:pt>
                <c:pt idx="383">
                  <c:v>40317</c:v>
                </c:pt>
                <c:pt idx="384">
                  <c:v>40344</c:v>
                </c:pt>
                <c:pt idx="385">
                  <c:v>40345</c:v>
                </c:pt>
                <c:pt idx="386">
                  <c:v>40345</c:v>
                </c:pt>
                <c:pt idx="387">
                  <c:v>40374</c:v>
                </c:pt>
                <c:pt idx="388">
                  <c:v>40374</c:v>
                </c:pt>
                <c:pt idx="389">
                  <c:v>40374</c:v>
                </c:pt>
                <c:pt idx="390">
                  <c:v>40407</c:v>
                </c:pt>
                <c:pt idx="391">
                  <c:v>40409</c:v>
                </c:pt>
                <c:pt idx="392">
                  <c:v>40409</c:v>
                </c:pt>
                <c:pt idx="393">
                  <c:v>40409</c:v>
                </c:pt>
                <c:pt idx="394">
                  <c:v>40436</c:v>
                </c:pt>
                <c:pt idx="395">
                  <c:v>40434</c:v>
                </c:pt>
                <c:pt idx="396">
                  <c:v>40434</c:v>
                </c:pt>
                <c:pt idx="397">
                  <c:v>40464</c:v>
                </c:pt>
                <c:pt idx="398">
                  <c:v>40463</c:v>
                </c:pt>
                <c:pt idx="399">
                  <c:v>40463</c:v>
                </c:pt>
                <c:pt idx="400">
                  <c:v>40498</c:v>
                </c:pt>
                <c:pt idx="401">
                  <c:v>40500</c:v>
                </c:pt>
                <c:pt idx="402">
                  <c:v>40500</c:v>
                </c:pt>
                <c:pt idx="403">
                  <c:v>40520</c:v>
                </c:pt>
                <c:pt idx="404">
                  <c:v>40521</c:v>
                </c:pt>
                <c:pt idx="405">
                  <c:v>40521</c:v>
                </c:pt>
                <c:pt idx="406">
                  <c:v>40562</c:v>
                </c:pt>
                <c:pt idx="407">
                  <c:v>40563</c:v>
                </c:pt>
                <c:pt idx="408">
                  <c:v>40563</c:v>
                </c:pt>
                <c:pt idx="409">
                  <c:v>40591</c:v>
                </c:pt>
                <c:pt idx="410">
                  <c:v>40598</c:v>
                </c:pt>
                <c:pt idx="411">
                  <c:v>40598</c:v>
                </c:pt>
                <c:pt idx="412">
                  <c:v>40619</c:v>
                </c:pt>
                <c:pt idx="413">
                  <c:v>40617</c:v>
                </c:pt>
                <c:pt idx="414">
                  <c:v>40617</c:v>
                </c:pt>
                <c:pt idx="415">
                  <c:v>40617</c:v>
                </c:pt>
                <c:pt idx="416">
                  <c:v>40646</c:v>
                </c:pt>
                <c:pt idx="417">
                  <c:v>40647</c:v>
                </c:pt>
                <c:pt idx="418">
                  <c:v>40647</c:v>
                </c:pt>
                <c:pt idx="419">
                  <c:v>40681</c:v>
                </c:pt>
                <c:pt idx="420">
                  <c:v>40681</c:v>
                </c:pt>
                <c:pt idx="421">
                  <c:v>40682</c:v>
                </c:pt>
                <c:pt idx="422">
                  <c:v>40682</c:v>
                </c:pt>
                <c:pt idx="423">
                  <c:v>40709</c:v>
                </c:pt>
                <c:pt idx="424">
                  <c:v>40709</c:v>
                </c:pt>
                <c:pt idx="425">
                  <c:v>40709</c:v>
                </c:pt>
                <c:pt idx="426">
                  <c:v>40709</c:v>
                </c:pt>
                <c:pt idx="427">
                  <c:v>40735</c:v>
                </c:pt>
                <c:pt idx="428">
                  <c:v>40736</c:v>
                </c:pt>
                <c:pt idx="429">
                  <c:v>40736</c:v>
                </c:pt>
                <c:pt idx="430">
                  <c:v>40736</c:v>
                </c:pt>
                <c:pt idx="431">
                  <c:v>40771</c:v>
                </c:pt>
                <c:pt idx="432">
                  <c:v>40772</c:v>
                </c:pt>
                <c:pt idx="433">
                  <c:v>40772</c:v>
                </c:pt>
                <c:pt idx="434">
                  <c:v>40799</c:v>
                </c:pt>
                <c:pt idx="435">
                  <c:v>40798</c:v>
                </c:pt>
                <c:pt idx="436">
                  <c:v>40798</c:v>
                </c:pt>
                <c:pt idx="437">
                  <c:v>40798</c:v>
                </c:pt>
                <c:pt idx="438">
                  <c:v>40827</c:v>
                </c:pt>
                <c:pt idx="439">
                  <c:v>40827</c:v>
                </c:pt>
                <c:pt idx="440">
                  <c:v>40829</c:v>
                </c:pt>
                <c:pt idx="441">
                  <c:v>40829</c:v>
                </c:pt>
                <c:pt idx="442">
                  <c:v>40862</c:v>
                </c:pt>
                <c:pt idx="443">
                  <c:v>40865</c:v>
                </c:pt>
                <c:pt idx="444">
                  <c:v>40865</c:v>
                </c:pt>
                <c:pt idx="445">
                  <c:v>40891</c:v>
                </c:pt>
                <c:pt idx="446">
                  <c:v>40891</c:v>
                </c:pt>
                <c:pt idx="447">
                  <c:v>40891</c:v>
                </c:pt>
                <c:pt idx="448">
                  <c:v>40919</c:v>
                </c:pt>
                <c:pt idx="449">
                  <c:v>40919</c:v>
                </c:pt>
                <c:pt idx="450">
                  <c:v>40919</c:v>
                </c:pt>
                <c:pt idx="451">
                  <c:v>40962</c:v>
                </c:pt>
                <c:pt idx="452">
                  <c:v>40960</c:v>
                </c:pt>
                <c:pt idx="453">
                  <c:v>40960</c:v>
                </c:pt>
                <c:pt idx="454">
                  <c:v>40980</c:v>
                </c:pt>
                <c:pt idx="455">
                  <c:v>40982</c:v>
                </c:pt>
                <c:pt idx="456">
                  <c:v>40982</c:v>
                </c:pt>
                <c:pt idx="457">
                  <c:v>41015</c:v>
                </c:pt>
                <c:pt idx="458">
                  <c:v>41016</c:v>
                </c:pt>
                <c:pt idx="459">
                  <c:v>41016</c:v>
                </c:pt>
                <c:pt idx="460">
                  <c:v>41016</c:v>
                </c:pt>
                <c:pt idx="461">
                  <c:v>41045</c:v>
                </c:pt>
                <c:pt idx="462">
                  <c:v>41051</c:v>
                </c:pt>
                <c:pt idx="463">
                  <c:v>41051</c:v>
                </c:pt>
                <c:pt idx="464">
                  <c:v>41051</c:v>
                </c:pt>
                <c:pt idx="465">
                  <c:v>41073</c:v>
                </c:pt>
                <c:pt idx="466">
                  <c:v>41080</c:v>
                </c:pt>
                <c:pt idx="467">
                  <c:v>41080</c:v>
                </c:pt>
                <c:pt idx="468">
                  <c:v>41107</c:v>
                </c:pt>
                <c:pt idx="469">
                  <c:v>41106</c:v>
                </c:pt>
                <c:pt idx="470">
                  <c:v>41106</c:v>
                </c:pt>
                <c:pt idx="471">
                  <c:v>41135</c:v>
                </c:pt>
                <c:pt idx="472">
                  <c:v>41137</c:v>
                </c:pt>
                <c:pt idx="473">
                  <c:v>41137</c:v>
                </c:pt>
                <c:pt idx="474">
                  <c:v>41164</c:v>
                </c:pt>
                <c:pt idx="475">
                  <c:v>41163</c:v>
                </c:pt>
                <c:pt idx="476">
                  <c:v>41163</c:v>
                </c:pt>
                <c:pt idx="477">
                  <c:v>41199</c:v>
                </c:pt>
                <c:pt idx="478">
                  <c:v>41199</c:v>
                </c:pt>
                <c:pt idx="479">
                  <c:v>41199</c:v>
                </c:pt>
                <c:pt idx="480">
                  <c:v>41225</c:v>
                </c:pt>
                <c:pt idx="481">
                  <c:v>41225</c:v>
                </c:pt>
                <c:pt idx="482">
                  <c:v>41225</c:v>
                </c:pt>
                <c:pt idx="483">
                  <c:v>41254</c:v>
                </c:pt>
                <c:pt idx="484">
                  <c:v>41255</c:v>
                </c:pt>
                <c:pt idx="485">
                  <c:v>41255</c:v>
                </c:pt>
                <c:pt idx="486">
                  <c:v>41288</c:v>
                </c:pt>
                <c:pt idx="487">
                  <c:v>41297</c:v>
                </c:pt>
                <c:pt idx="488">
                  <c:v>41297</c:v>
                </c:pt>
                <c:pt idx="489">
                  <c:v>41318</c:v>
                </c:pt>
                <c:pt idx="490">
                  <c:v>41319</c:v>
                </c:pt>
                <c:pt idx="491">
                  <c:v>41319</c:v>
                </c:pt>
                <c:pt idx="492">
                  <c:v>41344</c:v>
                </c:pt>
                <c:pt idx="493">
                  <c:v>41346</c:v>
                </c:pt>
                <c:pt idx="494">
                  <c:v>41346</c:v>
                </c:pt>
                <c:pt idx="495">
                  <c:v>41346</c:v>
                </c:pt>
                <c:pt idx="496">
                  <c:v>41379</c:v>
                </c:pt>
                <c:pt idx="497">
                  <c:v>41380</c:v>
                </c:pt>
                <c:pt idx="498">
                  <c:v>41380</c:v>
                </c:pt>
                <c:pt idx="499">
                  <c:v>41408</c:v>
                </c:pt>
                <c:pt idx="500">
                  <c:v>41408</c:v>
                </c:pt>
                <c:pt idx="501">
                  <c:v>41407</c:v>
                </c:pt>
                <c:pt idx="502">
                  <c:v>41407</c:v>
                </c:pt>
                <c:pt idx="503">
                  <c:v>41436</c:v>
                </c:pt>
                <c:pt idx="504">
                  <c:v>41437</c:v>
                </c:pt>
                <c:pt idx="505">
                  <c:v>41437</c:v>
                </c:pt>
                <c:pt idx="506">
                  <c:v>41470</c:v>
                </c:pt>
                <c:pt idx="507">
                  <c:v>41470</c:v>
                </c:pt>
                <c:pt idx="508">
                  <c:v>41470</c:v>
                </c:pt>
                <c:pt idx="509">
                  <c:v>41498</c:v>
                </c:pt>
                <c:pt idx="510">
                  <c:v>41498</c:v>
                </c:pt>
                <c:pt idx="511">
                  <c:v>41498</c:v>
                </c:pt>
                <c:pt idx="512">
                  <c:v>41535</c:v>
                </c:pt>
                <c:pt idx="513">
                  <c:v>41535</c:v>
                </c:pt>
                <c:pt idx="514">
                  <c:v>41535</c:v>
                </c:pt>
                <c:pt idx="515">
                  <c:v>41569</c:v>
                </c:pt>
                <c:pt idx="516">
                  <c:v>406810</c:v>
                </c:pt>
                <c:pt idx="517">
                  <c:v>406810</c:v>
                </c:pt>
                <c:pt idx="518">
                  <c:v>41599</c:v>
                </c:pt>
                <c:pt idx="519">
                  <c:v>41599</c:v>
                </c:pt>
                <c:pt idx="520">
                  <c:v>41599</c:v>
                </c:pt>
                <c:pt idx="521">
                  <c:v>41624</c:v>
                </c:pt>
                <c:pt idx="522">
                  <c:v>41627</c:v>
                </c:pt>
                <c:pt idx="523">
                  <c:v>41627</c:v>
                </c:pt>
                <c:pt idx="524">
                  <c:v>41654</c:v>
                </c:pt>
                <c:pt idx="525">
                  <c:v>41655</c:v>
                </c:pt>
                <c:pt idx="526">
                  <c:v>41655</c:v>
                </c:pt>
                <c:pt idx="527">
                  <c:v>41688</c:v>
                </c:pt>
                <c:pt idx="528">
                  <c:v>41690</c:v>
                </c:pt>
                <c:pt idx="529">
                  <c:v>41690</c:v>
                </c:pt>
                <c:pt idx="530">
                  <c:v>41719</c:v>
                </c:pt>
                <c:pt idx="531">
                  <c:v>41718</c:v>
                </c:pt>
                <c:pt idx="532">
                  <c:v>41718</c:v>
                </c:pt>
                <c:pt idx="533">
                  <c:v>41747</c:v>
                </c:pt>
                <c:pt idx="534">
                  <c:v>41750</c:v>
                </c:pt>
                <c:pt idx="535">
                  <c:v>41750</c:v>
                </c:pt>
                <c:pt idx="536">
                  <c:v>41772</c:v>
                </c:pt>
                <c:pt idx="537">
                  <c:v>41406</c:v>
                </c:pt>
                <c:pt idx="538">
                  <c:v>41406</c:v>
                </c:pt>
                <c:pt idx="539">
                  <c:v>41808</c:v>
                </c:pt>
                <c:pt idx="540">
                  <c:v>41807</c:v>
                </c:pt>
                <c:pt idx="541">
                  <c:v>41807</c:v>
                </c:pt>
                <c:pt idx="542">
                  <c:v>41834</c:v>
                </c:pt>
                <c:pt idx="543">
                  <c:v>41837</c:v>
                </c:pt>
                <c:pt idx="544">
                  <c:v>41837</c:v>
                </c:pt>
                <c:pt idx="545">
                  <c:v>41862</c:v>
                </c:pt>
                <c:pt idx="546">
                  <c:v>41862</c:v>
                </c:pt>
                <c:pt idx="547">
                  <c:v>41862</c:v>
                </c:pt>
                <c:pt idx="548">
                  <c:v>41898</c:v>
                </c:pt>
                <c:pt idx="549">
                  <c:v>41897</c:v>
                </c:pt>
                <c:pt idx="550">
                  <c:v>41897</c:v>
                </c:pt>
                <c:pt idx="551">
                  <c:v>41929</c:v>
                </c:pt>
                <c:pt idx="552">
                  <c:v>41928</c:v>
                </c:pt>
                <c:pt idx="553">
                  <c:v>41928</c:v>
                </c:pt>
                <c:pt idx="554">
                  <c:v>41953</c:v>
                </c:pt>
                <c:pt idx="555">
                  <c:v>41955</c:v>
                </c:pt>
                <c:pt idx="556">
                  <c:v>41955</c:v>
                </c:pt>
                <c:pt idx="557">
                  <c:v>41988</c:v>
                </c:pt>
                <c:pt idx="558">
                  <c:v>41992</c:v>
                </c:pt>
                <c:pt idx="559">
                  <c:v>41992</c:v>
                </c:pt>
                <c:pt idx="560">
                  <c:v>42014</c:v>
                </c:pt>
                <c:pt idx="561">
                  <c:v>42009</c:v>
                </c:pt>
                <c:pt idx="562">
                  <c:v>42009</c:v>
                </c:pt>
                <c:pt idx="563">
                  <c:v>42036</c:v>
                </c:pt>
                <c:pt idx="564">
                  <c:v>42036</c:v>
                </c:pt>
                <c:pt idx="565">
                  <c:v>42036</c:v>
                </c:pt>
                <c:pt idx="566">
                  <c:v>42064</c:v>
                </c:pt>
                <c:pt idx="567">
                  <c:v>42064</c:v>
                </c:pt>
                <c:pt idx="568">
                  <c:v>42064</c:v>
                </c:pt>
                <c:pt idx="569">
                  <c:v>42095</c:v>
                </c:pt>
                <c:pt idx="570">
                  <c:v>42095</c:v>
                </c:pt>
                <c:pt idx="571">
                  <c:v>42095</c:v>
                </c:pt>
                <c:pt idx="572">
                  <c:v>42125</c:v>
                </c:pt>
                <c:pt idx="573">
                  <c:v>42125</c:v>
                </c:pt>
                <c:pt idx="574">
                  <c:v>42125</c:v>
                </c:pt>
                <c:pt idx="575">
                  <c:v>42156</c:v>
                </c:pt>
                <c:pt idx="576">
                  <c:v>42156</c:v>
                </c:pt>
                <c:pt idx="577">
                  <c:v>42156</c:v>
                </c:pt>
                <c:pt idx="578">
                  <c:v>42186</c:v>
                </c:pt>
                <c:pt idx="579">
                  <c:v>42186</c:v>
                </c:pt>
                <c:pt idx="580">
                  <c:v>42186</c:v>
                </c:pt>
                <c:pt idx="581">
                  <c:v>42217</c:v>
                </c:pt>
                <c:pt idx="582">
                  <c:v>42217</c:v>
                </c:pt>
                <c:pt idx="583">
                  <c:v>42217</c:v>
                </c:pt>
                <c:pt idx="584">
                  <c:v>42248</c:v>
                </c:pt>
                <c:pt idx="585">
                  <c:v>42248</c:v>
                </c:pt>
                <c:pt idx="586">
                  <c:v>42248</c:v>
                </c:pt>
                <c:pt idx="587">
                  <c:v>42278</c:v>
                </c:pt>
                <c:pt idx="588">
                  <c:v>42278</c:v>
                </c:pt>
                <c:pt idx="589">
                  <c:v>42278</c:v>
                </c:pt>
                <c:pt idx="590">
                  <c:v>42309</c:v>
                </c:pt>
                <c:pt idx="591">
                  <c:v>42309</c:v>
                </c:pt>
                <c:pt idx="592">
                  <c:v>42309</c:v>
                </c:pt>
                <c:pt idx="593">
                  <c:v>42339</c:v>
                </c:pt>
                <c:pt idx="594">
                  <c:v>42339</c:v>
                </c:pt>
                <c:pt idx="595">
                  <c:v>42339</c:v>
                </c:pt>
                <c:pt idx="596">
                  <c:v>42379</c:v>
                </c:pt>
                <c:pt idx="597">
                  <c:v>42374</c:v>
                </c:pt>
                <c:pt idx="598">
                  <c:v>42374</c:v>
                </c:pt>
                <c:pt idx="599">
                  <c:v>42401</c:v>
                </c:pt>
                <c:pt idx="600">
                  <c:v>42401</c:v>
                </c:pt>
                <c:pt idx="601">
                  <c:v>42401</c:v>
                </c:pt>
                <c:pt idx="602">
                  <c:v>42430</c:v>
                </c:pt>
                <c:pt idx="603">
                  <c:v>42430</c:v>
                </c:pt>
                <c:pt idx="604">
                  <c:v>42430</c:v>
                </c:pt>
                <c:pt idx="605">
                  <c:v>42461</c:v>
                </c:pt>
                <c:pt idx="606">
                  <c:v>42461</c:v>
                </c:pt>
                <c:pt idx="607">
                  <c:v>42461</c:v>
                </c:pt>
                <c:pt idx="608">
                  <c:v>42491</c:v>
                </c:pt>
                <c:pt idx="609">
                  <c:v>42491</c:v>
                </c:pt>
                <c:pt idx="610">
                  <c:v>42491</c:v>
                </c:pt>
                <c:pt idx="611">
                  <c:v>42522</c:v>
                </c:pt>
                <c:pt idx="612">
                  <c:v>42522</c:v>
                </c:pt>
                <c:pt idx="613">
                  <c:v>42522</c:v>
                </c:pt>
                <c:pt idx="614">
                  <c:v>42552</c:v>
                </c:pt>
                <c:pt idx="615">
                  <c:v>42552</c:v>
                </c:pt>
                <c:pt idx="616">
                  <c:v>42552</c:v>
                </c:pt>
                <c:pt idx="617">
                  <c:v>42583</c:v>
                </c:pt>
                <c:pt idx="618">
                  <c:v>42583</c:v>
                </c:pt>
                <c:pt idx="619">
                  <c:v>42583</c:v>
                </c:pt>
                <c:pt idx="620">
                  <c:v>42614</c:v>
                </c:pt>
                <c:pt idx="621">
                  <c:v>42614</c:v>
                </c:pt>
                <c:pt idx="622">
                  <c:v>42614</c:v>
                </c:pt>
                <c:pt idx="623">
                  <c:v>42644</c:v>
                </c:pt>
                <c:pt idx="624">
                  <c:v>42644</c:v>
                </c:pt>
                <c:pt idx="625">
                  <c:v>42644</c:v>
                </c:pt>
                <c:pt idx="626">
                  <c:v>42675</c:v>
                </c:pt>
                <c:pt idx="627">
                  <c:v>42675</c:v>
                </c:pt>
                <c:pt idx="628">
                  <c:v>42675</c:v>
                </c:pt>
                <c:pt idx="629">
                  <c:v>42705</c:v>
                </c:pt>
                <c:pt idx="630">
                  <c:v>42705</c:v>
                </c:pt>
                <c:pt idx="631">
                  <c:v>42705</c:v>
                </c:pt>
                <c:pt idx="632">
                  <c:v>42745</c:v>
                </c:pt>
                <c:pt idx="633">
                  <c:v>42740</c:v>
                </c:pt>
                <c:pt idx="634">
                  <c:v>42740</c:v>
                </c:pt>
                <c:pt idx="635">
                  <c:v>42767</c:v>
                </c:pt>
                <c:pt idx="636">
                  <c:v>42767</c:v>
                </c:pt>
                <c:pt idx="637">
                  <c:v>42767</c:v>
                </c:pt>
                <c:pt idx="638">
                  <c:v>42795</c:v>
                </c:pt>
                <c:pt idx="639">
                  <c:v>42795</c:v>
                </c:pt>
                <c:pt idx="640">
                  <c:v>42795</c:v>
                </c:pt>
                <c:pt idx="641">
                  <c:v>42826</c:v>
                </c:pt>
                <c:pt idx="642">
                  <c:v>42826</c:v>
                </c:pt>
                <c:pt idx="643">
                  <c:v>42826</c:v>
                </c:pt>
                <c:pt idx="644">
                  <c:v>42856</c:v>
                </c:pt>
                <c:pt idx="645">
                  <c:v>42856</c:v>
                </c:pt>
                <c:pt idx="646">
                  <c:v>42856</c:v>
                </c:pt>
                <c:pt idx="647">
                  <c:v>42887</c:v>
                </c:pt>
                <c:pt idx="648">
                  <c:v>42887</c:v>
                </c:pt>
                <c:pt idx="649">
                  <c:v>42887</c:v>
                </c:pt>
                <c:pt idx="650">
                  <c:v>42917</c:v>
                </c:pt>
                <c:pt idx="651">
                  <c:v>42917</c:v>
                </c:pt>
                <c:pt idx="652">
                  <c:v>42917</c:v>
                </c:pt>
                <c:pt idx="653">
                  <c:v>42948</c:v>
                </c:pt>
                <c:pt idx="654">
                  <c:v>42948</c:v>
                </c:pt>
                <c:pt idx="655">
                  <c:v>42948</c:v>
                </c:pt>
                <c:pt idx="656">
                  <c:v>42979</c:v>
                </c:pt>
                <c:pt idx="657">
                  <c:v>42979</c:v>
                </c:pt>
                <c:pt idx="658">
                  <c:v>42979</c:v>
                </c:pt>
                <c:pt idx="659">
                  <c:v>43009</c:v>
                </c:pt>
                <c:pt idx="660">
                  <c:v>43009</c:v>
                </c:pt>
                <c:pt idx="661">
                  <c:v>43009</c:v>
                </c:pt>
                <c:pt idx="662">
                  <c:v>43040</c:v>
                </c:pt>
                <c:pt idx="663">
                  <c:v>43040</c:v>
                </c:pt>
                <c:pt idx="664">
                  <c:v>43040</c:v>
                </c:pt>
                <c:pt idx="665">
                  <c:v>43070</c:v>
                </c:pt>
                <c:pt idx="666">
                  <c:v>43070</c:v>
                </c:pt>
                <c:pt idx="667">
                  <c:v>43070</c:v>
                </c:pt>
                <c:pt idx="668">
                  <c:v>43110</c:v>
                </c:pt>
                <c:pt idx="669">
                  <c:v>43105</c:v>
                </c:pt>
                <c:pt idx="670">
                  <c:v>43105</c:v>
                </c:pt>
                <c:pt idx="671">
                  <c:v>43132</c:v>
                </c:pt>
                <c:pt idx="672">
                  <c:v>43132</c:v>
                </c:pt>
                <c:pt idx="673">
                  <c:v>43132</c:v>
                </c:pt>
                <c:pt idx="674">
                  <c:v>43160</c:v>
                </c:pt>
                <c:pt idx="675">
                  <c:v>43160</c:v>
                </c:pt>
                <c:pt idx="676">
                  <c:v>43160</c:v>
                </c:pt>
                <c:pt idx="677">
                  <c:v>43191</c:v>
                </c:pt>
                <c:pt idx="678">
                  <c:v>43191</c:v>
                </c:pt>
                <c:pt idx="679">
                  <c:v>43191</c:v>
                </c:pt>
                <c:pt idx="680">
                  <c:v>43221</c:v>
                </c:pt>
                <c:pt idx="681">
                  <c:v>43221</c:v>
                </c:pt>
                <c:pt idx="682">
                  <c:v>43221</c:v>
                </c:pt>
                <c:pt idx="683">
                  <c:v>43252</c:v>
                </c:pt>
                <c:pt idx="684">
                  <c:v>43252</c:v>
                </c:pt>
                <c:pt idx="685">
                  <c:v>43252</c:v>
                </c:pt>
                <c:pt idx="686">
                  <c:v>43282</c:v>
                </c:pt>
                <c:pt idx="687">
                  <c:v>43282</c:v>
                </c:pt>
                <c:pt idx="688">
                  <c:v>43282</c:v>
                </c:pt>
                <c:pt idx="689">
                  <c:v>43313</c:v>
                </c:pt>
                <c:pt idx="690">
                  <c:v>43313</c:v>
                </c:pt>
                <c:pt idx="691">
                  <c:v>43313</c:v>
                </c:pt>
                <c:pt idx="692">
                  <c:v>43344</c:v>
                </c:pt>
                <c:pt idx="693">
                  <c:v>43344</c:v>
                </c:pt>
                <c:pt idx="694">
                  <c:v>43344</c:v>
                </c:pt>
                <c:pt idx="695">
                  <c:v>43374</c:v>
                </c:pt>
                <c:pt idx="696">
                  <c:v>43374</c:v>
                </c:pt>
                <c:pt idx="697">
                  <c:v>43374</c:v>
                </c:pt>
                <c:pt idx="698">
                  <c:v>43405</c:v>
                </c:pt>
                <c:pt idx="699">
                  <c:v>43405</c:v>
                </c:pt>
                <c:pt idx="700">
                  <c:v>43405</c:v>
                </c:pt>
                <c:pt idx="701">
                  <c:v>43435</c:v>
                </c:pt>
                <c:pt idx="702">
                  <c:v>43435</c:v>
                </c:pt>
                <c:pt idx="703">
                  <c:v>43435</c:v>
                </c:pt>
                <c:pt idx="704">
                  <c:v>43475</c:v>
                </c:pt>
                <c:pt idx="705">
                  <c:v>43470</c:v>
                </c:pt>
                <c:pt idx="706">
                  <c:v>43470</c:v>
                </c:pt>
                <c:pt idx="707">
                  <c:v>43497</c:v>
                </c:pt>
                <c:pt idx="708">
                  <c:v>43497</c:v>
                </c:pt>
                <c:pt idx="709">
                  <c:v>43497</c:v>
                </c:pt>
                <c:pt idx="710">
                  <c:v>43525</c:v>
                </c:pt>
                <c:pt idx="711">
                  <c:v>43525</c:v>
                </c:pt>
                <c:pt idx="712">
                  <c:v>43525</c:v>
                </c:pt>
                <c:pt idx="713">
                  <c:v>43556</c:v>
                </c:pt>
                <c:pt idx="714">
                  <c:v>43556</c:v>
                </c:pt>
                <c:pt idx="715">
                  <c:v>43556</c:v>
                </c:pt>
                <c:pt idx="716">
                  <c:v>43586</c:v>
                </c:pt>
                <c:pt idx="717">
                  <c:v>43586</c:v>
                </c:pt>
                <c:pt idx="718">
                  <c:v>43586</c:v>
                </c:pt>
                <c:pt idx="719">
                  <c:v>43617</c:v>
                </c:pt>
                <c:pt idx="720">
                  <c:v>43617</c:v>
                </c:pt>
                <c:pt idx="721">
                  <c:v>43617</c:v>
                </c:pt>
                <c:pt idx="722">
                  <c:v>43647</c:v>
                </c:pt>
                <c:pt idx="723">
                  <c:v>43647</c:v>
                </c:pt>
                <c:pt idx="724">
                  <c:v>43647</c:v>
                </c:pt>
                <c:pt idx="725">
                  <c:v>43678</c:v>
                </c:pt>
                <c:pt idx="726">
                  <c:v>43678</c:v>
                </c:pt>
                <c:pt idx="727">
                  <c:v>43678</c:v>
                </c:pt>
                <c:pt idx="728">
                  <c:v>43709</c:v>
                </c:pt>
                <c:pt idx="729">
                  <c:v>43709</c:v>
                </c:pt>
                <c:pt idx="730">
                  <c:v>43709</c:v>
                </c:pt>
                <c:pt idx="731">
                  <c:v>43739</c:v>
                </c:pt>
                <c:pt idx="732">
                  <c:v>43739</c:v>
                </c:pt>
                <c:pt idx="733">
                  <c:v>43739</c:v>
                </c:pt>
                <c:pt idx="734">
                  <c:v>43770</c:v>
                </c:pt>
                <c:pt idx="735">
                  <c:v>43770</c:v>
                </c:pt>
                <c:pt idx="736">
                  <c:v>43770</c:v>
                </c:pt>
                <c:pt idx="737">
                  <c:v>43800</c:v>
                </c:pt>
                <c:pt idx="738">
                  <c:v>43800</c:v>
                </c:pt>
                <c:pt idx="739">
                  <c:v>43800</c:v>
                </c:pt>
              </c:numCache>
            </c:numRef>
          </c:xVal>
          <c:yVal>
            <c:numRef>
              <c:f>'Zea update'!$L$3:$L$742</c:f>
              <c:numCache>
                <c:formatCode>General</c:formatCode>
                <c:ptCount val="740"/>
                <c:pt idx="2">
                  <c:v>2.1613593629153639E-2</c:v>
                </c:pt>
                <c:pt idx="5">
                  <c:v>7.3285051658931767E-3</c:v>
                </c:pt>
                <c:pt idx="8">
                  <c:v>5.396470337027847E-3</c:v>
                </c:pt>
                <c:pt idx="11">
                  <c:v>1.0668626909023289E-2</c:v>
                </c:pt>
                <c:pt idx="14">
                  <c:v>1.7007937565342364E-2</c:v>
                </c:pt>
                <c:pt idx="17">
                  <c:v>1.7853130564055741E-2</c:v>
                </c:pt>
                <c:pt idx="20">
                  <c:v>0</c:v>
                </c:pt>
                <c:pt idx="23">
                  <c:v>1.1597248705650721E-2</c:v>
                </c:pt>
                <c:pt idx="26">
                  <c:v>1.7677214581433016E-2</c:v>
                </c:pt>
                <c:pt idx="29">
                  <c:v>6.6954953471546896E-2</c:v>
                </c:pt>
                <c:pt idx="32">
                  <c:v>9.3119221821882842E-2</c:v>
                </c:pt>
                <c:pt idx="35">
                  <c:v>6.5073840333337823E-2</c:v>
                </c:pt>
                <c:pt idx="38">
                  <c:v>5.3566128980156559E-3</c:v>
                </c:pt>
                <c:pt idx="41">
                  <c:v>2.0657669254136972E-3</c:v>
                </c:pt>
                <c:pt idx="44">
                  <c:v>3.4019175618358686E-3</c:v>
                </c:pt>
                <c:pt idx="47">
                  <c:v>1.0563252540780652E-2</c:v>
                </c:pt>
                <c:pt idx="50">
                  <c:v>1.2458542005472514E-2</c:v>
                </c:pt>
                <c:pt idx="53">
                  <c:v>1.1896341527384356E-2</c:v>
                </c:pt>
                <c:pt idx="56">
                  <c:v>8.8352270833653348E-3</c:v>
                </c:pt>
                <c:pt idx="59">
                  <c:v>1.9421179976968923E-2</c:v>
                </c:pt>
                <c:pt idx="62">
                  <c:v>5.6372727107066728E-2</c:v>
                </c:pt>
                <c:pt idx="65">
                  <c:v>0.12178186920811966</c:v>
                </c:pt>
                <c:pt idx="68">
                  <c:v>0.10474350691027429</c:v>
                </c:pt>
                <c:pt idx="71">
                  <c:v>2.8726953588508783E-2</c:v>
                </c:pt>
                <c:pt idx="74">
                  <c:v>8.4517834868854079E-3</c:v>
                </c:pt>
                <c:pt idx="77">
                  <c:v>1.4967060338255823E-2</c:v>
                </c:pt>
                <c:pt idx="80">
                  <c:v>2.5387076522515512E-3</c:v>
                </c:pt>
                <c:pt idx="83">
                  <c:v>4.0489388087671038E-3</c:v>
                </c:pt>
                <c:pt idx="86">
                  <c:v>2.7165342861998922E-2</c:v>
                </c:pt>
                <c:pt idx="89">
                  <c:v>6.4189891874403774E-3</c:v>
                </c:pt>
                <c:pt idx="92">
                  <c:v>1.5888020159169534E-2</c:v>
                </c:pt>
                <c:pt idx="110">
                  <c:v>5.4438111338372709E-2</c:v>
                </c:pt>
                <c:pt idx="113">
                  <c:v>6.2776375742169795E-3</c:v>
                </c:pt>
                <c:pt idx="116">
                  <c:v>5.276408857968002E-3</c:v>
                </c:pt>
                <c:pt idx="119">
                  <c:v>1.2714195818092603E-2</c:v>
                </c:pt>
                <c:pt idx="122">
                  <c:v>1.0654171808164409E-2</c:v>
                </c:pt>
                <c:pt idx="125">
                  <c:v>1.243756510038227E-2</c:v>
                </c:pt>
                <c:pt idx="128">
                  <c:v>6.1064637847804146E-3</c:v>
                </c:pt>
                <c:pt idx="131">
                  <c:v>2.0862678726613893E-2</c:v>
                </c:pt>
                <c:pt idx="134">
                  <c:v>2.3660513911702669E-2</c:v>
                </c:pt>
                <c:pt idx="137">
                  <c:v>0.11549852090766252</c:v>
                </c:pt>
                <c:pt idx="140">
                  <c:v>0.14875654725672727</c:v>
                </c:pt>
                <c:pt idx="143">
                  <c:v>5.1065528055730849E-2</c:v>
                </c:pt>
                <c:pt idx="146">
                  <c:v>1.1791752225673363E-2</c:v>
                </c:pt>
                <c:pt idx="149">
                  <c:v>1.0485122215649536E-2</c:v>
                </c:pt>
                <c:pt idx="152">
                  <c:v>8.8387980905748429E-3</c:v>
                </c:pt>
                <c:pt idx="155">
                  <c:v>5.6227027676375137E-3</c:v>
                </c:pt>
                <c:pt idx="158">
                  <c:v>6.4989193997184412E-3</c:v>
                </c:pt>
                <c:pt idx="161">
                  <c:v>6.4477211378578345E-3</c:v>
                </c:pt>
                <c:pt idx="164">
                  <c:v>1.6411433906684033E-2</c:v>
                </c:pt>
                <c:pt idx="167">
                  <c:v>5.0299703918322197E-2</c:v>
                </c:pt>
                <c:pt idx="170">
                  <c:v>5.7235251260355113E-2</c:v>
                </c:pt>
                <c:pt idx="173">
                  <c:v>0.11551538942342747</c:v>
                </c:pt>
                <c:pt idx="179">
                  <c:v>5.3914662799085328E-2</c:v>
                </c:pt>
                <c:pt idx="182">
                  <c:v>3.069033845427967E-2</c:v>
                </c:pt>
                <c:pt idx="185">
                  <c:v>1.1068043209133464E-2</c:v>
                </c:pt>
                <c:pt idx="188">
                  <c:v>1.0501245069693866E-2</c:v>
                </c:pt>
                <c:pt idx="191">
                  <c:v>5.2302270212734384E-3</c:v>
                </c:pt>
                <c:pt idx="194">
                  <c:v>1.301214038656172E-2</c:v>
                </c:pt>
                <c:pt idx="197">
                  <c:v>6.8310101877372929E-3</c:v>
                </c:pt>
                <c:pt idx="200">
                  <c:v>1.0020730705857576E-2</c:v>
                </c:pt>
                <c:pt idx="203">
                  <c:v>1.4941020053916518E-2</c:v>
                </c:pt>
                <c:pt idx="206">
                  <c:v>4.4564952553500466E-2</c:v>
                </c:pt>
                <c:pt idx="209">
                  <c:v>0.12984907459479053</c:v>
                </c:pt>
                <c:pt idx="212">
                  <c:v>7.7130417388234493E-2</c:v>
                </c:pt>
                <c:pt idx="215">
                  <c:v>4.9655557327234937E-2</c:v>
                </c:pt>
                <c:pt idx="218">
                  <c:v>1.8788169966646034E-2</c:v>
                </c:pt>
                <c:pt idx="221">
                  <c:v>3.6791847701114645E-3</c:v>
                </c:pt>
                <c:pt idx="224">
                  <c:v>4.8233884156025104E-3</c:v>
                </c:pt>
                <c:pt idx="227">
                  <c:v>8.2362108402945933E-3</c:v>
                </c:pt>
                <c:pt idx="230">
                  <c:v>8.8756169383269051E-3</c:v>
                </c:pt>
                <c:pt idx="233">
                  <c:v>5.337752387597575E-3</c:v>
                </c:pt>
                <c:pt idx="236">
                  <c:v>2.0639458009595647E-2</c:v>
                </c:pt>
                <c:pt idx="239">
                  <c:v>3.2310589818880499E-2</c:v>
                </c:pt>
                <c:pt idx="242">
                  <c:v>2.7689879479301543E-2</c:v>
                </c:pt>
                <c:pt idx="245">
                  <c:v>8.7601908889672855E-2</c:v>
                </c:pt>
                <c:pt idx="248">
                  <c:v>7.4549698368702427E-2</c:v>
                </c:pt>
                <c:pt idx="251">
                  <c:v>4.4074057850394963E-2</c:v>
                </c:pt>
                <c:pt idx="254">
                  <c:v>5.9487130871687909E-2</c:v>
                </c:pt>
                <c:pt idx="257">
                  <c:v>1.3195356986421377E-2</c:v>
                </c:pt>
                <c:pt idx="260">
                  <c:v>1.6438356164383564E-2</c:v>
                </c:pt>
                <c:pt idx="263">
                  <c:v>2.268335713685626E-2</c:v>
                </c:pt>
                <c:pt idx="266">
                  <c:v>8.1352255265298729E-3</c:v>
                </c:pt>
                <c:pt idx="269">
                  <c:v>1.2844346797363529E-2</c:v>
                </c:pt>
                <c:pt idx="272">
                  <c:v>4.972032318210068E-3</c:v>
                </c:pt>
                <c:pt idx="275">
                  <c:v>1.5021340280472258E-2</c:v>
                </c:pt>
                <c:pt idx="278">
                  <c:v>1.374527338219745E-2</c:v>
                </c:pt>
                <c:pt idx="281">
                  <c:v>8.4714397335197603E-2</c:v>
                </c:pt>
                <c:pt idx="284">
                  <c:v>0.11769332322125782</c:v>
                </c:pt>
                <c:pt idx="287">
                  <c:v>0.11982627417498792</c:v>
                </c:pt>
                <c:pt idx="290">
                  <c:v>0.12977810926720121</c:v>
                </c:pt>
                <c:pt idx="293">
                  <c:v>8.1419815204464355E-3</c:v>
                </c:pt>
                <c:pt idx="296">
                  <c:v>5.6470862199452755E-3</c:v>
                </c:pt>
                <c:pt idx="299">
                  <c:v>1.7948266760513813E-2</c:v>
                </c:pt>
                <c:pt idx="302">
                  <c:v>1.6115616552297776E-2</c:v>
                </c:pt>
                <c:pt idx="305">
                  <c:v>1.6510557231306559E-2</c:v>
                </c:pt>
                <c:pt idx="308">
                  <c:v>1.1211011211011212E-2</c:v>
                </c:pt>
                <c:pt idx="311">
                  <c:v>2.0636792452830188E-2</c:v>
                </c:pt>
                <c:pt idx="314">
                  <c:v>7.0741064817930965E-2</c:v>
                </c:pt>
                <c:pt idx="317">
                  <c:v>0.10191829975158707</c:v>
                </c:pt>
                <c:pt idx="320">
                  <c:v>9.2118621426663092E-2</c:v>
                </c:pt>
                <c:pt idx="323">
                  <c:v>4.4041845853539513E-2</c:v>
                </c:pt>
                <c:pt idx="326">
                  <c:v>6.6052804660340136E-2</c:v>
                </c:pt>
                <c:pt idx="329">
                  <c:v>7.1169598496038673E-3</c:v>
                </c:pt>
                <c:pt idx="332">
                  <c:v>4.2286235053951588E-3</c:v>
                </c:pt>
                <c:pt idx="335">
                  <c:v>5.8105180224542049E-3</c:v>
                </c:pt>
                <c:pt idx="338">
                  <c:v>6.7366239150148995E-3</c:v>
                </c:pt>
                <c:pt idx="341">
                  <c:v>6.0527453523562475E-3</c:v>
                </c:pt>
                <c:pt idx="344">
                  <c:v>1.6929363689433739E-2</c:v>
                </c:pt>
                <c:pt idx="347">
                  <c:v>1.9077702169026062E-2</c:v>
                </c:pt>
                <c:pt idx="350">
                  <c:v>3.3548288039306005E-2</c:v>
                </c:pt>
                <c:pt idx="353">
                  <c:v>0.12107715782094107</c:v>
                </c:pt>
                <c:pt idx="356">
                  <c:v>0.15611386286328099</c:v>
                </c:pt>
                <c:pt idx="359">
                  <c:v>3.9920159680638723E-2</c:v>
                </c:pt>
                <c:pt idx="362">
                  <c:v>7.6437235340558393E-2</c:v>
                </c:pt>
                <c:pt idx="365">
                  <c:v>1.1773940345368916E-2</c:v>
                </c:pt>
                <c:pt idx="368">
                  <c:v>5.7182705718270572E-3</c:v>
                </c:pt>
                <c:pt idx="371">
                  <c:v>3.8816401273885351E-3</c:v>
                </c:pt>
                <c:pt idx="374">
                  <c:v>1.1271168724601438E-2</c:v>
                </c:pt>
                <c:pt idx="377">
                  <c:v>1.1906105959546663E-2</c:v>
                </c:pt>
                <c:pt idx="380">
                  <c:v>9.5171818996415761E-3</c:v>
                </c:pt>
                <c:pt idx="383">
                  <c:v>5.2864621152328331E-2</c:v>
                </c:pt>
                <c:pt idx="386">
                  <c:v>0.1218281833919543</c:v>
                </c:pt>
                <c:pt idx="389">
                  <c:v>0.14895724390378159</c:v>
                </c:pt>
                <c:pt idx="393">
                  <c:v>7.1547719397290141E-2</c:v>
                </c:pt>
                <c:pt idx="396">
                  <c:v>7.0273812137177399E-2</c:v>
                </c:pt>
                <c:pt idx="399">
                  <c:v>3.5517202989467166E-2</c:v>
                </c:pt>
                <c:pt idx="402">
                  <c:v>2.1940193618937353E-2</c:v>
                </c:pt>
                <c:pt idx="405">
                  <c:v>3.7984975767366716E-2</c:v>
                </c:pt>
                <c:pt idx="408">
                  <c:v>5.5269461077844311E-3</c:v>
                </c:pt>
                <c:pt idx="411">
                  <c:v>5.1351497375733239E-3</c:v>
                </c:pt>
                <c:pt idx="415">
                  <c:v>5.3783430049198933E-3</c:v>
                </c:pt>
                <c:pt idx="418">
                  <c:v>6.3076576576576579E-3</c:v>
                </c:pt>
                <c:pt idx="422">
                  <c:v>7.7524754193175241E-2</c:v>
                </c:pt>
                <c:pt idx="426">
                  <c:v>0.12260987959941484</c:v>
                </c:pt>
                <c:pt idx="429">
                  <c:v>4.713157582938389E-2</c:v>
                </c:pt>
                <c:pt idx="433">
                  <c:v>3.5885759077114332E-2</c:v>
                </c:pt>
                <c:pt idx="437">
                  <c:v>0.10577587816967172</c:v>
                </c:pt>
                <c:pt idx="441">
                  <c:v>6.1742571747287298E-2</c:v>
                </c:pt>
                <c:pt idx="444">
                  <c:v>1.7428835038662813E-2</c:v>
                </c:pt>
                <c:pt idx="447">
                  <c:v>8.572407896315852E-3</c:v>
                </c:pt>
                <c:pt idx="450">
                  <c:v>4.9155764411027546E-3</c:v>
                </c:pt>
                <c:pt idx="453">
                  <c:v>1.2747507999015502E-2</c:v>
                </c:pt>
                <c:pt idx="456">
                  <c:v>1.9170805555555556E-2</c:v>
                </c:pt>
                <c:pt idx="460">
                  <c:v>1.1304399542278966E-2</c:v>
                </c:pt>
                <c:pt idx="464">
                  <c:v>1.5195309642813605E-2</c:v>
                </c:pt>
                <c:pt idx="467">
                  <c:v>3.1404170273435499E-2</c:v>
                </c:pt>
                <c:pt idx="470">
                  <c:v>0.18806240550163389</c:v>
                </c:pt>
                <c:pt idx="473">
                  <c:v>4.2668127167194328E-2</c:v>
                </c:pt>
                <c:pt idx="476">
                  <c:v>6.1584647806159382E-2</c:v>
                </c:pt>
                <c:pt idx="479">
                  <c:v>2.2446761840483598E-2</c:v>
                </c:pt>
                <c:pt idx="482">
                  <c:v>6.0662569786980331E-3</c:v>
                </c:pt>
                <c:pt idx="485">
                  <c:v>4.6967586608066192E-3</c:v>
                </c:pt>
                <c:pt idx="488">
                  <c:v>7.8863508394758381E-3</c:v>
                </c:pt>
                <c:pt idx="491">
                  <c:v>6.5757329791420686E-3</c:v>
                </c:pt>
                <c:pt idx="495">
                  <c:v>4.1273335509138384E-3</c:v>
                </c:pt>
                <c:pt idx="498">
                  <c:v>1.6143165574746873E-2</c:v>
                </c:pt>
                <c:pt idx="502">
                  <c:v>1.5112895927601813E-2</c:v>
                </c:pt>
                <c:pt idx="505">
                  <c:v>8.7209947818363484E-3</c:v>
                </c:pt>
                <c:pt idx="508">
                  <c:v>0.16820195737092392</c:v>
                </c:pt>
                <c:pt idx="511">
                  <c:v>0.11952844328703702</c:v>
                </c:pt>
                <c:pt idx="514">
                  <c:v>2.0602361923790499E-2</c:v>
                </c:pt>
                <c:pt idx="517">
                  <c:v>0</c:v>
                </c:pt>
                <c:pt idx="520">
                  <c:v>3.1610705172813729E-3</c:v>
                </c:pt>
                <c:pt idx="523">
                  <c:v>1.7843103078408237E-3</c:v>
                </c:pt>
                <c:pt idx="526">
                  <c:v>6.2836061676402651E-3</c:v>
                </c:pt>
                <c:pt idx="529">
                  <c:v>8.7704996959254017E-3</c:v>
                </c:pt>
                <c:pt idx="532">
                  <c:v>8.5581671714622248E-3</c:v>
                </c:pt>
                <c:pt idx="535">
                  <c:v>6.0340016825574886E-3</c:v>
                </c:pt>
                <c:pt idx="538">
                  <c:v>3.6447837452471482E-3</c:v>
                </c:pt>
                <c:pt idx="541">
                  <c:v>3.8765511525102617E-2</c:v>
                </c:pt>
                <c:pt idx="544">
                  <c:v>2.0082053863579159E-2</c:v>
                </c:pt>
                <c:pt idx="547">
                  <c:v>0.17150442972907595</c:v>
                </c:pt>
                <c:pt idx="550">
                  <c:v>1.2744184345281642E-2</c:v>
                </c:pt>
                <c:pt idx="553">
                  <c:v>2.9857924647442645E-3</c:v>
                </c:pt>
                <c:pt idx="556">
                  <c:v>4.7444610515210133E-3</c:v>
                </c:pt>
                <c:pt idx="559">
                  <c:v>2.1448095823095818E-3</c:v>
                </c:pt>
                <c:pt idx="562">
                  <c:v>6.0707948071355182E-3</c:v>
                </c:pt>
                <c:pt idx="568">
                  <c:v>6.8849337142020059E-3</c:v>
                </c:pt>
                <c:pt idx="571">
                  <c:v>1.3624841571609633E-2</c:v>
                </c:pt>
                <c:pt idx="574">
                  <c:v>4.0711986366218506E-3</c:v>
                </c:pt>
                <c:pt idx="577">
                  <c:v>2.4014645703209134E-2</c:v>
                </c:pt>
                <c:pt idx="580">
                  <c:v>0.11323217490618372</c:v>
                </c:pt>
                <c:pt idx="583">
                  <c:v>1.8448940269749522E-2</c:v>
                </c:pt>
                <c:pt idx="586">
                  <c:v>5.553359683794467E-2</c:v>
                </c:pt>
                <c:pt idx="589">
                  <c:v>4.1316806610689058E-3</c:v>
                </c:pt>
                <c:pt idx="592">
                  <c:v>3.2733224222585927E-2</c:v>
                </c:pt>
                <c:pt idx="595">
                  <c:v>7.2662683675117062E-3</c:v>
                </c:pt>
                <c:pt idx="598">
                  <c:v>4.2684372776855585E-3</c:v>
                </c:pt>
                <c:pt idx="601">
                  <c:v>6.7516879219804964E-3</c:v>
                </c:pt>
                <c:pt idx="604">
                  <c:v>1.0689582896667367E-2</c:v>
                </c:pt>
                <c:pt idx="607">
                  <c:v>4.3537006455487155E-3</c:v>
                </c:pt>
                <c:pt idx="610">
                  <c:v>9.4453376205787774E-3</c:v>
                </c:pt>
                <c:pt idx="613">
                  <c:v>1.9975932611311677E-2</c:v>
                </c:pt>
                <c:pt idx="616">
                  <c:v>6.6620973269362588E-2</c:v>
                </c:pt>
                <c:pt idx="619">
                  <c:v>0.12852856948043093</c:v>
                </c:pt>
                <c:pt idx="622">
                  <c:v>5.0515332739534291E-2</c:v>
                </c:pt>
                <c:pt idx="625">
                  <c:v>1.2556364897676031E-2</c:v>
                </c:pt>
                <c:pt idx="628">
                  <c:v>5.7643859649122806E-3</c:v>
                </c:pt>
                <c:pt idx="631">
                  <c:v>4.9504950495049506E-3</c:v>
                </c:pt>
                <c:pt idx="640">
                  <c:v>9.8116169544740974E-3</c:v>
                </c:pt>
                <c:pt idx="643">
                  <c:v>1.0649217346676929E-2</c:v>
                </c:pt>
                <c:pt idx="646">
                  <c:v>1.9708893376976115E-2</c:v>
                </c:pt>
                <c:pt idx="649">
                  <c:v>4.9028908070781189E-2</c:v>
                </c:pt>
                <c:pt idx="652">
                  <c:v>0.24468780647270347</c:v>
                </c:pt>
                <c:pt idx="658">
                  <c:v>4.241364232619152E-2</c:v>
                </c:pt>
                <c:pt idx="661">
                  <c:v>8.655902861264728E-3</c:v>
                </c:pt>
                <c:pt idx="667">
                  <c:v>1.1636218181818184E-3</c:v>
                </c:pt>
                <c:pt idx="670">
                  <c:v>3.3340867992766735E-3</c:v>
                </c:pt>
                <c:pt idx="673">
                  <c:v>8.5428362216255806E-3</c:v>
                </c:pt>
                <c:pt idx="676">
                  <c:v>4.0078451436855117E-3</c:v>
                </c:pt>
                <c:pt idx="679">
                  <c:v>8.7748344370860917E-3</c:v>
                </c:pt>
                <c:pt idx="682">
                  <c:v>4.2006663125875136E-3</c:v>
                </c:pt>
                <c:pt idx="685">
                  <c:v>0.17709591688813722</c:v>
                </c:pt>
                <c:pt idx="688">
                  <c:v>7.1000041375315487E-2</c:v>
                </c:pt>
                <c:pt idx="691">
                  <c:v>9.9611901681759388E-2</c:v>
                </c:pt>
                <c:pt idx="694">
                  <c:v>6.5995159918895943E-2</c:v>
                </c:pt>
                <c:pt idx="697">
                  <c:v>2.247501387347392E-2</c:v>
                </c:pt>
                <c:pt idx="698">
                  <c:v>4.2800366860287374E-3</c:v>
                </c:pt>
                <c:pt idx="712">
                  <c:v>1.1124063231850117E-2</c:v>
                </c:pt>
                <c:pt idx="715">
                  <c:v>8.2222568755316132E-3</c:v>
                </c:pt>
                <c:pt idx="718">
                  <c:v>1.0545267489711935E-2</c:v>
                </c:pt>
                <c:pt idx="721">
                  <c:v>7.6493694438701687E-2</c:v>
                </c:pt>
                <c:pt idx="724">
                  <c:v>4.3471260666559333E-2</c:v>
                </c:pt>
                <c:pt idx="727">
                  <c:v>9.3267651888341532E-2</c:v>
                </c:pt>
                <c:pt idx="730">
                  <c:v>5.7545507927187323E-2</c:v>
                </c:pt>
                <c:pt idx="733">
                  <c:v>1.1648493289440363E-2</c:v>
                </c:pt>
                <c:pt idx="739">
                  <c:v>7.3270013568521031E-3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58-E741-862F-6D0580D7F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095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chl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update'!$B$3:$B$742</c:f>
              <c:numCache>
                <c:formatCode>[$-409]mmm\-yy;@</c:formatCode>
                <c:ptCount val="740"/>
                <c:pt idx="0">
                  <c:v>36445</c:v>
                </c:pt>
                <c:pt idx="1">
                  <c:v>36446</c:v>
                </c:pt>
                <c:pt idx="2">
                  <c:v>36445</c:v>
                </c:pt>
                <c:pt idx="3">
                  <c:v>36472</c:v>
                </c:pt>
                <c:pt idx="4">
                  <c:v>36473</c:v>
                </c:pt>
                <c:pt idx="5">
                  <c:v>36472</c:v>
                </c:pt>
                <c:pt idx="6">
                  <c:v>36501</c:v>
                </c:pt>
                <c:pt idx="7">
                  <c:v>36502</c:v>
                </c:pt>
                <c:pt idx="8">
                  <c:v>36501</c:v>
                </c:pt>
                <c:pt idx="9">
                  <c:v>36530</c:v>
                </c:pt>
                <c:pt idx="10">
                  <c:v>36531</c:v>
                </c:pt>
                <c:pt idx="11">
                  <c:v>36530</c:v>
                </c:pt>
                <c:pt idx="12">
                  <c:v>36579</c:v>
                </c:pt>
                <c:pt idx="13">
                  <c:v>36578</c:v>
                </c:pt>
                <c:pt idx="14">
                  <c:v>36579</c:v>
                </c:pt>
                <c:pt idx="15">
                  <c:v>36598</c:v>
                </c:pt>
                <c:pt idx="16">
                  <c:v>36599</c:v>
                </c:pt>
                <c:pt idx="17">
                  <c:v>36598</c:v>
                </c:pt>
                <c:pt idx="18">
                  <c:v>36627</c:v>
                </c:pt>
                <c:pt idx="19">
                  <c:v>36626</c:v>
                </c:pt>
                <c:pt idx="20">
                  <c:v>36627</c:v>
                </c:pt>
                <c:pt idx="21">
                  <c:v>36662</c:v>
                </c:pt>
                <c:pt idx="22">
                  <c:v>36663</c:v>
                </c:pt>
                <c:pt idx="23">
                  <c:v>36662</c:v>
                </c:pt>
                <c:pt idx="24">
                  <c:v>36690</c:v>
                </c:pt>
                <c:pt idx="25">
                  <c:v>36692</c:v>
                </c:pt>
                <c:pt idx="26">
                  <c:v>36690</c:v>
                </c:pt>
                <c:pt idx="27">
                  <c:v>36718</c:v>
                </c:pt>
                <c:pt idx="28">
                  <c:v>36719</c:v>
                </c:pt>
                <c:pt idx="29">
                  <c:v>36718</c:v>
                </c:pt>
                <c:pt idx="30">
                  <c:v>36753</c:v>
                </c:pt>
                <c:pt idx="31">
                  <c:v>36755</c:v>
                </c:pt>
                <c:pt idx="32">
                  <c:v>36753</c:v>
                </c:pt>
                <c:pt idx="33">
                  <c:v>36781</c:v>
                </c:pt>
                <c:pt idx="34">
                  <c:v>36783</c:v>
                </c:pt>
                <c:pt idx="35">
                  <c:v>36781</c:v>
                </c:pt>
                <c:pt idx="36">
                  <c:v>36817</c:v>
                </c:pt>
                <c:pt idx="37">
                  <c:v>36815</c:v>
                </c:pt>
                <c:pt idx="38">
                  <c:v>36817</c:v>
                </c:pt>
                <c:pt idx="39">
                  <c:v>36845</c:v>
                </c:pt>
                <c:pt idx="40">
                  <c:v>36846</c:v>
                </c:pt>
                <c:pt idx="41">
                  <c:v>36845</c:v>
                </c:pt>
                <c:pt idx="42">
                  <c:v>36871</c:v>
                </c:pt>
                <c:pt idx="43">
                  <c:v>36873</c:v>
                </c:pt>
                <c:pt idx="44">
                  <c:v>36871</c:v>
                </c:pt>
                <c:pt idx="45">
                  <c:v>36901</c:v>
                </c:pt>
                <c:pt idx="46">
                  <c:v>36902</c:v>
                </c:pt>
                <c:pt idx="47">
                  <c:v>36901</c:v>
                </c:pt>
                <c:pt idx="48">
                  <c:v>36928</c:v>
                </c:pt>
                <c:pt idx="49">
                  <c:v>36929</c:v>
                </c:pt>
                <c:pt idx="50">
                  <c:v>36928</c:v>
                </c:pt>
                <c:pt idx="51">
                  <c:v>36965</c:v>
                </c:pt>
                <c:pt idx="52">
                  <c:v>36962</c:v>
                </c:pt>
                <c:pt idx="53">
                  <c:v>36964</c:v>
                </c:pt>
                <c:pt idx="54">
                  <c:v>37000</c:v>
                </c:pt>
                <c:pt idx="55">
                  <c:v>36998</c:v>
                </c:pt>
                <c:pt idx="56">
                  <c:v>36997</c:v>
                </c:pt>
                <c:pt idx="57">
                  <c:v>37026</c:v>
                </c:pt>
                <c:pt idx="58">
                  <c:v>37025</c:v>
                </c:pt>
                <c:pt idx="59">
                  <c:v>37026</c:v>
                </c:pt>
                <c:pt idx="60">
                  <c:v>37055</c:v>
                </c:pt>
                <c:pt idx="61">
                  <c:v>37054</c:v>
                </c:pt>
                <c:pt idx="62">
                  <c:v>37055</c:v>
                </c:pt>
                <c:pt idx="63">
                  <c:v>37092</c:v>
                </c:pt>
                <c:pt idx="64">
                  <c:v>37090</c:v>
                </c:pt>
                <c:pt idx="65">
                  <c:v>37092</c:v>
                </c:pt>
                <c:pt idx="66">
                  <c:v>37118</c:v>
                </c:pt>
                <c:pt idx="67">
                  <c:v>37117</c:v>
                </c:pt>
                <c:pt idx="68">
                  <c:v>37118</c:v>
                </c:pt>
                <c:pt idx="69">
                  <c:v>37152</c:v>
                </c:pt>
                <c:pt idx="70">
                  <c:v>37145</c:v>
                </c:pt>
                <c:pt idx="71">
                  <c:v>37145</c:v>
                </c:pt>
                <c:pt idx="72">
                  <c:v>37180</c:v>
                </c:pt>
                <c:pt idx="73">
                  <c:v>37182</c:v>
                </c:pt>
                <c:pt idx="74">
                  <c:v>37180</c:v>
                </c:pt>
                <c:pt idx="75">
                  <c:v>37201</c:v>
                </c:pt>
                <c:pt idx="76">
                  <c:v>37202</c:v>
                </c:pt>
                <c:pt idx="77">
                  <c:v>37201</c:v>
                </c:pt>
                <c:pt idx="78">
                  <c:v>37229</c:v>
                </c:pt>
                <c:pt idx="79">
                  <c:v>37230</c:v>
                </c:pt>
                <c:pt idx="80">
                  <c:v>37229</c:v>
                </c:pt>
                <c:pt idx="81">
                  <c:v>37271</c:v>
                </c:pt>
                <c:pt idx="82">
                  <c:v>37272</c:v>
                </c:pt>
                <c:pt idx="83">
                  <c:v>37271</c:v>
                </c:pt>
                <c:pt idx="84">
                  <c:v>37306</c:v>
                </c:pt>
                <c:pt idx="85">
                  <c:v>37301</c:v>
                </c:pt>
                <c:pt idx="86">
                  <c:v>37306</c:v>
                </c:pt>
                <c:pt idx="87">
                  <c:v>37334</c:v>
                </c:pt>
                <c:pt idx="88">
                  <c:v>37336</c:v>
                </c:pt>
                <c:pt idx="89">
                  <c:v>37336</c:v>
                </c:pt>
                <c:pt idx="90">
                  <c:v>37362</c:v>
                </c:pt>
                <c:pt idx="91">
                  <c:v>37363</c:v>
                </c:pt>
                <c:pt idx="92">
                  <c:v>37362</c:v>
                </c:pt>
                <c:pt idx="93">
                  <c:v>37392</c:v>
                </c:pt>
                <c:pt idx="94">
                  <c:v>37392</c:v>
                </c:pt>
                <c:pt idx="95">
                  <c:v>37392</c:v>
                </c:pt>
                <c:pt idx="96">
                  <c:v>37419</c:v>
                </c:pt>
                <c:pt idx="97">
                  <c:v>37420</c:v>
                </c:pt>
                <c:pt idx="98">
                  <c:v>37419</c:v>
                </c:pt>
                <c:pt idx="99">
                  <c:v>37454</c:v>
                </c:pt>
                <c:pt idx="100">
                  <c:v>37453</c:v>
                </c:pt>
                <c:pt idx="101">
                  <c:v>37454</c:v>
                </c:pt>
                <c:pt idx="102">
                  <c:v>37482</c:v>
                </c:pt>
                <c:pt idx="103">
                  <c:v>37481</c:v>
                </c:pt>
                <c:pt idx="104">
                  <c:v>37482</c:v>
                </c:pt>
                <c:pt idx="105">
                  <c:v>37517</c:v>
                </c:pt>
                <c:pt idx="106">
                  <c:v>37518</c:v>
                </c:pt>
                <c:pt idx="107">
                  <c:v>37517</c:v>
                </c:pt>
                <c:pt idx="108">
                  <c:v>37544</c:v>
                </c:pt>
                <c:pt idx="109">
                  <c:v>37546</c:v>
                </c:pt>
                <c:pt idx="110">
                  <c:v>37546</c:v>
                </c:pt>
                <c:pt idx="111">
                  <c:v>37575</c:v>
                </c:pt>
                <c:pt idx="112">
                  <c:v>37574</c:v>
                </c:pt>
                <c:pt idx="113">
                  <c:v>37574</c:v>
                </c:pt>
                <c:pt idx="114">
                  <c:v>37609</c:v>
                </c:pt>
                <c:pt idx="115">
                  <c:v>37608</c:v>
                </c:pt>
                <c:pt idx="116">
                  <c:v>37608</c:v>
                </c:pt>
                <c:pt idx="117">
                  <c:v>37635</c:v>
                </c:pt>
                <c:pt idx="118">
                  <c:v>37636</c:v>
                </c:pt>
                <c:pt idx="119">
                  <c:v>37636</c:v>
                </c:pt>
                <c:pt idx="120">
                  <c:v>37665</c:v>
                </c:pt>
                <c:pt idx="121">
                  <c:v>37663</c:v>
                </c:pt>
                <c:pt idx="122">
                  <c:v>37663</c:v>
                </c:pt>
                <c:pt idx="123">
                  <c:v>37692</c:v>
                </c:pt>
                <c:pt idx="124">
                  <c:v>37691</c:v>
                </c:pt>
                <c:pt idx="125">
                  <c:v>37692</c:v>
                </c:pt>
                <c:pt idx="126">
                  <c:v>37726</c:v>
                </c:pt>
                <c:pt idx="127">
                  <c:v>37727</c:v>
                </c:pt>
                <c:pt idx="128">
                  <c:v>37726</c:v>
                </c:pt>
                <c:pt idx="129">
                  <c:v>37761</c:v>
                </c:pt>
                <c:pt idx="130">
                  <c:v>37756</c:v>
                </c:pt>
                <c:pt idx="131">
                  <c:v>37761</c:v>
                </c:pt>
                <c:pt idx="132">
                  <c:v>37792</c:v>
                </c:pt>
                <c:pt idx="133">
                  <c:v>37790</c:v>
                </c:pt>
                <c:pt idx="134">
                  <c:v>37790</c:v>
                </c:pt>
                <c:pt idx="135">
                  <c:v>37819</c:v>
                </c:pt>
                <c:pt idx="136">
                  <c:v>37818</c:v>
                </c:pt>
                <c:pt idx="137">
                  <c:v>37819</c:v>
                </c:pt>
                <c:pt idx="138">
                  <c:v>37847</c:v>
                </c:pt>
                <c:pt idx="139">
                  <c:v>37846</c:v>
                </c:pt>
                <c:pt idx="140">
                  <c:v>37847</c:v>
                </c:pt>
                <c:pt idx="141">
                  <c:v>37888</c:v>
                </c:pt>
                <c:pt idx="142">
                  <c:v>37886</c:v>
                </c:pt>
                <c:pt idx="143">
                  <c:v>37886</c:v>
                </c:pt>
                <c:pt idx="144">
                  <c:v>37910</c:v>
                </c:pt>
                <c:pt idx="145">
                  <c:v>37910</c:v>
                </c:pt>
                <c:pt idx="146">
                  <c:v>37910</c:v>
                </c:pt>
                <c:pt idx="147">
                  <c:v>37943</c:v>
                </c:pt>
                <c:pt idx="148">
                  <c:v>37942</c:v>
                </c:pt>
                <c:pt idx="149">
                  <c:v>37942</c:v>
                </c:pt>
                <c:pt idx="150">
                  <c:v>37973</c:v>
                </c:pt>
                <c:pt idx="151">
                  <c:v>37971</c:v>
                </c:pt>
                <c:pt idx="152">
                  <c:v>37971</c:v>
                </c:pt>
                <c:pt idx="153">
                  <c:v>37999</c:v>
                </c:pt>
                <c:pt idx="156">
                  <c:v>38027</c:v>
                </c:pt>
                <c:pt idx="157">
                  <c:v>38026</c:v>
                </c:pt>
                <c:pt idx="158">
                  <c:v>38026</c:v>
                </c:pt>
                <c:pt idx="159">
                  <c:v>38063</c:v>
                </c:pt>
                <c:pt idx="160">
                  <c:v>38061</c:v>
                </c:pt>
                <c:pt idx="161">
                  <c:v>38063</c:v>
                </c:pt>
                <c:pt idx="162">
                  <c:v>38094</c:v>
                </c:pt>
                <c:pt idx="163">
                  <c:v>38093</c:v>
                </c:pt>
                <c:pt idx="164">
                  <c:v>38094</c:v>
                </c:pt>
                <c:pt idx="165">
                  <c:v>38118</c:v>
                </c:pt>
                <c:pt idx="166">
                  <c:v>38117</c:v>
                </c:pt>
                <c:pt idx="167">
                  <c:v>38118</c:v>
                </c:pt>
                <c:pt idx="168">
                  <c:v>38153</c:v>
                </c:pt>
                <c:pt idx="169">
                  <c:v>38160</c:v>
                </c:pt>
                <c:pt idx="170">
                  <c:v>38155</c:v>
                </c:pt>
                <c:pt idx="171">
                  <c:v>38181</c:v>
                </c:pt>
                <c:pt idx="172">
                  <c:v>38182</c:v>
                </c:pt>
                <c:pt idx="173">
                  <c:v>38182</c:v>
                </c:pt>
                <c:pt idx="174">
                  <c:v>38217</c:v>
                </c:pt>
                <c:pt idx="175">
                  <c:v>38218</c:v>
                </c:pt>
                <c:pt idx="176">
                  <c:v>38218</c:v>
                </c:pt>
                <c:pt idx="177">
                  <c:v>38244</c:v>
                </c:pt>
                <c:pt idx="178">
                  <c:v>38246</c:v>
                </c:pt>
                <c:pt idx="179">
                  <c:v>38246</c:v>
                </c:pt>
                <c:pt idx="180">
                  <c:v>38273</c:v>
                </c:pt>
                <c:pt idx="181">
                  <c:v>38274</c:v>
                </c:pt>
                <c:pt idx="182">
                  <c:v>38273</c:v>
                </c:pt>
                <c:pt idx="183">
                  <c:v>38307</c:v>
                </c:pt>
                <c:pt idx="184">
                  <c:v>38309</c:v>
                </c:pt>
                <c:pt idx="185">
                  <c:v>38307</c:v>
                </c:pt>
                <c:pt idx="186">
                  <c:v>38337</c:v>
                </c:pt>
                <c:pt idx="187">
                  <c:v>38337</c:v>
                </c:pt>
                <c:pt idx="188">
                  <c:v>38337</c:v>
                </c:pt>
                <c:pt idx="189">
                  <c:v>38363</c:v>
                </c:pt>
                <c:pt idx="190">
                  <c:v>38364</c:v>
                </c:pt>
                <c:pt idx="191">
                  <c:v>38363</c:v>
                </c:pt>
                <c:pt idx="192">
                  <c:v>38399</c:v>
                </c:pt>
                <c:pt idx="193">
                  <c:v>38398</c:v>
                </c:pt>
                <c:pt idx="194">
                  <c:v>38398</c:v>
                </c:pt>
                <c:pt idx="195">
                  <c:v>38428</c:v>
                </c:pt>
                <c:pt idx="196">
                  <c:v>38427</c:v>
                </c:pt>
                <c:pt idx="197">
                  <c:v>38427</c:v>
                </c:pt>
                <c:pt idx="198">
                  <c:v>38469</c:v>
                </c:pt>
                <c:pt idx="199">
                  <c:v>38470</c:v>
                </c:pt>
                <c:pt idx="200">
                  <c:v>38469</c:v>
                </c:pt>
                <c:pt idx="201">
                  <c:v>38490</c:v>
                </c:pt>
                <c:pt idx="202">
                  <c:v>38488</c:v>
                </c:pt>
                <c:pt idx="203">
                  <c:v>38488</c:v>
                </c:pt>
                <c:pt idx="204">
                  <c:v>38518</c:v>
                </c:pt>
                <c:pt idx="205">
                  <c:v>38525</c:v>
                </c:pt>
                <c:pt idx="206">
                  <c:v>38525</c:v>
                </c:pt>
                <c:pt idx="207">
                  <c:v>38547</c:v>
                </c:pt>
                <c:pt idx="208">
                  <c:v>38546</c:v>
                </c:pt>
                <c:pt idx="209">
                  <c:v>38546</c:v>
                </c:pt>
                <c:pt idx="210">
                  <c:v>38587</c:v>
                </c:pt>
                <c:pt idx="211">
                  <c:v>38587</c:v>
                </c:pt>
                <c:pt idx="212">
                  <c:v>38587</c:v>
                </c:pt>
                <c:pt idx="213">
                  <c:v>38608</c:v>
                </c:pt>
                <c:pt idx="214">
                  <c:v>38609</c:v>
                </c:pt>
                <c:pt idx="215">
                  <c:v>38609</c:v>
                </c:pt>
                <c:pt idx="216">
                  <c:v>38636</c:v>
                </c:pt>
                <c:pt idx="217">
                  <c:v>38642</c:v>
                </c:pt>
                <c:pt idx="218">
                  <c:v>38637</c:v>
                </c:pt>
                <c:pt idx="219">
                  <c:v>38671</c:v>
                </c:pt>
                <c:pt idx="220">
                  <c:v>38670</c:v>
                </c:pt>
                <c:pt idx="221">
                  <c:v>38670</c:v>
                </c:pt>
                <c:pt idx="222">
                  <c:v>38707</c:v>
                </c:pt>
                <c:pt idx="223">
                  <c:v>38706</c:v>
                </c:pt>
                <c:pt idx="224">
                  <c:v>38706</c:v>
                </c:pt>
                <c:pt idx="225">
                  <c:v>38734</c:v>
                </c:pt>
                <c:pt idx="226">
                  <c:v>38740</c:v>
                </c:pt>
                <c:pt idx="227">
                  <c:v>38737</c:v>
                </c:pt>
                <c:pt idx="228">
                  <c:v>38762</c:v>
                </c:pt>
                <c:pt idx="229">
                  <c:v>38763</c:v>
                </c:pt>
                <c:pt idx="230">
                  <c:v>38763</c:v>
                </c:pt>
                <c:pt idx="231">
                  <c:v>38789</c:v>
                </c:pt>
                <c:pt idx="232">
                  <c:v>38792</c:v>
                </c:pt>
                <c:pt idx="233">
                  <c:v>38792</c:v>
                </c:pt>
                <c:pt idx="234">
                  <c:v>38825</c:v>
                </c:pt>
                <c:pt idx="235">
                  <c:v>38826</c:v>
                </c:pt>
                <c:pt idx="236">
                  <c:v>38826</c:v>
                </c:pt>
                <c:pt idx="237">
                  <c:v>38852</c:v>
                </c:pt>
                <c:pt idx="238">
                  <c:v>38853</c:v>
                </c:pt>
                <c:pt idx="239">
                  <c:v>38853</c:v>
                </c:pt>
                <c:pt idx="240">
                  <c:v>38883</c:v>
                </c:pt>
                <c:pt idx="241">
                  <c:v>38884</c:v>
                </c:pt>
                <c:pt idx="242">
                  <c:v>38884</c:v>
                </c:pt>
                <c:pt idx="243">
                  <c:v>38916</c:v>
                </c:pt>
                <c:pt idx="244">
                  <c:v>38915</c:v>
                </c:pt>
                <c:pt idx="245">
                  <c:v>38915</c:v>
                </c:pt>
                <c:pt idx="246">
                  <c:v>38953</c:v>
                </c:pt>
                <c:pt idx="247">
                  <c:v>38952</c:v>
                </c:pt>
                <c:pt idx="248">
                  <c:v>38952</c:v>
                </c:pt>
                <c:pt idx="249">
                  <c:v>38972</c:v>
                </c:pt>
                <c:pt idx="250">
                  <c:v>38975</c:v>
                </c:pt>
                <c:pt idx="251">
                  <c:v>38975</c:v>
                </c:pt>
                <c:pt idx="252">
                  <c:v>39008</c:v>
                </c:pt>
                <c:pt idx="253">
                  <c:v>39006</c:v>
                </c:pt>
                <c:pt idx="254">
                  <c:v>39006</c:v>
                </c:pt>
                <c:pt idx="255">
                  <c:v>39035</c:v>
                </c:pt>
                <c:pt idx="256">
                  <c:v>39041</c:v>
                </c:pt>
                <c:pt idx="257">
                  <c:v>39041</c:v>
                </c:pt>
                <c:pt idx="258">
                  <c:v>39063</c:v>
                </c:pt>
                <c:pt idx="259">
                  <c:v>39062</c:v>
                </c:pt>
                <c:pt idx="260">
                  <c:v>39062</c:v>
                </c:pt>
                <c:pt idx="261">
                  <c:v>39100</c:v>
                </c:pt>
                <c:pt idx="262">
                  <c:v>39100</c:v>
                </c:pt>
                <c:pt idx="263">
                  <c:v>39100</c:v>
                </c:pt>
                <c:pt idx="264">
                  <c:v>39134</c:v>
                </c:pt>
                <c:pt idx="265">
                  <c:v>39135</c:v>
                </c:pt>
                <c:pt idx="266">
                  <c:v>39135</c:v>
                </c:pt>
                <c:pt idx="267">
                  <c:v>39154</c:v>
                </c:pt>
                <c:pt idx="268">
                  <c:v>39153</c:v>
                </c:pt>
                <c:pt idx="269">
                  <c:v>39153</c:v>
                </c:pt>
                <c:pt idx="270">
                  <c:v>39190</c:v>
                </c:pt>
                <c:pt idx="271">
                  <c:v>39191</c:v>
                </c:pt>
                <c:pt idx="272">
                  <c:v>39191</c:v>
                </c:pt>
                <c:pt idx="273">
                  <c:v>39217</c:v>
                </c:pt>
                <c:pt idx="274">
                  <c:v>39216</c:v>
                </c:pt>
                <c:pt idx="275">
                  <c:v>39216</c:v>
                </c:pt>
                <c:pt idx="276">
                  <c:v>39246</c:v>
                </c:pt>
                <c:pt idx="277">
                  <c:v>39248</c:v>
                </c:pt>
                <c:pt idx="278">
                  <c:v>39248</c:v>
                </c:pt>
                <c:pt idx="279">
                  <c:v>39280</c:v>
                </c:pt>
                <c:pt idx="280">
                  <c:v>39279</c:v>
                </c:pt>
                <c:pt idx="281">
                  <c:v>39279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39336</c:v>
                </c:pt>
                <c:pt idx="286">
                  <c:v>39335</c:v>
                </c:pt>
                <c:pt idx="287">
                  <c:v>39335</c:v>
                </c:pt>
                <c:pt idx="288">
                  <c:v>39370</c:v>
                </c:pt>
                <c:pt idx="289">
                  <c:v>39370</c:v>
                </c:pt>
                <c:pt idx="290">
                  <c:v>39370</c:v>
                </c:pt>
                <c:pt idx="291">
                  <c:v>39400</c:v>
                </c:pt>
                <c:pt idx="292">
                  <c:v>39400</c:v>
                </c:pt>
                <c:pt idx="293">
                  <c:v>39400</c:v>
                </c:pt>
                <c:pt idx="294">
                  <c:v>39427</c:v>
                </c:pt>
                <c:pt idx="295">
                  <c:v>39434</c:v>
                </c:pt>
                <c:pt idx="296">
                  <c:v>39434</c:v>
                </c:pt>
                <c:pt idx="297">
                  <c:v>39462</c:v>
                </c:pt>
                <c:pt idx="298">
                  <c:v>39463</c:v>
                </c:pt>
                <c:pt idx="299">
                  <c:v>39463</c:v>
                </c:pt>
                <c:pt idx="300">
                  <c:v>39490</c:v>
                </c:pt>
                <c:pt idx="301">
                  <c:v>39493</c:v>
                </c:pt>
                <c:pt idx="302">
                  <c:v>39493</c:v>
                </c:pt>
                <c:pt idx="303">
                  <c:v>39517</c:v>
                </c:pt>
                <c:pt idx="304">
                  <c:v>39517</c:v>
                </c:pt>
                <c:pt idx="305">
                  <c:v>39517</c:v>
                </c:pt>
                <c:pt idx="306">
                  <c:v>39553</c:v>
                </c:pt>
                <c:pt idx="307">
                  <c:v>39552</c:v>
                </c:pt>
                <c:pt idx="308">
                  <c:v>39552</c:v>
                </c:pt>
                <c:pt idx="309">
                  <c:v>39582</c:v>
                </c:pt>
                <c:pt idx="310">
                  <c:v>39583</c:v>
                </c:pt>
                <c:pt idx="311">
                  <c:v>39583</c:v>
                </c:pt>
                <c:pt idx="312">
                  <c:v>39616</c:v>
                </c:pt>
                <c:pt idx="313">
                  <c:v>39617</c:v>
                </c:pt>
                <c:pt idx="314">
                  <c:v>39617</c:v>
                </c:pt>
                <c:pt idx="315">
                  <c:v>39644</c:v>
                </c:pt>
                <c:pt idx="316">
                  <c:v>39645</c:v>
                </c:pt>
                <c:pt idx="317">
                  <c:v>39645</c:v>
                </c:pt>
                <c:pt idx="318">
                  <c:v>39672</c:v>
                </c:pt>
                <c:pt idx="319">
                  <c:v>39672</c:v>
                </c:pt>
                <c:pt idx="320">
                  <c:v>39672</c:v>
                </c:pt>
                <c:pt idx="321">
                  <c:v>39709</c:v>
                </c:pt>
                <c:pt idx="322">
                  <c:v>39709</c:v>
                </c:pt>
                <c:pt idx="323">
                  <c:v>39709</c:v>
                </c:pt>
                <c:pt idx="324">
                  <c:v>39737</c:v>
                </c:pt>
                <c:pt idx="325">
                  <c:v>39735</c:v>
                </c:pt>
                <c:pt idx="326">
                  <c:v>39735</c:v>
                </c:pt>
                <c:pt idx="327">
                  <c:v>39763</c:v>
                </c:pt>
                <c:pt idx="328">
                  <c:v>39769</c:v>
                </c:pt>
                <c:pt idx="329">
                  <c:v>39769</c:v>
                </c:pt>
                <c:pt idx="330">
                  <c:v>39797</c:v>
                </c:pt>
                <c:pt idx="331">
                  <c:v>39797</c:v>
                </c:pt>
                <c:pt idx="332">
                  <c:v>39797</c:v>
                </c:pt>
                <c:pt idx="333">
                  <c:v>39825</c:v>
                </c:pt>
                <c:pt idx="334">
                  <c:v>39826</c:v>
                </c:pt>
                <c:pt idx="335">
                  <c:v>39826</c:v>
                </c:pt>
                <c:pt idx="336">
                  <c:v>39854</c:v>
                </c:pt>
                <c:pt idx="337">
                  <c:v>39855</c:v>
                </c:pt>
                <c:pt idx="338">
                  <c:v>39855</c:v>
                </c:pt>
                <c:pt idx="339">
                  <c:v>39890</c:v>
                </c:pt>
                <c:pt idx="340">
                  <c:v>39888</c:v>
                </c:pt>
                <c:pt idx="341">
                  <c:v>39888</c:v>
                </c:pt>
                <c:pt idx="342">
                  <c:v>39920</c:v>
                </c:pt>
                <c:pt idx="343">
                  <c:v>39916</c:v>
                </c:pt>
                <c:pt idx="344">
                  <c:v>39916</c:v>
                </c:pt>
                <c:pt idx="345">
                  <c:v>39945</c:v>
                </c:pt>
                <c:pt idx="346">
                  <c:v>39946</c:v>
                </c:pt>
                <c:pt idx="347">
                  <c:v>39946</c:v>
                </c:pt>
                <c:pt idx="348">
                  <c:v>39980</c:v>
                </c:pt>
                <c:pt idx="349">
                  <c:v>39983</c:v>
                </c:pt>
                <c:pt idx="350">
                  <c:v>39983</c:v>
                </c:pt>
                <c:pt idx="351">
                  <c:v>40007</c:v>
                </c:pt>
                <c:pt idx="352">
                  <c:v>40007</c:v>
                </c:pt>
                <c:pt idx="353">
                  <c:v>40007</c:v>
                </c:pt>
                <c:pt idx="354">
                  <c:v>40043</c:v>
                </c:pt>
                <c:pt idx="355">
                  <c:v>40042</c:v>
                </c:pt>
                <c:pt idx="356">
                  <c:v>40042</c:v>
                </c:pt>
                <c:pt idx="357">
                  <c:v>40070</c:v>
                </c:pt>
                <c:pt idx="358">
                  <c:v>40071</c:v>
                </c:pt>
                <c:pt idx="359">
                  <c:v>40071</c:v>
                </c:pt>
                <c:pt idx="360">
                  <c:v>40099</c:v>
                </c:pt>
                <c:pt idx="361">
                  <c:v>40100</c:v>
                </c:pt>
                <c:pt idx="362">
                  <c:v>40100</c:v>
                </c:pt>
                <c:pt idx="363">
                  <c:v>40133</c:v>
                </c:pt>
                <c:pt idx="364">
                  <c:v>40133</c:v>
                </c:pt>
                <c:pt idx="365">
                  <c:v>40133</c:v>
                </c:pt>
                <c:pt idx="366">
                  <c:v>40161</c:v>
                </c:pt>
                <c:pt idx="367">
                  <c:v>40161</c:v>
                </c:pt>
                <c:pt idx="368">
                  <c:v>40161</c:v>
                </c:pt>
                <c:pt idx="369">
                  <c:v>40197</c:v>
                </c:pt>
                <c:pt idx="370">
                  <c:v>40197</c:v>
                </c:pt>
                <c:pt idx="371">
                  <c:v>40197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40254</c:v>
                </c:pt>
                <c:pt idx="376">
                  <c:v>40255</c:v>
                </c:pt>
                <c:pt idx="377">
                  <c:v>40255</c:v>
                </c:pt>
                <c:pt idx="378">
                  <c:v>40280</c:v>
                </c:pt>
                <c:pt idx="379">
                  <c:v>40281</c:v>
                </c:pt>
                <c:pt idx="380">
                  <c:v>40281</c:v>
                </c:pt>
                <c:pt idx="381">
                  <c:v>40315</c:v>
                </c:pt>
                <c:pt idx="382">
                  <c:v>40317</c:v>
                </c:pt>
                <c:pt idx="383">
                  <c:v>40317</c:v>
                </c:pt>
                <c:pt idx="384">
                  <c:v>40344</c:v>
                </c:pt>
                <c:pt idx="385">
                  <c:v>40345</c:v>
                </c:pt>
                <c:pt idx="386">
                  <c:v>40345</c:v>
                </c:pt>
                <c:pt idx="387">
                  <c:v>40374</c:v>
                </c:pt>
                <c:pt idx="388">
                  <c:v>40374</c:v>
                </c:pt>
                <c:pt idx="389">
                  <c:v>40374</c:v>
                </c:pt>
                <c:pt idx="390">
                  <c:v>40407</c:v>
                </c:pt>
                <c:pt idx="391">
                  <c:v>40409</c:v>
                </c:pt>
                <c:pt idx="392">
                  <c:v>40409</c:v>
                </c:pt>
                <c:pt idx="393">
                  <c:v>40409</c:v>
                </c:pt>
                <c:pt idx="394">
                  <c:v>40436</c:v>
                </c:pt>
                <c:pt idx="395">
                  <c:v>40434</c:v>
                </c:pt>
                <c:pt idx="396">
                  <c:v>40434</c:v>
                </c:pt>
                <c:pt idx="397">
                  <c:v>40464</c:v>
                </c:pt>
                <c:pt idx="398">
                  <c:v>40463</c:v>
                </c:pt>
                <c:pt idx="399">
                  <c:v>40463</c:v>
                </c:pt>
                <c:pt idx="400">
                  <c:v>40498</c:v>
                </c:pt>
                <c:pt idx="401">
                  <c:v>40500</c:v>
                </c:pt>
                <c:pt idx="402">
                  <c:v>40500</c:v>
                </c:pt>
                <c:pt idx="403">
                  <c:v>40520</c:v>
                </c:pt>
                <c:pt idx="404">
                  <c:v>40521</c:v>
                </c:pt>
                <c:pt idx="405">
                  <c:v>40521</c:v>
                </c:pt>
                <c:pt idx="406">
                  <c:v>40562</c:v>
                </c:pt>
                <c:pt idx="407">
                  <c:v>40563</c:v>
                </c:pt>
                <c:pt idx="408">
                  <c:v>40563</c:v>
                </c:pt>
                <c:pt idx="409">
                  <c:v>40591</c:v>
                </c:pt>
                <c:pt idx="410">
                  <c:v>40598</c:v>
                </c:pt>
                <c:pt idx="411">
                  <c:v>40598</c:v>
                </c:pt>
                <c:pt idx="412">
                  <c:v>40619</c:v>
                </c:pt>
                <c:pt idx="413">
                  <c:v>40617</c:v>
                </c:pt>
                <c:pt idx="414">
                  <c:v>40617</c:v>
                </c:pt>
                <c:pt idx="415">
                  <c:v>40617</c:v>
                </c:pt>
                <c:pt idx="416">
                  <c:v>40646</c:v>
                </c:pt>
                <c:pt idx="417">
                  <c:v>40647</c:v>
                </c:pt>
                <c:pt idx="418">
                  <c:v>40647</c:v>
                </c:pt>
                <c:pt idx="419">
                  <c:v>40681</c:v>
                </c:pt>
                <c:pt idx="420">
                  <c:v>40681</c:v>
                </c:pt>
                <c:pt idx="421">
                  <c:v>40682</c:v>
                </c:pt>
                <c:pt idx="422">
                  <c:v>40682</c:v>
                </c:pt>
                <c:pt idx="423">
                  <c:v>40709</c:v>
                </c:pt>
                <c:pt idx="424">
                  <c:v>40709</c:v>
                </c:pt>
                <c:pt idx="425">
                  <c:v>40709</c:v>
                </c:pt>
                <c:pt idx="426">
                  <c:v>40709</c:v>
                </c:pt>
                <c:pt idx="427">
                  <c:v>40735</c:v>
                </c:pt>
                <c:pt idx="428">
                  <c:v>40736</c:v>
                </c:pt>
                <c:pt idx="429">
                  <c:v>40736</c:v>
                </c:pt>
                <c:pt idx="430">
                  <c:v>40736</c:v>
                </c:pt>
                <c:pt idx="431">
                  <c:v>40771</c:v>
                </c:pt>
                <c:pt idx="432">
                  <c:v>40772</c:v>
                </c:pt>
                <c:pt idx="433">
                  <c:v>40772</c:v>
                </c:pt>
                <c:pt idx="434">
                  <c:v>40799</c:v>
                </c:pt>
                <c:pt idx="435">
                  <c:v>40798</c:v>
                </c:pt>
                <c:pt idx="436">
                  <c:v>40798</c:v>
                </c:pt>
                <c:pt idx="437">
                  <c:v>40798</c:v>
                </c:pt>
                <c:pt idx="438">
                  <c:v>40827</c:v>
                </c:pt>
                <c:pt idx="439">
                  <c:v>40827</c:v>
                </c:pt>
                <c:pt idx="440">
                  <c:v>40829</c:v>
                </c:pt>
                <c:pt idx="441">
                  <c:v>40829</c:v>
                </c:pt>
                <c:pt idx="442">
                  <c:v>40862</c:v>
                </c:pt>
                <c:pt idx="443">
                  <c:v>40865</c:v>
                </c:pt>
                <c:pt idx="444">
                  <c:v>40865</c:v>
                </c:pt>
                <c:pt idx="445">
                  <c:v>40891</c:v>
                </c:pt>
                <c:pt idx="446">
                  <c:v>40891</c:v>
                </c:pt>
                <c:pt idx="447">
                  <c:v>40891</c:v>
                </c:pt>
                <c:pt idx="448">
                  <c:v>40919</c:v>
                </c:pt>
                <c:pt idx="449">
                  <c:v>40919</c:v>
                </c:pt>
                <c:pt idx="450">
                  <c:v>40919</c:v>
                </c:pt>
                <c:pt idx="451">
                  <c:v>40962</c:v>
                </c:pt>
                <c:pt idx="452">
                  <c:v>40960</c:v>
                </c:pt>
                <c:pt idx="453">
                  <c:v>40960</c:v>
                </c:pt>
                <c:pt idx="454">
                  <c:v>40980</c:v>
                </c:pt>
                <c:pt idx="455">
                  <c:v>40982</c:v>
                </c:pt>
                <c:pt idx="456">
                  <c:v>40982</c:v>
                </c:pt>
                <c:pt idx="457">
                  <c:v>41015</c:v>
                </c:pt>
                <c:pt idx="458">
                  <c:v>41016</c:v>
                </c:pt>
                <c:pt idx="459">
                  <c:v>41016</c:v>
                </c:pt>
                <c:pt idx="460">
                  <c:v>41016</c:v>
                </c:pt>
                <c:pt idx="461">
                  <c:v>41045</c:v>
                </c:pt>
                <c:pt idx="462">
                  <c:v>41051</c:v>
                </c:pt>
                <c:pt idx="463">
                  <c:v>41051</c:v>
                </c:pt>
                <c:pt idx="464">
                  <c:v>41051</c:v>
                </c:pt>
                <c:pt idx="465">
                  <c:v>41073</c:v>
                </c:pt>
                <c:pt idx="466">
                  <c:v>41080</c:v>
                </c:pt>
                <c:pt idx="467">
                  <c:v>41080</c:v>
                </c:pt>
                <c:pt idx="468">
                  <c:v>41107</c:v>
                </c:pt>
                <c:pt idx="469">
                  <c:v>41106</c:v>
                </c:pt>
                <c:pt idx="470">
                  <c:v>41106</c:v>
                </c:pt>
                <c:pt idx="471">
                  <c:v>41135</c:v>
                </c:pt>
                <c:pt idx="472">
                  <c:v>41137</c:v>
                </c:pt>
                <c:pt idx="473">
                  <c:v>41137</c:v>
                </c:pt>
                <c:pt idx="474">
                  <c:v>41164</c:v>
                </c:pt>
                <c:pt idx="475">
                  <c:v>41163</c:v>
                </c:pt>
                <c:pt idx="476">
                  <c:v>41163</c:v>
                </c:pt>
                <c:pt idx="477">
                  <c:v>41199</c:v>
                </c:pt>
                <c:pt idx="478">
                  <c:v>41199</c:v>
                </c:pt>
                <c:pt idx="479">
                  <c:v>41199</c:v>
                </c:pt>
                <c:pt idx="480">
                  <c:v>41225</c:v>
                </c:pt>
                <c:pt idx="481">
                  <c:v>41225</c:v>
                </c:pt>
                <c:pt idx="482">
                  <c:v>41225</c:v>
                </c:pt>
                <c:pt idx="483">
                  <c:v>41254</c:v>
                </c:pt>
                <c:pt idx="484">
                  <c:v>41255</c:v>
                </c:pt>
                <c:pt idx="485">
                  <c:v>41255</c:v>
                </c:pt>
                <c:pt idx="486">
                  <c:v>41288</c:v>
                </c:pt>
                <c:pt idx="487">
                  <c:v>41297</c:v>
                </c:pt>
                <c:pt idx="488">
                  <c:v>41297</c:v>
                </c:pt>
                <c:pt idx="489">
                  <c:v>41318</c:v>
                </c:pt>
                <c:pt idx="490">
                  <c:v>41319</c:v>
                </c:pt>
                <c:pt idx="491">
                  <c:v>41319</c:v>
                </c:pt>
                <c:pt idx="492">
                  <c:v>41344</c:v>
                </c:pt>
                <c:pt idx="493">
                  <c:v>41346</c:v>
                </c:pt>
                <c:pt idx="494">
                  <c:v>41346</c:v>
                </c:pt>
                <c:pt idx="495">
                  <c:v>41346</c:v>
                </c:pt>
                <c:pt idx="496">
                  <c:v>41379</c:v>
                </c:pt>
                <c:pt idx="497">
                  <c:v>41380</c:v>
                </c:pt>
                <c:pt idx="498">
                  <c:v>41380</c:v>
                </c:pt>
                <c:pt idx="499">
                  <c:v>41408</c:v>
                </c:pt>
                <c:pt idx="500">
                  <c:v>41408</c:v>
                </c:pt>
                <c:pt idx="501">
                  <c:v>41407</c:v>
                </c:pt>
                <c:pt idx="502">
                  <c:v>41407</c:v>
                </c:pt>
                <c:pt idx="503">
                  <c:v>41436</c:v>
                </c:pt>
                <c:pt idx="504">
                  <c:v>41437</c:v>
                </c:pt>
                <c:pt idx="505">
                  <c:v>41437</c:v>
                </c:pt>
                <c:pt idx="506">
                  <c:v>41470</c:v>
                </c:pt>
                <c:pt idx="507">
                  <c:v>41470</c:v>
                </c:pt>
                <c:pt idx="508">
                  <c:v>41470</c:v>
                </c:pt>
                <c:pt idx="509">
                  <c:v>41498</c:v>
                </c:pt>
                <c:pt idx="510">
                  <c:v>41498</c:v>
                </c:pt>
                <c:pt idx="511">
                  <c:v>41498</c:v>
                </c:pt>
                <c:pt idx="512">
                  <c:v>41535</c:v>
                </c:pt>
                <c:pt idx="513">
                  <c:v>41535</c:v>
                </c:pt>
                <c:pt idx="514">
                  <c:v>41535</c:v>
                </c:pt>
                <c:pt idx="515">
                  <c:v>41569</c:v>
                </c:pt>
                <c:pt idx="516">
                  <c:v>406810</c:v>
                </c:pt>
                <c:pt idx="517">
                  <c:v>406810</c:v>
                </c:pt>
                <c:pt idx="518">
                  <c:v>41599</c:v>
                </c:pt>
                <c:pt idx="519">
                  <c:v>41599</c:v>
                </c:pt>
                <c:pt idx="520">
                  <c:v>41599</c:v>
                </c:pt>
                <c:pt idx="521">
                  <c:v>41624</c:v>
                </c:pt>
                <c:pt idx="522">
                  <c:v>41627</c:v>
                </c:pt>
                <c:pt idx="523">
                  <c:v>41627</c:v>
                </c:pt>
                <c:pt idx="524">
                  <c:v>41654</c:v>
                </c:pt>
                <c:pt idx="525">
                  <c:v>41655</c:v>
                </c:pt>
                <c:pt idx="526">
                  <c:v>41655</c:v>
                </c:pt>
                <c:pt idx="527">
                  <c:v>41688</c:v>
                </c:pt>
                <c:pt idx="528">
                  <c:v>41690</c:v>
                </c:pt>
                <c:pt idx="529">
                  <c:v>41690</c:v>
                </c:pt>
                <c:pt idx="530">
                  <c:v>41719</c:v>
                </c:pt>
                <c:pt idx="531">
                  <c:v>41718</c:v>
                </c:pt>
                <c:pt idx="532">
                  <c:v>41718</c:v>
                </c:pt>
                <c:pt idx="533">
                  <c:v>41747</c:v>
                </c:pt>
                <c:pt idx="534">
                  <c:v>41750</c:v>
                </c:pt>
                <c:pt idx="535">
                  <c:v>41750</c:v>
                </c:pt>
                <c:pt idx="536">
                  <c:v>41772</c:v>
                </c:pt>
                <c:pt idx="537">
                  <c:v>41406</c:v>
                </c:pt>
                <c:pt idx="538">
                  <c:v>41406</c:v>
                </c:pt>
                <c:pt idx="539">
                  <c:v>41808</c:v>
                </c:pt>
                <c:pt idx="540">
                  <c:v>41807</c:v>
                </c:pt>
                <c:pt idx="541">
                  <c:v>41807</c:v>
                </c:pt>
                <c:pt idx="542">
                  <c:v>41834</c:v>
                </c:pt>
                <c:pt idx="543">
                  <c:v>41837</c:v>
                </c:pt>
                <c:pt idx="544">
                  <c:v>41837</c:v>
                </c:pt>
                <c:pt idx="545">
                  <c:v>41862</c:v>
                </c:pt>
                <c:pt idx="546">
                  <c:v>41862</c:v>
                </c:pt>
                <c:pt idx="547">
                  <c:v>41862</c:v>
                </c:pt>
                <c:pt idx="548">
                  <c:v>41898</c:v>
                </c:pt>
                <c:pt idx="549">
                  <c:v>41897</c:v>
                </c:pt>
                <c:pt idx="550">
                  <c:v>41897</c:v>
                </c:pt>
                <c:pt idx="551">
                  <c:v>41929</c:v>
                </c:pt>
                <c:pt idx="552">
                  <c:v>41928</c:v>
                </c:pt>
                <c:pt idx="553">
                  <c:v>41928</c:v>
                </c:pt>
                <c:pt idx="554">
                  <c:v>41953</c:v>
                </c:pt>
                <c:pt idx="555">
                  <c:v>41955</c:v>
                </c:pt>
                <c:pt idx="556">
                  <c:v>41955</c:v>
                </c:pt>
                <c:pt idx="557">
                  <c:v>41988</c:v>
                </c:pt>
                <c:pt idx="558">
                  <c:v>41992</c:v>
                </c:pt>
                <c:pt idx="559">
                  <c:v>41992</c:v>
                </c:pt>
                <c:pt idx="560">
                  <c:v>42014</c:v>
                </c:pt>
                <c:pt idx="561">
                  <c:v>42009</c:v>
                </c:pt>
                <c:pt idx="562">
                  <c:v>42009</c:v>
                </c:pt>
                <c:pt idx="563">
                  <c:v>42036</c:v>
                </c:pt>
                <c:pt idx="564">
                  <c:v>42036</c:v>
                </c:pt>
                <c:pt idx="565">
                  <c:v>42036</c:v>
                </c:pt>
                <c:pt idx="566">
                  <c:v>42064</c:v>
                </c:pt>
                <c:pt idx="567">
                  <c:v>42064</c:v>
                </c:pt>
                <c:pt idx="568">
                  <c:v>42064</c:v>
                </c:pt>
                <c:pt idx="569">
                  <c:v>42095</c:v>
                </c:pt>
                <c:pt idx="570">
                  <c:v>42095</c:v>
                </c:pt>
                <c:pt idx="571">
                  <c:v>42095</c:v>
                </c:pt>
                <c:pt idx="572">
                  <c:v>42125</c:v>
                </c:pt>
                <c:pt idx="573">
                  <c:v>42125</c:v>
                </c:pt>
                <c:pt idx="574">
                  <c:v>42125</c:v>
                </c:pt>
                <c:pt idx="575">
                  <c:v>42156</c:v>
                </c:pt>
                <c:pt idx="576">
                  <c:v>42156</c:v>
                </c:pt>
                <c:pt idx="577">
                  <c:v>42156</c:v>
                </c:pt>
                <c:pt idx="578">
                  <c:v>42186</c:v>
                </c:pt>
                <c:pt idx="579">
                  <c:v>42186</c:v>
                </c:pt>
                <c:pt idx="580">
                  <c:v>42186</c:v>
                </c:pt>
                <c:pt idx="581">
                  <c:v>42217</c:v>
                </c:pt>
                <c:pt idx="582">
                  <c:v>42217</c:v>
                </c:pt>
                <c:pt idx="583">
                  <c:v>42217</c:v>
                </c:pt>
                <c:pt idx="584">
                  <c:v>42248</c:v>
                </c:pt>
                <c:pt idx="585">
                  <c:v>42248</c:v>
                </c:pt>
                <c:pt idx="586">
                  <c:v>42248</c:v>
                </c:pt>
                <c:pt idx="587">
                  <c:v>42278</c:v>
                </c:pt>
                <c:pt idx="588">
                  <c:v>42278</c:v>
                </c:pt>
                <c:pt idx="589">
                  <c:v>42278</c:v>
                </c:pt>
                <c:pt idx="590">
                  <c:v>42309</c:v>
                </c:pt>
                <c:pt idx="591">
                  <c:v>42309</c:v>
                </c:pt>
                <c:pt idx="592">
                  <c:v>42309</c:v>
                </c:pt>
                <c:pt idx="593">
                  <c:v>42339</c:v>
                </c:pt>
                <c:pt idx="594">
                  <c:v>42339</c:v>
                </c:pt>
                <c:pt idx="595">
                  <c:v>42339</c:v>
                </c:pt>
                <c:pt idx="596">
                  <c:v>42379</c:v>
                </c:pt>
                <c:pt idx="597">
                  <c:v>42374</c:v>
                </c:pt>
                <c:pt idx="598">
                  <c:v>42374</c:v>
                </c:pt>
                <c:pt idx="599">
                  <c:v>42401</c:v>
                </c:pt>
                <c:pt idx="600">
                  <c:v>42401</c:v>
                </c:pt>
                <c:pt idx="601">
                  <c:v>42401</c:v>
                </c:pt>
                <c:pt idx="602">
                  <c:v>42430</c:v>
                </c:pt>
                <c:pt idx="603">
                  <c:v>42430</c:v>
                </c:pt>
                <c:pt idx="604">
                  <c:v>42430</c:v>
                </c:pt>
                <c:pt idx="605">
                  <c:v>42461</c:v>
                </c:pt>
                <c:pt idx="606">
                  <c:v>42461</c:v>
                </c:pt>
                <c:pt idx="607">
                  <c:v>42461</c:v>
                </c:pt>
                <c:pt idx="608">
                  <c:v>42491</c:v>
                </c:pt>
                <c:pt idx="609">
                  <c:v>42491</c:v>
                </c:pt>
                <c:pt idx="610">
                  <c:v>42491</c:v>
                </c:pt>
                <c:pt idx="611">
                  <c:v>42522</c:v>
                </c:pt>
                <c:pt idx="612">
                  <c:v>42522</c:v>
                </c:pt>
                <c:pt idx="613">
                  <c:v>42522</c:v>
                </c:pt>
                <c:pt idx="614">
                  <c:v>42552</c:v>
                </c:pt>
                <c:pt idx="615">
                  <c:v>42552</c:v>
                </c:pt>
                <c:pt idx="616">
                  <c:v>42552</c:v>
                </c:pt>
                <c:pt idx="617">
                  <c:v>42583</c:v>
                </c:pt>
                <c:pt idx="618">
                  <c:v>42583</c:v>
                </c:pt>
                <c:pt idx="619">
                  <c:v>42583</c:v>
                </c:pt>
                <c:pt idx="620">
                  <c:v>42614</c:v>
                </c:pt>
                <c:pt idx="621">
                  <c:v>42614</c:v>
                </c:pt>
                <c:pt idx="622">
                  <c:v>42614</c:v>
                </c:pt>
                <c:pt idx="623">
                  <c:v>42644</c:v>
                </c:pt>
                <c:pt idx="624">
                  <c:v>42644</c:v>
                </c:pt>
                <c:pt idx="625">
                  <c:v>42644</c:v>
                </c:pt>
                <c:pt idx="626">
                  <c:v>42675</c:v>
                </c:pt>
                <c:pt idx="627">
                  <c:v>42675</c:v>
                </c:pt>
                <c:pt idx="628">
                  <c:v>42675</c:v>
                </c:pt>
                <c:pt idx="629">
                  <c:v>42705</c:v>
                </c:pt>
                <c:pt idx="630">
                  <c:v>42705</c:v>
                </c:pt>
                <c:pt idx="631">
                  <c:v>42705</c:v>
                </c:pt>
                <c:pt idx="632">
                  <c:v>42745</c:v>
                </c:pt>
                <c:pt idx="633">
                  <c:v>42740</c:v>
                </c:pt>
                <c:pt idx="634">
                  <c:v>42740</c:v>
                </c:pt>
                <c:pt idx="635">
                  <c:v>42767</c:v>
                </c:pt>
                <c:pt idx="636">
                  <c:v>42767</c:v>
                </c:pt>
                <c:pt idx="637">
                  <c:v>42767</c:v>
                </c:pt>
                <c:pt idx="638">
                  <c:v>42795</c:v>
                </c:pt>
                <c:pt idx="639">
                  <c:v>42795</c:v>
                </c:pt>
                <c:pt idx="640">
                  <c:v>42795</c:v>
                </c:pt>
                <c:pt idx="641">
                  <c:v>42826</c:v>
                </c:pt>
                <c:pt idx="642">
                  <c:v>42826</c:v>
                </c:pt>
                <c:pt idx="643">
                  <c:v>42826</c:v>
                </c:pt>
                <c:pt idx="644">
                  <c:v>42856</c:v>
                </c:pt>
                <c:pt idx="645">
                  <c:v>42856</c:v>
                </c:pt>
                <c:pt idx="646">
                  <c:v>42856</c:v>
                </c:pt>
                <c:pt idx="647">
                  <c:v>42887</c:v>
                </c:pt>
                <c:pt idx="648">
                  <c:v>42887</c:v>
                </c:pt>
                <c:pt idx="649">
                  <c:v>42887</c:v>
                </c:pt>
                <c:pt idx="650">
                  <c:v>42917</c:v>
                </c:pt>
                <c:pt idx="651">
                  <c:v>42917</c:v>
                </c:pt>
                <c:pt idx="652">
                  <c:v>42917</c:v>
                </c:pt>
                <c:pt idx="653">
                  <c:v>42948</c:v>
                </c:pt>
                <c:pt idx="654">
                  <c:v>42948</c:v>
                </c:pt>
                <c:pt idx="655">
                  <c:v>42948</c:v>
                </c:pt>
                <c:pt idx="656">
                  <c:v>42979</c:v>
                </c:pt>
                <c:pt idx="657">
                  <c:v>42979</c:v>
                </c:pt>
                <c:pt idx="658">
                  <c:v>42979</c:v>
                </c:pt>
                <c:pt idx="659">
                  <c:v>43009</c:v>
                </c:pt>
                <c:pt idx="660">
                  <c:v>43009</c:v>
                </c:pt>
                <c:pt idx="661">
                  <c:v>43009</c:v>
                </c:pt>
                <c:pt idx="662">
                  <c:v>43040</c:v>
                </c:pt>
                <c:pt idx="663">
                  <c:v>43040</c:v>
                </c:pt>
                <c:pt idx="664">
                  <c:v>43040</c:v>
                </c:pt>
                <c:pt idx="665">
                  <c:v>43070</c:v>
                </c:pt>
                <c:pt idx="666">
                  <c:v>43070</c:v>
                </c:pt>
                <c:pt idx="667">
                  <c:v>43070</c:v>
                </c:pt>
                <c:pt idx="668">
                  <c:v>43110</c:v>
                </c:pt>
                <c:pt idx="669">
                  <c:v>43105</c:v>
                </c:pt>
                <c:pt idx="670">
                  <c:v>43105</c:v>
                </c:pt>
                <c:pt idx="671">
                  <c:v>43132</c:v>
                </c:pt>
                <c:pt idx="672">
                  <c:v>43132</c:v>
                </c:pt>
                <c:pt idx="673">
                  <c:v>43132</c:v>
                </c:pt>
                <c:pt idx="674">
                  <c:v>43160</c:v>
                </c:pt>
                <c:pt idx="675">
                  <c:v>43160</c:v>
                </c:pt>
                <c:pt idx="676">
                  <c:v>43160</c:v>
                </c:pt>
                <c:pt idx="677">
                  <c:v>43191</c:v>
                </c:pt>
                <c:pt idx="678">
                  <c:v>43191</c:v>
                </c:pt>
                <c:pt idx="679">
                  <c:v>43191</c:v>
                </c:pt>
                <c:pt idx="680">
                  <c:v>43221</c:v>
                </c:pt>
                <c:pt idx="681">
                  <c:v>43221</c:v>
                </c:pt>
                <c:pt idx="682">
                  <c:v>43221</c:v>
                </c:pt>
                <c:pt idx="683">
                  <c:v>43252</c:v>
                </c:pt>
                <c:pt idx="684">
                  <c:v>43252</c:v>
                </c:pt>
                <c:pt idx="685">
                  <c:v>43252</c:v>
                </c:pt>
                <c:pt idx="686">
                  <c:v>43282</c:v>
                </c:pt>
                <c:pt idx="687">
                  <c:v>43282</c:v>
                </c:pt>
                <c:pt idx="688">
                  <c:v>43282</c:v>
                </c:pt>
                <c:pt idx="689">
                  <c:v>43313</c:v>
                </c:pt>
                <c:pt idx="690">
                  <c:v>43313</c:v>
                </c:pt>
                <c:pt idx="691">
                  <c:v>43313</c:v>
                </c:pt>
                <c:pt idx="692">
                  <c:v>43344</c:v>
                </c:pt>
                <c:pt idx="693">
                  <c:v>43344</c:v>
                </c:pt>
                <c:pt idx="694">
                  <c:v>43344</c:v>
                </c:pt>
                <c:pt idx="695">
                  <c:v>43374</c:v>
                </c:pt>
                <c:pt idx="696">
                  <c:v>43374</c:v>
                </c:pt>
                <c:pt idx="697">
                  <c:v>43374</c:v>
                </c:pt>
                <c:pt idx="698">
                  <c:v>43405</c:v>
                </c:pt>
                <c:pt idx="699">
                  <c:v>43405</c:v>
                </c:pt>
                <c:pt idx="700">
                  <c:v>43405</c:v>
                </c:pt>
                <c:pt idx="701">
                  <c:v>43435</c:v>
                </c:pt>
                <c:pt idx="702">
                  <c:v>43435</c:v>
                </c:pt>
                <c:pt idx="703">
                  <c:v>43435</c:v>
                </c:pt>
                <c:pt idx="704">
                  <c:v>43475</c:v>
                </c:pt>
                <c:pt idx="705">
                  <c:v>43470</c:v>
                </c:pt>
                <c:pt idx="706">
                  <c:v>43470</c:v>
                </c:pt>
                <c:pt idx="707">
                  <c:v>43497</c:v>
                </c:pt>
                <c:pt idx="708">
                  <c:v>43497</c:v>
                </c:pt>
                <c:pt idx="709">
                  <c:v>43497</c:v>
                </c:pt>
                <c:pt idx="710">
                  <c:v>43525</c:v>
                </c:pt>
                <c:pt idx="711">
                  <c:v>43525</c:v>
                </c:pt>
                <c:pt idx="712">
                  <c:v>43525</c:v>
                </c:pt>
                <c:pt idx="713">
                  <c:v>43556</c:v>
                </c:pt>
                <c:pt idx="714">
                  <c:v>43556</c:v>
                </c:pt>
                <c:pt idx="715">
                  <c:v>43556</c:v>
                </c:pt>
                <c:pt idx="716">
                  <c:v>43586</c:v>
                </c:pt>
                <c:pt idx="717">
                  <c:v>43586</c:v>
                </c:pt>
                <c:pt idx="718">
                  <c:v>43586</c:v>
                </c:pt>
                <c:pt idx="719">
                  <c:v>43617</c:v>
                </c:pt>
                <c:pt idx="720">
                  <c:v>43617</c:v>
                </c:pt>
                <c:pt idx="721">
                  <c:v>43617</c:v>
                </c:pt>
                <c:pt idx="722">
                  <c:v>43647</c:v>
                </c:pt>
                <c:pt idx="723">
                  <c:v>43647</c:v>
                </c:pt>
                <c:pt idx="724">
                  <c:v>43647</c:v>
                </c:pt>
                <c:pt idx="725">
                  <c:v>43678</c:v>
                </c:pt>
                <c:pt idx="726">
                  <c:v>43678</c:v>
                </c:pt>
                <c:pt idx="727">
                  <c:v>43678</c:v>
                </c:pt>
                <c:pt idx="728">
                  <c:v>43709</c:v>
                </c:pt>
                <c:pt idx="729">
                  <c:v>43709</c:v>
                </c:pt>
                <c:pt idx="730">
                  <c:v>43709</c:v>
                </c:pt>
                <c:pt idx="731">
                  <c:v>43739</c:v>
                </c:pt>
                <c:pt idx="732">
                  <c:v>43739</c:v>
                </c:pt>
                <c:pt idx="733">
                  <c:v>43739</c:v>
                </c:pt>
                <c:pt idx="734">
                  <c:v>43770</c:v>
                </c:pt>
                <c:pt idx="735">
                  <c:v>43770</c:v>
                </c:pt>
                <c:pt idx="736">
                  <c:v>43770</c:v>
                </c:pt>
                <c:pt idx="737">
                  <c:v>43800</c:v>
                </c:pt>
                <c:pt idx="738">
                  <c:v>43800</c:v>
                </c:pt>
                <c:pt idx="739">
                  <c:v>43800</c:v>
                </c:pt>
              </c:numCache>
            </c:numRef>
          </c:xVal>
          <c:yVal>
            <c:numRef>
              <c:f>'Zea update'!$AA$3:$AA$742</c:f>
              <c:numCache>
                <c:formatCode>General</c:formatCode>
                <c:ptCount val="740"/>
                <c:pt idx="2">
                  <c:v>-0.58640215451273248</c:v>
                </c:pt>
                <c:pt idx="5">
                  <c:v>-1.3809403844493415</c:v>
                </c:pt>
                <c:pt idx="8">
                  <c:v>-1.7956080309421969</c:v>
                </c:pt>
                <c:pt idx="11">
                  <c:v>-2.4083470358919392</c:v>
                </c:pt>
                <c:pt idx="14">
                  <c:v>-2.9889054220124418</c:v>
                </c:pt>
                <c:pt idx="17">
                  <c:v>-3.7015422440235581</c:v>
                </c:pt>
                <c:pt idx="20">
                  <c:v>-4.1728360036523418</c:v>
                </c:pt>
                <c:pt idx="23">
                  <c:v>-3.4344776118890126</c:v>
                </c:pt>
                <c:pt idx="26">
                  <c:v>-2.1967663957405899</c:v>
                </c:pt>
                <c:pt idx="29">
                  <c:v>-1.8946035885600607</c:v>
                </c:pt>
                <c:pt idx="32">
                  <c:v>-0.29723538991882115</c:v>
                </c:pt>
                <c:pt idx="35">
                  <c:v>-0.49200799360000069</c:v>
                </c:pt>
                <c:pt idx="38">
                  <c:v>-1.1526629445341983</c:v>
                </c:pt>
                <c:pt idx="41">
                  <c:v>-1.8607637276873004</c:v>
                </c:pt>
                <c:pt idx="44">
                  <c:v>-2.2697915879635264</c:v>
                </c:pt>
                <c:pt idx="47">
                  <c:v>-2.6301526451255466</c:v>
                </c:pt>
                <c:pt idx="50">
                  <c:v>-3.2097666138413303</c:v>
                </c:pt>
                <c:pt idx="53">
                  <c:v>-3.6855902833802658</c:v>
                </c:pt>
                <c:pt idx="56">
                  <c:v>-4.0069835712352093</c:v>
                </c:pt>
                <c:pt idx="59">
                  <c:v>-4.203511643296272</c:v>
                </c:pt>
                <c:pt idx="62">
                  <c:v>-3.7219186814841603</c:v>
                </c:pt>
                <c:pt idx="65">
                  <c:v>-3.8705939310278841</c:v>
                </c:pt>
                <c:pt idx="68">
                  <c:v>-4.189023940002234</c:v>
                </c:pt>
                <c:pt idx="71">
                  <c:v>-4.2158428375961368</c:v>
                </c:pt>
                <c:pt idx="74">
                  <c:v>-5.1971958232128594</c:v>
                </c:pt>
                <c:pt idx="77">
                  <c:v>-6.0981203494893919</c:v>
                </c:pt>
                <c:pt idx="80">
                  <c:v>-6.8094597038931628</c:v>
                </c:pt>
                <c:pt idx="83">
                  <c:v>-6.966760496435203</c:v>
                </c:pt>
                <c:pt idx="86">
                  <c:v>-7.7095192313738901</c:v>
                </c:pt>
                <c:pt idx="89">
                  <c:v>-8.0440674882764771</c:v>
                </c:pt>
                <c:pt idx="92">
                  <c:v>-8.956371508977945</c:v>
                </c:pt>
                <c:pt idx="110">
                  <c:v>-8.8122252154799714</c:v>
                </c:pt>
                <c:pt idx="113">
                  <c:v>-9.275371468463586</c:v>
                </c:pt>
                <c:pt idx="116">
                  <c:v>-9.3543077196662843</c:v>
                </c:pt>
                <c:pt idx="119">
                  <c:v>-9.4206980732607484</c:v>
                </c:pt>
                <c:pt idx="122">
                  <c:v>-9.6917271525652708</c:v>
                </c:pt>
                <c:pt idx="125">
                  <c:v>-9.8893588162483077</c:v>
                </c:pt>
                <c:pt idx="128">
                  <c:v>-9.4855174870682877</c:v>
                </c:pt>
                <c:pt idx="131">
                  <c:v>-9.0135829194685417</c:v>
                </c:pt>
                <c:pt idx="134">
                  <c:v>-6.3239696674132926</c:v>
                </c:pt>
                <c:pt idx="137">
                  <c:v>-4.142026839478314</c:v>
                </c:pt>
                <c:pt idx="140">
                  <c:v>-3.0373144772718401</c:v>
                </c:pt>
                <c:pt idx="143">
                  <c:v>-0.83702536643386383</c:v>
                </c:pt>
                <c:pt idx="146">
                  <c:v>-0.24490103540584651</c:v>
                </c:pt>
                <c:pt idx="149">
                  <c:v>-0.792202409231194</c:v>
                </c:pt>
                <c:pt idx="152">
                  <c:v>-0.40550349540199654</c:v>
                </c:pt>
                <c:pt idx="155">
                  <c:v>-0.20466523817452476</c:v>
                </c:pt>
                <c:pt idx="158">
                  <c:v>0.63601653715099671</c:v>
                </c:pt>
                <c:pt idx="161">
                  <c:v>1.1179988506746823</c:v>
                </c:pt>
                <c:pt idx="164">
                  <c:v>0.8203058074003029</c:v>
                </c:pt>
                <c:pt idx="167">
                  <c:v>0.3138793397640266</c:v>
                </c:pt>
                <c:pt idx="170">
                  <c:v>1.0764848355278618</c:v>
                </c:pt>
                <c:pt idx="173">
                  <c:v>1.4943996401555988</c:v>
                </c:pt>
                <c:pt idx="176">
                  <c:v>2.3516123131551714</c:v>
                </c:pt>
                <c:pt idx="179">
                  <c:v>2.4720349266393327</c:v>
                </c:pt>
                <c:pt idx="182">
                  <c:v>2.363456632095883</c:v>
                </c:pt>
                <c:pt idx="185">
                  <c:v>1.6598537474434103</c:v>
                </c:pt>
                <c:pt idx="188">
                  <c:v>1.1995218923264528</c:v>
                </c:pt>
                <c:pt idx="191">
                  <c:v>0.77553059766840393</c:v>
                </c:pt>
                <c:pt idx="194">
                  <c:v>0.42733927156562612</c:v>
                </c:pt>
                <c:pt idx="197">
                  <c:v>-0.25022996223908311</c:v>
                </c:pt>
                <c:pt idx="200">
                  <c:v>-0.62196570949011531</c:v>
                </c:pt>
                <c:pt idx="203">
                  <c:v>-0.95042778845177867</c:v>
                </c:pt>
                <c:pt idx="206">
                  <c:v>-0.51917221128985336</c:v>
                </c:pt>
                <c:pt idx="209">
                  <c:v>0.37715993094843936</c:v>
                </c:pt>
                <c:pt idx="212">
                  <c:v>2.1285333368266808</c:v>
                </c:pt>
                <c:pt idx="215">
                  <c:v>4.2174989256524062</c:v>
                </c:pt>
                <c:pt idx="218">
                  <c:v>5.0261789300246242</c:v>
                </c:pt>
                <c:pt idx="221">
                  <c:v>4.6118192363331039</c:v>
                </c:pt>
                <c:pt idx="224">
                  <c:v>4.9902481322546084</c:v>
                </c:pt>
                <c:pt idx="227">
                  <c:v>4.9114775409300568</c:v>
                </c:pt>
                <c:pt idx="230">
                  <c:v>5.0640389974875388</c:v>
                </c:pt>
                <c:pt idx="233">
                  <c:v>4.9423556944563298</c:v>
                </c:pt>
                <c:pt idx="236">
                  <c:v>4.4986077382331633</c:v>
                </c:pt>
                <c:pt idx="239">
                  <c:v>5.0128294143848482</c:v>
                </c:pt>
                <c:pt idx="242">
                  <c:v>7.4214608943022338</c:v>
                </c:pt>
                <c:pt idx="245">
                  <c:v>8.609236691934818</c:v>
                </c:pt>
                <c:pt idx="248">
                  <c:v>9.5696098424591902</c:v>
                </c:pt>
                <c:pt idx="251">
                  <c:v>10.903568487019244</c:v>
                </c:pt>
                <c:pt idx="254">
                  <c:v>11.662025266617231</c:v>
                </c:pt>
                <c:pt idx="257">
                  <c:v>12.161598502209767</c:v>
                </c:pt>
                <c:pt idx="260">
                  <c:v>12.526475534532256</c:v>
                </c:pt>
                <c:pt idx="263">
                  <c:v>13.532484562880956</c:v>
                </c:pt>
                <c:pt idx="266">
                  <c:v>13.374020240978517</c:v>
                </c:pt>
                <c:pt idx="269">
                  <c:v>12.745307166004402</c:v>
                </c:pt>
                <c:pt idx="272">
                  <c:v>12.752151820842473</c:v>
                </c:pt>
                <c:pt idx="275">
                  <c:v>14.87995907941035</c:v>
                </c:pt>
                <c:pt idx="278">
                  <c:v>18.809716427721789</c:v>
                </c:pt>
                <c:pt idx="281">
                  <c:v>19.862421358289616</c:v>
                </c:pt>
                <c:pt idx="284">
                  <c:v>21.946274157038708</c:v>
                </c:pt>
                <c:pt idx="287">
                  <c:v>23.238581153396261</c:v>
                </c:pt>
                <c:pt idx="290">
                  <c:v>23.539399814964138</c:v>
                </c:pt>
                <c:pt idx="293">
                  <c:v>23.368873146500203</c:v>
                </c:pt>
                <c:pt idx="296">
                  <c:v>23.769114785787082</c:v>
                </c:pt>
                <c:pt idx="299">
                  <c:v>23.638339032128076</c:v>
                </c:pt>
                <c:pt idx="302">
                  <c:v>23.347828567942589</c:v>
                </c:pt>
                <c:pt idx="305">
                  <c:v>22.754023192866139</c:v>
                </c:pt>
                <c:pt idx="308">
                  <c:v>22.407861447953746</c:v>
                </c:pt>
                <c:pt idx="311">
                  <c:v>22.323324689447144</c:v>
                </c:pt>
                <c:pt idx="314">
                  <c:v>22.511561449774387</c:v>
                </c:pt>
                <c:pt idx="317">
                  <c:v>22.666443994230825</c:v>
                </c:pt>
                <c:pt idx="320">
                  <c:v>23.207230247241807</c:v>
                </c:pt>
                <c:pt idx="323">
                  <c:v>25.033935748838996</c:v>
                </c:pt>
                <c:pt idx="326">
                  <c:v>25.809663615559124</c:v>
                </c:pt>
                <c:pt idx="329">
                  <c:v>25.320764103002357</c:v>
                </c:pt>
                <c:pt idx="332">
                  <c:v>24.778040937985576</c:v>
                </c:pt>
                <c:pt idx="335">
                  <c:v>24.536510911352831</c:v>
                </c:pt>
                <c:pt idx="338">
                  <c:v>24.072467143225815</c:v>
                </c:pt>
                <c:pt idx="341">
                  <c:v>23.9598762908224</c:v>
                </c:pt>
                <c:pt idx="344">
                  <c:v>23.103532115206711</c:v>
                </c:pt>
                <c:pt idx="347">
                  <c:v>23.438161899712114</c:v>
                </c:pt>
                <c:pt idx="350">
                  <c:v>24.649413582432945</c:v>
                </c:pt>
                <c:pt idx="353">
                  <c:v>25.695904576893334</c:v>
                </c:pt>
                <c:pt idx="356">
                  <c:v>26.05776602257545</c:v>
                </c:pt>
                <c:pt idx="359">
                  <c:v>27.085889352953561</c:v>
                </c:pt>
                <c:pt idx="362">
                  <c:v>27.189689687350327</c:v>
                </c:pt>
                <c:pt idx="365">
                  <c:v>26.951632154424679</c:v>
                </c:pt>
                <c:pt idx="368">
                  <c:v>26.437419990371438</c:v>
                </c:pt>
                <c:pt idx="371">
                  <c:v>26.702691282148237</c:v>
                </c:pt>
                <c:pt idx="374">
                  <c:v>27.87190751473052</c:v>
                </c:pt>
                <c:pt idx="377">
                  <c:v>28.387655260485062</c:v>
                </c:pt>
                <c:pt idx="380">
                  <c:v>27.728146649213794</c:v>
                </c:pt>
                <c:pt idx="383">
                  <c:v>27.716532258556242</c:v>
                </c:pt>
                <c:pt idx="386">
                  <c:v>28.209891558041338</c:v>
                </c:pt>
                <c:pt idx="389">
                  <c:v>28.70060079653944</c:v>
                </c:pt>
                <c:pt idx="393">
                  <c:v>29.291464064063302</c:v>
                </c:pt>
                <c:pt idx="396">
                  <c:v>29.995274758481177</c:v>
                </c:pt>
                <c:pt idx="399">
                  <c:v>30.005774669853032</c:v>
                </c:pt>
                <c:pt idx="402">
                  <c:v>29.546665498046625</c:v>
                </c:pt>
                <c:pt idx="405">
                  <c:v>29.112594833496658</c:v>
                </c:pt>
                <c:pt idx="408">
                  <c:v>28.706212737190128</c:v>
                </c:pt>
                <c:pt idx="411">
                  <c:v>28.424749032925764</c:v>
                </c:pt>
                <c:pt idx="415">
                  <c:v>27.798617482878637</c:v>
                </c:pt>
                <c:pt idx="418">
                  <c:v>27.034934060394445</c:v>
                </c:pt>
                <c:pt idx="422">
                  <c:v>26.458011401433421</c:v>
                </c:pt>
                <c:pt idx="426">
                  <c:v>26.506754434290023</c:v>
                </c:pt>
                <c:pt idx="429">
                  <c:v>25.915781883027257</c:v>
                </c:pt>
                <c:pt idx="433">
                  <c:v>27.245555258856125</c:v>
                </c:pt>
                <c:pt idx="437">
                  <c:v>27.984319343878337</c:v>
                </c:pt>
                <c:pt idx="441">
                  <c:v>27.490736533887652</c:v>
                </c:pt>
                <c:pt idx="444">
                  <c:v>27.491275871204941</c:v>
                </c:pt>
                <c:pt idx="447">
                  <c:v>27.083340290871551</c:v>
                </c:pt>
                <c:pt idx="450">
                  <c:v>26.82545299125011</c:v>
                </c:pt>
                <c:pt idx="453">
                  <c:v>26.398601458354374</c:v>
                </c:pt>
                <c:pt idx="456">
                  <c:v>25.64040092067086</c:v>
                </c:pt>
                <c:pt idx="460">
                  <c:v>25.039970393126922</c:v>
                </c:pt>
                <c:pt idx="464">
                  <c:v>24.99495609589189</c:v>
                </c:pt>
                <c:pt idx="467">
                  <c:v>25.620178774833349</c:v>
                </c:pt>
                <c:pt idx="470">
                  <c:v>26.324354994904603</c:v>
                </c:pt>
                <c:pt idx="473">
                  <c:v>27.579469756030875</c:v>
                </c:pt>
                <c:pt idx="476">
                  <c:v>29.819402008772663</c:v>
                </c:pt>
                <c:pt idx="479">
                  <c:v>30.207033013017977</c:v>
                </c:pt>
                <c:pt idx="482">
                  <c:v>30.723511810079277</c:v>
                </c:pt>
                <c:pt idx="485">
                  <c:v>30.261021525979118</c:v>
                </c:pt>
                <c:pt idx="488">
                  <c:v>29.984218273795332</c:v>
                </c:pt>
                <c:pt idx="491">
                  <c:v>30.517602632325396</c:v>
                </c:pt>
                <c:pt idx="495">
                  <c:v>31.973116832916531</c:v>
                </c:pt>
                <c:pt idx="498">
                  <c:v>30.957129328187701</c:v>
                </c:pt>
                <c:pt idx="502">
                  <c:v>30.014909469381358</c:v>
                </c:pt>
                <c:pt idx="505">
                  <c:v>30.491637351637724</c:v>
                </c:pt>
                <c:pt idx="508">
                  <c:v>30.398327977450034</c:v>
                </c:pt>
                <c:pt idx="511">
                  <c:v>30.018446491013457</c:v>
                </c:pt>
                <c:pt idx="514">
                  <c:v>29.489339156585032</c:v>
                </c:pt>
                <c:pt idx="517">
                  <c:v>28.712770954819241</c:v>
                </c:pt>
                <c:pt idx="520">
                  <c:v>27.937299330013587</c:v>
                </c:pt>
                <c:pt idx="523">
                  <c:v>27.61983134889142</c:v>
                </c:pt>
                <c:pt idx="526">
                  <c:v>27.123073034787009</c:v>
                </c:pt>
                <c:pt idx="529">
                  <c:v>26.855225161110997</c:v>
                </c:pt>
                <c:pt idx="532">
                  <c:v>26.771967742391222</c:v>
                </c:pt>
                <c:pt idx="535">
                  <c:v>26.254283084630881</c:v>
                </c:pt>
                <c:pt idx="538">
                  <c:v>25.469399174250725</c:v>
                </c:pt>
                <c:pt idx="541">
                  <c:v>25.168197084703909</c:v>
                </c:pt>
                <c:pt idx="544">
                  <c:v>24.724896897406133</c:v>
                </c:pt>
                <c:pt idx="547">
                  <c:v>24.311021525205341</c:v>
                </c:pt>
                <c:pt idx="550">
                  <c:v>23.766196587681634</c:v>
                </c:pt>
                <c:pt idx="553">
                  <c:v>23.030932784747634</c:v>
                </c:pt>
                <c:pt idx="556">
                  <c:v>22.381201984704244</c:v>
                </c:pt>
                <c:pt idx="559">
                  <c:v>21.88124532113277</c:v>
                </c:pt>
                <c:pt idx="562">
                  <c:v>21.690249216079629</c:v>
                </c:pt>
                <c:pt idx="568">
                  <c:v>23.016093191134676</c:v>
                </c:pt>
                <c:pt idx="571">
                  <c:v>22.423475774431704</c:v>
                </c:pt>
                <c:pt idx="574">
                  <c:v>22.219229364443585</c:v>
                </c:pt>
                <c:pt idx="577">
                  <c:v>21.898380271027666</c:v>
                </c:pt>
                <c:pt idx="580">
                  <c:v>21.849116738072109</c:v>
                </c:pt>
                <c:pt idx="583">
                  <c:v>22.576777981372942</c:v>
                </c:pt>
                <c:pt idx="586">
                  <c:v>23.256920889734545</c:v>
                </c:pt>
                <c:pt idx="589">
                  <c:v>23.458773480650141</c:v>
                </c:pt>
                <c:pt idx="592">
                  <c:v>22.680194887790766</c:v>
                </c:pt>
                <c:pt idx="595">
                  <c:v>22.07670308289978</c:v>
                </c:pt>
                <c:pt idx="598">
                  <c:v>21.677997025314202</c:v>
                </c:pt>
                <c:pt idx="601">
                  <c:v>21.48307151948724</c:v>
                </c:pt>
                <c:pt idx="604">
                  <c:v>20.749635344820131</c:v>
                </c:pt>
                <c:pt idx="607">
                  <c:v>20.188910041374452</c:v>
                </c:pt>
                <c:pt idx="610">
                  <c:v>20.838348794852248</c:v>
                </c:pt>
                <c:pt idx="613">
                  <c:v>22.706450076694569</c:v>
                </c:pt>
                <c:pt idx="616">
                  <c:v>23.536915410008156</c:v>
                </c:pt>
                <c:pt idx="619">
                  <c:v>23.707698320386566</c:v>
                </c:pt>
                <c:pt idx="622">
                  <c:v>25.410947532555102</c:v>
                </c:pt>
                <c:pt idx="625">
                  <c:v>25.558793708183998</c:v>
                </c:pt>
                <c:pt idx="628">
                  <c:v>24.753988649694705</c:v>
                </c:pt>
                <c:pt idx="631">
                  <c:v>24.175261207820125</c:v>
                </c:pt>
                <c:pt idx="640">
                  <c:v>23.471523992490035</c:v>
                </c:pt>
                <c:pt idx="643">
                  <c:v>23.370447198168048</c:v>
                </c:pt>
                <c:pt idx="646">
                  <c:v>24.82532172886577</c:v>
                </c:pt>
                <c:pt idx="649">
                  <c:v>24.714558504729251</c:v>
                </c:pt>
                <c:pt idx="652">
                  <c:v>24.104213093837416</c:v>
                </c:pt>
                <c:pt idx="658">
                  <c:v>23.561764073060669</c:v>
                </c:pt>
                <c:pt idx="661">
                  <c:v>22.772402473426624</c:v>
                </c:pt>
                <c:pt idx="667">
                  <c:v>22.231232792436703</c:v>
                </c:pt>
                <c:pt idx="670">
                  <c:v>22.678901385249464</c:v>
                </c:pt>
                <c:pt idx="673">
                  <c:v>21.883874137988048</c:v>
                </c:pt>
                <c:pt idx="676">
                  <c:v>21.786087074546469</c:v>
                </c:pt>
                <c:pt idx="679">
                  <c:v>21.168613913413747</c:v>
                </c:pt>
                <c:pt idx="682">
                  <c:v>21.891797467460691</c:v>
                </c:pt>
                <c:pt idx="685">
                  <c:v>21.857063579226935</c:v>
                </c:pt>
                <c:pt idx="688">
                  <c:v>22.89624406061975</c:v>
                </c:pt>
                <c:pt idx="691">
                  <c:v>22.362567655524092</c:v>
                </c:pt>
                <c:pt idx="694">
                  <c:v>22.590281186416231</c:v>
                </c:pt>
                <c:pt idx="697">
                  <c:v>22.079541516070087</c:v>
                </c:pt>
                <c:pt idx="698">
                  <c:v>21.806850427486811</c:v>
                </c:pt>
                <c:pt idx="712">
                  <c:v>20.793512983744979</c:v>
                </c:pt>
                <c:pt idx="715">
                  <c:v>19.946398330877102</c:v>
                </c:pt>
                <c:pt idx="718">
                  <c:v>19.842854238394811</c:v>
                </c:pt>
                <c:pt idx="721">
                  <c:v>19.557461133356625</c:v>
                </c:pt>
                <c:pt idx="724">
                  <c:v>19.239399173047719</c:v>
                </c:pt>
                <c:pt idx="727">
                  <c:v>18.904751486216753</c:v>
                </c:pt>
                <c:pt idx="730">
                  <c:v>18.357824776186121</c:v>
                </c:pt>
                <c:pt idx="733">
                  <c:v>17.549273079749693</c:v>
                </c:pt>
                <c:pt idx="739">
                  <c:v>16.716596690190272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08-5847-9321-21AE094BF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095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chl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update'!$B$3:$B$742</c:f>
              <c:numCache>
                <c:formatCode>[$-409]mmm\-yy;@</c:formatCode>
                <c:ptCount val="740"/>
                <c:pt idx="0">
                  <c:v>36445</c:v>
                </c:pt>
                <c:pt idx="1">
                  <c:v>36446</c:v>
                </c:pt>
                <c:pt idx="2">
                  <c:v>36445</c:v>
                </c:pt>
                <c:pt idx="3">
                  <c:v>36472</c:v>
                </c:pt>
                <c:pt idx="4">
                  <c:v>36473</c:v>
                </c:pt>
                <c:pt idx="5">
                  <c:v>36472</c:v>
                </c:pt>
                <c:pt idx="6">
                  <c:v>36501</c:v>
                </c:pt>
                <c:pt idx="7">
                  <c:v>36502</c:v>
                </c:pt>
                <c:pt idx="8">
                  <c:v>36501</c:v>
                </c:pt>
                <c:pt idx="9">
                  <c:v>36530</c:v>
                </c:pt>
                <c:pt idx="10">
                  <c:v>36531</c:v>
                </c:pt>
                <c:pt idx="11">
                  <c:v>36530</c:v>
                </c:pt>
                <c:pt idx="12">
                  <c:v>36579</c:v>
                </c:pt>
                <c:pt idx="13">
                  <c:v>36578</c:v>
                </c:pt>
                <c:pt idx="14">
                  <c:v>36579</c:v>
                </c:pt>
                <c:pt idx="15">
                  <c:v>36598</c:v>
                </c:pt>
                <c:pt idx="16">
                  <c:v>36599</c:v>
                </c:pt>
                <c:pt idx="17">
                  <c:v>36598</c:v>
                </c:pt>
                <c:pt idx="18">
                  <c:v>36627</c:v>
                </c:pt>
                <c:pt idx="19">
                  <c:v>36626</c:v>
                </c:pt>
                <c:pt idx="20">
                  <c:v>36627</c:v>
                </c:pt>
                <c:pt idx="21">
                  <c:v>36662</c:v>
                </c:pt>
                <c:pt idx="22">
                  <c:v>36663</c:v>
                </c:pt>
                <c:pt idx="23">
                  <c:v>36662</c:v>
                </c:pt>
                <c:pt idx="24">
                  <c:v>36690</c:v>
                </c:pt>
                <c:pt idx="25">
                  <c:v>36692</c:v>
                </c:pt>
                <c:pt idx="26">
                  <c:v>36690</c:v>
                </c:pt>
                <c:pt idx="27">
                  <c:v>36718</c:v>
                </c:pt>
                <c:pt idx="28">
                  <c:v>36719</c:v>
                </c:pt>
                <c:pt idx="29">
                  <c:v>36718</c:v>
                </c:pt>
                <c:pt idx="30">
                  <c:v>36753</c:v>
                </c:pt>
                <c:pt idx="31">
                  <c:v>36755</c:v>
                </c:pt>
                <c:pt idx="32">
                  <c:v>36753</c:v>
                </c:pt>
                <c:pt idx="33">
                  <c:v>36781</c:v>
                </c:pt>
                <c:pt idx="34">
                  <c:v>36783</c:v>
                </c:pt>
                <c:pt idx="35">
                  <c:v>36781</c:v>
                </c:pt>
                <c:pt idx="36">
                  <c:v>36817</c:v>
                </c:pt>
                <c:pt idx="37">
                  <c:v>36815</c:v>
                </c:pt>
                <c:pt idx="38">
                  <c:v>36817</c:v>
                </c:pt>
                <c:pt idx="39">
                  <c:v>36845</c:v>
                </c:pt>
                <c:pt idx="40">
                  <c:v>36846</c:v>
                </c:pt>
                <c:pt idx="41">
                  <c:v>36845</c:v>
                </c:pt>
                <c:pt idx="42">
                  <c:v>36871</c:v>
                </c:pt>
                <c:pt idx="43">
                  <c:v>36873</c:v>
                </c:pt>
                <c:pt idx="44">
                  <c:v>36871</c:v>
                </c:pt>
                <c:pt idx="45">
                  <c:v>36901</c:v>
                </c:pt>
                <c:pt idx="46">
                  <c:v>36902</c:v>
                </c:pt>
                <c:pt idx="47">
                  <c:v>36901</c:v>
                </c:pt>
                <c:pt idx="48">
                  <c:v>36928</c:v>
                </c:pt>
                <c:pt idx="49">
                  <c:v>36929</c:v>
                </c:pt>
                <c:pt idx="50">
                  <c:v>36928</c:v>
                </c:pt>
                <c:pt idx="51">
                  <c:v>36965</c:v>
                </c:pt>
                <c:pt idx="52">
                  <c:v>36962</c:v>
                </c:pt>
                <c:pt idx="53">
                  <c:v>36964</c:v>
                </c:pt>
                <c:pt idx="54">
                  <c:v>37000</c:v>
                </c:pt>
                <c:pt idx="55">
                  <c:v>36998</c:v>
                </c:pt>
                <c:pt idx="56">
                  <c:v>36997</c:v>
                </c:pt>
                <c:pt idx="57">
                  <c:v>37026</c:v>
                </c:pt>
                <c:pt idx="58">
                  <c:v>37025</c:v>
                </c:pt>
                <c:pt idx="59">
                  <c:v>37026</c:v>
                </c:pt>
                <c:pt idx="60">
                  <c:v>37055</c:v>
                </c:pt>
                <c:pt idx="61">
                  <c:v>37054</c:v>
                </c:pt>
                <c:pt idx="62">
                  <c:v>37055</c:v>
                </c:pt>
                <c:pt idx="63">
                  <c:v>37092</c:v>
                </c:pt>
                <c:pt idx="64">
                  <c:v>37090</c:v>
                </c:pt>
                <c:pt idx="65">
                  <c:v>37092</c:v>
                </c:pt>
                <c:pt idx="66">
                  <c:v>37118</c:v>
                </c:pt>
                <c:pt idx="67">
                  <c:v>37117</c:v>
                </c:pt>
                <c:pt idx="68">
                  <c:v>37118</c:v>
                </c:pt>
                <c:pt idx="69">
                  <c:v>37152</c:v>
                </c:pt>
                <c:pt idx="70">
                  <c:v>37145</c:v>
                </c:pt>
                <c:pt idx="71">
                  <c:v>37145</c:v>
                </c:pt>
                <c:pt idx="72">
                  <c:v>37180</c:v>
                </c:pt>
                <c:pt idx="73">
                  <c:v>37182</c:v>
                </c:pt>
                <c:pt idx="74">
                  <c:v>37180</c:v>
                </c:pt>
                <c:pt idx="75">
                  <c:v>37201</c:v>
                </c:pt>
                <c:pt idx="76">
                  <c:v>37202</c:v>
                </c:pt>
                <c:pt idx="77">
                  <c:v>37201</c:v>
                </c:pt>
                <c:pt idx="78">
                  <c:v>37229</c:v>
                </c:pt>
                <c:pt idx="79">
                  <c:v>37230</c:v>
                </c:pt>
                <c:pt idx="80">
                  <c:v>37229</c:v>
                </c:pt>
                <c:pt idx="81">
                  <c:v>37271</c:v>
                </c:pt>
                <c:pt idx="82">
                  <c:v>37272</c:v>
                </c:pt>
                <c:pt idx="83">
                  <c:v>37271</c:v>
                </c:pt>
                <c:pt idx="84">
                  <c:v>37306</c:v>
                </c:pt>
                <c:pt idx="85">
                  <c:v>37301</c:v>
                </c:pt>
                <c:pt idx="86">
                  <c:v>37306</c:v>
                </c:pt>
                <c:pt idx="87">
                  <c:v>37334</c:v>
                </c:pt>
                <c:pt idx="88">
                  <c:v>37336</c:v>
                </c:pt>
                <c:pt idx="89">
                  <c:v>37336</c:v>
                </c:pt>
                <c:pt idx="90">
                  <c:v>37362</c:v>
                </c:pt>
                <c:pt idx="91">
                  <c:v>37363</c:v>
                </c:pt>
                <c:pt idx="92">
                  <c:v>37362</c:v>
                </c:pt>
                <c:pt idx="93">
                  <c:v>37392</c:v>
                </c:pt>
                <c:pt idx="94">
                  <c:v>37392</c:v>
                </c:pt>
                <c:pt idx="95">
                  <c:v>37392</c:v>
                </c:pt>
                <c:pt idx="96">
                  <c:v>37419</c:v>
                </c:pt>
                <c:pt idx="97">
                  <c:v>37420</c:v>
                </c:pt>
                <c:pt idx="98">
                  <c:v>37419</c:v>
                </c:pt>
                <c:pt idx="99">
                  <c:v>37454</c:v>
                </c:pt>
                <c:pt idx="100">
                  <c:v>37453</c:v>
                </c:pt>
                <c:pt idx="101">
                  <c:v>37454</c:v>
                </c:pt>
                <c:pt idx="102">
                  <c:v>37482</c:v>
                </c:pt>
                <c:pt idx="103">
                  <c:v>37481</c:v>
                </c:pt>
                <c:pt idx="104">
                  <c:v>37482</c:v>
                </c:pt>
                <c:pt idx="105">
                  <c:v>37517</c:v>
                </c:pt>
                <c:pt idx="106">
                  <c:v>37518</c:v>
                </c:pt>
                <c:pt idx="107">
                  <c:v>37517</c:v>
                </c:pt>
                <c:pt idx="108">
                  <c:v>37544</c:v>
                </c:pt>
                <c:pt idx="109">
                  <c:v>37546</c:v>
                </c:pt>
                <c:pt idx="110">
                  <c:v>37546</c:v>
                </c:pt>
                <c:pt idx="111">
                  <c:v>37575</c:v>
                </c:pt>
                <c:pt idx="112">
                  <c:v>37574</c:v>
                </c:pt>
                <c:pt idx="113">
                  <c:v>37574</c:v>
                </c:pt>
                <c:pt idx="114">
                  <c:v>37609</c:v>
                </c:pt>
                <c:pt idx="115">
                  <c:v>37608</c:v>
                </c:pt>
                <c:pt idx="116">
                  <c:v>37608</c:v>
                </c:pt>
                <c:pt idx="117">
                  <c:v>37635</c:v>
                </c:pt>
                <c:pt idx="118">
                  <c:v>37636</c:v>
                </c:pt>
                <c:pt idx="119">
                  <c:v>37636</c:v>
                </c:pt>
                <c:pt idx="120">
                  <c:v>37665</c:v>
                </c:pt>
                <c:pt idx="121">
                  <c:v>37663</c:v>
                </c:pt>
                <c:pt idx="122">
                  <c:v>37663</c:v>
                </c:pt>
                <c:pt idx="123">
                  <c:v>37692</c:v>
                </c:pt>
                <c:pt idx="124">
                  <c:v>37691</c:v>
                </c:pt>
                <c:pt idx="125">
                  <c:v>37692</c:v>
                </c:pt>
                <c:pt idx="126">
                  <c:v>37726</c:v>
                </c:pt>
                <c:pt idx="127">
                  <c:v>37727</c:v>
                </c:pt>
                <c:pt idx="128">
                  <c:v>37726</c:v>
                </c:pt>
                <c:pt idx="129">
                  <c:v>37761</c:v>
                </c:pt>
                <c:pt idx="130">
                  <c:v>37756</c:v>
                </c:pt>
                <c:pt idx="131">
                  <c:v>37761</c:v>
                </c:pt>
                <c:pt idx="132">
                  <c:v>37792</c:v>
                </c:pt>
                <c:pt idx="133">
                  <c:v>37790</c:v>
                </c:pt>
                <c:pt idx="134">
                  <c:v>37790</c:v>
                </c:pt>
                <c:pt idx="135">
                  <c:v>37819</c:v>
                </c:pt>
                <c:pt idx="136">
                  <c:v>37818</c:v>
                </c:pt>
                <c:pt idx="137">
                  <c:v>37819</c:v>
                </c:pt>
                <c:pt idx="138">
                  <c:v>37847</c:v>
                </c:pt>
                <c:pt idx="139">
                  <c:v>37846</c:v>
                </c:pt>
                <c:pt idx="140">
                  <c:v>37847</c:v>
                </c:pt>
                <c:pt idx="141">
                  <c:v>37888</c:v>
                </c:pt>
                <c:pt idx="142">
                  <c:v>37886</c:v>
                </c:pt>
                <c:pt idx="143">
                  <c:v>37886</c:v>
                </c:pt>
                <c:pt idx="144">
                  <c:v>37910</c:v>
                </c:pt>
                <c:pt idx="145">
                  <c:v>37910</c:v>
                </c:pt>
                <c:pt idx="146">
                  <c:v>37910</c:v>
                </c:pt>
                <c:pt idx="147">
                  <c:v>37943</c:v>
                </c:pt>
                <c:pt idx="148">
                  <c:v>37942</c:v>
                </c:pt>
                <c:pt idx="149">
                  <c:v>37942</c:v>
                </c:pt>
                <c:pt idx="150">
                  <c:v>37973</c:v>
                </c:pt>
                <c:pt idx="151">
                  <c:v>37971</c:v>
                </c:pt>
                <c:pt idx="152">
                  <c:v>37971</c:v>
                </c:pt>
                <c:pt idx="153">
                  <c:v>37999</c:v>
                </c:pt>
                <c:pt idx="156">
                  <c:v>38027</c:v>
                </c:pt>
                <c:pt idx="157">
                  <c:v>38026</c:v>
                </c:pt>
                <c:pt idx="158">
                  <c:v>38026</c:v>
                </c:pt>
                <c:pt idx="159">
                  <c:v>38063</c:v>
                </c:pt>
                <c:pt idx="160">
                  <c:v>38061</c:v>
                </c:pt>
                <c:pt idx="161">
                  <c:v>38063</c:v>
                </c:pt>
                <c:pt idx="162">
                  <c:v>38094</c:v>
                </c:pt>
                <c:pt idx="163">
                  <c:v>38093</c:v>
                </c:pt>
                <c:pt idx="164">
                  <c:v>38094</c:v>
                </c:pt>
                <c:pt idx="165">
                  <c:v>38118</c:v>
                </c:pt>
                <c:pt idx="166">
                  <c:v>38117</c:v>
                </c:pt>
                <c:pt idx="167">
                  <c:v>38118</c:v>
                </c:pt>
                <c:pt idx="168">
                  <c:v>38153</c:v>
                </c:pt>
                <c:pt idx="169">
                  <c:v>38160</c:v>
                </c:pt>
                <c:pt idx="170">
                  <c:v>38155</c:v>
                </c:pt>
                <c:pt idx="171">
                  <c:v>38181</c:v>
                </c:pt>
                <c:pt idx="172">
                  <c:v>38182</c:v>
                </c:pt>
                <c:pt idx="173">
                  <c:v>38182</c:v>
                </c:pt>
                <c:pt idx="174">
                  <c:v>38217</c:v>
                </c:pt>
                <c:pt idx="175">
                  <c:v>38218</c:v>
                </c:pt>
                <c:pt idx="176">
                  <c:v>38218</c:v>
                </c:pt>
                <c:pt idx="177">
                  <c:v>38244</c:v>
                </c:pt>
                <c:pt idx="178">
                  <c:v>38246</c:v>
                </c:pt>
                <c:pt idx="179">
                  <c:v>38246</c:v>
                </c:pt>
                <c:pt idx="180">
                  <c:v>38273</c:v>
                </c:pt>
                <c:pt idx="181">
                  <c:v>38274</c:v>
                </c:pt>
                <c:pt idx="182">
                  <c:v>38273</c:v>
                </c:pt>
                <c:pt idx="183">
                  <c:v>38307</c:v>
                </c:pt>
                <c:pt idx="184">
                  <c:v>38309</c:v>
                </c:pt>
                <c:pt idx="185">
                  <c:v>38307</c:v>
                </c:pt>
                <c:pt idx="186">
                  <c:v>38337</c:v>
                </c:pt>
                <c:pt idx="187">
                  <c:v>38337</c:v>
                </c:pt>
                <c:pt idx="188">
                  <c:v>38337</c:v>
                </c:pt>
                <c:pt idx="189">
                  <c:v>38363</c:v>
                </c:pt>
                <c:pt idx="190">
                  <c:v>38364</c:v>
                </c:pt>
                <c:pt idx="191">
                  <c:v>38363</c:v>
                </c:pt>
                <c:pt idx="192">
                  <c:v>38399</c:v>
                </c:pt>
                <c:pt idx="193">
                  <c:v>38398</c:v>
                </c:pt>
                <c:pt idx="194">
                  <c:v>38398</c:v>
                </c:pt>
                <c:pt idx="195">
                  <c:v>38428</c:v>
                </c:pt>
                <c:pt idx="196">
                  <c:v>38427</c:v>
                </c:pt>
                <c:pt idx="197">
                  <c:v>38427</c:v>
                </c:pt>
                <c:pt idx="198">
                  <c:v>38469</c:v>
                </c:pt>
                <c:pt idx="199">
                  <c:v>38470</c:v>
                </c:pt>
                <c:pt idx="200">
                  <c:v>38469</c:v>
                </c:pt>
                <c:pt idx="201">
                  <c:v>38490</c:v>
                </c:pt>
                <c:pt idx="202">
                  <c:v>38488</c:v>
                </c:pt>
                <c:pt idx="203">
                  <c:v>38488</c:v>
                </c:pt>
                <c:pt idx="204">
                  <c:v>38518</c:v>
                </c:pt>
                <c:pt idx="205">
                  <c:v>38525</c:v>
                </c:pt>
                <c:pt idx="206">
                  <c:v>38525</c:v>
                </c:pt>
                <c:pt idx="207">
                  <c:v>38547</c:v>
                </c:pt>
                <c:pt idx="208">
                  <c:v>38546</c:v>
                </c:pt>
                <c:pt idx="209">
                  <c:v>38546</c:v>
                </c:pt>
                <c:pt idx="210">
                  <c:v>38587</c:v>
                </c:pt>
                <c:pt idx="211">
                  <c:v>38587</c:v>
                </c:pt>
                <c:pt idx="212">
                  <c:v>38587</c:v>
                </c:pt>
                <c:pt idx="213">
                  <c:v>38608</c:v>
                </c:pt>
                <c:pt idx="214">
                  <c:v>38609</c:v>
                </c:pt>
                <c:pt idx="215">
                  <c:v>38609</c:v>
                </c:pt>
                <c:pt idx="216">
                  <c:v>38636</c:v>
                </c:pt>
                <c:pt idx="217">
                  <c:v>38642</c:v>
                </c:pt>
                <c:pt idx="218">
                  <c:v>38637</c:v>
                </c:pt>
                <c:pt idx="219">
                  <c:v>38671</c:v>
                </c:pt>
                <c:pt idx="220">
                  <c:v>38670</c:v>
                </c:pt>
                <c:pt idx="221">
                  <c:v>38670</c:v>
                </c:pt>
                <c:pt idx="222">
                  <c:v>38707</c:v>
                </c:pt>
                <c:pt idx="223">
                  <c:v>38706</c:v>
                </c:pt>
                <c:pt idx="224">
                  <c:v>38706</c:v>
                </c:pt>
                <c:pt idx="225">
                  <c:v>38734</c:v>
                </c:pt>
                <c:pt idx="226">
                  <c:v>38740</c:v>
                </c:pt>
                <c:pt idx="227">
                  <c:v>38737</c:v>
                </c:pt>
                <c:pt idx="228">
                  <c:v>38762</c:v>
                </c:pt>
                <c:pt idx="229">
                  <c:v>38763</c:v>
                </c:pt>
                <c:pt idx="230">
                  <c:v>38763</c:v>
                </c:pt>
                <c:pt idx="231">
                  <c:v>38789</c:v>
                </c:pt>
                <c:pt idx="232">
                  <c:v>38792</c:v>
                </c:pt>
                <c:pt idx="233">
                  <c:v>38792</c:v>
                </c:pt>
                <c:pt idx="234">
                  <c:v>38825</c:v>
                </c:pt>
                <c:pt idx="235">
                  <c:v>38826</c:v>
                </c:pt>
                <c:pt idx="236">
                  <c:v>38826</c:v>
                </c:pt>
                <c:pt idx="237">
                  <c:v>38852</c:v>
                </c:pt>
                <c:pt idx="238">
                  <c:v>38853</c:v>
                </c:pt>
                <c:pt idx="239">
                  <c:v>38853</c:v>
                </c:pt>
                <c:pt idx="240">
                  <c:v>38883</c:v>
                </c:pt>
                <c:pt idx="241">
                  <c:v>38884</c:v>
                </c:pt>
                <c:pt idx="242">
                  <c:v>38884</c:v>
                </c:pt>
                <c:pt idx="243">
                  <c:v>38916</c:v>
                </c:pt>
                <c:pt idx="244">
                  <c:v>38915</c:v>
                </c:pt>
                <c:pt idx="245">
                  <c:v>38915</c:v>
                </c:pt>
                <c:pt idx="246">
                  <c:v>38953</c:v>
                </c:pt>
                <c:pt idx="247">
                  <c:v>38952</c:v>
                </c:pt>
                <c:pt idx="248">
                  <c:v>38952</c:v>
                </c:pt>
                <c:pt idx="249">
                  <c:v>38972</c:v>
                </c:pt>
                <c:pt idx="250">
                  <c:v>38975</c:v>
                </c:pt>
                <c:pt idx="251">
                  <c:v>38975</c:v>
                </c:pt>
                <c:pt idx="252">
                  <c:v>39008</c:v>
                </c:pt>
                <c:pt idx="253">
                  <c:v>39006</c:v>
                </c:pt>
                <c:pt idx="254">
                  <c:v>39006</c:v>
                </c:pt>
                <c:pt idx="255">
                  <c:v>39035</c:v>
                </c:pt>
                <c:pt idx="256">
                  <c:v>39041</c:v>
                </c:pt>
                <c:pt idx="257">
                  <c:v>39041</c:v>
                </c:pt>
                <c:pt idx="258">
                  <c:v>39063</c:v>
                </c:pt>
                <c:pt idx="259">
                  <c:v>39062</c:v>
                </c:pt>
                <c:pt idx="260">
                  <c:v>39062</c:v>
                </c:pt>
                <c:pt idx="261">
                  <c:v>39100</c:v>
                </c:pt>
                <c:pt idx="262">
                  <c:v>39100</c:v>
                </c:pt>
                <c:pt idx="263">
                  <c:v>39100</c:v>
                </c:pt>
                <c:pt idx="264">
                  <c:v>39134</c:v>
                </c:pt>
                <c:pt idx="265">
                  <c:v>39135</c:v>
                </c:pt>
                <c:pt idx="266">
                  <c:v>39135</c:v>
                </c:pt>
                <c:pt idx="267">
                  <c:v>39154</c:v>
                </c:pt>
                <c:pt idx="268">
                  <c:v>39153</c:v>
                </c:pt>
                <c:pt idx="269">
                  <c:v>39153</c:v>
                </c:pt>
                <c:pt idx="270">
                  <c:v>39190</c:v>
                </c:pt>
                <c:pt idx="271">
                  <c:v>39191</c:v>
                </c:pt>
                <c:pt idx="272">
                  <c:v>39191</c:v>
                </c:pt>
                <c:pt idx="273">
                  <c:v>39217</c:v>
                </c:pt>
                <c:pt idx="274">
                  <c:v>39216</c:v>
                </c:pt>
                <c:pt idx="275">
                  <c:v>39216</c:v>
                </c:pt>
                <c:pt idx="276">
                  <c:v>39246</c:v>
                </c:pt>
                <c:pt idx="277">
                  <c:v>39248</c:v>
                </c:pt>
                <c:pt idx="278">
                  <c:v>39248</c:v>
                </c:pt>
                <c:pt idx="279">
                  <c:v>39280</c:v>
                </c:pt>
                <c:pt idx="280">
                  <c:v>39279</c:v>
                </c:pt>
                <c:pt idx="281">
                  <c:v>39279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39336</c:v>
                </c:pt>
                <c:pt idx="286">
                  <c:v>39335</c:v>
                </c:pt>
                <c:pt idx="287">
                  <c:v>39335</c:v>
                </c:pt>
                <c:pt idx="288">
                  <c:v>39370</c:v>
                </c:pt>
                <c:pt idx="289">
                  <c:v>39370</c:v>
                </c:pt>
                <c:pt idx="290">
                  <c:v>39370</c:v>
                </c:pt>
                <c:pt idx="291">
                  <c:v>39400</c:v>
                </c:pt>
                <c:pt idx="292">
                  <c:v>39400</c:v>
                </c:pt>
                <c:pt idx="293">
                  <c:v>39400</c:v>
                </c:pt>
                <c:pt idx="294">
                  <c:v>39427</c:v>
                </c:pt>
                <c:pt idx="295">
                  <c:v>39434</c:v>
                </c:pt>
                <c:pt idx="296">
                  <c:v>39434</c:v>
                </c:pt>
                <c:pt idx="297">
                  <c:v>39462</c:v>
                </c:pt>
                <c:pt idx="298">
                  <c:v>39463</c:v>
                </c:pt>
                <c:pt idx="299">
                  <c:v>39463</c:v>
                </c:pt>
                <c:pt idx="300">
                  <c:v>39490</c:v>
                </c:pt>
                <c:pt idx="301">
                  <c:v>39493</c:v>
                </c:pt>
                <c:pt idx="302">
                  <c:v>39493</c:v>
                </c:pt>
                <c:pt idx="303">
                  <c:v>39517</c:v>
                </c:pt>
                <c:pt idx="304">
                  <c:v>39517</c:v>
                </c:pt>
                <c:pt idx="305">
                  <c:v>39517</c:v>
                </c:pt>
                <c:pt idx="306">
                  <c:v>39553</c:v>
                </c:pt>
                <c:pt idx="307">
                  <c:v>39552</c:v>
                </c:pt>
                <c:pt idx="308">
                  <c:v>39552</c:v>
                </c:pt>
                <c:pt idx="309">
                  <c:v>39582</c:v>
                </c:pt>
                <c:pt idx="310">
                  <c:v>39583</c:v>
                </c:pt>
                <c:pt idx="311">
                  <c:v>39583</c:v>
                </c:pt>
                <c:pt idx="312">
                  <c:v>39616</c:v>
                </c:pt>
                <c:pt idx="313">
                  <c:v>39617</c:v>
                </c:pt>
                <c:pt idx="314">
                  <c:v>39617</c:v>
                </c:pt>
                <c:pt idx="315">
                  <c:v>39644</c:v>
                </c:pt>
                <c:pt idx="316">
                  <c:v>39645</c:v>
                </c:pt>
                <c:pt idx="317">
                  <c:v>39645</c:v>
                </c:pt>
                <c:pt idx="318">
                  <c:v>39672</c:v>
                </c:pt>
                <c:pt idx="319">
                  <c:v>39672</c:v>
                </c:pt>
                <c:pt idx="320">
                  <c:v>39672</c:v>
                </c:pt>
                <c:pt idx="321">
                  <c:v>39709</c:v>
                </c:pt>
                <c:pt idx="322">
                  <c:v>39709</c:v>
                </c:pt>
                <c:pt idx="323">
                  <c:v>39709</c:v>
                </c:pt>
                <c:pt idx="324">
                  <c:v>39737</c:v>
                </c:pt>
                <c:pt idx="325">
                  <c:v>39735</c:v>
                </c:pt>
                <c:pt idx="326">
                  <c:v>39735</c:v>
                </c:pt>
                <c:pt idx="327">
                  <c:v>39763</c:v>
                </c:pt>
                <c:pt idx="328">
                  <c:v>39769</c:v>
                </c:pt>
                <c:pt idx="329">
                  <c:v>39769</c:v>
                </c:pt>
                <c:pt idx="330">
                  <c:v>39797</c:v>
                </c:pt>
                <c:pt idx="331">
                  <c:v>39797</c:v>
                </c:pt>
                <c:pt idx="332">
                  <c:v>39797</c:v>
                </c:pt>
                <c:pt idx="333">
                  <c:v>39825</c:v>
                </c:pt>
                <c:pt idx="334">
                  <c:v>39826</c:v>
                </c:pt>
                <c:pt idx="335">
                  <c:v>39826</c:v>
                </c:pt>
                <c:pt idx="336">
                  <c:v>39854</c:v>
                </c:pt>
                <c:pt idx="337">
                  <c:v>39855</c:v>
                </c:pt>
                <c:pt idx="338">
                  <c:v>39855</c:v>
                </c:pt>
                <c:pt idx="339">
                  <c:v>39890</c:v>
                </c:pt>
                <c:pt idx="340">
                  <c:v>39888</c:v>
                </c:pt>
                <c:pt idx="341">
                  <c:v>39888</c:v>
                </c:pt>
                <c:pt idx="342">
                  <c:v>39920</c:v>
                </c:pt>
                <c:pt idx="343">
                  <c:v>39916</c:v>
                </c:pt>
                <c:pt idx="344">
                  <c:v>39916</c:v>
                </c:pt>
                <c:pt idx="345">
                  <c:v>39945</c:v>
                </c:pt>
                <c:pt idx="346">
                  <c:v>39946</c:v>
                </c:pt>
                <c:pt idx="347">
                  <c:v>39946</c:v>
                </c:pt>
                <c:pt idx="348">
                  <c:v>39980</c:v>
                </c:pt>
                <c:pt idx="349">
                  <c:v>39983</c:v>
                </c:pt>
                <c:pt idx="350">
                  <c:v>39983</c:v>
                </c:pt>
                <c:pt idx="351">
                  <c:v>40007</c:v>
                </c:pt>
                <c:pt idx="352">
                  <c:v>40007</c:v>
                </c:pt>
                <c:pt idx="353">
                  <c:v>40007</c:v>
                </c:pt>
                <c:pt idx="354">
                  <c:v>40043</c:v>
                </c:pt>
                <c:pt idx="355">
                  <c:v>40042</c:v>
                </c:pt>
                <c:pt idx="356">
                  <c:v>40042</c:v>
                </c:pt>
                <c:pt idx="357">
                  <c:v>40070</c:v>
                </c:pt>
                <c:pt idx="358">
                  <c:v>40071</c:v>
                </c:pt>
                <c:pt idx="359">
                  <c:v>40071</c:v>
                </c:pt>
                <c:pt idx="360">
                  <c:v>40099</c:v>
                </c:pt>
                <c:pt idx="361">
                  <c:v>40100</c:v>
                </c:pt>
                <c:pt idx="362">
                  <c:v>40100</c:v>
                </c:pt>
                <c:pt idx="363">
                  <c:v>40133</c:v>
                </c:pt>
                <c:pt idx="364">
                  <c:v>40133</c:v>
                </c:pt>
                <c:pt idx="365">
                  <c:v>40133</c:v>
                </c:pt>
                <c:pt idx="366">
                  <c:v>40161</c:v>
                </c:pt>
                <c:pt idx="367">
                  <c:v>40161</c:v>
                </c:pt>
                <c:pt idx="368">
                  <c:v>40161</c:v>
                </c:pt>
                <c:pt idx="369">
                  <c:v>40197</c:v>
                </c:pt>
                <c:pt idx="370">
                  <c:v>40197</c:v>
                </c:pt>
                <c:pt idx="371">
                  <c:v>40197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40254</c:v>
                </c:pt>
                <c:pt idx="376">
                  <c:v>40255</c:v>
                </c:pt>
                <c:pt idx="377">
                  <c:v>40255</c:v>
                </c:pt>
                <c:pt idx="378">
                  <c:v>40280</c:v>
                </c:pt>
                <c:pt idx="379">
                  <c:v>40281</c:v>
                </c:pt>
                <c:pt idx="380">
                  <c:v>40281</c:v>
                </c:pt>
                <c:pt idx="381">
                  <c:v>40315</c:v>
                </c:pt>
                <c:pt idx="382">
                  <c:v>40317</c:v>
                </c:pt>
                <c:pt idx="383">
                  <c:v>40317</c:v>
                </c:pt>
                <c:pt idx="384">
                  <c:v>40344</c:v>
                </c:pt>
                <c:pt idx="385">
                  <c:v>40345</c:v>
                </c:pt>
                <c:pt idx="386">
                  <c:v>40345</c:v>
                </c:pt>
                <c:pt idx="387">
                  <c:v>40374</c:v>
                </c:pt>
                <c:pt idx="388">
                  <c:v>40374</c:v>
                </c:pt>
                <c:pt idx="389">
                  <c:v>40374</c:v>
                </c:pt>
                <c:pt idx="390">
                  <c:v>40407</c:v>
                </c:pt>
                <c:pt idx="391">
                  <c:v>40409</c:v>
                </c:pt>
                <c:pt idx="392">
                  <c:v>40409</c:v>
                </c:pt>
                <c:pt idx="393">
                  <c:v>40409</c:v>
                </c:pt>
                <c:pt idx="394">
                  <c:v>40436</c:v>
                </c:pt>
                <c:pt idx="395">
                  <c:v>40434</c:v>
                </c:pt>
                <c:pt idx="396">
                  <c:v>40434</c:v>
                </c:pt>
                <c:pt idx="397">
                  <c:v>40464</c:v>
                </c:pt>
                <c:pt idx="398">
                  <c:v>40463</c:v>
                </c:pt>
                <c:pt idx="399">
                  <c:v>40463</c:v>
                </c:pt>
                <c:pt idx="400">
                  <c:v>40498</c:v>
                </c:pt>
                <c:pt idx="401">
                  <c:v>40500</c:v>
                </c:pt>
                <c:pt idx="402">
                  <c:v>40500</c:v>
                </c:pt>
                <c:pt idx="403">
                  <c:v>40520</c:v>
                </c:pt>
                <c:pt idx="404">
                  <c:v>40521</c:v>
                </c:pt>
                <c:pt idx="405">
                  <c:v>40521</c:v>
                </c:pt>
                <c:pt idx="406">
                  <c:v>40562</c:v>
                </c:pt>
                <c:pt idx="407">
                  <c:v>40563</c:v>
                </c:pt>
                <c:pt idx="408">
                  <c:v>40563</c:v>
                </c:pt>
                <c:pt idx="409">
                  <c:v>40591</c:v>
                </c:pt>
                <c:pt idx="410">
                  <c:v>40598</c:v>
                </c:pt>
                <c:pt idx="411">
                  <c:v>40598</c:v>
                </c:pt>
                <c:pt idx="412">
                  <c:v>40619</c:v>
                </c:pt>
                <c:pt idx="413">
                  <c:v>40617</c:v>
                </c:pt>
                <c:pt idx="414">
                  <c:v>40617</c:v>
                </c:pt>
                <c:pt idx="415">
                  <c:v>40617</c:v>
                </c:pt>
                <c:pt idx="416">
                  <c:v>40646</c:v>
                </c:pt>
                <c:pt idx="417">
                  <c:v>40647</c:v>
                </c:pt>
                <c:pt idx="418">
                  <c:v>40647</c:v>
                </c:pt>
                <c:pt idx="419">
                  <c:v>40681</c:v>
                </c:pt>
                <c:pt idx="420">
                  <c:v>40681</c:v>
                </c:pt>
                <c:pt idx="421">
                  <c:v>40682</c:v>
                </c:pt>
                <c:pt idx="422">
                  <c:v>40682</c:v>
                </c:pt>
                <c:pt idx="423">
                  <c:v>40709</c:v>
                </c:pt>
                <c:pt idx="424">
                  <c:v>40709</c:v>
                </c:pt>
                <c:pt idx="425">
                  <c:v>40709</c:v>
                </c:pt>
                <c:pt idx="426">
                  <c:v>40709</c:v>
                </c:pt>
                <c:pt idx="427">
                  <c:v>40735</c:v>
                </c:pt>
                <c:pt idx="428">
                  <c:v>40736</c:v>
                </c:pt>
                <c:pt idx="429">
                  <c:v>40736</c:v>
                </c:pt>
                <c:pt idx="430">
                  <c:v>40736</c:v>
                </c:pt>
                <c:pt idx="431">
                  <c:v>40771</c:v>
                </c:pt>
                <c:pt idx="432">
                  <c:v>40772</c:v>
                </c:pt>
                <c:pt idx="433">
                  <c:v>40772</c:v>
                </c:pt>
                <c:pt idx="434">
                  <c:v>40799</c:v>
                </c:pt>
                <c:pt idx="435">
                  <c:v>40798</c:v>
                </c:pt>
                <c:pt idx="436">
                  <c:v>40798</c:v>
                </c:pt>
                <c:pt idx="437">
                  <c:v>40798</c:v>
                </c:pt>
                <c:pt idx="438">
                  <c:v>40827</c:v>
                </c:pt>
                <c:pt idx="439">
                  <c:v>40827</c:v>
                </c:pt>
                <c:pt idx="440">
                  <c:v>40829</c:v>
                </c:pt>
                <c:pt idx="441">
                  <c:v>40829</c:v>
                </c:pt>
                <c:pt idx="442">
                  <c:v>40862</c:v>
                </c:pt>
                <c:pt idx="443">
                  <c:v>40865</c:v>
                </c:pt>
                <c:pt idx="444">
                  <c:v>40865</c:v>
                </c:pt>
                <c:pt idx="445">
                  <c:v>40891</c:v>
                </c:pt>
                <c:pt idx="446">
                  <c:v>40891</c:v>
                </c:pt>
                <c:pt idx="447">
                  <c:v>40891</c:v>
                </c:pt>
                <c:pt idx="448">
                  <c:v>40919</c:v>
                </c:pt>
                <c:pt idx="449">
                  <c:v>40919</c:v>
                </c:pt>
                <c:pt idx="450">
                  <c:v>40919</c:v>
                </c:pt>
                <c:pt idx="451">
                  <c:v>40962</c:v>
                </c:pt>
                <c:pt idx="452">
                  <c:v>40960</c:v>
                </c:pt>
                <c:pt idx="453">
                  <c:v>40960</c:v>
                </c:pt>
                <c:pt idx="454">
                  <c:v>40980</c:v>
                </c:pt>
                <c:pt idx="455">
                  <c:v>40982</c:v>
                </c:pt>
                <c:pt idx="456">
                  <c:v>40982</c:v>
                </c:pt>
                <c:pt idx="457">
                  <c:v>41015</c:v>
                </c:pt>
                <c:pt idx="458">
                  <c:v>41016</c:v>
                </c:pt>
                <c:pt idx="459">
                  <c:v>41016</c:v>
                </c:pt>
                <c:pt idx="460">
                  <c:v>41016</c:v>
                </c:pt>
                <c:pt idx="461">
                  <c:v>41045</c:v>
                </c:pt>
                <c:pt idx="462">
                  <c:v>41051</c:v>
                </c:pt>
                <c:pt idx="463">
                  <c:v>41051</c:v>
                </c:pt>
                <c:pt idx="464">
                  <c:v>41051</c:v>
                </c:pt>
                <c:pt idx="465">
                  <c:v>41073</c:v>
                </c:pt>
                <c:pt idx="466">
                  <c:v>41080</c:v>
                </c:pt>
                <c:pt idx="467">
                  <c:v>41080</c:v>
                </c:pt>
                <c:pt idx="468">
                  <c:v>41107</c:v>
                </c:pt>
                <c:pt idx="469">
                  <c:v>41106</c:v>
                </c:pt>
                <c:pt idx="470">
                  <c:v>41106</c:v>
                </c:pt>
                <c:pt idx="471">
                  <c:v>41135</c:v>
                </c:pt>
                <c:pt idx="472">
                  <c:v>41137</c:v>
                </c:pt>
                <c:pt idx="473">
                  <c:v>41137</c:v>
                </c:pt>
                <c:pt idx="474">
                  <c:v>41164</c:v>
                </c:pt>
                <c:pt idx="475">
                  <c:v>41163</c:v>
                </c:pt>
                <c:pt idx="476">
                  <c:v>41163</c:v>
                </c:pt>
                <c:pt idx="477">
                  <c:v>41199</c:v>
                </c:pt>
                <c:pt idx="478">
                  <c:v>41199</c:v>
                </c:pt>
                <c:pt idx="479">
                  <c:v>41199</c:v>
                </c:pt>
                <c:pt idx="480">
                  <c:v>41225</c:v>
                </c:pt>
                <c:pt idx="481">
                  <c:v>41225</c:v>
                </c:pt>
                <c:pt idx="482">
                  <c:v>41225</c:v>
                </c:pt>
                <c:pt idx="483">
                  <c:v>41254</c:v>
                </c:pt>
                <c:pt idx="484">
                  <c:v>41255</c:v>
                </c:pt>
                <c:pt idx="485">
                  <c:v>41255</c:v>
                </c:pt>
                <c:pt idx="486">
                  <c:v>41288</c:v>
                </c:pt>
                <c:pt idx="487">
                  <c:v>41297</c:v>
                </c:pt>
                <c:pt idx="488">
                  <c:v>41297</c:v>
                </c:pt>
                <c:pt idx="489">
                  <c:v>41318</c:v>
                </c:pt>
                <c:pt idx="490">
                  <c:v>41319</c:v>
                </c:pt>
                <c:pt idx="491">
                  <c:v>41319</c:v>
                </c:pt>
                <c:pt idx="492">
                  <c:v>41344</c:v>
                </c:pt>
                <c:pt idx="493">
                  <c:v>41346</c:v>
                </c:pt>
                <c:pt idx="494">
                  <c:v>41346</c:v>
                </c:pt>
                <c:pt idx="495">
                  <c:v>41346</c:v>
                </c:pt>
                <c:pt idx="496">
                  <c:v>41379</c:v>
                </c:pt>
                <c:pt idx="497">
                  <c:v>41380</c:v>
                </c:pt>
                <c:pt idx="498">
                  <c:v>41380</c:v>
                </c:pt>
                <c:pt idx="499">
                  <c:v>41408</c:v>
                </c:pt>
                <c:pt idx="500">
                  <c:v>41408</c:v>
                </c:pt>
                <c:pt idx="501">
                  <c:v>41407</c:v>
                </c:pt>
                <c:pt idx="502">
                  <c:v>41407</c:v>
                </c:pt>
                <c:pt idx="503">
                  <c:v>41436</c:v>
                </c:pt>
                <c:pt idx="504">
                  <c:v>41437</c:v>
                </c:pt>
                <c:pt idx="505">
                  <c:v>41437</c:v>
                </c:pt>
                <c:pt idx="506">
                  <c:v>41470</c:v>
                </c:pt>
                <c:pt idx="507">
                  <c:v>41470</c:v>
                </c:pt>
                <c:pt idx="508">
                  <c:v>41470</c:v>
                </c:pt>
                <c:pt idx="509">
                  <c:v>41498</c:v>
                </c:pt>
                <c:pt idx="510">
                  <c:v>41498</c:v>
                </c:pt>
                <c:pt idx="511">
                  <c:v>41498</c:v>
                </c:pt>
                <c:pt idx="512">
                  <c:v>41535</c:v>
                </c:pt>
                <c:pt idx="513">
                  <c:v>41535</c:v>
                </c:pt>
                <c:pt idx="514">
                  <c:v>41535</c:v>
                </c:pt>
                <c:pt idx="515">
                  <c:v>41569</c:v>
                </c:pt>
                <c:pt idx="516">
                  <c:v>406810</c:v>
                </c:pt>
                <c:pt idx="517">
                  <c:v>406810</c:v>
                </c:pt>
                <c:pt idx="518">
                  <c:v>41599</c:v>
                </c:pt>
                <c:pt idx="519">
                  <c:v>41599</c:v>
                </c:pt>
                <c:pt idx="520">
                  <c:v>41599</c:v>
                </c:pt>
                <c:pt idx="521">
                  <c:v>41624</c:v>
                </c:pt>
                <c:pt idx="522">
                  <c:v>41627</c:v>
                </c:pt>
                <c:pt idx="523">
                  <c:v>41627</c:v>
                </c:pt>
                <c:pt idx="524">
                  <c:v>41654</c:v>
                </c:pt>
                <c:pt idx="525">
                  <c:v>41655</c:v>
                </c:pt>
                <c:pt idx="526">
                  <c:v>41655</c:v>
                </c:pt>
                <c:pt idx="527">
                  <c:v>41688</c:v>
                </c:pt>
                <c:pt idx="528">
                  <c:v>41690</c:v>
                </c:pt>
                <c:pt idx="529">
                  <c:v>41690</c:v>
                </c:pt>
                <c:pt idx="530">
                  <c:v>41719</c:v>
                </c:pt>
                <c:pt idx="531">
                  <c:v>41718</c:v>
                </c:pt>
                <c:pt idx="532">
                  <c:v>41718</c:v>
                </c:pt>
                <c:pt idx="533">
                  <c:v>41747</c:v>
                </c:pt>
                <c:pt idx="534">
                  <c:v>41750</c:v>
                </c:pt>
                <c:pt idx="535">
                  <c:v>41750</c:v>
                </c:pt>
                <c:pt idx="536">
                  <c:v>41772</c:v>
                </c:pt>
                <c:pt idx="537">
                  <c:v>41406</c:v>
                </c:pt>
                <c:pt idx="538">
                  <c:v>41406</c:v>
                </c:pt>
                <c:pt idx="539">
                  <c:v>41808</c:v>
                </c:pt>
                <c:pt idx="540">
                  <c:v>41807</c:v>
                </c:pt>
                <c:pt idx="541">
                  <c:v>41807</c:v>
                </c:pt>
                <c:pt idx="542">
                  <c:v>41834</c:v>
                </c:pt>
                <c:pt idx="543">
                  <c:v>41837</c:v>
                </c:pt>
                <c:pt idx="544">
                  <c:v>41837</c:v>
                </c:pt>
                <c:pt idx="545">
                  <c:v>41862</c:v>
                </c:pt>
                <c:pt idx="546">
                  <c:v>41862</c:v>
                </c:pt>
                <c:pt idx="547">
                  <c:v>41862</c:v>
                </c:pt>
                <c:pt idx="548">
                  <c:v>41898</c:v>
                </c:pt>
                <c:pt idx="549">
                  <c:v>41897</c:v>
                </c:pt>
                <c:pt idx="550">
                  <c:v>41897</c:v>
                </c:pt>
                <c:pt idx="551">
                  <c:v>41929</c:v>
                </c:pt>
                <c:pt idx="552">
                  <c:v>41928</c:v>
                </c:pt>
                <c:pt idx="553">
                  <c:v>41928</c:v>
                </c:pt>
                <c:pt idx="554">
                  <c:v>41953</c:v>
                </c:pt>
                <c:pt idx="555">
                  <c:v>41955</c:v>
                </c:pt>
                <c:pt idx="556">
                  <c:v>41955</c:v>
                </c:pt>
                <c:pt idx="557">
                  <c:v>41988</c:v>
                </c:pt>
                <c:pt idx="558">
                  <c:v>41992</c:v>
                </c:pt>
                <c:pt idx="559">
                  <c:v>41992</c:v>
                </c:pt>
                <c:pt idx="560">
                  <c:v>42014</c:v>
                </c:pt>
                <c:pt idx="561">
                  <c:v>42009</c:v>
                </c:pt>
                <c:pt idx="562">
                  <c:v>42009</c:v>
                </c:pt>
                <c:pt idx="563">
                  <c:v>42036</c:v>
                </c:pt>
                <c:pt idx="564">
                  <c:v>42036</c:v>
                </c:pt>
                <c:pt idx="565">
                  <c:v>42036</c:v>
                </c:pt>
                <c:pt idx="566">
                  <c:v>42064</c:v>
                </c:pt>
                <c:pt idx="567">
                  <c:v>42064</c:v>
                </c:pt>
                <c:pt idx="568">
                  <c:v>42064</c:v>
                </c:pt>
                <c:pt idx="569">
                  <c:v>42095</c:v>
                </c:pt>
                <c:pt idx="570">
                  <c:v>42095</c:v>
                </c:pt>
                <c:pt idx="571">
                  <c:v>42095</c:v>
                </c:pt>
                <c:pt idx="572">
                  <c:v>42125</c:v>
                </c:pt>
                <c:pt idx="573">
                  <c:v>42125</c:v>
                </c:pt>
                <c:pt idx="574">
                  <c:v>42125</c:v>
                </c:pt>
                <c:pt idx="575">
                  <c:v>42156</c:v>
                </c:pt>
                <c:pt idx="576">
                  <c:v>42156</c:v>
                </c:pt>
                <c:pt idx="577">
                  <c:v>42156</c:v>
                </c:pt>
                <c:pt idx="578">
                  <c:v>42186</c:v>
                </c:pt>
                <c:pt idx="579">
                  <c:v>42186</c:v>
                </c:pt>
                <c:pt idx="580">
                  <c:v>42186</c:v>
                </c:pt>
                <c:pt idx="581">
                  <c:v>42217</c:v>
                </c:pt>
                <c:pt idx="582">
                  <c:v>42217</c:v>
                </c:pt>
                <c:pt idx="583">
                  <c:v>42217</c:v>
                </c:pt>
                <c:pt idx="584">
                  <c:v>42248</c:v>
                </c:pt>
                <c:pt idx="585">
                  <c:v>42248</c:v>
                </c:pt>
                <c:pt idx="586">
                  <c:v>42248</c:v>
                </c:pt>
                <c:pt idx="587">
                  <c:v>42278</c:v>
                </c:pt>
                <c:pt idx="588">
                  <c:v>42278</c:v>
                </c:pt>
                <c:pt idx="589">
                  <c:v>42278</c:v>
                </c:pt>
                <c:pt idx="590">
                  <c:v>42309</c:v>
                </c:pt>
                <c:pt idx="591">
                  <c:v>42309</c:v>
                </c:pt>
                <c:pt idx="592">
                  <c:v>42309</c:v>
                </c:pt>
                <c:pt idx="593">
                  <c:v>42339</c:v>
                </c:pt>
                <c:pt idx="594">
                  <c:v>42339</c:v>
                </c:pt>
                <c:pt idx="595">
                  <c:v>42339</c:v>
                </c:pt>
                <c:pt idx="596">
                  <c:v>42379</c:v>
                </c:pt>
                <c:pt idx="597">
                  <c:v>42374</c:v>
                </c:pt>
                <c:pt idx="598">
                  <c:v>42374</c:v>
                </c:pt>
                <c:pt idx="599">
                  <c:v>42401</c:v>
                </c:pt>
                <c:pt idx="600">
                  <c:v>42401</c:v>
                </c:pt>
                <c:pt idx="601">
                  <c:v>42401</c:v>
                </c:pt>
                <c:pt idx="602">
                  <c:v>42430</c:v>
                </c:pt>
                <c:pt idx="603">
                  <c:v>42430</c:v>
                </c:pt>
                <c:pt idx="604">
                  <c:v>42430</c:v>
                </c:pt>
                <c:pt idx="605">
                  <c:v>42461</c:v>
                </c:pt>
                <c:pt idx="606">
                  <c:v>42461</c:v>
                </c:pt>
                <c:pt idx="607">
                  <c:v>42461</c:v>
                </c:pt>
                <c:pt idx="608">
                  <c:v>42491</c:v>
                </c:pt>
                <c:pt idx="609">
                  <c:v>42491</c:v>
                </c:pt>
                <c:pt idx="610">
                  <c:v>42491</c:v>
                </c:pt>
                <c:pt idx="611">
                  <c:v>42522</c:v>
                </c:pt>
                <c:pt idx="612">
                  <c:v>42522</c:v>
                </c:pt>
                <c:pt idx="613">
                  <c:v>42522</c:v>
                </c:pt>
                <c:pt idx="614">
                  <c:v>42552</c:v>
                </c:pt>
                <c:pt idx="615">
                  <c:v>42552</c:v>
                </c:pt>
                <c:pt idx="616">
                  <c:v>42552</c:v>
                </c:pt>
                <c:pt idx="617">
                  <c:v>42583</c:v>
                </c:pt>
                <c:pt idx="618">
                  <c:v>42583</c:v>
                </c:pt>
                <c:pt idx="619">
                  <c:v>42583</c:v>
                </c:pt>
                <c:pt idx="620">
                  <c:v>42614</c:v>
                </c:pt>
                <c:pt idx="621">
                  <c:v>42614</c:v>
                </c:pt>
                <c:pt idx="622">
                  <c:v>42614</c:v>
                </c:pt>
                <c:pt idx="623">
                  <c:v>42644</c:v>
                </c:pt>
                <c:pt idx="624">
                  <c:v>42644</c:v>
                </c:pt>
                <c:pt idx="625">
                  <c:v>42644</c:v>
                </c:pt>
                <c:pt idx="626">
                  <c:v>42675</c:v>
                </c:pt>
                <c:pt idx="627">
                  <c:v>42675</c:v>
                </c:pt>
                <c:pt idx="628">
                  <c:v>42675</c:v>
                </c:pt>
                <c:pt idx="629">
                  <c:v>42705</c:v>
                </c:pt>
                <c:pt idx="630">
                  <c:v>42705</c:v>
                </c:pt>
                <c:pt idx="631">
                  <c:v>42705</c:v>
                </c:pt>
                <c:pt idx="632">
                  <c:v>42745</c:v>
                </c:pt>
                <c:pt idx="633">
                  <c:v>42740</c:v>
                </c:pt>
                <c:pt idx="634">
                  <c:v>42740</c:v>
                </c:pt>
                <c:pt idx="635">
                  <c:v>42767</c:v>
                </c:pt>
                <c:pt idx="636">
                  <c:v>42767</c:v>
                </c:pt>
                <c:pt idx="637">
                  <c:v>42767</c:v>
                </c:pt>
                <c:pt idx="638">
                  <c:v>42795</c:v>
                </c:pt>
                <c:pt idx="639">
                  <c:v>42795</c:v>
                </c:pt>
                <c:pt idx="640">
                  <c:v>42795</c:v>
                </c:pt>
                <c:pt idx="641">
                  <c:v>42826</c:v>
                </c:pt>
                <c:pt idx="642">
                  <c:v>42826</c:v>
                </c:pt>
                <c:pt idx="643">
                  <c:v>42826</c:v>
                </c:pt>
                <c:pt idx="644">
                  <c:v>42856</c:v>
                </c:pt>
                <c:pt idx="645">
                  <c:v>42856</c:v>
                </c:pt>
                <c:pt idx="646">
                  <c:v>42856</c:v>
                </c:pt>
                <c:pt idx="647">
                  <c:v>42887</c:v>
                </c:pt>
                <c:pt idx="648">
                  <c:v>42887</c:v>
                </c:pt>
                <c:pt idx="649">
                  <c:v>42887</c:v>
                </c:pt>
                <c:pt idx="650">
                  <c:v>42917</c:v>
                </c:pt>
                <c:pt idx="651">
                  <c:v>42917</c:v>
                </c:pt>
                <c:pt idx="652">
                  <c:v>42917</c:v>
                </c:pt>
                <c:pt idx="653">
                  <c:v>42948</c:v>
                </c:pt>
                <c:pt idx="654">
                  <c:v>42948</c:v>
                </c:pt>
                <c:pt idx="655">
                  <c:v>42948</c:v>
                </c:pt>
                <c:pt idx="656">
                  <c:v>42979</c:v>
                </c:pt>
                <c:pt idx="657">
                  <c:v>42979</c:v>
                </c:pt>
                <c:pt idx="658">
                  <c:v>42979</c:v>
                </c:pt>
                <c:pt idx="659">
                  <c:v>43009</c:v>
                </c:pt>
                <c:pt idx="660">
                  <c:v>43009</c:v>
                </c:pt>
                <c:pt idx="661">
                  <c:v>43009</c:v>
                </c:pt>
                <c:pt idx="662">
                  <c:v>43040</c:v>
                </c:pt>
                <c:pt idx="663">
                  <c:v>43040</c:v>
                </c:pt>
                <c:pt idx="664">
                  <c:v>43040</c:v>
                </c:pt>
                <c:pt idx="665">
                  <c:v>43070</c:v>
                </c:pt>
                <c:pt idx="666">
                  <c:v>43070</c:v>
                </c:pt>
                <c:pt idx="667">
                  <c:v>43070</c:v>
                </c:pt>
                <c:pt idx="668">
                  <c:v>43110</c:v>
                </c:pt>
                <c:pt idx="669">
                  <c:v>43105</c:v>
                </c:pt>
                <c:pt idx="670">
                  <c:v>43105</c:v>
                </c:pt>
                <c:pt idx="671">
                  <c:v>43132</c:v>
                </c:pt>
                <c:pt idx="672">
                  <c:v>43132</c:v>
                </c:pt>
                <c:pt idx="673">
                  <c:v>43132</c:v>
                </c:pt>
                <c:pt idx="674">
                  <c:v>43160</c:v>
                </c:pt>
                <c:pt idx="675">
                  <c:v>43160</c:v>
                </c:pt>
                <c:pt idx="676">
                  <c:v>43160</c:v>
                </c:pt>
                <c:pt idx="677">
                  <c:v>43191</c:v>
                </c:pt>
                <c:pt idx="678">
                  <c:v>43191</c:v>
                </c:pt>
                <c:pt idx="679">
                  <c:v>43191</c:v>
                </c:pt>
                <c:pt idx="680">
                  <c:v>43221</c:v>
                </c:pt>
                <c:pt idx="681">
                  <c:v>43221</c:v>
                </c:pt>
                <c:pt idx="682">
                  <c:v>43221</c:v>
                </c:pt>
                <c:pt idx="683">
                  <c:v>43252</c:v>
                </c:pt>
                <c:pt idx="684">
                  <c:v>43252</c:v>
                </c:pt>
                <c:pt idx="685">
                  <c:v>43252</c:v>
                </c:pt>
                <c:pt idx="686">
                  <c:v>43282</c:v>
                </c:pt>
                <c:pt idx="687">
                  <c:v>43282</c:v>
                </c:pt>
                <c:pt idx="688">
                  <c:v>43282</c:v>
                </c:pt>
                <c:pt idx="689">
                  <c:v>43313</c:v>
                </c:pt>
                <c:pt idx="690">
                  <c:v>43313</c:v>
                </c:pt>
                <c:pt idx="691">
                  <c:v>43313</c:v>
                </c:pt>
                <c:pt idx="692">
                  <c:v>43344</c:v>
                </c:pt>
                <c:pt idx="693">
                  <c:v>43344</c:v>
                </c:pt>
                <c:pt idx="694">
                  <c:v>43344</c:v>
                </c:pt>
                <c:pt idx="695">
                  <c:v>43374</c:v>
                </c:pt>
                <c:pt idx="696">
                  <c:v>43374</c:v>
                </c:pt>
                <c:pt idx="697">
                  <c:v>43374</c:v>
                </c:pt>
                <c:pt idx="698">
                  <c:v>43405</c:v>
                </c:pt>
                <c:pt idx="699">
                  <c:v>43405</c:v>
                </c:pt>
                <c:pt idx="700">
                  <c:v>43405</c:v>
                </c:pt>
                <c:pt idx="701">
                  <c:v>43435</c:v>
                </c:pt>
                <c:pt idx="702">
                  <c:v>43435</c:v>
                </c:pt>
                <c:pt idx="703">
                  <c:v>43435</c:v>
                </c:pt>
                <c:pt idx="704">
                  <c:v>43475</c:v>
                </c:pt>
                <c:pt idx="705">
                  <c:v>43470</c:v>
                </c:pt>
                <c:pt idx="706">
                  <c:v>43470</c:v>
                </c:pt>
                <c:pt idx="707">
                  <c:v>43497</c:v>
                </c:pt>
                <c:pt idx="708">
                  <c:v>43497</c:v>
                </c:pt>
                <c:pt idx="709">
                  <c:v>43497</c:v>
                </c:pt>
                <c:pt idx="710">
                  <c:v>43525</c:v>
                </c:pt>
                <c:pt idx="711">
                  <c:v>43525</c:v>
                </c:pt>
                <c:pt idx="712">
                  <c:v>43525</c:v>
                </c:pt>
                <c:pt idx="713">
                  <c:v>43556</c:v>
                </c:pt>
                <c:pt idx="714">
                  <c:v>43556</c:v>
                </c:pt>
                <c:pt idx="715">
                  <c:v>43556</c:v>
                </c:pt>
                <c:pt idx="716">
                  <c:v>43586</c:v>
                </c:pt>
                <c:pt idx="717">
                  <c:v>43586</c:v>
                </c:pt>
                <c:pt idx="718">
                  <c:v>43586</c:v>
                </c:pt>
                <c:pt idx="719">
                  <c:v>43617</c:v>
                </c:pt>
                <c:pt idx="720">
                  <c:v>43617</c:v>
                </c:pt>
                <c:pt idx="721">
                  <c:v>43617</c:v>
                </c:pt>
                <c:pt idx="722">
                  <c:v>43647</c:v>
                </c:pt>
                <c:pt idx="723">
                  <c:v>43647</c:v>
                </c:pt>
                <c:pt idx="724">
                  <c:v>43647</c:v>
                </c:pt>
                <c:pt idx="725">
                  <c:v>43678</c:v>
                </c:pt>
                <c:pt idx="726">
                  <c:v>43678</c:v>
                </c:pt>
                <c:pt idx="727">
                  <c:v>43678</c:v>
                </c:pt>
                <c:pt idx="728">
                  <c:v>43709</c:v>
                </c:pt>
                <c:pt idx="729">
                  <c:v>43709</c:v>
                </c:pt>
                <c:pt idx="730">
                  <c:v>43709</c:v>
                </c:pt>
                <c:pt idx="731">
                  <c:v>43739</c:v>
                </c:pt>
                <c:pt idx="732">
                  <c:v>43739</c:v>
                </c:pt>
                <c:pt idx="733">
                  <c:v>43739</c:v>
                </c:pt>
                <c:pt idx="734">
                  <c:v>43770</c:v>
                </c:pt>
                <c:pt idx="735">
                  <c:v>43770</c:v>
                </c:pt>
                <c:pt idx="736">
                  <c:v>43770</c:v>
                </c:pt>
                <c:pt idx="737">
                  <c:v>43800</c:v>
                </c:pt>
                <c:pt idx="738">
                  <c:v>43800</c:v>
                </c:pt>
                <c:pt idx="739">
                  <c:v>43800</c:v>
                </c:pt>
              </c:numCache>
            </c:numRef>
          </c:xVal>
          <c:yVal>
            <c:numRef>
              <c:f>'Zea update'!$Z$3:$Z$742</c:f>
              <c:numCache>
                <c:formatCode>General</c:formatCode>
                <c:ptCount val="740"/>
                <c:pt idx="2">
                  <c:v>-0.58640215451273248</c:v>
                </c:pt>
                <c:pt idx="5">
                  <c:v>-0.79453822993660894</c:v>
                </c:pt>
                <c:pt idx="8">
                  <c:v>-0.41466764649285537</c:v>
                </c:pt>
                <c:pt idx="11">
                  <c:v>-0.61273900494974232</c:v>
                </c:pt>
                <c:pt idx="14">
                  <c:v>-0.58055838612050281</c:v>
                </c:pt>
                <c:pt idx="17">
                  <c:v>-0.71263682201111633</c:v>
                </c:pt>
                <c:pt idx="20">
                  <c:v>-0.47129375962878362</c:v>
                </c:pt>
                <c:pt idx="23">
                  <c:v>0.7383583917633294</c:v>
                </c:pt>
                <c:pt idx="26">
                  <c:v>1.2377112161484225</c:v>
                </c:pt>
                <c:pt idx="29">
                  <c:v>0.30216280718052907</c:v>
                </c:pt>
                <c:pt idx="32">
                  <c:v>1.5973681986412396</c:v>
                </c:pt>
                <c:pt idx="35">
                  <c:v>-0.19477260368117952</c:v>
                </c:pt>
                <c:pt idx="38">
                  <c:v>-0.66065495093419746</c:v>
                </c:pt>
                <c:pt idx="41">
                  <c:v>-0.7081007831531021</c:v>
                </c:pt>
                <c:pt idx="44">
                  <c:v>-0.40902786027622623</c:v>
                </c:pt>
                <c:pt idx="47">
                  <c:v>-0.36036105716202027</c:v>
                </c:pt>
                <c:pt idx="50">
                  <c:v>-0.57961396871578375</c:v>
                </c:pt>
                <c:pt idx="53">
                  <c:v>-0.47582366953893557</c:v>
                </c:pt>
                <c:pt idx="56">
                  <c:v>-0.32139328785494309</c:v>
                </c:pt>
                <c:pt idx="59">
                  <c:v>-0.19652807206106232</c:v>
                </c:pt>
                <c:pt idx="62">
                  <c:v>0.48159296181211159</c:v>
                </c:pt>
                <c:pt idx="65">
                  <c:v>-0.14867524954372396</c:v>
                </c:pt>
                <c:pt idx="68">
                  <c:v>-0.31843000897434964</c:v>
                </c:pt>
                <c:pt idx="71">
                  <c:v>-2.6818897593903109E-2</c:v>
                </c:pt>
                <c:pt idx="74">
                  <c:v>-0.98135298561672257</c:v>
                </c:pt>
                <c:pt idx="77">
                  <c:v>-0.90092452627653252</c:v>
                </c:pt>
                <c:pt idx="80">
                  <c:v>-0.71133935440377138</c:v>
                </c:pt>
                <c:pt idx="83">
                  <c:v>-0.15730079254204013</c:v>
                </c:pt>
                <c:pt idx="86">
                  <c:v>-0.74275873493868705</c:v>
                </c:pt>
                <c:pt idx="89">
                  <c:v>-0.33454825690258727</c:v>
                </c:pt>
                <c:pt idx="92">
                  <c:v>-0.91230402070146754</c:v>
                </c:pt>
                <c:pt idx="110">
                  <c:v>0.14414629349797295</c:v>
                </c:pt>
                <c:pt idx="113">
                  <c:v>-0.46314625298361473</c:v>
                </c:pt>
                <c:pt idx="116">
                  <c:v>-7.8936251202698121E-2</c:v>
                </c:pt>
                <c:pt idx="119">
                  <c:v>-6.6390353594463769E-2</c:v>
                </c:pt>
                <c:pt idx="122">
                  <c:v>-0.27102907930452258</c:v>
                </c:pt>
                <c:pt idx="125">
                  <c:v>-0.19763166368303628</c:v>
                </c:pt>
                <c:pt idx="128">
                  <c:v>0.40384132918001953</c:v>
                </c:pt>
                <c:pt idx="131">
                  <c:v>0.47193456759974628</c:v>
                </c:pt>
                <c:pt idx="134">
                  <c:v>2.6896132520552491</c:v>
                </c:pt>
                <c:pt idx="137">
                  <c:v>2.1819428279349791</c:v>
                </c:pt>
                <c:pt idx="140">
                  <c:v>1.1047123622064741</c:v>
                </c:pt>
                <c:pt idx="143">
                  <c:v>2.2002891108379763</c:v>
                </c:pt>
                <c:pt idx="146">
                  <c:v>0.59212433102801731</c:v>
                </c:pt>
                <c:pt idx="149">
                  <c:v>-0.54730137382534749</c:v>
                </c:pt>
                <c:pt idx="152">
                  <c:v>0.38669891382919747</c:v>
                </c:pt>
                <c:pt idx="155">
                  <c:v>0.20083825722747178</c:v>
                </c:pt>
                <c:pt idx="158">
                  <c:v>0.84068177532552146</c:v>
                </c:pt>
                <c:pt idx="161">
                  <c:v>0.48198231352368553</c:v>
                </c:pt>
                <c:pt idx="164">
                  <c:v>-0.2976930432743794</c:v>
                </c:pt>
                <c:pt idx="167">
                  <c:v>-0.5064264676362763</c:v>
                </c:pt>
                <c:pt idx="170">
                  <c:v>0.76260549576383518</c:v>
                </c:pt>
                <c:pt idx="173">
                  <c:v>0.41791480462773695</c:v>
                </c:pt>
                <c:pt idx="176">
                  <c:v>0.8572126729995726</c:v>
                </c:pt>
                <c:pt idx="179">
                  <c:v>0.1204226134841614</c:v>
                </c:pt>
                <c:pt idx="182">
                  <c:v>-0.10857829454344983</c:v>
                </c:pt>
                <c:pt idx="185">
                  <c:v>-0.70360288465247278</c:v>
                </c:pt>
                <c:pt idx="188">
                  <c:v>-0.46033185511695751</c:v>
                </c:pt>
                <c:pt idx="191">
                  <c:v>-0.42399129465804891</c:v>
                </c:pt>
                <c:pt idx="194">
                  <c:v>-0.34819132610277781</c:v>
                </c:pt>
                <c:pt idx="197">
                  <c:v>-0.67756923380470924</c:v>
                </c:pt>
                <c:pt idx="200">
                  <c:v>-0.3717357472510322</c:v>
                </c:pt>
                <c:pt idx="203">
                  <c:v>-0.32846207896166341</c:v>
                </c:pt>
                <c:pt idx="206">
                  <c:v>0.43125557716192531</c:v>
                </c:pt>
                <c:pt idx="209">
                  <c:v>0.89633214223829272</c:v>
                </c:pt>
                <c:pt idx="212">
                  <c:v>1.7513734058782415</c:v>
                </c:pt>
                <c:pt idx="215">
                  <c:v>2.0889655888257255</c:v>
                </c:pt>
                <c:pt idx="218">
                  <c:v>0.80868000437221788</c:v>
                </c:pt>
                <c:pt idx="221">
                  <c:v>-0.41435969369152048</c:v>
                </c:pt>
                <c:pt idx="224">
                  <c:v>0.37842889592150464</c:v>
                </c:pt>
                <c:pt idx="227">
                  <c:v>-7.8770591324551928E-2</c:v>
                </c:pt>
                <c:pt idx="230">
                  <c:v>0.15256145655748202</c:v>
                </c:pt>
                <c:pt idx="233">
                  <c:v>-0.12168330303120908</c:v>
                </c:pt>
                <c:pt idx="236">
                  <c:v>-0.44374795622316665</c:v>
                </c:pt>
                <c:pt idx="239">
                  <c:v>0.51422167615168524</c:v>
                </c:pt>
                <c:pt idx="242">
                  <c:v>2.408631479917386</c:v>
                </c:pt>
                <c:pt idx="245">
                  <c:v>1.187775797632584</c:v>
                </c:pt>
                <c:pt idx="248">
                  <c:v>0.96037315052437155</c:v>
                </c:pt>
                <c:pt idx="251">
                  <c:v>1.3339586445600542</c:v>
                </c:pt>
                <c:pt idx="254">
                  <c:v>0.75845677959798696</c:v>
                </c:pt>
                <c:pt idx="257">
                  <c:v>0.49957323559253475</c:v>
                </c:pt>
                <c:pt idx="260">
                  <c:v>0.36487703232249008</c:v>
                </c:pt>
                <c:pt idx="263">
                  <c:v>1.0060090283486995</c:v>
                </c:pt>
                <c:pt idx="266">
                  <c:v>-0.15846432190243906</c:v>
                </c:pt>
                <c:pt idx="269">
                  <c:v>-0.62871307497411466</c:v>
                </c:pt>
                <c:pt idx="272">
                  <c:v>6.8446548380701926E-3</c:v>
                </c:pt>
                <c:pt idx="275">
                  <c:v>2.1278072585678776</c:v>
                </c:pt>
                <c:pt idx="278">
                  <c:v>3.9297573483114396</c:v>
                </c:pt>
                <c:pt idx="281">
                  <c:v>1.0527049305678264</c:v>
                </c:pt>
                <c:pt idx="284">
                  <c:v>2.0838527987490907</c:v>
                </c:pt>
                <c:pt idx="287">
                  <c:v>1.2923069963575531</c:v>
                </c:pt>
                <c:pt idx="290">
                  <c:v>0.30081866156787579</c:v>
                </c:pt>
                <c:pt idx="293">
                  <c:v>-0.1705266684639356</c:v>
                </c:pt>
                <c:pt idx="296">
                  <c:v>0.4002416392868775</c:v>
                </c:pt>
                <c:pt idx="299">
                  <c:v>-0.13077575365900396</c:v>
                </c:pt>
                <c:pt idx="302">
                  <c:v>-0.29051046418548832</c:v>
                </c:pt>
                <c:pt idx="305">
                  <c:v>-0.59380537507645048</c:v>
                </c:pt>
                <c:pt idx="308">
                  <c:v>-0.34616174491239277</c:v>
                </c:pt>
                <c:pt idx="311">
                  <c:v>-8.4536758506600571E-2</c:v>
                </c:pt>
                <c:pt idx="314">
                  <c:v>0.18823676032724143</c:v>
                </c:pt>
                <c:pt idx="317">
                  <c:v>0.15488254445643676</c:v>
                </c:pt>
                <c:pt idx="320">
                  <c:v>0.54078625301098115</c:v>
                </c:pt>
                <c:pt idx="323">
                  <c:v>1.826705501597188</c:v>
                </c:pt>
                <c:pt idx="326">
                  <c:v>0.77572786672012961</c:v>
                </c:pt>
                <c:pt idx="329">
                  <c:v>-0.48889951255676839</c:v>
                </c:pt>
                <c:pt idx="332">
                  <c:v>-0.54272316501677953</c:v>
                </c:pt>
                <c:pt idx="335">
                  <c:v>-0.24153002663274487</c:v>
                </c:pt>
                <c:pt idx="338">
                  <c:v>-0.46404376812701803</c:v>
                </c:pt>
                <c:pt idx="341">
                  <c:v>-0.11259085240341443</c:v>
                </c:pt>
                <c:pt idx="344">
                  <c:v>-0.85634417561568932</c:v>
                </c:pt>
                <c:pt idx="347">
                  <c:v>0.33462978450540409</c:v>
                </c:pt>
                <c:pt idx="350">
                  <c:v>1.2112516827208302</c:v>
                </c:pt>
                <c:pt idx="353">
                  <c:v>1.0464909944603891</c:v>
                </c:pt>
                <c:pt idx="356">
                  <c:v>0.36186144568211615</c:v>
                </c:pt>
                <c:pt idx="359">
                  <c:v>1.0281233303781101</c:v>
                </c:pt>
                <c:pt idx="362">
                  <c:v>0.10380033439676574</c:v>
                </c:pt>
                <c:pt idx="365">
                  <c:v>-0.23805753292564727</c:v>
                </c:pt>
                <c:pt idx="368">
                  <c:v>-0.51421216405324222</c:v>
                </c:pt>
                <c:pt idx="371">
                  <c:v>0.26527129177679903</c:v>
                </c:pt>
                <c:pt idx="374">
                  <c:v>1.1692162325822817</c:v>
                </c:pt>
                <c:pt idx="377">
                  <c:v>0.5157477457545413</c:v>
                </c:pt>
                <c:pt idx="380">
                  <c:v>-0.65950861127126859</c:v>
                </c:pt>
                <c:pt idx="383">
                  <c:v>-1.1614390657553451E-2</c:v>
                </c:pt>
                <c:pt idx="386">
                  <c:v>0.49335929948509682</c:v>
                </c:pt>
                <c:pt idx="389">
                  <c:v>0.49070923849810155</c:v>
                </c:pt>
                <c:pt idx="393">
                  <c:v>0.59086326752386054</c:v>
                </c:pt>
                <c:pt idx="396">
                  <c:v>0.70381069441787403</c:v>
                </c:pt>
                <c:pt idx="399">
                  <c:v>1.0499911371856862E-2</c:v>
                </c:pt>
                <c:pt idx="402">
                  <c:v>-0.45910917180640587</c:v>
                </c:pt>
                <c:pt idx="405">
                  <c:v>-0.4340706645499659</c:v>
                </c:pt>
                <c:pt idx="408">
                  <c:v>-0.40638209630653083</c:v>
                </c:pt>
                <c:pt idx="411">
                  <c:v>-0.28146370426436584</c:v>
                </c:pt>
                <c:pt idx="415">
                  <c:v>-0.62613155004712773</c:v>
                </c:pt>
                <c:pt idx="418">
                  <c:v>-0.76368342248419341</c:v>
                </c:pt>
                <c:pt idx="422">
                  <c:v>-0.57692265896102246</c:v>
                </c:pt>
                <c:pt idx="426">
                  <c:v>4.8743032856601788E-2</c:v>
                </c:pt>
                <c:pt idx="429">
                  <c:v>-0.59097255126276571</c:v>
                </c:pt>
                <c:pt idx="433">
                  <c:v>1.3297733758288681</c:v>
                </c:pt>
                <c:pt idx="437">
                  <c:v>0.73876408502221025</c:v>
                </c:pt>
                <c:pt idx="441">
                  <c:v>-0.49358280999068288</c:v>
                </c:pt>
                <c:pt idx="444">
                  <c:v>5.3933731728799859E-4</c:v>
                </c:pt>
                <c:pt idx="447">
                  <c:v>-0.40793558033339017</c:v>
                </c:pt>
                <c:pt idx="450">
                  <c:v>-0.25788729962144069</c:v>
                </c:pt>
                <c:pt idx="453">
                  <c:v>-0.42685153289573685</c:v>
                </c:pt>
                <c:pt idx="456">
                  <c:v>-0.75820053768351303</c:v>
                </c:pt>
                <c:pt idx="460">
                  <c:v>-0.60043052754393911</c:v>
                </c:pt>
                <c:pt idx="464">
                  <c:v>-4.5014297235030511E-2</c:v>
                </c:pt>
                <c:pt idx="467">
                  <c:v>0.62522267894145711</c:v>
                </c:pt>
                <c:pt idx="470">
                  <c:v>0.70417622007125247</c:v>
                </c:pt>
                <c:pt idx="473">
                  <c:v>1.2551147611262721</c:v>
                </c:pt>
                <c:pt idx="476">
                  <c:v>2.2399322527417884</c:v>
                </c:pt>
                <c:pt idx="479">
                  <c:v>0.38763100424531316</c:v>
                </c:pt>
                <c:pt idx="482">
                  <c:v>0.51647879706129851</c:v>
                </c:pt>
                <c:pt idx="485">
                  <c:v>-0.46249028410015869</c:v>
                </c:pt>
                <c:pt idx="488">
                  <c:v>-0.27680325218378765</c:v>
                </c:pt>
                <c:pt idx="491">
                  <c:v>0.53338435853006283</c:v>
                </c:pt>
                <c:pt idx="495">
                  <c:v>1.4555142005911348</c:v>
                </c:pt>
                <c:pt idx="498">
                  <c:v>-1.0159875047288291</c:v>
                </c:pt>
                <c:pt idx="502">
                  <c:v>-0.94221985880634374</c:v>
                </c:pt>
                <c:pt idx="505">
                  <c:v>0.47672788225636736</c:v>
                </c:pt>
                <c:pt idx="508">
                  <c:v>-9.3309374187688962E-2</c:v>
                </c:pt>
                <c:pt idx="511">
                  <c:v>-0.37988148643657615</c:v>
                </c:pt>
                <c:pt idx="514">
                  <c:v>-0.52910733442842361</c:v>
                </c:pt>
                <c:pt idx="517">
                  <c:v>-0.77656820176579189</c:v>
                </c:pt>
                <c:pt idx="520">
                  <c:v>-0.77547162480565568</c:v>
                </c:pt>
                <c:pt idx="523">
                  <c:v>-0.31746798112216612</c:v>
                </c:pt>
                <c:pt idx="526">
                  <c:v>-0.49675831410441007</c:v>
                </c:pt>
                <c:pt idx="529">
                  <c:v>-0.26784787367601004</c:v>
                </c:pt>
                <c:pt idx="532">
                  <c:v>-8.3257418719775197E-2</c:v>
                </c:pt>
                <c:pt idx="535">
                  <c:v>-0.51768465776033978</c:v>
                </c:pt>
                <c:pt idx="538">
                  <c:v>-0.78488391038015692</c:v>
                </c:pt>
                <c:pt idx="541">
                  <c:v>-0.30120208954681482</c:v>
                </c:pt>
                <c:pt idx="544">
                  <c:v>-0.44330018729777776</c:v>
                </c:pt>
                <c:pt idx="547">
                  <c:v>-0.41387537220079373</c:v>
                </c:pt>
                <c:pt idx="550">
                  <c:v>-0.54482493752370709</c:v>
                </c:pt>
                <c:pt idx="553">
                  <c:v>-0.73526380293400062</c:v>
                </c:pt>
                <c:pt idx="556">
                  <c:v>-0.64973080004338901</c:v>
                </c:pt>
                <c:pt idx="559">
                  <c:v>-0.49995666357147356</c:v>
                </c:pt>
                <c:pt idx="562">
                  <c:v>-0.1909961050531418</c:v>
                </c:pt>
                <c:pt idx="568">
                  <c:v>1.3258439750550475</c:v>
                </c:pt>
                <c:pt idx="571">
                  <c:v>-0.59261741670296975</c:v>
                </c:pt>
                <c:pt idx="574">
                  <c:v>-0.20424640998811905</c:v>
                </c:pt>
                <c:pt idx="577">
                  <c:v>-0.32084909341591905</c:v>
                </c:pt>
                <c:pt idx="580">
                  <c:v>-4.9263532955557778E-2</c:v>
                </c:pt>
                <c:pt idx="583">
                  <c:v>0.72766124330083259</c:v>
                </c:pt>
                <c:pt idx="586">
                  <c:v>0.68014290836160418</c:v>
                </c:pt>
                <c:pt idx="589">
                  <c:v>0.20185259091559746</c:v>
                </c:pt>
                <c:pt idx="592">
                  <c:v>-0.7785785928593747</c:v>
                </c:pt>
                <c:pt idx="595">
                  <c:v>-0.60349180489098553</c:v>
                </c:pt>
                <c:pt idx="598">
                  <c:v>-0.39870605758557848</c:v>
                </c:pt>
                <c:pt idx="601">
                  <c:v>-0.1949255058269628</c:v>
                </c:pt>
                <c:pt idx="604">
                  <c:v>-0.7334361746671072</c:v>
                </c:pt>
                <c:pt idx="607">
                  <c:v>-0.56072530344567961</c:v>
                </c:pt>
                <c:pt idx="610">
                  <c:v>0.64943875347779478</c:v>
                </c:pt>
                <c:pt idx="613">
                  <c:v>1.8681012818423228</c:v>
                </c:pt>
                <c:pt idx="616">
                  <c:v>0.83046533331358707</c:v>
                </c:pt>
                <c:pt idx="619">
                  <c:v>0.17078291037840942</c:v>
                </c:pt>
                <c:pt idx="622">
                  <c:v>1.7032492121685376</c:v>
                </c:pt>
                <c:pt idx="625">
                  <c:v>0.14784617562889704</c:v>
                </c:pt>
                <c:pt idx="628">
                  <c:v>-0.80480505848929507</c:v>
                </c:pt>
                <c:pt idx="631">
                  <c:v>-0.57872744187457981</c:v>
                </c:pt>
                <c:pt idx="640">
                  <c:v>-0.70373721533008926</c:v>
                </c:pt>
                <c:pt idx="643">
                  <c:v>-0.10107679432198585</c:v>
                </c:pt>
                <c:pt idx="646">
                  <c:v>1.4548745306977224</c:v>
                </c:pt>
                <c:pt idx="649">
                  <c:v>-0.11076322413652109</c:v>
                </c:pt>
                <c:pt idx="652">
                  <c:v>-0.6103454108918358</c:v>
                </c:pt>
                <c:pt idx="658">
                  <c:v>-0.54244902077674539</c:v>
                </c:pt>
                <c:pt idx="661">
                  <c:v>-0.78936159963404584</c:v>
                </c:pt>
                <c:pt idx="667">
                  <c:v>-0.54116968098992013</c:v>
                </c:pt>
                <c:pt idx="670">
                  <c:v>0.44766859281276161</c:v>
                </c:pt>
                <c:pt idx="673">
                  <c:v>-0.79502724726141527</c:v>
                </c:pt>
                <c:pt idx="676">
                  <c:v>-9.7787063441577698E-2</c:v>
                </c:pt>
                <c:pt idx="679">
                  <c:v>-0.61747316113272011</c:v>
                </c:pt>
                <c:pt idx="682">
                  <c:v>0.72318355404694379</c:v>
                </c:pt>
                <c:pt idx="685">
                  <c:v>-3.4733888233754909E-2</c:v>
                </c:pt>
                <c:pt idx="688">
                  <c:v>1.0391804813928152</c:v>
                </c:pt>
                <c:pt idx="691">
                  <c:v>-0.53367640509565706</c:v>
                </c:pt>
                <c:pt idx="694">
                  <c:v>0.22771353089213947</c:v>
                </c:pt>
                <c:pt idx="697">
                  <c:v>-0.51073967034614476</c:v>
                </c:pt>
                <c:pt idx="698">
                  <c:v>-0.27269108858327756</c:v>
                </c:pt>
                <c:pt idx="712">
                  <c:v>-1.0133374437418337</c:v>
                </c:pt>
                <c:pt idx="715">
                  <c:v>-0.84711465286787768</c:v>
                </c:pt>
                <c:pt idx="718">
                  <c:v>-0.10354409248229206</c:v>
                </c:pt>
                <c:pt idx="721">
                  <c:v>-0.28539310503818682</c:v>
                </c:pt>
                <c:pt idx="724">
                  <c:v>-0.31806196030890649</c:v>
                </c:pt>
                <c:pt idx="727">
                  <c:v>-0.3346476868309643</c:v>
                </c:pt>
                <c:pt idx="730">
                  <c:v>-0.54692671003063431</c:v>
                </c:pt>
                <c:pt idx="733">
                  <c:v>-0.80855169643642655</c:v>
                </c:pt>
                <c:pt idx="739">
                  <c:v>-0.83267638955941958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9D-B943-AC25-0A07E6124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095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Fuco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'Fuco update'!$B$3:$B$742</c:f>
              <c:numCache>
                <c:formatCode>[$-409]mmm\-yy;@</c:formatCode>
                <c:ptCount val="740"/>
                <c:pt idx="0">
                  <c:v>36445</c:v>
                </c:pt>
                <c:pt idx="1">
                  <c:v>36446</c:v>
                </c:pt>
                <c:pt idx="2">
                  <c:v>36445</c:v>
                </c:pt>
                <c:pt idx="3">
                  <c:v>36472</c:v>
                </c:pt>
                <c:pt idx="4">
                  <c:v>36473</c:v>
                </c:pt>
                <c:pt idx="5">
                  <c:v>36472</c:v>
                </c:pt>
                <c:pt idx="6">
                  <c:v>36501</c:v>
                </c:pt>
                <c:pt idx="7">
                  <c:v>36502</c:v>
                </c:pt>
                <c:pt idx="8">
                  <c:v>36501</c:v>
                </c:pt>
                <c:pt idx="9">
                  <c:v>36530</c:v>
                </c:pt>
                <c:pt idx="10">
                  <c:v>36531</c:v>
                </c:pt>
                <c:pt idx="11">
                  <c:v>36530</c:v>
                </c:pt>
                <c:pt idx="12">
                  <c:v>36579</c:v>
                </c:pt>
                <c:pt idx="13">
                  <c:v>36578</c:v>
                </c:pt>
                <c:pt idx="14">
                  <c:v>36579</c:v>
                </c:pt>
                <c:pt idx="15">
                  <c:v>36598</c:v>
                </c:pt>
                <c:pt idx="16">
                  <c:v>36599</c:v>
                </c:pt>
                <c:pt idx="17">
                  <c:v>36598</c:v>
                </c:pt>
                <c:pt idx="18">
                  <c:v>36627</c:v>
                </c:pt>
                <c:pt idx="19">
                  <c:v>36626</c:v>
                </c:pt>
                <c:pt idx="20">
                  <c:v>36627</c:v>
                </c:pt>
                <c:pt idx="21">
                  <c:v>36662</c:v>
                </c:pt>
                <c:pt idx="22">
                  <c:v>36663</c:v>
                </c:pt>
                <c:pt idx="23">
                  <c:v>36662</c:v>
                </c:pt>
                <c:pt idx="24">
                  <c:v>36690</c:v>
                </c:pt>
                <c:pt idx="25">
                  <c:v>36692</c:v>
                </c:pt>
                <c:pt idx="26">
                  <c:v>36690</c:v>
                </c:pt>
                <c:pt idx="27">
                  <c:v>36718</c:v>
                </c:pt>
                <c:pt idx="28">
                  <c:v>36719</c:v>
                </c:pt>
                <c:pt idx="29">
                  <c:v>36718</c:v>
                </c:pt>
                <c:pt idx="30">
                  <c:v>36753</c:v>
                </c:pt>
                <c:pt idx="31">
                  <c:v>36755</c:v>
                </c:pt>
                <c:pt idx="32">
                  <c:v>36753</c:v>
                </c:pt>
                <c:pt idx="33">
                  <c:v>36781</c:v>
                </c:pt>
                <c:pt idx="34">
                  <c:v>36783</c:v>
                </c:pt>
                <c:pt idx="35">
                  <c:v>36781</c:v>
                </c:pt>
                <c:pt idx="36">
                  <c:v>36817</c:v>
                </c:pt>
                <c:pt idx="37">
                  <c:v>36815</c:v>
                </c:pt>
                <c:pt idx="38">
                  <c:v>36817</c:v>
                </c:pt>
                <c:pt idx="39">
                  <c:v>36845</c:v>
                </c:pt>
                <c:pt idx="40">
                  <c:v>36846</c:v>
                </c:pt>
                <c:pt idx="41">
                  <c:v>36845</c:v>
                </c:pt>
                <c:pt idx="42">
                  <c:v>36871</c:v>
                </c:pt>
                <c:pt idx="43">
                  <c:v>36873</c:v>
                </c:pt>
                <c:pt idx="44">
                  <c:v>36871</c:v>
                </c:pt>
                <c:pt idx="45">
                  <c:v>36901</c:v>
                </c:pt>
                <c:pt idx="46">
                  <c:v>36902</c:v>
                </c:pt>
                <c:pt idx="47">
                  <c:v>36901</c:v>
                </c:pt>
                <c:pt idx="48">
                  <c:v>36928</c:v>
                </c:pt>
                <c:pt idx="49">
                  <c:v>36929</c:v>
                </c:pt>
                <c:pt idx="50">
                  <c:v>36928</c:v>
                </c:pt>
                <c:pt idx="51">
                  <c:v>36965</c:v>
                </c:pt>
                <c:pt idx="52">
                  <c:v>36962</c:v>
                </c:pt>
                <c:pt idx="53">
                  <c:v>36964</c:v>
                </c:pt>
                <c:pt idx="54">
                  <c:v>37000</c:v>
                </c:pt>
                <c:pt idx="55">
                  <c:v>36998</c:v>
                </c:pt>
                <c:pt idx="56">
                  <c:v>36997</c:v>
                </c:pt>
                <c:pt idx="57">
                  <c:v>37026</c:v>
                </c:pt>
                <c:pt idx="58">
                  <c:v>37025</c:v>
                </c:pt>
                <c:pt idx="59">
                  <c:v>37026</c:v>
                </c:pt>
                <c:pt idx="60">
                  <c:v>37055</c:v>
                </c:pt>
                <c:pt idx="61">
                  <c:v>37054</c:v>
                </c:pt>
                <c:pt idx="62">
                  <c:v>37055</c:v>
                </c:pt>
                <c:pt idx="63">
                  <c:v>37092</c:v>
                </c:pt>
                <c:pt idx="64">
                  <c:v>37090</c:v>
                </c:pt>
                <c:pt idx="65">
                  <c:v>37092</c:v>
                </c:pt>
                <c:pt idx="66">
                  <c:v>37118</c:v>
                </c:pt>
                <c:pt idx="67">
                  <c:v>37117</c:v>
                </c:pt>
                <c:pt idx="68">
                  <c:v>37118</c:v>
                </c:pt>
                <c:pt idx="69">
                  <c:v>37152</c:v>
                </c:pt>
                <c:pt idx="70">
                  <c:v>37145</c:v>
                </c:pt>
                <c:pt idx="71">
                  <c:v>37145</c:v>
                </c:pt>
                <c:pt idx="72">
                  <c:v>37180</c:v>
                </c:pt>
                <c:pt idx="73">
                  <c:v>37182</c:v>
                </c:pt>
                <c:pt idx="74">
                  <c:v>37180</c:v>
                </c:pt>
                <c:pt idx="75">
                  <c:v>37201</c:v>
                </c:pt>
                <c:pt idx="76">
                  <c:v>37202</c:v>
                </c:pt>
                <c:pt idx="77">
                  <c:v>37201</c:v>
                </c:pt>
                <c:pt idx="78">
                  <c:v>37229</c:v>
                </c:pt>
                <c:pt idx="79">
                  <c:v>37230</c:v>
                </c:pt>
                <c:pt idx="80">
                  <c:v>37229</c:v>
                </c:pt>
                <c:pt idx="81">
                  <c:v>37271</c:v>
                </c:pt>
                <c:pt idx="82">
                  <c:v>37272</c:v>
                </c:pt>
                <c:pt idx="83">
                  <c:v>37271</c:v>
                </c:pt>
                <c:pt idx="84">
                  <c:v>37306</c:v>
                </c:pt>
                <c:pt idx="85">
                  <c:v>37301</c:v>
                </c:pt>
                <c:pt idx="86">
                  <c:v>37306</c:v>
                </c:pt>
                <c:pt idx="87">
                  <c:v>37334</c:v>
                </c:pt>
                <c:pt idx="88">
                  <c:v>37336</c:v>
                </c:pt>
                <c:pt idx="89">
                  <c:v>37336</c:v>
                </c:pt>
                <c:pt idx="90">
                  <c:v>37362</c:v>
                </c:pt>
                <c:pt idx="91">
                  <c:v>37363</c:v>
                </c:pt>
                <c:pt idx="92">
                  <c:v>37362</c:v>
                </c:pt>
                <c:pt idx="93">
                  <c:v>37392</c:v>
                </c:pt>
                <c:pt idx="94">
                  <c:v>37392</c:v>
                </c:pt>
                <c:pt idx="95">
                  <c:v>37392</c:v>
                </c:pt>
                <c:pt idx="96">
                  <c:v>37419</c:v>
                </c:pt>
                <c:pt idx="97">
                  <c:v>37420</c:v>
                </c:pt>
                <c:pt idx="98">
                  <c:v>37419</c:v>
                </c:pt>
                <c:pt idx="99">
                  <c:v>37454</c:v>
                </c:pt>
                <c:pt idx="100">
                  <c:v>37453</c:v>
                </c:pt>
                <c:pt idx="101">
                  <c:v>37454</c:v>
                </c:pt>
                <c:pt idx="102">
                  <c:v>37482</c:v>
                </c:pt>
                <c:pt idx="103">
                  <c:v>37481</c:v>
                </c:pt>
                <c:pt idx="104">
                  <c:v>37482</c:v>
                </c:pt>
                <c:pt idx="105">
                  <c:v>37517</c:v>
                </c:pt>
                <c:pt idx="106">
                  <c:v>37518</c:v>
                </c:pt>
                <c:pt idx="107">
                  <c:v>37517</c:v>
                </c:pt>
                <c:pt idx="108">
                  <c:v>37544</c:v>
                </c:pt>
                <c:pt idx="109">
                  <c:v>37546</c:v>
                </c:pt>
                <c:pt idx="110">
                  <c:v>37546</c:v>
                </c:pt>
                <c:pt idx="111">
                  <c:v>37575</c:v>
                </c:pt>
                <c:pt idx="112">
                  <c:v>37574</c:v>
                </c:pt>
                <c:pt idx="113">
                  <c:v>37574</c:v>
                </c:pt>
                <c:pt idx="114">
                  <c:v>37609</c:v>
                </c:pt>
                <c:pt idx="115">
                  <c:v>37608</c:v>
                </c:pt>
                <c:pt idx="116">
                  <c:v>37608</c:v>
                </c:pt>
                <c:pt idx="117">
                  <c:v>37635</c:v>
                </c:pt>
                <c:pt idx="118">
                  <c:v>37636</c:v>
                </c:pt>
                <c:pt idx="119">
                  <c:v>37636</c:v>
                </c:pt>
                <c:pt idx="120">
                  <c:v>37665</c:v>
                </c:pt>
                <c:pt idx="121">
                  <c:v>37663</c:v>
                </c:pt>
                <c:pt idx="122">
                  <c:v>37663</c:v>
                </c:pt>
                <c:pt idx="123">
                  <c:v>37692</c:v>
                </c:pt>
                <c:pt idx="124">
                  <c:v>37691</c:v>
                </c:pt>
                <c:pt idx="125">
                  <c:v>37692</c:v>
                </c:pt>
                <c:pt idx="126">
                  <c:v>37726</c:v>
                </c:pt>
                <c:pt idx="127">
                  <c:v>37727</c:v>
                </c:pt>
                <c:pt idx="128">
                  <c:v>37726</c:v>
                </c:pt>
                <c:pt idx="129">
                  <c:v>37761</c:v>
                </c:pt>
                <c:pt idx="130">
                  <c:v>37756</c:v>
                </c:pt>
                <c:pt idx="131">
                  <c:v>37761</c:v>
                </c:pt>
                <c:pt idx="132">
                  <c:v>37792</c:v>
                </c:pt>
                <c:pt idx="133">
                  <c:v>37790</c:v>
                </c:pt>
                <c:pt idx="134">
                  <c:v>37790</c:v>
                </c:pt>
                <c:pt idx="135">
                  <c:v>37819</c:v>
                </c:pt>
                <c:pt idx="136">
                  <c:v>37818</c:v>
                </c:pt>
                <c:pt idx="137">
                  <c:v>37819</c:v>
                </c:pt>
                <c:pt idx="138">
                  <c:v>37847</c:v>
                </c:pt>
                <c:pt idx="139">
                  <c:v>37846</c:v>
                </c:pt>
                <c:pt idx="140">
                  <c:v>37847</c:v>
                </c:pt>
                <c:pt idx="141">
                  <c:v>37888</c:v>
                </c:pt>
                <c:pt idx="142">
                  <c:v>37886</c:v>
                </c:pt>
                <c:pt idx="143">
                  <c:v>37886</c:v>
                </c:pt>
                <c:pt idx="144">
                  <c:v>37910</c:v>
                </c:pt>
                <c:pt idx="145">
                  <c:v>37910</c:v>
                </c:pt>
                <c:pt idx="146">
                  <c:v>37910</c:v>
                </c:pt>
                <c:pt idx="147">
                  <c:v>37943</c:v>
                </c:pt>
                <c:pt idx="148">
                  <c:v>37942</c:v>
                </c:pt>
                <c:pt idx="149">
                  <c:v>37942</c:v>
                </c:pt>
                <c:pt idx="150">
                  <c:v>37973</c:v>
                </c:pt>
                <c:pt idx="151">
                  <c:v>37971</c:v>
                </c:pt>
                <c:pt idx="152">
                  <c:v>37971</c:v>
                </c:pt>
                <c:pt idx="153">
                  <c:v>37999</c:v>
                </c:pt>
                <c:pt idx="156">
                  <c:v>38027</c:v>
                </c:pt>
                <c:pt idx="157">
                  <c:v>38026</c:v>
                </c:pt>
                <c:pt idx="158">
                  <c:v>38026</c:v>
                </c:pt>
                <c:pt idx="159">
                  <c:v>38063</c:v>
                </c:pt>
                <c:pt idx="160">
                  <c:v>38061</c:v>
                </c:pt>
                <c:pt idx="161">
                  <c:v>38063</c:v>
                </c:pt>
                <c:pt idx="162">
                  <c:v>38094</c:v>
                </c:pt>
                <c:pt idx="163">
                  <c:v>38093</c:v>
                </c:pt>
                <c:pt idx="164">
                  <c:v>38094</c:v>
                </c:pt>
                <c:pt idx="165">
                  <c:v>38118</c:v>
                </c:pt>
                <c:pt idx="166">
                  <c:v>38117</c:v>
                </c:pt>
                <c:pt idx="167">
                  <c:v>38118</c:v>
                </c:pt>
                <c:pt idx="168">
                  <c:v>38153</c:v>
                </c:pt>
                <c:pt idx="169">
                  <c:v>38160</c:v>
                </c:pt>
                <c:pt idx="170">
                  <c:v>38155</c:v>
                </c:pt>
                <c:pt idx="171">
                  <c:v>38181</c:v>
                </c:pt>
                <c:pt idx="172">
                  <c:v>38182</c:v>
                </c:pt>
                <c:pt idx="173">
                  <c:v>38182</c:v>
                </c:pt>
                <c:pt idx="174">
                  <c:v>38217</c:v>
                </c:pt>
                <c:pt idx="175">
                  <c:v>38218</c:v>
                </c:pt>
                <c:pt idx="176">
                  <c:v>38218</c:v>
                </c:pt>
                <c:pt idx="177">
                  <c:v>38244</c:v>
                </c:pt>
                <c:pt idx="178">
                  <c:v>38246</c:v>
                </c:pt>
                <c:pt idx="179">
                  <c:v>38246</c:v>
                </c:pt>
                <c:pt idx="180">
                  <c:v>38273</c:v>
                </c:pt>
                <c:pt idx="181">
                  <c:v>38274</c:v>
                </c:pt>
                <c:pt idx="182">
                  <c:v>38273</c:v>
                </c:pt>
                <c:pt idx="183">
                  <c:v>38307</c:v>
                </c:pt>
                <c:pt idx="184">
                  <c:v>38309</c:v>
                </c:pt>
                <c:pt idx="185">
                  <c:v>38307</c:v>
                </c:pt>
                <c:pt idx="186">
                  <c:v>38337</c:v>
                </c:pt>
                <c:pt idx="187">
                  <c:v>38337</c:v>
                </c:pt>
                <c:pt idx="188">
                  <c:v>38337</c:v>
                </c:pt>
                <c:pt idx="189">
                  <c:v>38363</c:v>
                </c:pt>
                <c:pt idx="190">
                  <c:v>38364</c:v>
                </c:pt>
                <c:pt idx="191">
                  <c:v>38363</c:v>
                </c:pt>
                <c:pt idx="192">
                  <c:v>38399</c:v>
                </c:pt>
                <c:pt idx="193">
                  <c:v>38398</c:v>
                </c:pt>
                <c:pt idx="194">
                  <c:v>38398</c:v>
                </c:pt>
                <c:pt idx="195">
                  <c:v>38428</c:v>
                </c:pt>
                <c:pt idx="196">
                  <c:v>38427</c:v>
                </c:pt>
                <c:pt idx="197">
                  <c:v>38427</c:v>
                </c:pt>
                <c:pt idx="198">
                  <c:v>38469</c:v>
                </c:pt>
                <c:pt idx="199">
                  <c:v>38470</c:v>
                </c:pt>
                <c:pt idx="200">
                  <c:v>38469</c:v>
                </c:pt>
                <c:pt idx="201">
                  <c:v>38490</c:v>
                </c:pt>
                <c:pt idx="202">
                  <c:v>38488</c:v>
                </c:pt>
                <c:pt idx="203">
                  <c:v>38488</c:v>
                </c:pt>
                <c:pt idx="204">
                  <c:v>38518</c:v>
                </c:pt>
                <c:pt idx="205">
                  <c:v>38525</c:v>
                </c:pt>
                <c:pt idx="206">
                  <c:v>38525</c:v>
                </c:pt>
                <c:pt idx="207">
                  <c:v>38547</c:v>
                </c:pt>
                <c:pt idx="208">
                  <c:v>38546</c:v>
                </c:pt>
                <c:pt idx="209">
                  <c:v>38546</c:v>
                </c:pt>
                <c:pt idx="210">
                  <c:v>38587</c:v>
                </c:pt>
                <c:pt idx="211">
                  <c:v>38587</c:v>
                </c:pt>
                <c:pt idx="212">
                  <c:v>38587</c:v>
                </c:pt>
                <c:pt idx="213">
                  <c:v>38608</c:v>
                </c:pt>
                <c:pt idx="214">
                  <c:v>38609</c:v>
                </c:pt>
                <c:pt idx="215">
                  <c:v>38609</c:v>
                </c:pt>
                <c:pt idx="216">
                  <c:v>38636</c:v>
                </c:pt>
                <c:pt idx="217">
                  <c:v>38642</c:v>
                </c:pt>
                <c:pt idx="218">
                  <c:v>38637</c:v>
                </c:pt>
                <c:pt idx="219">
                  <c:v>38671</c:v>
                </c:pt>
                <c:pt idx="220">
                  <c:v>38670</c:v>
                </c:pt>
                <c:pt idx="221">
                  <c:v>38670</c:v>
                </c:pt>
                <c:pt idx="222">
                  <c:v>38707</c:v>
                </c:pt>
                <c:pt idx="223">
                  <c:v>38706</c:v>
                </c:pt>
                <c:pt idx="224">
                  <c:v>38706</c:v>
                </c:pt>
                <c:pt idx="225">
                  <c:v>38734</c:v>
                </c:pt>
                <c:pt idx="226">
                  <c:v>38740</c:v>
                </c:pt>
                <c:pt idx="227">
                  <c:v>38737</c:v>
                </c:pt>
                <c:pt idx="228">
                  <c:v>38762</c:v>
                </c:pt>
                <c:pt idx="229">
                  <c:v>38763</c:v>
                </c:pt>
                <c:pt idx="230">
                  <c:v>38763</c:v>
                </c:pt>
                <c:pt idx="231">
                  <c:v>38789</c:v>
                </c:pt>
                <c:pt idx="232">
                  <c:v>38792</c:v>
                </c:pt>
                <c:pt idx="233">
                  <c:v>38792</c:v>
                </c:pt>
                <c:pt idx="234">
                  <c:v>38825</c:v>
                </c:pt>
                <c:pt idx="235">
                  <c:v>38826</c:v>
                </c:pt>
                <c:pt idx="236">
                  <c:v>38826</c:v>
                </c:pt>
                <c:pt idx="237">
                  <c:v>38852</c:v>
                </c:pt>
                <c:pt idx="238">
                  <c:v>38853</c:v>
                </c:pt>
                <c:pt idx="239">
                  <c:v>38853</c:v>
                </c:pt>
                <c:pt idx="240">
                  <c:v>38883</c:v>
                </c:pt>
                <c:pt idx="241">
                  <c:v>38884</c:v>
                </c:pt>
                <c:pt idx="242">
                  <c:v>38884</c:v>
                </c:pt>
                <c:pt idx="243">
                  <c:v>38916</c:v>
                </c:pt>
                <c:pt idx="244">
                  <c:v>38915</c:v>
                </c:pt>
                <c:pt idx="245">
                  <c:v>38915</c:v>
                </c:pt>
                <c:pt idx="246">
                  <c:v>38953</c:v>
                </c:pt>
                <c:pt idx="247">
                  <c:v>38952</c:v>
                </c:pt>
                <c:pt idx="248">
                  <c:v>38952</c:v>
                </c:pt>
                <c:pt idx="249">
                  <c:v>38972</c:v>
                </c:pt>
                <c:pt idx="250">
                  <c:v>38975</c:v>
                </c:pt>
                <c:pt idx="251">
                  <c:v>38975</c:v>
                </c:pt>
                <c:pt idx="252">
                  <c:v>39008</c:v>
                </c:pt>
                <c:pt idx="253">
                  <c:v>39006</c:v>
                </c:pt>
                <c:pt idx="254">
                  <c:v>39006</c:v>
                </c:pt>
                <c:pt idx="255">
                  <c:v>39035</c:v>
                </c:pt>
                <c:pt idx="256">
                  <c:v>39041</c:v>
                </c:pt>
                <c:pt idx="257">
                  <c:v>39041</c:v>
                </c:pt>
                <c:pt idx="258">
                  <c:v>39063</c:v>
                </c:pt>
                <c:pt idx="259">
                  <c:v>39062</c:v>
                </c:pt>
                <c:pt idx="260">
                  <c:v>39062</c:v>
                </c:pt>
                <c:pt idx="261">
                  <c:v>39100</c:v>
                </c:pt>
                <c:pt idx="262">
                  <c:v>39100</c:v>
                </c:pt>
                <c:pt idx="263">
                  <c:v>39100</c:v>
                </c:pt>
                <c:pt idx="264">
                  <c:v>39134</c:v>
                </c:pt>
                <c:pt idx="265">
                  <c:v>39135</c:v>
                </c:pt>
                <c:pt idx="266">
                  <c:v>39135</c:v>
                </c:pt>
                <c:pt idx="267">
                  <c:v>39154</c:v>
                </c:pt>
                <c:pt idx="268">
                  <c:v>39153</c:v>
                </c:pt>
                <c:pt idx="269">
                  <c:v>39153</c:v>
                </c:pt>
                <c:pt idx="270">
                  <c:v>39190</c:v>
                </c:pt>
                <c:pt idx="271">
                  <c:v>39191</c:v>
                </c:pt>
                <c:pt idx="272">
                  <c:v>39191</c:v>
                </c:pt>
                <c:pt idx="273">
                  <c:v>39217</c:v>
                </c:pt>
                <c:pt idx="274">
                  <c:v>39216</c:v>
                </c:pt>
                <c:pt idx="275">
                  <c:v>39216</c:v>
                </c:pt>
                <c:pt idx="276">
                  <c:v>39246</c:v>
                </c:pt>
                <c:pt idx="277">
                  <c:v>39248</c:v>
                </c:pt>
                <c:pt idx="278">
                  <c:v>39248</c:v>
                </c:pt>
                <c:pt idx="279">
                  <c:v>39280</c:v>
                </c:pt>
                <c:pt idx="280">
                  <c:v>39279</c:v>
                </c:pt>
                <c:pt idx="281">
                  <c:v>39279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39336</c:v>
                </c:pt>
                <c:pt idx="286">
                  <c:v>39335</c:v>
                </c:pt>
                <c:pt idx="287">
                  <c:v>39335</c:v>
                </c:pt>
                <c:pt idx="288">
                  <c:v>39370</c:v>
                </c:pt>
                <c:pt idx="289">
                  <c:v>39370</c:v>
                </c:pt>
                <c:pt idx="290">
                  <c:v>39370</c:v>
                </c:pt>
                <c:pt idx="291">
                  <c:v>39400</c:v>
                </c:pt>
                <c:pt idx="292">
                  <c:v>39400</c:v>
                </c:pt>
                <c:pt idx="293">
                  <c:v>39400</c:v>
                </c:pt>
                <c:pt idx="294">
                  <c:v>39427</c:v>
                </c:pt>
                <c:pt idx="295">
                  <c:v>39434</c:v>
                </c:pt>
                <c:pt idx="296">
                  <c:v>39434</c:v>
                </c:pt>
                <c:pt idx="297">
                  <c:v>39462</c:v>
                </c:pt>
                <c:pt idx="298">
                  <c:v>39463</c:v>
                </c:pt>
                <c:pt idx="299">
                  <c:v>39463</c:v>
                </c:pt>
                <c:pt idx="300">
                  <c:v>39490</c:v>
                </c:pt>
                <c:pt idx="301">
                  <c:v>39493</c:v>
                </c:pt>
                <c:pt idx="302">
                  <c:v>39493</c:v>
                </c:pt>
                <c:pt idx="303">
                  <c:v>39517</c:v>
                </c:pt>
                <c:pt idx="304">
                  <c:v>39517</c:v>
                </c:pt>
                <c:pt idx="305">
                  <c:v>39517</c:v>
                </c:pt>
                <c:pt idx="306">
                  <c:v>39553</c:v>
                </c:pt>
                <c:pt idx="307">
                  <c:v>39552</c:v>
                </c:pt>
                <c:pt idx="308">
                  <c:v>39552</c:v>
                </c:pt>
                <c:pt idx="309">
                  <c:v>39582</c:v>
                </c:pt>
                <c:pt idx="310">
                  <c:v>39583</c:v>
                </c:pt>
                <c:pt idx="311">
                  <c:v>39583</c:v>
                </c:pt>
                <c:pt idx="312">
                  <c:v>39616</c:v>
                </c:pt>
                <c:pt idx="313">
                  <c:v>39617</c:v>
                </c:pt>
                <c:pt idx="314">
                  <c:v>39617</c:v>
                </c:pt>
                <c:pt idx="315">
                  <c:v>39644</c:v>
                </c:pt>
                <c:pt idx="316">
                  <c:v>39645</c:v>
                </c:pt>
                <c:pt idx="317">
                  <c:v>39645</c:v>
                </c:pt>
                <c:pt idx="318">
                  <c:v>39672</c:v>
                </c:pt>
                <c:pt idx="319">
                  <c:v>39672</c:v>
                </c:pt>
                <c:pt idx="320">
                  <c:v>39672</c:v>
                </c:pt>
                <c:pt idx="321">
                  <c:v>39709</c:v>
                </c:pt>
                <c:pt idx="322">
                  <c:v>39709</c:v>
                </c:pt>
                <c:pt idx="323">
                  <c:v>39709</c:v>
                </c:pt>
                <c:pt idx="324">
                  <c:v>39737</c:v>
                </c:pt>
                <c:pt idx="325">
                  <c:v>39735</c:v>
                </c:pt>
                <c:pt idx="326">
                  <c:v>39735</c:v>
                </c:pt>
                <c:pt idx="327">
                  <c:v>39763</c:v>
                </c:pt>
                <c:pt idx="328">
                  <c:v>39769</c:v>
                </c:pt>
                <c:pt idx="329">
                  <c:v>39769</c:v>
                </c:pt>
                <c:pt idx="330">
                  <c:v>39797</c:v>
                </c:pt>
                <c:pt idx="331">
                  <c:v>39797</c:v>
                </c:pt>
                <c:pt idx="332">
                  <c:v>39797</c:v>
                </c:pt>
                <c:pt idx="333">
                  <c:v>39825</c:v>
                </c:pt>
                <c:pt idx="334">
                  <c:v>39826</c:v>
                </c:pt>
                <c:pt idx="335">
                  <c:v>39826</c:v>
                </c:pt>
                <c:pt idx="336">
                  <c:v>39854</c:v>
                </c:pt>
                <c:pt idx="337">
                  <c:v>39855</c:v>
                </c:pt>
                <c:pt idx="338">
                  <c:v>39855</c:v>
                </c:pt>
                <c:pt idx="339">
                  <c:v>39890</c:v>
                </c:pt>
                <c:pt idx="340">
                  <c:v>39888</c:v>
                </c:pt>
                <c:pt idx="341">
                  <c:v>39888</c:v>
                </c:pt>
                <c:pt idx="342">
                  <c:v>39920</c:v>
                </c:pt>
                <c:pt idx="343">
                  <c:v>39916</c:v>
                </c:pt>
                <c:pt idx="344">
                  <c:v>39916</c:v>
                </c:pt>
                <c:pt idx="345">
                  <c:v>39945</c:v>
                </c:pt>
                <c:pt idx="346">
                  <c:v>39946</c:v>
                </c:pt>
                <c:pt idx="347">
                  <c:v>39946</c:v>
                </c:pt>
                <c:pt idx="348">
                  <c:v>39980</c:v>
                </c:pt>
                <c:pt idx="349">
                  <c:v>39983</c:v>
                </c:pt>
                <c:pt idx="350">
                  <c:v>39983</c:v>
                </c:pt>
                <c:pt idx="351">
                  <c:v>40007</c:v>
                </c:pt>
                <c:pt idx="352">
                  <c:v>40007</c:v>
                </c:pt>
                <c:pt idx="353">
                  <c:v>40007</c:v>
                </c:pt>
                <c:pt idx="354">
                  <c:v>40043</c:v>
                </c:pt>
                <c:pt idx="355">
                  <c:v>40042</c:v>
                </c:pt>
                <c:pt idx="356">
                  <c:v>40042</c:v>
                </c:pt>
                <c:pt idx="357">
                  <c:v>40070</c:v>
                </c:pt>
                <c:pt idx="358">
                  <c:v>40071</c:v>
                </c:pt>
                <c:pt idx="359">
                  <c:v>40071</c:v>
                </c:pt>
                <c:pt idx="360">
                  <c:v>40099</c:v>
                </c:pt>
                <c:pt idx="361">
                  <c:v>40100</c:v>
                </c:pt>
                <c:pt idx="362">
                  <c:v>40100</c:v>
                </c:pt>
                <c:pt idx="363">
                  <c:v>40133</c:v>
                </c:pt>
                <c:pt idx="364">
                  <c:v>40133</c:v>
                </c:pt>
                <c:pt idx="365">
                  <c:v>40133</c:v>
                </c:pt>
                <c:pt idx="366">
                  <c:v>40161</c:v>
                </c:pt>
                <c:pt idx="367">
                  <c:v>40161</c:v>
                </c:pt>
                <c:pt idx="368">
                  <c:v>40161</c:v>
                </c:pt>
                <c:pt idx="369">
                  <c:v>40197</c:v>
                </c:pt>
                <c:pt idx="370">
                  <c:v>40197</c:v>
                </c:pt>
                <c:pt idx="371">
                  <c:v>40197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40254</c:v>
                </c:pt>
                <c:pt idx="376">
                  <c:v>40255</c:v>
                </c:pt>
                <c:pt idx="377">
                  <c:v>40255</c:v>
                </c:pt>
                <c:pt idx="378">
                  <c:v>40280</c:v>
                </c:pt>
                <c:pt idx="379">
                  <c:v>40281</c:v>
                </c:pt>
                <c:pt idx="380">
                  <c:v>40281</c:v>
                </c:pt>
                <c:pt idx="381">
                  <c:v>40315</c:v>
                </c:pt>
                <c:pt idx="382">
                  <c:v>40317</c:v>
                </c:pt>
                <c:pt idx="383">
                  <c:v>40317</c:v>
                </c:pt>
                <c:pt idx="384">
                  <c:v>40344</c:v>
                </c:pt>
                <c:pt idx="385">
                  <c:v>40345</c:v>
                </c:pt>
                <c:pt idx="386">
                  <c:v>40345</c:v>
                </c:pt>
                <c:pt idx="387">
                  <c:v>40374</c:v>
                </c:pt>
                <c:pt idx="388">
                  <c:v>40374</c:v>
                </c:pt>
                <c:pt idx="389">
                  <c:v>40374</c:v>
                </c:pt>
                <c:pt idx="390">
                  <c:v>40407</c:v>
                </c:pt>
                <c:pt idx="391">
                  <c:v>40409</c:v>
                </c:pt>
                <c:pt idx="392">
                  <c:v>40409</c:v>
                </c:pt>
                <c:pt idx="393">
                  <c:v>40409</c:v>
                </c:pt>
                <c:pt idx="394">
                  <c:v>40436</c:v>
                </c:pt>
                <c:pt idx="395">
                  <c:v>40434</c:v>
                </c:pt>
                <c:pt idx="396">
                  <c:v>40434</c:v>
                </c:pt>
                <c:pt idx="397">
                  <c:v>40464</c:v>
                </c:pt>
                <c:pt idx="398">
                  <c:v>40463</c:v>
                </c:pt>
                <c:pt idx="399">
                  <c:v>40463</c:v>
                </c:pt>
                <c:pt idx="400">
                  <c:v>40498</c:v>
                </c:pt>
                <c:pt idx="401">
                  <c:v>40500</c:v>
                </c:pt>
                <c:pt idx="402">
                  <c:v>40500</c:v>
                </c:pt>
                <c:pt idx="403">
                  <c:v>40520</c:v>
                </c:pt>
                <c:pt idx="404">
                  <c:v>40521</c:v>
                </c:pt>
                <c:pt idx="405">
                  <c:v>40521</c:v>
                </c:pt>
                <c:pt idx="406">
                  <c:v>40562</c:v>
                </c:pt>
                <c:pt idx="407">
                  <c:v>40563</c:v>
                </c:pt>
                <c:pt idx="408">
                  <c:v>40563</c:v>
                </c:pt>
                <c:pt idx="409">
                  <c:v>40591</c:v>
                </c:pt>
                <c:pt idx="410">
                  <c:v>40598</c:v>
                </c:pt>
                <c:pt idx="411">
                  <c:v>40598</c:v>
                </c:pt>
                <c:pt idx="412">
                  <c:v>40619</c:v>
                </c:pt>
                <c:pt idx="413">
                  <c:v>40617</c:v>
                </c:pt>
                <c:pt idx="414">
                  <c:v>40617</c:v>
                </c:pt>
                <c:pt idx="415">
                  <c:v>40617</c:v>
                </c:pt>
                <c:pt idx="416">
                  <c:v>40646</c:v>
                </c:pt>
                <c:pt idx="417">
                  <c:v>40647</c:v>
                </c:pt>
                <c:pt idx="418">
                  <c:v>40647</c:v>
                </c:pt>
                <c:pt idx="419">
                  <c:v>40681</c:v>
                </c:pt>
                <c:pt idx="420">
                  <c:v>40681</c:v>
                </c:pt>
                <c:pt idx="421">
                  <c:v>40682</c:v>
                </c:pt>
                <c:pt idx="422">
                  <c:v>40682</c:v>
                </c:pt>
                <c:pt idx="423">
                  <c:v>40709</c:v>
                </c:pt>
                <c:pt idx="424">
                  <c:v>40709</c:v>
                </c:pt>
                <c:pt idx="425">
                  <c:v>40709</c:v>
                </c:pt>
                <c:pt idx="426">
                  <c:v>40709</c:v>
                </c:pt>
                <c:pt idx="427">
                  <c:v>40735</c:v>
                </c:pt>
                <c:pt idx="428">
                  <c:v>40736</c:v>
                </c:pt>
                <c:pt idx="429">
                  <c:v>40736</c:v>
                </c:pt>
                <c:pt idx="430">
                  <c:v>40736</c:v>
                </c:pt>
                <c:pt idx="431">
                  <c:v>40771</c:v>
                </c:pt>
                <c:pt idx="432">
                  <c:v>40772</c:v>
                </c:pt>
                <c:pt idx="433">
                  <c:v>40772</c:v>
                </c:pt>
                <c:pt idx="434">
                  <c:v>40799</c:v>
                </c:pt>
                <c:pt idx="435">
                  <c:v>40798</c:v>
                </c:pt>
                <c:pt idx="436">
                  <c:v>40798</c:v>
                </c:pt>
                <c:pt idx="437">
                  <c:v>40798</c:v>
                </c:pt>
                <c:pt idx="438">
                  <c:v>40827</c:v>
                </c:pt>
                <c:pt idx="439">
                  <c:v>40827</c:v>
                </c:pt>
                <c:pt idx="440">
                  <c:v>40829</c:v>
                </c:pt>
                <c:pt idx="441">
                  <c:v>40829</c:v>
                </c:pt>
                <c:pt idx="442">
                  <c:v>40862</c:v>
                </c:pt>
                <c:pt idx="443">
                  <c:v>40865</c:v>
                </c:pt>
                <c:pt idx="444">
                  <c:v>40865</c:v>
                </c:pt>
                <c:pt idx="445">
                  <c:v>40891</c:v>
                </c:pt>
                <c:pt idx="446">
                  <c:v>40891</c:v>
                </c:pt>
                <c:pt idx="447">
                  <c:v>40891</c:v>
                </c:pt>
                <c:pt idx="448">
                  <c:v>40919</c:v>
                </c:pt>
                <c:pt idx="449">
                  <c:v>40919</c:v>
                </c:pt>
                <c:pt idx="450">
                  <c:v>40919</c:v>
                </c:pt>
                <c:pt idx="451">
                  <c:v>40962</c:v>
                </c:pt>
                <c:pt idx="452">
                  <c:v>40960</c:v>
                </c:pt>
                <c:pt idx="453">
                  <c:v>40960</c:v>
                </c:pt>
                <c:pt idx="454">
                  <c:v>40980</c:v>
                </c:pt>
                <c:pt idx="455">
                  <c:v>40982</c:v>
                </c:pt>
                <c:pt idx="456">
                  <c:v>40982</c:v>
                </c:pt>
                <c:pt idx="457">
                  <c:v>41015</c:v>
                </c:pt>
                <c:pt idx="458">
                  <c:v>41016</c:v>
                </c:pt>
                <c:pt idx="459">
                  <c:v>41016</c:v>
                </c:pt>
                <c:pt idx="460">
                  <c:v>41016</c:v>
                </c:pt>
                <c:pt idx="461">
                  <c:v>41045</c:v>
                </c:pt>
                <c:pt idx="462">
                  <c:v>41051</c:v>
                </c:pt>
                <c:pt idx="463">
                  <c:v>41051</c:v>
                </c:pt>
                <c:pt idx="464">
                  <c:v>41051</c:v>
                </c:pt>
                <c:pt idx="465">
                  <c:v>41073</c:v>
                </c:pt>
                <c:pt idx="466">
                  <c:v>41080</c:v>
                </c:pt>
                <c:pt idx="467">
                  <c:v>41080</c:v>
                </c:pt>
                <c:pt idx="468">
                  <c:v>41107</c:v>
                </c:pt>
                <c:pt idx="469">
                  <c:v>41106</c:v>
                </c:pt>
                <c:pt idx="470">
                  <c:v>41106</c:v>
                </c:pt>
                <c:pt idx="471">
                  <c:v>41135</c:v>
                </c:pt>
                <c:pt idx="472">
                  <c:v>41137</c:v>
                </c:pt>
                <c:pt idx="473">
                  <c:v>41137</c:v>
                </c:pt>
                <c:pt idx="474">
                  <c:v>41164</c:v>
                </c:pt>
                <c:pt idx="475">
                  <c:v>41163</c:v>
                </c:pt>
                <c:pt idx="476">
                  <c:v>41163</c:v>
                </c:pt>
                <c:pt idx="477">
                  <c:v>41199</c:v>
                </c:pt>
                <c:pt idx="478">
                  <c:v>41199</c:v>
                </c:pt>
                <c:pt idx="479">
                  <c:v>41199</c:v>
                </c:pt>
                <c:pt idx="480">
                  <c:v>41225</c:v>
                </c:pt>
                <c:pt idx="481">
                  <c:v>41225</c:v>
                </c:pt>
                <c:pt idx="482">
                  <c:v>41225</c:v>
                </c:pt>
                <c:pt idx="483">
                  <c:v>41254</c:v>
                </c:pt>
                <c:pt idx="484">
                  <c:v>41255</c:v>
                </c:pt>
                <c:pt idx="485">
                  <c:v>41255</c:v>
                </c:pt>
                <c:pt idx="486">
                  <c:v>41288</c:v>
                </c:pt>
                <c:pt idx="487">
                  <c:v>41297</c:v>
                </c:pt>
                <c:pt idx="488">
                  <c:v>41297</c:v>
                </c:pt>
                <c:pt idx="489">
                  <c:v>41318</c:v>
                </c:pt>
                <c:pt idx="490">
                  <c:v>41319</c:v>
                </c:pt>
                <c:pt idx="491">
                  <c:v>41319</c:v>
                </c:pt>
                <c:pt idx="492">
                  <c:v>41344</c:v>
                </c:pt>
                <c:pt idx="493">
                  <c:v>41346</c:v>
                </c:pt>
                <c:pt idx="494">
                  <c:v>41346</c:v>
                </c:pt>
                <c:pt idx="495">
                  <c:v>41346</c:v>
                </c:pt>
                <c:pt idx="496">
                  <c:v>41379</c:v>
                </c:pt>
                <c:pt idx="497">
                  <c:v>41380</c:v>
                </c:pt>
                <c:pt idx="498">
                  <c:v>41380</c:v>
                </c:pt>
                <c:pt idx="499">
                  <c:v>41408</c:v>
                </c:pt>
                <c:pt idx="500">
                  <c:v>41408</c:v>
                </c:pt>
                <c:pt idx="501">
                  <c:v>41407</c:v>
                </c:pt>
                <c:pt idx="502">
                  <c:v>41407</c:v>
                </c:pt>
                <c:pt idx="503">
                  <c:v>41436</c:v>
                </c:pt>
                <c:pt idx="504">
                  <c:v>41437</c:v>
                </c:pt>
                <c:pt idx="505">
                  <c:v>41437</c:v>
                </c:pt>
                <c:pt idx="506">
                  <c:v>41470</c:v>
                </c:pt>
                <c:pt idx="507">
                  <c:v>41470</c:v>
                </c:pt>
                <c:pt idx="508">
                  <c:v>41470</c:v>
                </c:pt>
                <c:pt idx="509">
                  <c:v>41498</c:v>
                </c:pt>
                <c:pt idx="510">
                  <c:v>41498</c:v>
                </c:pt>
                <c:pt idx="511">
                  <c:v>41498</c:v>
                </c:pt>
                <c:pt idx="512">
                  <c:v>41535</c:v>
                </c:pt>
                <c:pt idx="513">
                  <c:v>41535</c:v>
                </c:pt>
                <c:pt idx="514">
                  <c:v>41535</c:v>
                </c:pt>
                <c:pt idx="515">
                  <c:v>41569</c:v>
                </c:pt>
                <c:pt idx="516">
                  <c:v>406810</c:v>
                </c:pt>
                <c:pt idx="517">
                  <c:v>406810</c:v>
                </c:pt>
                <c:pt idx="518">
                  <c:v>41599</c:v>
                </c:pt>
                <c:pt idx="519">
                  <c:v>41599</c:v>
                </c:pt>
                <c:pt idx="520">
                  <c:v>41599</c:v>
                </c:pt>
                <c:pt idx="521">
                  <c:v>41624</c:v>
                </c:pt>
                <c:pt idx="522">
                  <c:v>41627</c:v>
                </c:pt>
                <c:pt idx="523">
                  <c:v>41627</c:v>
                </c:pt>
                <c:pt idx="524">
                  <c:v>41654</c:v>
                </c:pt>
                <c:pt idx="525">
                  <c:v>41655</c:v>
                </c:pt>
                <c:pt idx="526">
                  <c:v>41655</c:v>
                </c:pt>
                <c:pt idx="527">
                  <c:v>41688</c:v>
                </c:pt>
                <c:pt idx="528">
                  <c:v>41690</c:v>
                </c:pt>
                <c:pt idx="529">
                  <c:v>41690</c:v>
                </c:pt>
                <c:pt idx="530">
                  <c:v>41719</c:v>
                </c:pt>
                <c:pt idx="531">
                  <c:v>41718</c:v>
                </c:pt>
                <c:pt idx="532">
                  <c:v>41718</c:v>
                </c:pt>
                <c:pt idx="533">
                  <c:v>41747</c:v>
                </c:pt>
                <c:pt idx="534">
                  <c:v>41750</c:v>
                </c:pt>
                <c:pt idx="535">
                  <c:v>41750</c:v>
                </c:pt>
                <c:pt idx="536">
                  <c:v>41772</c:v>
                </c:pt>
                <c:pt idx="537">
                  <c:v>41406</c:v>
                </c:pt>
                <c:pt idx="538">
                  <c:v>41406</c:v>
                </c:pt>
                <c:pt idx="539">
                  <c:v>41808</c:v>
                </c:pt>
                <c:pt idx="540">
                  <c:v>41807</c:v>
                </c:pt>
                <c:pt idx="541">
                  <c:v>41807</c:v>
                </c:pt>
                <c:pt idx="542">
                  <c:v>41834</c:v>
                </c:pt>
                <c:pt idx="543">
                  <c:v>41837</c:v>
                </c:pt>
                <c:pt idx="544">
                  <c:v>41837</c:v>
                </c:pt>
                <c:pt idx="545">
                  <c:v>41862</c:v>
                </c:pt>
                <c:pt idx="546">
                  <c:v>41862</c:v>
                </c:pt>
                <c:pt idx="547">
                  <c:v>41862</c:v>
                </c:pt>
                <c:pt idx="548">
                  <c:v>41898</c:v>
                </c:pt>
                <c:pt idx="549">
                  <c:v>41897</c:v>
                </c:pt>
                <c:pt idx="550">
                  <c:v>41897</c:v>
                </c:pt>
                <c:pt idx="551">
                  <c:v>41929</c:v>
                </c:pt>
                <c:pt idx="552">
                  <c:v>41928</c:v>
                </c:pt>
                <c:pt idx="553">
                  <c:v>41928</c:v>
                </c:pt>
                <c:pt idx="554">
                  <c:v>41953</c:v>
                </c:pt>
                <c:pt idx="555">
                  <c:v>41955</c:v>
                </c:pt>
                <c:pt idx="556">
                  <c:v>41955</c:v>
                </c:pt>
                <c:pt idx="557">
                  <c:v>41988</c:v>
                </c:pt>
                <c:pt idx="558">
                  <c:v>41992</c:v>
                </c:pt>
                <c:pt idx="559">
                  <c:v>41992</c:v>
                </c:pt>
                <c:pt idx="560">
                  <c:v>42014</c:v>
                </c:pt>
                <c:pt idx="561">
                  <c:v>42009</c:v>
                </c:pt>
                <c:pt idx="562">
                  <c:v>42009</c:v>
                </c:pt>
                <c:pt idx="563">
                  <c:v>42036</c:v>
                </c:pt>
                <c:pt idx="564">
                  <c:v>42036</c:v>
                </c:pt>
                <c:pt idx="565">
                  <c:v>42036</c:v>
                </c:pt>
                <c:pt idx="566">
                  <c:v>42064</c:v>
                </c:pt>
                <c:pt idx="567">
                  <c:v>42064</c:v>
                </c:pt>
                <c:pt idx="568">
                  <c:v>42064</c:v>
                </c:pt>
                <c:pt idx="569">
                  <c:v>42095</c:v>
                </c:pt>
                <c:pt idx="570">
                  <c:v>42095</c:v>
                </c:pt>
                <c:pt idx="571">
                  <c:v>42095</c:v>
                </c:pt>
                <c:pt idx="572">
                  <c:v>42125</c:v>
                </c:pt>
                <c:pt idx="573">
                  <c:v>42125</c:v>
                </c:pt>
                <c:pt idx="574">
                  <c:v>42125</c:v>
                </c:pt>
                <c:pt idx="575">
                  <c:v>42156</c:v>
                </c:pt>
                <c:pt idx="576">
                  <c:v>42156</c:v>
                </c:pt>
                <c:pt idx="577">
                  <c:v>42156</c:v>
                </c:pt>
                <c:pt idx="578">
                  <c:v>42186</c:v>
                </c:pt>
                <c:pt idx="579">
                  <c:v>42186</c:v>
                </c:pt>
                <c:pt idx="580">
                  <c:v>42186</c:v>
                </c:pt>
                <c:pt idx="581">
                  <c:v>42217</c:v>
                </c:pt>
                <c:pt idx="582">
                  <c:v>42217</c:v>
                </c:pt>
                <c:pt idx="583">
                  <c:v>42217</c:v>
                </c:pt>
                <c:pt idx="584">
                  <c:v>42248</c:v>
                </c:pt>
                <c:pt idx="585">
                  <c:v>42248</c:v>
                </c:pt>
                <c:pt idx="586">
                  <c:v>42248</c:v>
                </c:pt>
                <c:pt idx="587">
                  <c:v>42278</c:v>
                </c:pt>
                <c:pt idx="588">
                  <c:v>42278</c:v>
                </c:pt>
                <c:pt idx="589">
                  <c:v>42278</c:v>
                </c:pt>
                <c:pt idx="590">
                  <c:v>42309</c:v>
                </c:pt>
                <c:pt idx="591">
                  <c:v>42309</c:v>
                </c:pt>
                <c:pt idx="592">
                  <c:v>42309</c:v>
                </c:pt>
                <c:pt idx="593">
                  <c:v>42339</c:v>
                </c:pt>
                <c:pt idx="594">
                  <c:v>42339</c:v>
                </c:pt>
                <c:pt idx="595">
                  <c:v>42339</c:v>
                </c:pt>
                <c:pt idx="596">
                  <c:v>42379</c:v>
                </c:pt>
                <c:pt idx="597">
                  <c:v>42374</c:v>
                </c:pt>
                <c:pt idx="598">
                  <c:v>42374</c:v>
                </c:pt>
                <c:pt idx="599">
                  <c:v>42401</c:v>
                </c:pt>
                <c:pt idx="600">
                  <c:v>42401</c:v>
                </c:pt>
                <c:pt idx="601">
                  <c:v>42401</c:v>
                </c:pt>
                <c:pt idx="602">
                  <c:v>42430</c:v>
                </c:pt>
                <c:pt idx="603">
                  <c:v>42430</c:v>
                </c:pt>
                <c:pt idx="604">
                  <c:v>42430</c:v>
                </c:pt>
                <c:pt idx="605">
                  <c:v>42461</c:v>
                </c:pt>
                <c:pt idx="606">
                  <c:v>42461</c:v>
                </c:pt>
                <c:pt idx="607">
                  <c:v>42461</c:v>
                </c:pt>
                <c:pt idx="608">
                  <c:v>42491</c:v>
                </c:pt>
                <c:pt idx="609">
                  <c:v>42491</c:v>
                </c:pt>
                <c:pt idx="610">
                  <c:v>42491</c:v>
                </c:pt>
                <c:pt idx="611">
                  <c:v>42522</c:v>
                </c:pt>
                <c:pt idx="612">
                  <c:v>42522</c:v>
                </c:pt>
                <c:pt idx="613">
                  <c:v>42522</c:v>
                </c:pt>
                <c:pt idx="614">
                  <c:v>42552</c:v>
                </c:pt>
                <c:pt idx="615">
                  <c:v>42552</c:v>
                </c:pt>
                <c:pt idx="616">
                  <c:v>42552</c:v>
                </c:pt>
                <c:pt idx="617">
                  <c:v>42583</c:v>
                </c:pt>
                <c:pt idx="618">
                  <c:v>42583</c:v>
                </c:pt>
                <c:pt idx="619">
                  <c:v>42583</c:v>
                </c:pt>
                <c:pt idx="620">
                  <c:v>42614</c:v>
                </c:pt>
                <c:pt idx="621">
                  <c:v>42614</c:v>
                </c:pt>
                <c:pt idx="622">
                  <c:v>42614</c:v>
                </c:pt>
                <c:pt idx="623">
                  <c:v>42644</c:v>
                </c:pt>
                <c:pt idx="624">
                  <c:v>42644</c:v>
                </c:pt>
                <c:pt idx="625">
                  <c:v>42644</c:v>
                </c:pt>
                <c:pt idx="626">
                  <c:v>42675</c:v>
                </c:pt>
                <c:pt idx="627">
                  <c:v>42675</c:v>
                </c:pt>
                <c:pt idx="628">
                  <c:v>42675</c:v>
                </c:pt>
                <c:pt idx="629">
                  <c:v>42705</c:v>
                </c:pt>
                <c:pt idx="630">
                  <c:v>42705</c:v>
                </c:pt>
                <c:pt idx="631">
                  <c:v>42705</c:v>
                </c:pt>
                <c:pt idx="632">
                  <c:v>42745</c:v>
                </c:pt>
                <c:pt idx="633">
                  <c:v>42740</c:v>
                </c:pt>
                <c:pt idx="634">
                  <c:v>42740</c:v>
                </c:pt>
                <c:pt idx="635">
                  <c:v>42767</c:v>
                </c:pt>
                <c:pt idx="636">
                  <c:v>42767</c:v>
                </c:pt>
                <c:pt idx="637">
                  <c:v>42767</c:v>
                </c:pt>
                <c:pt idx="638">
                  <c:v>42795</c:v>
                </c:pt>
                <c:pt idx="639">
                  <c:v>42795</c:v>
                </c:pt>
                <c:pt idx="640">
                  <c:v>42795</c:v>
                </c:pt>
                <c:pt idx="641">
                  <c:v>42826</c:v>
                </c:pt>
                <c:pt idx="642">
                  <c:v>42826</c:v>
                </c:pt>
                <c:pt idx="643">
                  <c:v>42826</c:v>
                </c:pt>
                <c:pt idx="644">
                  <c:v>42856</c:v>
                </c:pt>
                <c:pt idx="645">
                  <c:v>42856</c:v>
                </c:pt>
                <c:pt idx="646">
                  <c:v>42856</c:v>
                </c:pt>
                <c:pt idx="647">
                  <c:v>42887</c:v>
                </c:pt>
                <c:pt idx="648">
                  <c:v>42887</c:v>
                </c:pt>
                <c:pt idx="649">
                  <c:v>42887</c:v>
                </c:pt>
                <c:pt idx="650">
                  <c:v>42917</c:v>
                </c:pt>
                <c:pt idx="651">
                  <c:v>42917</c:v>
                </c:pt>
                <c:pt idx="652">
                  <c:v>42917</c:v>
                </c:pt>
                <c:pt idx="653">
                  <c:v>42948</c:v>
                </c:pt>
                <c:pt idx="654">
                  <c:v>42948</c:v>
                </c:pt>
                <c:pt idx="655">
                  <c:v>42948</c:v>
                </c:pt>
                <c:pt idx="656">
                  <c:v>42979</c:v>
                </c:pt>
                <c:pt idx="657">
                  <c:v>42979</c:v>
                </c:pt>
                <c:pt idx="658">
                  <c:v>42979</c:v>
                </c:pt>
                <c:pt idx="659">
                  <c:v>43009</c:v>
                </c:pt>
                <c:pt idx="660">
                  <c:v>43009</c:v>
                </c:pt>
                <c:pt idx="661">
                  <c:v>43009</c:v>
                </c:pt>
                <c:pt idx="662">
                  <c:v>43040</c:v>
                </c:pt>
                <c:pt idx="663">
                  <c:v>43040</c:v>
                </c:pt>
                <c:pt idx="664">
                  <c:v>43040</c:v>
                </c:pt>
                <c:pt idx="665">
                  <c:v>43070</c:v>
                </c:pt>
                <c:pt idx="666">
                  <c:v>43070</c:v>
                </c:pt>
                <c:pt idx="667">
                  <c:v>43070</c:v>
                </c:pt>
                <c:pt idx="668">
                  <c:v>43110</c:v>
                </c:pt>
                <c:pt idx="669">
                  <c:v>43105</c:v>
                </c:pt>
                <c:pt idx="670">
                  <c:v>43105</c:v>
                </c:pt>
                <c:pt idx="671">
                  <c:v>43132</c:v>
                </c:pt>
                <c:pt idx="672">
                  <c:v>43132</c:v>
                </c:pt>
                <c:pt idx="673">
                  <c:v>43132</c:v>
                </c:pt>
                <c:pt idx="674">
                  <c:v>43160</c:v>
                </c:pt>
                <c:pt idx="675">
                  <c:v>43160</c:v>
                </c:pt>
                <c:pt idx="676">
                  <c:v>43160</c:v>
                </c:pt>
                <c:pt idx="677">
                  <c:v>43191</c:v>
                </c:pt>
                <c:pt idx="678">
                  <c:v>43191</c:v>
                </c:pt>
                <c:pt idx="679">
                  <c:v>43191</c:v>
                </c:pt>
                <c:pt idx="680">
                  <c:v>43221</c:v>
                </c:pt>
                <c:pt idx="681">
                  <c:v>43221</c:v>
                </c:pt>
                <c:pt idx="682">
                  <c:v>43221</c:v>
                </c:pt>
                <c:pt idx="683">
                  <c:v>43252</c:v>
                </c:pt>
                <c:pt idx="684">
                  <c:v>43252</c:v>
                </c:pt>
                <c:pt idx="685">
                  <c:v>43252</c:v>
                </c:pt>
                <c:pt idx="686">
                  <c:v>43282</c:v>
                </c:pt>
                <c:pt idx="687">
                  <c:v>43282</c:v>
                </c:pt>
                <c:pt idx="688">
                  <c:v>43282</c:v>
                </c:pt>
                <c:pt idx="689">
                  <c:v>43313</c:v>
                </c:pt>
                <c:pt idx="690">
                  <c:v>43313</c:v>
                </c:pt>
                <c:pt idx="691">
                  <c:v>43313</c:v>
                </c:pt>
                <c:pt idx="692">
                  <c:v>43344</c:v>
                </c:pt>
                <c:pt idx="693">
                  <c:v>43344</c:v>
                </c:pt>
                <c:pt idx="694">
                  <c:v>43344</c:v>
                </c:pt>
                <c:pt idx="695">
                  <c:v>43374</c:v>
                </c:pt>
                <c:pt idx="696">
                  <c:v>43374</c:v>
                </c:pt>
                <c:pt idx="697">
                  <c:v>43374</c:v>
                </c:pt>
                <c:pt idx="698">
                  <c:v>43405</c:v>
                </c:pt>
                <c:pt idx="699">
                  <c:v>43405</c:v>
                </c:pt>
                <c:pt idx="700">
                  <c:v>43405</c:v>
                </c:pt>
                <c:pt idx="701">
                  <c:v>43435</c:v>
                </c:pt>
                <c:pt idx="702">
                  <c:v>43435</c:v>
                </c:pt>
                <c:pt idx="703">
                  <c:v>43435</c:v>
                </c:pt>
                <c:pt idx="704">
                  <c:v>43475</c:v>
                </c:pt>
                <c:pt idx="705">
                  <c:v>43470</c:v>
                </c:pt>
                <c:pt idx="706">
                  <c:v>43470</c:v>
                </c:pt>
                <c:pt idx="707">
                  <c:v>43497</c:v>
                </c:pt>
                <c:pt idx="708">
                  <c:v>43497</c:v>
                </c:pt>
                <c:pt idx="709">
                  <c:v>43497</c:v>
                </c:pt>
                <c:pt idx="710">
                  <c:v>43525</c:v>
                </c:pt>
                <c:pt idx="711">
                  <c:v>43525</c:v>
                </c:pt>
                <c:pt idx="712">
                  <c:v>43525</c:v>
                </c:pt>
                <c:pt idx="713">
                  <c:v>43556</c:v>
                </c:pt>
                <c:pt idx="714">
                  <c:v>43556</c:v>
                </c:pt>
                <c:pt idx="715">
                  <c:v>43556</c:v>
                </c:pt>
                <c:pt idx="716">
                  <c:v>43586</c:v>
                </c:pt>
                <c:pt idx="717">
                  <c:v>43586</c:v>
                </c:pt>
                <c:pt idx="718">
                  <c:v>43586</c:v>
                </c:pt>
                <c:pt idx="719">
                  <c:v>43617</c:v>
                </c:pt>
                <c:pt idx="720">
                  <c:v>43617</c:v>
                </c:pt>
                <c:pt idx="721">
                  <c:v>43617</c:v>
                </c:pt>
                <c:pt idx="722">
                  <c:v>43647</c:v>
                </c:pt>
                <c:pt idx="723">
                  <c:v>43647</c:v>
                </c:pt>
                <c:pt idx="724">
                  <c:v>43647</c:v>
                </c:pt>
                <c:pt idx="725">
                  <c:v>43678</c:v>
                </c:pt>
                <c:pt idx="726">
                  <c:v>43678</c:v>
                </c:pt>
                <c:pt idx="727">
                  <c:v>43678</c:v>
                </c:pt>
                <c:pt idx="728">
                  <c:v>43709</c:v>
                </c:pt>
                <c:pt idx="729">
                  <c:v>43709</c:v>
                </c:pt>
                <c:pt idx="730">
                  <c:v>43709</c:v>
                </c:pt>
                <c:pt idx="731">
                  <c:v>43739</c:v>
                </c:pt>
                <c:pt idx="732">
                  <c:v>43739</c:v>
                </c:pt>
                <c:pt idx="733">
                  <c:v>43739</c:v>
                </c:pt>
                <c:pt idx="734">
                  <c:v>43770</c:v>
                </c:pt>
                <c:pt idx="735">
                  <c:v>43770</c:v>
                </c:pt>
                <c:pt idx="736">
                  <c:v>43770</c:v>
                </c:pt>
                <c:pt idx="737">
                  <c:v>43800</c:v>
                </c:pt>
                <c:pt idx="738">
                  <c:v>43800</c:v>
                </c:pt>
                <c:pt idx="739">
                  <c:v>43800</c:v>
                </c:pt>
              </c:numCache>
            </c:numRef>
          </c:xVal>
          <c:yVal>
            <c:numRef>
              <c:f>'Fuco update'!$N$3:$N$742</c:f>
              <c:numCache>
                <c:formatCode>General</c:formatCode>
                <c:ptCount val="740"/>
                <c:pt idx="2">
                  <c:v>-0.58877275717798994</c:v>
                </c:pt>
                <c:pt idx="5">
                  <c:v>-1.3042729550051828</c:v>
                </c:pt>
                <c:pt idx="8">
                  <c:v>-1.7029256607358643</c:v>
                </c:pt>
                <c:pt idx="11">
                  <c:v>-0.79303799051305879</c:v>
                </c:pt>
                <c:pt idx="14">
                  <c:v>-0.32792641515603443</c:v>
                </c:pt>
                <c:pt idx="17">
                  <c:v>0.41816556067120286</c:v>
                </c:pt>
                <c:pt idx="20">
                  <c:v>0.75612681636121915</c:v>
                </c:pt>
                <c:pt idx="23">
                  <c:v>1.7736448657723316</c:v>
                </c:pt>
                <c:pt idx="26">
                  <c:v>3.1380164899455103</c:v>
                </c:pt>
                <c:pt idx="29">
                  <c:v>2.6702278593008875</c:v>
                </c:pt>
                <c:pt idx="32">
                  <c:v>1.487427628233198</c:v>
                </c:pt>
                <c:pt idx="35">
                  <c:v>0.92508450286235822</c:v>
                </c:pt>
                <c:pt idx="38">
                  <c:v>-0.75043998629985254</c:v>
                </c:pt>
                <c:pt idx="41">
                  <c:v>-1.9685547981390101</c:v>
                </c:pt>
                <c:pt idx="44">
                  <c:v>-3.4073569874053944</c:v>
                </c:pt>
                <c:pt idx="47">
                  <c:v>-3.8149136765155767</c:v>
                </c:pt>
                <c:pt idx="50">
                  <c:v>-4.0305259555196065</c:v>
                </c:pt>
                <c:pt idx="53">
                  <c:v>-4.0560986022153864</c:v>
                </c:pt>
                <c:pt idx="56">
                  <c:v>-2.6737147112221002</c:v>
                </c:pt>
                <c:pt idx="59">
                  <c:v>-1.8917715592294764</c:v>
                </c:pt>
                <c:pt idx="62">
                  <c:v>-1.6730854728570737</c:v>
                </c:pt>
                <c:pt idx="65">
                  <c:v>-2.9448358216670112</c:v>
                </c:pt>
                <c:pt idx="68">
                  <c:v>-3.4109580777745676</c:v>
                </c:pt>
                <c:pt idx="71">
                  <c:v>-4.2306420944506478</c:v>
                </c:pt>
                <c:pt idx="74">
                  <c:v>-5.8979298313658823</c:v>
                </c:pt>
                <c:pt idx="77">
                  <c:v>-6.1717799611355177</c:v>
                </c:pt>
                <c:pt idx="80">
                  <c:v>-6.9329553740628436</c:v>
                </c:pt>
                <c:pt idx="83">
                  <c:v>-6.9684748472363705</c:v>
                </c:pt>
                <c:pt idx="86">
                  <c:v>-7.0758764350617733</c:v>
                </c:pt>
                <c:pt idx="89">
                  <c:v>-6.8819072921778206</c:v>
                </c:pt>
                <c:pt idx="92">
                  <c:v>-8.4825862805203549</c:v>
                </c:pt>
                <c:pt idx="110">
                  <c:v>-8.9576405933261611</c:v>
                </c:pt>
                <c:pt idx="113">
                  <c:v>-9.1446985213186593</c:v>
                </c:pt>
                <c:pt idx="116">
                  <c:v>-10.041651842920665</c:v>
                </c:pt>
                <c:pt idx="119">
                  <c:v>-9.7920972766613659</c:v>
                </c:pt>
                <c:pt idx="122">
                  <c:v>-9.3133621705572143</c:v>
                </c:pt>
                <c:pt idx="125">
                  <c:v>-8.9658433094827732</c:v>
                </c:pt>
                <c:pt idx="128">
                  <c:v>-7.5830904057819355</c:v>
                </c:pt>
                <c:pt idx="131">
                  <c:v>-6.134549989597283</c:v>
                </c:pt>
                <c:pt idx="134">
                  <c:v>-4.4978141291138609</c:v>
                </c:pt>
                <c:pt idx="137">
                  <c:v>-6.0703639279715329</c:v>
                </c:pt>
                <c:pt idx="140">
                  <c:v>-7.5702217612107336</c:v>
                </c:pt>
                <c:pt idx="143">
                  <c:v>-7.8599596198134272</c:v>
                </c:pt>
                <c:pt idx="146">
                  <c:v>-7.5546092584289912</c:v>
                </c:pt>
                <c:pt idx="149">
                  <c:v>-8.226121179328576</c:v>
                </c:pt>
                <c:pt idx="152">
                  <c:v>-8.4888085576362791</c:v>
                </c:pt>
                <c:pt idx="155">
                  <c:v>-7.4824055716780684</c:v>
                </c:pt>
                <c:pt idx="158">
                  <c:v>-7.2135520016163843</c:v>
                </c:pt>
                <c:pt idx="161">
                  <c:v>-5.9800993496836172</c:v>
                </c:pt>
                <c:pt idx="164">
                  <c:v>-4.6496714606601541</c:v>
                </c:pt>
                <c:pt idx="167">
                  <c:v>-4.7682516131416595</c:v>
                </c:pt>
                <c:pt idx="170">
                  <c:v>-4.8857042209929276</c:v>
                </c:pt>
                <c:pt idx="173">
                  <c:v>-6.6079270204837171</c:v>
                </c:pt>
                <c:pt idx="179">
                  <c:v>-6.6799153577530355</c:v>
                </c:pt>
                <c:pt idx="182">
                  <c:v>-6.7486827475785782</c:v>
                </c:pt>
                <c:pt idx="185">
                  <c:v>-7.6332178206397767</c:v>
                </c:pt>
                <c:pt idx="188">
                  <c:v>-8.3538342769373397</c:v>
                </c:pt>
                <c:pt idx="191">
                  <c:v>-8.5770237173195607</c:v>
                </c:pt>
                <c:pt idx="194">
                  <c:v>-9.0034327267985699</c:v>
                </c:pt>
                <c:pt idx="197">
                  <c:v>-9.5835978379588358</c:v>
                </c:pt>
                <c:pt idx="200">
                  <c:v>-8.0738580594089768</c:v>
                </c:pt>
                <c:pt idx="203">
                  <c:v>-7.0722554106659645</c:v>
                </c:pt>
                <c:pt idx="206">
                  <c:v>-7.7874971786807459</c:v>
                </c:pt>
                <c:pt idx="209">
                  <c:v>-8.8700629335227266</c:v>
                </c:pt>
                <c:pt idx="212">
                  <c:v>-9.2674256265546511</c:v>
                </c:pt>
                <c:pt idx="215">
                  <c:v>-9.2742145284207798</c:v>
                </c:pt>
                <c:pt idx="218">
                  <c:v>-8.3815315558010113</c:v>
                </c:pt>
                <c:pt idx="221">
                  <c:v>-8.3619833647628656</c:v>
                </c:pt>
                <c:pt idx="224">
                  <c:v>-8.5181849425433303</c:v>
                </c:pt>
                <c:pt idx="227">
                  <c:v>-8.66733831710342</c:v>
                </c:pt>
                <c:pt idx="230">
                  <c:v>-8.387883641684601</c:v>
                </c:pt>
                <c:pt idx="233">
                  <c:v>-7.7380923885050121</c:v>
                </c:pt>
                <c:pt idx="236">
                  <c:v>-6.2650107985981647</c:v>
                </c:pt>
                <c:pt idx="239">
                  <c:v>-4.9065124354084055</c:v>
                </c:pt>
                <c:pt idx="242">
                  <c:v>-3.941599541779941</c:v>
                </c:pt>
                <c:pt idx="245">
                  <c:v>-5.5390023583387498</c:v>
                </c:pt>
                <c:pt idx="248">
                  <c:v>-5.4629434589472501</c:v>
                </c:pt>
                <c:pt idx="251">
                  <c:v>-5.1483805060969283</c:v>
                </c:pt>
                <c:pt idx="254">
                  <c:v>-3.892390646258602</c:v>
                </c:pt>
                <c:pt idx="257">
                  <c:v>-2.4954200108559146</c:v>
                </c:pt>
                <c:pt idx="260">
                  <c:v>-2.0603887493506599</c:v>
                </c:pt>
                <c:pt idx="263">
                  <c:v>-1.0532069264325443</c:v>
                </c:pt>
                <c:pt idx="266">
                  <c:v>-1.0765971468752005</c:v>
                </c:pt>
                <c:pt idx="269">
                  <c:v>-0.43325458064467048</c:v>
                </c:pt>
                <c:pt idx="272">
                  <c:v>0.72078131578719573</c:v>
                </c:pt>
                <c:pt idx="275">
                  <c:v>2.4721500780590437</c:v>
                </c:pt>
                <c:pt idx="278">
                  <c:v>3.0912457503931119</c:v>
                </c:pt>
                <c:pt idx="281">
                  <c:v>1.9058904340337195</c:v>
                </c:pt>
                <c:pt idx="284">
                  <c:v>0.73337196068254173</c:v>
                </c:pt>
                <c:pt idx="287">
                  <c:v>-0.72303900857138026</c:v>
                </c:pt>
                <c:pt idx="290">
                  <c:v>-1.1306611492151328</c:v>
                </c:pt>
                <c:pt idx="293">
                  <c:v>-2.4101296937294183</c:v>
                </c:pt>
                <c:pt idx="296">
                  <c:v>-2.0920093577600554</c:v>
                </c:pt>
                <c:pt idx="299">
                  <c:v>-2.5516847574293431</c:v>
                </c:pt>
                <c:pt idx="302">
                  <c:v>-2.5577638776261917</c:v>
                </c:pt>
                <c:pt idx="305">
                  <c:v>-2.9346097969722615</c:v>
                </c:pt>
                <c:pt idx="308">
                  <c:v>-1.3302959491368322</c:v>
                </c:pt>
                <c:pt idx="311">
                  <c:v>-0.44660400372307218</c:v>
                </c:pt>
                <c:pt idx="314">
                  <c:v>-0.90673754124215211</c:v>
                </c:pt>
                <c:pt idx="317">
                  <c:v>-1.3798836081910106</c:v>
                </c:pt>
                <c:pt idx="320">
                  <c:v>-2.7214713180863588</c:v>
                </c:pt>
                <c:pt idx="323">
                  <c:v>-1.7652294483719588</c:v>
                </c:pt>
                <c:pt idx="326">
                  <c:v>-0.73728592698666806</c:v>
                </c:pt>
                <c:pt idx="329">
                  <c:v>-0.46918331124329299</c:v>
                </c:pt>
                <c:pt idx="332">
                  <c:v>-0.78480893378700811</c:v>
                </c:pt>
                <c:pt idx="335">
                  <c:v>-0.9283832098501642</c:v>
                </c:pt>
                <c:pt idx="338">
                  <c:v>-0.41521065532520085</c:v>
                </c:pt>
                <c:pt idx="341">
                  <c:v>0.89435916343050592</c:v>
                </c:pt>
                <c:pt idx="344">
                  <c:v>-0.53638191865643137</c:v>
                </c:pt>
                <c:pt idx="347">
                  <c:v>0.73632430118419778</c:v>
                </c:pt>
                <c:pt idx="350">
                  <c:v>1.2690670850579444</c:v>
                </c:pt>
                <c:pt idx="353">
                  <c:v>1.2800899355528299</c:v>
                </c:pt>
                <c:pt idx="356">
                  <c:v>0.14641384310591121</c:v>
                </c:pt>
                <c:pt idx="359">
                  <c:v>-0.28026833983017463</c:v>
                </c:pt>
                <c:pt idx="362">
                  <c:v>1.5708447253642484</c:v>
                </c:pt>
                <c:pt idx="365">
                  <c:v>1.4849483210496148</c:v>
                </c:pt>
                <c:pt idx="368">
                  <c:v>0.71071673316963169</c:v>
                </c:pt>
                <c:pt idx="371">
                  <c:v>1.8250939949745355</c:v>
                </c:pt>
                <c:pt idx="374">
                  <c:v>2.2806535019829708</c:v>
                </c:pt>
                <c:pt idx="377">
                  <c:v>3.6444652841734109</c:v>
                </c:pt>
                <c:pt idx="380">
                  <c:v>3.7079993069809913</c:v>
                </c:pt>
                <c:pt idx="383">
                  <c:v>5.9282652909897804</c:v>
                </c:pt>
                <c:pt idx="386">
                  <c:v>5.5257453169494415</c:v>
                </c:pt>
                <c:pt idx="389">
                  <c:v>5.2860904162146909</c:v>
                </c:pt>
                <c:pt idx="393">
                  <c:v>5.9941513303845868</c:v>
                </c:pt>
                <c:pt idx="396">
                  <c:v>7.0420826741104987</c:v>
                </c:pt>
                <c:pt idx="399">
                  <c:v>6.976420840541123</c:v>
                </c:pt>
                <c:pt idx="402">
                  <c:v>6.4248495388317046</c:v>
                </c:pt>
                <c:pt idx="405">
                  <c:v>7.3510854559715053</c:v>
                </c:pt>
                <c:pt idx="408">
                  <c:v>7.8325224185685043</c:v>
                </c:pt>
                <c:pt idx="411">
                  <c:v>8.8574806683804397</c:v>
                </c:pt>
                <c:pt idx="415">
                  <c:v>9.965345522949935</c:v>
                </c:pt>
                <c:pt idx="418">
                  <c:v>8.368766544409036</c:v>
                </c:pt>
                <c:pt idx="422">
                  <c:v>8.8974440286907814</c:v>
                </c:pt>
                <c:pt idx="426">
                  <c:v>8.669448799156493</c:v>
                </c:pt>
                <c:pt idx="429">
                  <c:v>9.0586328461158931</c:v>
                </c:pt>
                <c:pt idx="433">
                  <c:v>10.140349174230932</c:v>
                </c:pt>
                <c:pt idx="437">
                  <c:v>10.878876681366455</c:v>
                </c:pt>
                <c:pt idx="441">
                  <c:v>9.890166231368859</c:v>
                </c:pt>
                <c:pt idx="444">
                  <c:v>10.530386542605203</c:v>
                </c:pt>
                <c:pt idx="447">
                  <c:v>9.8273061756919677</c:v>
                </c:pt>
                <c:pt idx="450">
                  <c:v>10.897913903660042</c:v>
                </c:pt>
                <c:pt idx="453">
                  <c:v>12.791426010973773</c:v>
                </c:pt>
                <c:pt idx="456">
                  <c:v>13.832696428944208</c:v>
                </c:pt>
                <c:pt idx="460">
                  <c:v>14.687316710437791</c:v>
                </c:pt>
                <c:pt idx="464">
                  <c:v>16.975921935176242</c:v>
                </c:pt>
                <c:pt idx="467">
                  <c:v>17.727478020731166</c:v>
                </c:pt>
                <c:pt idx="470">
                  <c:v>17.573692735148814</c:v>
                </c:pt>
                <c:pt idx="473">
                  <c:v>18.331237900276673</c:v>
                </c:pt>
                <c:pt idx="476">
                  <c:v>19.042846115617163</c:v>
                </c:pt>
                <c:pt idx="479">
                  <c:v>21.773594642817489</c:v>
                </c:pt>
                <c:pt idx="482">
                  <c:v>22.417180497051319</c:v>
                </c:pt>
                <c:pt idx="485">
                  <c:v>23.971371326582556</c:v>
                </c:pt>
                <c:pt idx="488">
                  <c:v>26.188677787110656</c:v>
                </c:pt>
                <c:pt idx="491">
                  <c:v>29.021184967552919</c:v>
                </c:pt>
                <c:pt idx="495">
                  <c:v>32.565743584928292</c:v>
                </c:pt>
                <c:pt idx="498">
                  <c:v>33.948805291247815</c:v>
                </c:pt>
                <c:pt idx="502">
                  <c:v>33.192068538301911</c:v>
                </c:pt>
                <c:pt idx="505">
                  <c:v>35.226177313549144</c:v>
                </c:pt>
                <c:pt idx="508">
                  <c:v>34.92770751298206</c:v>
                </c:pt>
                <c:pt idx="511">
                  <c:v>35.156591997907498</c:v>
                </c:pt>
                <c:pt idx="514">
                  <c:v>36.597426062900006</c:v>
                </c:pt>
                <c:pt idx="517">
                  <c:v>34.925299759299655</c:v>
                </c:pt>
                <c:pt idx="520">
                  <c:v>34.29230245938237</c:v>
                </c:pt>
                <c:pt idx="523">
                  <c:v>35.231746543829445</c:v>
                </c:pt>
                <c:pt idx="526">
                  <c:v>36.484110159930495</c:v>
                </c:pt>
                <c:pt idx="529">
                  <c:v>37.626214447747991</c:v>
                </c:pt>
                <c:pt idx="532">
                  <c:v>39.300447541697075</c:v>
                </c:pt>
                <c:pt idx="535">
                  <c:v>40.814344832143398</c:v>
                </c:pt>
                <c:pt idx="538">
                  <c:v>39.191233289517271</c:v>
                </c:pt>
                <c:pt idx="541">
                  <c:v>39.573681552827715</c:v>
                </c:pt>
                <c:pt idx="544">
                  <c:v>39.448006221295707</c:v>
                </c:pt>
                <c:pt idx="547">
                  <c:v>39.016914607741214</c:v>
                </c:pt>
                <c:pt idx="550">
                  <c:v>38.497229179164712</c:v>
                </c:pt>
                <c:pt idx="553">
                  <c:v>38.018740830640837</c:v>
                </c:pt>
                <c:pt idx="556">
                  <c:v>36.365807528695576</c:v>
                </c:pt>
                <c:pt idx="559">
                  <c:v>36.676533504362801</c:v>
                </c:pt>
                <c:pt idx="562">
                  <c:v>36.60126133498563</c:v>
                </c:pt>
                <c:pt idx="568">
                  <c:v>37.219020082413167</c:v>
                </c:pt>
                <c:pt idx="571">
                  <c:v>38.06976666442732</c:v>
                </c:pt>
                <c:pt idx="574">
                  <c:v>36.054926968592667</c:v>
                </c:pt>
                <c:pt idx="577">
                  <c:v>35.895019706687947</c:v>
                </c:pt>
                <c:pt idx="580">
                  <c:v>35.253020123027461</c:v>
                </c:pt>
                <c:pt idx="583">
                  <c:v>34.339893720357992</c:v>
                </c:pt>
                <c:pt idx="586">
                  <c:v>34.110060429504578</c:v>
                </c:pt>
                <c:pt idx="589">
                  <c:v>32.911407846016125</c:v>
                </c:pt>
                <c:pt idx="592">
                  <c:v>33.230394919935335</c:v>
                </c:pt>
                <c:pt idx="595">
                  <c:v>31.45111815240314</c:v>
                </c:pt>
                <c:pt idx="598">
                  <c:v>30.61227386926242</c:v>
                </c:pt>
                <c:pt idx="601">
                  <c:v>29.948746303664915</c:v>
                </c:pt>
                <c:pt idx="604">
                  <c:v>29.763886372634296</c:v>
                </c:pt>
                <c:pt idx="607">
                  <c:v>29.515763337429128</c:v>
                </c:pt>
                <c:pt idx="610">
                  <c:v>30.688728341533501</c:v>
                </c:pt>
                <c:pt idx="613">
                  <c:v>31.59130996880668</c:v>
                </c:pt>
                <c:pt idx="616">
                  <c:v>31.173782154276456</c:v>
                </c:pt>
                <c:pt idx="619">
                  <c:v>30.83460555884864</c:v>
                </c:pt>
                <c:pt idx="622">
                  <c:v>31.209726328811918</c:v>
                </c:pt>
                <c:pt idx="625">
                  <c:v>31.121946686492429</c:v>
                </c:pt>
                <c:pt idx="628">
                  <c:v>31.250076274616173</c:v>
                </c:pt>
                <c:pt idx="631">
                  <c:v>30.407358639486109</c:v>
                </c:pt>
                <c:pt idx="640">
                  <c:v>31.586250341261866</c:v>
                </c:pt>
                <c:pt idx="643">
                  <c:v>33.138780702768067</c:v>
                </c:pt>
                <c:pt idx="646">
                  <c:v>34.451195409717094</c:v>
                </c:pt>
                <c:pt idx="649">
                  <c:v>33.890416509846318</c:v>
                </c:pt>
                <c:pt idx="652">
                  <c:v>32.475261951388788</c:v>
                </c:pt>
                <c:pt idx="658">
                  <c:v>32.161382315297779</c:v>
                </c:pt>
                <c:pt idx="661">
                  <c:v>31.716076189847364</c:v>
                </c:pt>
                <c:pt idx="667">
                  <c:v>31.219465682787764</c:v>
                </c:pt>
                <c:pt idx="670">
                  <c:v>30.748994103788956</c:v>
                </c:pt>
                <c:pt idx="673">
                  <c:v>30.464330884087801</c:v>
                </c:pt>
                <c:pt idx="676">
                  <c:v>31.516232153678004</c:v>
                </c:pt>
                <c:pt idx="679">
                  <c:v>31.619884163210145</c:v>
                </c:pt>
                <c:pt idx="682">
                  <c:v>31.21144182950674</c:v>
                </c:pt>
                <c:pt idx="685">
                  <c:v>29.710354989542797</c:v>
                </c:pt>
                <c:pt idx="688">
                  <c:v>28.096348553748562</c:v>
                </c:pt>
                <c:pt idx="691">
                  <c:v>27.041297012462394</c:v>
                </c:pt>
                <c:pt idx="694">
                  <c:v>26.258823146247813</c:v>
                </c:pt>
                <c:pt idx="697">
                  <c:v>25.181263511285739</c:v>
                </c:pt>
                <c:pt idx="698">
                  <c:v>24.724473685111853</c:v>
                </c:pt>
                <c:pt idx="712">
                  <c:v>23.860974952625483</c:v>
                </c:pt>
                <c:pt idx="715">
                  <c:v>23.196863561433208</c:v>
                </c:pt>
                <c:pt idx="718">
                  <c:v>23.802761674470947</c:v>
                </c:pt>
                <c:pt idx="721">
                  <c:v>23.596083513980922</c:v>
                </c:pt>
                <c:pt idx="724">
                  <c:v>23.063544797967278</c:v>
                </c:pt>
                <c:pt idx="727">
                  <c:v>21.597978550408282</c:v>
                </c:pt>
                <c:pt idx="730">
                  <c:v>21.111500907296001</c:v>
                </c:pt>
                <c:pt idx="733">
                  <c:v>19.827242452803311</c:v>
                </c:pt>
                <c:pt idx="739">
                  <c:v>19.840071153738837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53-8E42-A4A9-4C3EB0EAD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462"/>
        <c:minorUnit val="730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Fuco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'Fuco update'!$B$3:$B$742</c:f>
              <c:numCache>
                <c:formatCode>[$-409]mmm\-yy;@</c:formatCode>
                <c:ptCount val="740"/>
                <c:pt idx="0">
                  <c:v>36445</c:v>
                </c:pt>
                <c:pt idx="1">
                  <c:v>36446</c:v>
                </c:pt>
                <c:pt idx="2">
                  <c:v>36445</c:v>
                </c:pt>
                <c:pt idx="3">
                  <c:v>36472</c:v>
                </c:pt>
                <c:pt idx="4">
                  <c:v>36473</c:v>
                </c:pt>
                <c:pt idx="5">
                  <c:v>36472</c:v>
                </c:pt>
                <c:pt idx="6">
                  <c:v>36501</c:v>
                </c:pt>
                <c:pt idx="7">
                  <c:v>36502</c:v>
                </c:pt>
                <c:pt idx="8">
                  <c:v>36501</c:v>
                </c:pt>
                <c:pt idx="9">
                  <c:v>36530</c:v>
                </c:pt>
                <c:pt idx="10">
                  <c:v>36531</c:v>
                </c:pt>
                <c:pt idx="11">
                  <c:v>36530</c:v>
                </c:pt>
                <c:pt idx="12">
                  <c:v>36579</c:v>
                </c:pt>
                <c:pt idx="13">
                  <c:v>36578</c:v>
                </c:pt>
                <c:pt idx="14">
                  <c:v>36579</c:v>
                </c:pt>
                <c:pt idx="15">
                  <c:v>36598</c:v>
                </c:pt>
                <c:pt idx="16">
                  <c:v>36599</c:v>
                </c:pt>
                <c:pt idx="17">
                  <c:v>36598</c:v>
                </c:pt>
                <c:pt idx="18">
                  <c:v>36627</c:v>
                </c:pt>
                <c:pt idx="19">
                  <c:v>36626</c:v>
                </c:pt>
                <c:pt idx="20">
                  <c:v>36627</c:v>
                </c:pt>
                <c:pt idx="21">
                  <c:v>36662</c:v>
                </c:pt>
                <c:pt idx="22">
                  <c:v>36663</c:v>
                </c:pt>
                <c:pt idx="23">
                  <c:v>36662</c:v>
                </c:pt>
                <c:pt idx="24">
                  <c:v>36690</c:v>
                </c:pt>
                <c:pt idx="25">
                  <c:v>36692</c:v>
                </c:pt>
                <c:pt idx="26">
                  <c:v>36690</c:v>
                </c:pt>
                <c:pt idx="27">
                  <c:v>36718</c:v>
                </c:pt>
                <c:pt idx="28">
                  <c:v>36719</c:v>
                </c:pt>
                <c:pt idx="29">
                  <c:v>36718</c:v>
                </c:pt>
                <c:pt idx="30">
                  <c:v>36753</c:v>
                </c:pt>
                <c:pt idx="31">
                  <c:v>36755</c:v>
                </c:pt>
                <c:pt idx="32">
                  <c:v>36753</c:v>
                </c:pt>
                <c:pt idx="33">
                  <c:v>36781</c:v>
                </c:pt>
                <c:pt idx="34">
                  <c:v>36783</c:v>
                </c:pt>
                <c:pt idx="35">
                  <c:v>36781</c:v>
                </c:pt>
                <c:pt idx="36">
                  <c:v>36817</c:v>
                </c:pt>
                <c:pt idx="37">
                  <c:v>36815</c:v>
                </c:pt>
                <c:pt idx="38">
                  <c:v>36817</c:v>
                </c:pt>
                <c:pt idx="39">
                  <c:v>36845</c:v>
                </c:pt>
                <c:pt idx="40">
                  <c:v>36846</c:v>
                </c:pt>
                <c:pt idx="41">
                  <c:v>36845</c:v>
                </c:pt>
                <c:pt idx="42">
                  <c:v>36871</c:v>
                </c:pt>
                <c:pt idx="43">
                  <c:v>36873</c:v>
                </c:pt>
                <c:pt idx="44">
                  <c:v>36871</c:v>
                </c:pt>
                <c:pt idx="45">
                  <c:v>36901</c:v>
                </c:pt>
                <c:pt idx="46">
                  <c:v>36902</c:v>
                </c:pt>
                <c:pt idx="47">
                  <c:v>36901</c:v>
                </c:pt>
                <c:pt idx="48">
                  <c:v>36928</c:v>
                </c:pt>
                <c:pt idx="49">
                  <c:v>36929</c:v>
                </c:pt>
                <c:pt idx="50">
                  <c:v>36928</c:v>
                </c:pt>
                <c:pt idx="51">
                  <c:v>36965</c:v>
                </c:pt>
                <c:pt idx="52">
                  <c:v>36962</c:v>
                </c:pt>
                <c:pt idx="53">
                  <c:v>36964</c:v>
                </c:pt>
                <c:pt idx="54">
                  <c:v>37000</c:v>
                </c:pt>
                <c:pt idx="55">
                  <c:v>36998</c:v>
                </c:pt>
                <c:pt idx="56">
                  <c:v>36997</c:v>
                </c:pt>
                <c:pt idx="57">
                  <c:v>37026</c:v>
                </c:pt>
                <c:pt idx="58">
                  <c:v>37025</c:v>
                </c:pt>
                <c:pt idx="59">
                  <c:v>37026</c:v>
                </c:pt>
                <c:pt idx="60">
                  <c:v>37055</c:v>
                </c:pt>
                <c:pt idx="61">
                  <c:v>37054</c:v>
                </c:pt>
                <c:pt idx="62">
                  <c:v>37055</c:v>
                </c:pt>
                <c:pt idx="63">
                  <c:v>37092</c:v>
                </c:pt>
                <c:pt idx="64">
                  <c:v>37090</c:v>
                </c:pt>
                <c:pt idx="65">
                  <c:v>37092</c:v>
                </c:pt>
                <c:pt idx="66">
                  <c:v>37118</c:v>
                </c:pt>
                <c:pt idx="67">
                  <c:v>37117</c:v>
                </c:pt>
                <c:pt idx="68">
                  <c:v>37118</c:v>
                </c:pt>
                <c:pt idx="69">
                  <c:v>37152</c:v>
                </c:pt>
                <c:pt idx="70">
                  <c:v>37145</c:v>
                </c:pt>
                <c:pt idx="71">
                  <c:v>37145</c:v>
                </c:pt>
                <c:pt idx="72">
                  <c:v>37180</c:v>
                </c:pt>
                <c:pt idx="73">
                  <c:v>37182</c:v>
                </c:pt>
                <c:pt idx="74">
                  <c:v>37180</c:v>
                </c:pt>
                <c:pt idx="75">
                  <c:v>37201</c:v>
                </c:pt>
                <c:pt idx="76">
                  <c:v>37202</c:v>
                </c:pt>
                <c:pt idx="77">
                  <c:v>37201</c:v>
                </c:pt>
                <c:pt idx="78">
                  <c:v>37229</c:v>
                </c:pt>
                <c:pt idx="79">
                  <c:v>37230</c:v>
                </c:pt>
                <c:pt idx="80">
                  <c:v>37229</c:v>
                </c:pt>
                <c:pt idx="81">
                  <c:v>37271</c:v>
                </c:pt>
                <c:pt idx="82">
                  <c:v>37272</c:v>
                </c:pt>
                <c:pt idx="83">
                  <c:v>37271</c:v>
                </c:pt>
                <c:pt idx="84">
                  <c:v>37306</c:v>
                </c:pt>
                <c:pt idx="85">
                  <c:v>37301</c:v>
                </c:pt>
                <c:pt idx="86">
                  <c:v>37306</c:v>
                </c:pt>
                <c:pt idx="87">
                  <c:v>37334</c:v>
                </c:pt>
                <c:pt idx="88">
                  <c:v>37336</c:v>
                </c:pt>
                <c:pt idx="89">
                  <c:v>37336</c:v>
                </c:pt>
                <c:pt idx="90">
                  <c:v>37362</c:v>
                </c:pt>
                <c:pt idx="91">
                  <c:v>37363</c:v>
                </c:pt>
                <c:pt idx="92">
                  <c:v>37362</c:v>
                </c:pt>
                <c:pt idx="93">
                  <c:v>37392</c:v>
                </c:pt>
                <c:pt idx="94">
                  <c:v>37392</c:v>
                </c:pt>
                <c:pt idx="95">
                  <c:v>37392</c:v>
                </c:pt>
                <c:pt idx="96">
                  <c:v>37419</c:v>
                </c:pt>
                <c:pt idx="97">
                  <c:v>37420</c:v>
                </c:pt>
                <c:pt idx="98">
                  <c:v>37419</c:v>
                </c:pt>
                <c:pt idx="99">
                  <c:v>37454</c:v>
                </c:pt>
                <c:pt idx="100">
                  <c:v>37453</c:v>
                </c:pt>
                <c:pt idx="101">
                  <c:v>37454</c:v>
                </c:pt>
                <c:pt idx="102">
                  <c:v>37482</c:v>
                </c:pt>
                <c:pt idx="103">
                  <c:v>37481</c:v>
                </c:pt>
                <c:pt idx="104">
                  <c:v>37482</c:v>
                </c:pt>
                <c:pt idx="105">
                  <c:v>37517</c:v>
                </c:pt>
                <c:pt idx="106">
                  <c:v>37518</c:v>
                </c:pt>
                <c:pt idx="107">
                  <c:v>37517</c:v>
                </c:pt>
                <c:pt idx="108">
                  <c:v>37544</c:v>
                </c:pt>
                <c:pt idx="109">
                  <c:v>37546</c:v>
                </c:pt>
                <c:pt idx="110">
                  <c:v>37546</c:v>
                </c:pt>
                <c:pt idx="111">
                  <c:v>37575</c:v>
                </c:pt>
                <c:pt idx="112">
                  <c:v>37574</c:v>
                </c:pt>
                <c:pt idx="113">
                  <c:v>37574</c:v>
                </c:pt>
                <c:pt idx="114">
                  <c:v>37609</c:v>
                </c:pt>
                <c:pt idx="115">
                  <c:v>37608</c:v>
                </c:pt>
                <c:pt idx="116">
                  <c:v>37608</c:v>
                </c:pt>
                <c:pt idx="117">
                  <c:v>37635</c:v>
                </c:pt>
                <c:pt idx="118">
                  <c:v>37636</c:v>
                </c:pt>
                <c:pt idx="119">
                  <c:v>37636</c:v>
                </c:pt>
                <c:pt idx="120">
                  <c:v>37665</c:v>
                </c:pt>
                <c:pt idx="121">
                  <c:v>37663</c:v>
                </c:pt>
                <c:pt idx="122">
                  <c:v>37663</c:v>
                </c:pt>
                <c:pt idx="123">
                  <c:v>37692</c:v>
                </c:pt>
                <c:pt idx="124">
                  <c:v>37691</c:v>
                </c:pt>
                <c:pt idx="125">
                  <c:v>37692</c:v>
                </c:pt>
                <c:pt idx="126">
                  <c:v>37726</c:v>
                </c:pt>
                <c:pt idx="127">
                  <c:v>37727</c:v>
                </c:pt>
                <c:pt idx="128">
                  <c:v>37726</c:v>
                </c:pt>
                <c:pt idx="129">
                  <c:v>37761</c:v>
                </c:pt>
                <c:pt idx="130">
                  <c:v>37756</c:v>
                </c:pt>
                <c:pt idx="131">
                  <c:v>37761</c:v>
                </c:pt>
                <c:pt idx="132">
                  <c:v>37792</c:v>
                </c:pt>
                <c:pt idx="133">
                  <c:v>37790</c:v>
                </c:pt>
                <c:pt idx="134">
                  <c:v>37790</c:v>
                </c:pt>
                <c:pt idx="135">
                  <c:v>37819</c:v>
                </c:pt>
                <c:pt idx="136">
                  <c:v>37818</c:v>
                </c:pt>
                <c:pt idx="137">
                  <c:v>37819</c:v>
                </c:pt>
                <c:pt idx="138">
                  <c:v>37847</c:v>
                </c:pt>
                <c:pt idx="139">
                  <c:v>37846</c:v>
                </c:pt>
                <c:pt idx="140">
                  <c:v>37847</c:v>
                </c:pt>
                <c:pt idx="141">
                  <c:v>37888</c:v>
                </c:pt>
                <c:pt idx="142">
                  <c:v>37886</c:v>
                </c:pt>
                <c:pt idx="143">
                  <c:v>37886</c:v>
                </c:pt>
                <c:pt idx="144">
                  <c:v>37910</c:v>
                </c:pt>
                <c:pt idx="145">
                  <c:v>37910</c:v>
                </c:pt>
                <c:pt idx="146">
                  <c:v>37910</c:v>
                </c:pt>
                <c:pt idx="147">
                  <c:v>37943</c:v>
                </c:pt>
                <c:pt idx="148">
                  <c:v>37942</c:v>
                </c:pt>
                <c:pt idx="149">
                  <c:v>37942</c:v>
                </c:pt>
                <c:pt idx="150">
                  <c:v>37973</c:v>
                </c:pt>
                <c:pt idx="151">
                  <c:v>37971</c:v>
                </c:pt>
                <c:pt idx="152">
                  <c:v>37971</c:v>
                </c:pt>
                <c:pt idx="153">
                  <c:v>37999</c:v>
                </c:pt>
                <c:pt idx="156">
                  <c:v>38027</c:v>
                </c:pt>
                <c:pt idx="157">
                  <c:v>38026</c:v>
                </c:pt>
                <c:pt idx="158">
                  <c:v>38026</c:v>
                </c:pt>
                <c:pt idx="159">
                  <c:v>38063</c:v>
                </c:pt>
                <c:pt idx="160">
                  <c:v>38061</c:v>
                </c:pt>
                <c:pt idx="161">
                  <c:v>38063</c:v>
                </c:pt>
                <c:pt idx="162">
                  <c:v>38094</c:v>
                </c:pt>
                <c:pt idx="163">
                  <c:v>38093</c:v>
                </c:pt>
                <c:pt idx="164">
                  <c:v>38094</c:v>
                </c:pt>
                <c:pt idx="165">
                  <c:v>38118</c:v>
                </c:pt>
                <c:pt idx="166">
                  <c:v>38117</c:v>
                </c:pt>
                <c:pt idx="167">
                  <c:v>38118</c:v>
                </c:pt>
                <c:pt idx="168">
                  <c:v>38153</c:v>
                </c:pt>
                <c:pt idx="169">
                  <c:v>38160</c:v>
                </c:pt>
                <c:pt idx="170">
                  <c:v>38155</c:v>
                </c:pt>
                <c:pt idx="171">
                  <c:v>38181</c:v>
                </c:pt>
                <c:pt idx="172">
                  <c:v>38182</c:v>
                </c:pt>
                <c:pt idx="173">
                  <c:v>38182</c:v>
                </c:pt>
                <c:pt idx="174">
                  <c:v>38217</c:v>
                </c:pt>
                <c:pt idx="175">
                  <c:v>38218</c:v>
                </c:pt>
                <c:pt idx="176">
                  <c:v>38218</c:v>
                </c:pt>
                <c:pt idx="177">
                  <c:v>38244</c:v>
                </c:pt>
                <c:pt idx="178">
                  <c:v>38246</c:v>
                </c:pt>
                <c:pt idx="179">
                  <c:v>38246</c:v>
                </c:pt>
                <c:pt idx="180">
                  <c:v>38273</c:v>
                </c:pt>
                <c:pt idx="181">
                  <c:v>38274</c:v>
                </c:pt>
                <c:pt idx="182">
                  <c:v>38273</c:v>
                </c:pt>
                <c:pt idx="183">
                  <c:v>38307</c:v>
                </c:pt>
                <c:pt idx="184">
                  <c:v>38309</c:v>
                </c:pt>
                <c:pt idx="185">
                  <c:v>38307</c:v>
                </c:pt>
                <c:pt idx="186">
                  <c:v>38337</c:v>
                </c:pt>
                <c:pt idx="187">
                  <c:v>38337</c:v>
                </c:pt>
                <c:pt idx="188">
                  <c:v>38337</c:v>
                </c:pt>
                <c:pt idx="189">
                  <c:v>38363</c:v>
                </c:pt>
                <c:pt idx="190">
                  <c:v>38364</c:v>
                </c:pt>
                <c:pt idx="191">
                  <c:v>38363</c:v>
                </c:pt>
                <c:pt idx="192">
                  <c:v>38399</c:v>
                </c:pt>
                <c:pt idx="193">
                  <c:v>38398</c:v>
                </c:pt>
                <c:pt idx="194">
                  <c:v>38398</c:v>
                </c:pt>
                <c:pt idx="195">
                  <c:v>38428</c:v>
                </c:pt>
                <c:pt idx="196">
                  <c:v>38427</c:v>
                </c:pt>
                <c:pt idx="197">
                  <c:v>38427</c:v>
                </c:pt>
                <c:pt idx="198">
                  <c:v>38469</c:v>
                </c:pt>
                <c:pt idx="199">
                  <c:v>38470</c:v>
                </c:pt>
                <c:pt idx="200">
                  <c:v>38469</c:v>
                </c:pt>
                <c:pt idx="201">
                  <c:v>38490</c:v>
                </c:pt>
                <c:pt idx="202">
                  <c:v>38488</c:v>
                </c:pt>
                <c:pt idx="203">
                  <c:v>38488</c:v>
                </c:pt>
                <c:pt idx="204">
                  <c:v>38518</c:v>
                </c:pt>
                <c:pt idx="205">
                  <c:v>38525</c:v>
                </c:pt>
                <c:pt idx="206">
                  <c:v>38525</c:v>
                </c:pt>
                <c:pt idx="207">
                  <c:v>38547</c:v>
                </c:pt>
                <c:pt idx="208">
                  <c:v>38546</c:v>
                </c:pt>
                <c:pt idx="209">
                  <c:v>38546</c:v>
                </c:pt>
                <c:pt idx="210">
                  <c:v>38587</c:v>
                </c:pt>
                <c:pt idx="211">
                  <c:v>38587</c:v>
                </c:pt>
                <c:pt idx="212">
                  <c:v>38587</c:v>
                </c:pt>
                <c:pt idx="213">
                  <c:v>38608</c:v>
                </c:pt>
                <c:pt idx="214">
                  <c:v>38609</c:v>
                </c:pt>
                <c:pt idx="215">
                  <c:v>38609</c:v>
                </c:pt>
                <c:pt idx="216">
                  <c:v>38636</c:v>
                </c:pt>
                <c:pt idx="217">
                  <c:v>38642</c:v>
                </c:pt>
                <c:pt idx="218">
                  <c:v>38637</c:v>
                </c:pt>
                <c:pt idx="219">
                  <c:v>38671</c:v>
                </c:pt>
                <c:pt idx="220">
                  <c:v>38670</c:v>
                </c:pt>
                <c:pt idx="221">
                  <c:v>38670</c:v>
                </c:pt>
                <c:pt idx="222">
                  <c:v>38707</c:v>
                </c:pt>
                <c:pt idx="223">
                  <c:v>38706</c:v>
                </c:pt>
                <c:pt idx="224">
                  <c:v>38706</c:v>
                </c:pt>
                <c:pt idx="225">
                  <c:v>38734</c:v>
                </c:pt>
                <c:pt idx="226">
                  <c:v>38740</c:v>
                </c:pt>
                <c:pt idx="227">
                  <c:v>38737</c:v>
                </c:pt>
                <c:pt idx="228">
                  <c:v>38762</c:v>
                </c:pt>
                <c:pt idx="229">
                  <c:v>38763</c:v>
                </c:pt>
                <c:pt idx="230">
                  <c:v>38763</c:v>
                </c:pt>
                <c:pt idx="231">
                  <c:v>38789</c:v>
                </c:pt>
                <c:pt idx="232">
                  <c:v>38792</c:v>
                </c:pt>
                <c:pt idx="233">
                  <c:v>38792</c:v>
                </c:pt>
                <c:pt idx="234">
                  <c:v>38825</c:v>
                </c:pt>
                <c:pt idx="235">
                  <c:v>38826</c:v>
                </c:pt>
                <c:pt idx="236">
                  <c:v>38826</c:v>
                </c:pt>
                <c:pt idx="237">
                  <c:v>38852</c:v>
                </c:pt>
                <c:pt idx="238">
                  <c:v>38853</c:v>
                </c:pt>
                <c:pt idx="239">
                  <c:v>38853</c:v>
                </c:pt>
                <c:pt idx="240">
                  <c:v>38883</c:v>
                </c:pt>
                <c:pt idx="241">
                  <c:v>38884</c:v>
                </c:pt>
                <c:pt idx="242">
                  <c:v>38884</c:v>
                </c:pt>
                <c:pt idx="243">
                  <c:v>38916</c:v>
                </c:pt>
                <c:pt idx="244">
                  <c:v>38915</c:v>
                </c:pt>
                <c:pt idx="245">
                  <c:v>38915</c:v>
                </c:pt>
                <c:pt idx="246">
                  <c:v>38953</c:v>
                </c:pt>
                <c:pt idx="247">
                  <c:v>38952</c:v>
                </c:pt>
                <c:pt idx="248">
                  <c:v>38952</c:v>
                </c:pt>
                <c:pt idx="249">
                  <c:v>38972</c:v>
                </c:pt>
                <c:pt idx="250">
                  <c:v>38975</c:v>
                </c:pt>
                <c:pt idx="251">
                  <c:v>38975</c:v>
                </c:pt>
                <c:pt idx="252">
                  <c:v>39008</c:v>
                </c:pt>
                <c:pt idx="253">
                  <c:v>39006</c:v>
                </c:pt>
                <c:pt idx="254">
                  <c:v>39006</c:v>
                </c:pt>
                <c:pt idx="255">
                  <c:v>39035</c:v>
                </c:pt>
                <c:pt idx="256">
                  <c:v>39041</c:v>
                </c:pt>
                <c:pt idx="257">
                  <c:v>39041</c:v>
                </c:pt>
                <c:pt idx="258">
                  <c:v>39063</c:v>
                </c:pt>
                <c:pt idx="259">
                  <c:v>39062</c:v>
                </c:pt>
                <c:pt idx="260">
                  <c:v>39062</c:v>
                </c:pt>
                <c:pt idx="261">
                  <c:v>39100</c:v>
                </c:pt>
                <c:pt idx="262">
                  <c:v>39100</c:v>
                </c:pt>
                <c:pt idx="263">
                  <c:v>39100</c:v>
                </c:pt>
                <c:pt idx="264">
                  <c:v>39134</c:v>
                </c:pt>
                <c:pt idx="265">
                  <c:v>39135</c:v>
                </c:pt>
                <c:pt idx="266">
                  <c:v>39135</c:v>
                </c:pt>
                <c:pt idx="267">
                  <c:v>39154</c:v>
                </c:pt>
                <c:pt idx="268">
                  <c:v>39153</c:v>
                </c:pt>
                <c:pt idx="269">
                  <c:v>39153</c:v>
                </c:pt>
                <c:pt idx="270">
                  <c:v>39190</c:v>
                </c:pt>
                <c:pt idx="271">
                  <c:v>39191</c:v>
                </c:pt>
                <c:pt idx="272">
                  <c:v>39191</c:v>
                </c:pt>
                <c:pt idx="273">
                  <c:v>39217</c:v>
                </c:pt>
                <c:pt idx="274">
                  <c:v>39216</c:v>
                </c:pt>
                <c:pt idx="275">
                  <c:v>39216</c:v>
                </c:pt>
                <c:pt idx="276">
                  <c:v>39246</c:v>
                </c:pt>
                <c:pt idx="277">
                  <c:v>39248</c:v>
                </c:pt>
                <c:pt idx="278">
                  <c:v>39248</c:v>
                </c:pt>
                <c:pt idx="279">
                  <c:v>39280</c:v>
                </c:pt>
                <c:pt idx="280">
                  <c:v>39279</c:v>
                </c:pt>
                <c:pt idx="281">
                  <c:v>39279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39336</c:v>
                </c:pt>
                <c:pt idx="286">
                  <c:v>39335</c:v>
                </c:pt>
                <c:pt idx="287">
                  <c:v>39335</c:v>
                </c:pt>
                <c:pt idx="288">
                  <c:v>39370</c:v>
                </c:pt>
                <c:pt idx="289">
                  <c:v>39370</c:v>
                </c:pt>
                <c:pt idx="290">
                  <c:v>39370</c:v>
                </c:pt>
                <c:pt idx="291">
                  <c:v>39400</c:v>
                </c:pt>
                <c:pt idx="292">
                  <c:v>39400</c:v>
                </c:pt>
                <c:pt idx="293">
                  <c:v>39400</c:v>
                </c:pt>
                <c:pt idx="294">
                  <c:v>39427</c:v>
                </c:pt>
                <c:pt idx="295">
                  <c:v>39434</c:v>
                </c:pt>
                <c:pt idx="296">
                  <c:v>39434</c:v>
                </c:pt>
                <c:pt idx="297">
                  <c:v>39462</c:v>
                </c:pt>
                <c:pt idx="298">
                  <c:v>39463</c:v>
                </c:pt>
                <c:pt idx="299">
                  <c:v>39463</c:v>
                </c:pt>
                <c:pt idx="300">
                  <c:v>39490</c:v>
                </c:pt>
                <c:pt idx="301">
                  <c:v>39493</c:v>
                </c:pt>
                <c:pt idx="302">
                  <c:v>39493</c:v>
                </c:pt>
                <c:pt idx="303">
                  <c:v>39517</c:v>
                </c:pt>
                <c:pt idx="304">
                  <c:v>39517</c:v>
                </c:pt>
                <c:pt idx="305">
                  <c:v>39517</c:v>
                </c:pt>
                <c:pt idx="306">
                  <c:v>39553</c:v>
                </c:pt>
                <c:pt idx="307">
                  <c:v>39552</c:v>
                </c:pt>
                <c:pt idx="308">
                  <c:v>39552</c:v>
                </c:pt>
                <c:pt idx="309">
                  <c:v>39582</c:v>
                </c:pt>
                <c:pt idx="310">
                  <c:v>39583</c:v>
                </c:pt>
                <c:pt idx="311">
                  <c:v>39583</c:v>
                </c:pt>
                <c:pt idx="312">
                  <c:v>39616</c:v>
                </c:pt>
                <c:pt idx="313">
                  <c:v>39617</c:v>
                </c:pt>
                <c:pt idx="314">
                  <c:v>39617</c:v>
                </c:pt>
                <c:pt idx="315">
                  <c:v>39644</c:v>
                </c:pt>
                <c:pt idx="316">
                  <c:v>39645</c:v>
                </c:pt>
                <c:pt idx="317">
                  <c:v>39645</c:v>
                </c:pt>
                <c:pt idx="318">
                  <c:v>39672</c:v>
                </c:pt>
                <c:pt idx="319">
                  <c:v>39672</c:v>
                </c:pt>
                <c:pt idx="320">
                  <c:v>39672</c:v>
                </c:pt>
                <c:pt idx="321">
                  <c:v>39709</c:v>
                </c:pt>
                <c:pt idx="322">
                  <c:v>39709</c:v>
                </c:pt>
                <c:pt idx="323">
                  <c:v>39709</c:v>
                </c:pt>
                <c:pt idx="324">
                  <c:v>39737</c:v>
                </c:pt>
                <c:pt idx="325">
                  <c:v>39735</c:v>
                </c:pt>
                <c:pt idx="326">
                  <c:v>39735</c:v>
                </c:pt>
                <c:pt idx="327">
                  <c:v>39763</c:v>
                </c:pt>
                <c:pt idx="328">
                  <c:v>39769</c:v>
                </c:pt>
                <c:pt idx="329">
                  <c:v>39769</c:v>
                </c:pt>
                <c:pt idx="330">
                  <c:v>39797</c:v>
                </c:pt>
                <c:pt idx="331">
                  <c:v>39797</c:v>
                </c:pt>
                <c:pt idx="332">
                  <c:v>39797</c:v>
                </c:pt>
                <c:pt idx="333">
                  <c:v>39825</c:v>
                </c:pt>
                <c:pt idx="334">
                  <c:v>39826</c:v>
                </c:pt>
                <c:pt idx="335">
                  <c:v>39826</c:v>
                </c:pt>
                <c:pt idx="336">
                  <c:v>39854</c:v>
                </c:pt>
                <c:pt idx="337">
                  <c:v>39855</c:v>
                </c:pt>
                <c:pt idx="338">
                  <c:v>39855</c:v>
                </c:pt>
                <c:pt idx="339">
                  <c:v>39890</c:v>
                </c:pt>
                <c:pt idx="340">
                  <c:v>39888</c:v>
                </c:pt>
                <c:pt idx="341">
                  <c:v>39888</c:v>
                </c:pt>
                <c:pt idx="342">
                  <c:v>39920</c:v>
                </c:pt>
                <c:pt idx="343">
                  <c:v>39916</c:v>
                </c:pt>
                <c:pt idx="344">
                  <c:v>39916</c:v>
                </c:pt>
                <c:pt idx="345">
                  <c:v>39945</c:v>
                </c:pt>
                <c:pt idx="346">
                  <c:v>39946</c:v>
                </c:pt>
                <c:pt idx="347">
                  <c:v>39946</c:v>
                </c:pt>
                <c:pt idx="348">
                  <c:v>39980</c:v>
                </c:pt>
                <c:pt idx="349">
                  <c:v>39983</c:v>
                </c:pt>
                <c:pt idx="350">
                  <c:v>39983</c:v>
                </c:pt>
                <c:pt idx="351">
                  <c:v>40007</c:v>
                </c:pt>
                <c:pt idx="352">
                  <c:v>40007</c:v>
                </c:pt>
                <c:pt idx="353">
                  <c:v>40007</c:v>
                </c:pt>
                <c:pt idx="354">
                  <c:v>40043</c:v>
                </c:pt>
                <c:pt idx="355">
                  <c:v>40042</c:v>
                </c:pt>
                <c:pt idx="356">
                  <c:v>40042</c:v>
                </c:pt>
                <c:pt idx="357">
                  <c:v>40070</c:v>
                </c:pt>
                <c:pt idx="358">
                  <c:v>40071</c:v>
                </c:pt>
                <c:pt idx="359">
                  <c:v>40071</c:v>
                </c:pt>
                <c:pt idx="360">
                  <c:v>40099</c:v>
                </c:pt>
                <c:pt idx="361">
                  <c:v>40100</c:v>
                </c:pt>
                <c:pt idx="362">
                  <c:v>40100</c:v>
                </c:pt>
                <c:pt idx="363">
                  <c:v>40133</c:v>
                </c:pt>
                <c:pt idx="364">
                  <c:v>40133</c:v>
                </c:pt>
                <c:pt idx="365">
                  <c:v>40133</c:v>
                </c:pt>
                <c:pt idx="366">
                  <c:v>40161</c:v>
                </c:pt>
                <c:pt idx="367">
                  <c:v>40161</c:v>
                </c:pt>
                <c:pt idx="368">
                  <c:v>40161</c:v>
                </c:pt>
                <c:pt idx="369">
                  <c:v>40197</c:v>
                </c:pt>
                <c:pt idx="370">
                  <c:v>40197</c:v>
                </c:pt>
                <c:pt idx="371">
                  <c:v>40197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40254</c:v>
                </c:pt>
                <c:pt idx="376">
                  <c:v>40255</c:v>
                </c:pt>
                <c:pt idx="377">
                  <c:v>40255</c:v>
                </c:pt>
                <c:pt idx="378">
                  <c:v>40280</c:v>
                </c:pt>
                <c:pt idx="379">
                  <c:v>40281</c:v>
                </c:pt>
                <c:pt idx="380">
                  <c:v>40281</c:v>
                </c:pt>
                <c:pt idx="381">
                  <c:v>40315</c:v>
                </c:pt>
                <c:pt idx="382">
                  <c:v>40317</c:v>
                </c:pt>
                <c:pt idx="383">
                  <c:v>40317</c:v>
                </c:pt>
                <c:pt idx="384">
                  <c:v>40344</c:v>
                </c:pt>
                <c:pt idx="385">
                  <c:v>40345</c:v>
                </c:pt>
                <c:pt idx="386">
                  <c:v>40345</c:v>
                </c:pt>
                <c:pt idx="387">
                  <c:v>40374</c:v>
                </c:pt>
                <c:pt idx="388">
                  <c:v>40374</c:v>
                </c:pt>
                <c:pt idx="389">
                  <c:v>40374</c:v>
                </c:pt>
                <c:pt idx="390">
                  <c:v>40407</c:v>
                </c:pt>
                <c:pt idx="391">
                  <c:v>40409</c:v>
                </c:pt>
                <c:pt idx="392">
                  <c:v>40409</c:v>
                </c:pt>
                <c:pt idx="393">
                  <c:v>40409</c:v>
                </c:pt>
                <c:pt idx="394">
                  <c:v>40436</c:v>
                </c:pt>
                <c:pt idx="395">
                  <c:v>40434</c:v>
                </c:pt>
                <c:pt idx="396">
                  <c:v>40434</c:v>
                </c:pt>
                <c:pt idx="397">
                  <c:v>40464</c:v>
                </c:pt>
                <c:pt idx="398">
                  <c:v>40463</c:v>
                </c:pt>
                <c:pt idx="399">
                  <c:v>40463</c:v>
                </c:pt>
                <c:pt idx="400">
                  <c:v>40498</c:v>
                </c:pt>
                <c:pt idx="401">
                  <c:v>40500</c:v>
                </c:pt>
                <c:pt idx="402">
                  <c:v>40500</c:v>
                </c:pt>
                <c:pt idx="403">
                  <c:v>40520</c:v>
                </c:pt>
                <c:pt idx="404">
                  <c:v>40521</c:v>
                </c:pt>
                <c:pt idx="405">
                  <c:v>40521</c:v>
                </c:pt>
                <c:pt idx="406">
                  <c:v>40562</c:v>
                </c:pt>
                <c:pt idx="407">
                  <c:v>40563</c:v>
                </c:pt>
                <c:pt idx="408">
                  <c:v>40563</c:v>
                </c:pt>
                <c:pt idx="409">
                  <c:v>40591</c:v>
                </c:pt>
                <c:pt idx="410">
                  <c:v>40598</c:v>
                </c:pt>
                <c:pt idx="411">
                  <c:v>40598</c:v>
                </c:pt>
                <c:pt idx="412">
                  <c:v>40619</c:v>
                </c:pt>
                <c:pt idx="413">
                  <c:v>40617</c:v>
                </c:pt>
                <c:pt idx="414">
                  <c:v>40617</c:v>
                </c:pt>
                <c:pt idx="415">
                  <c:v>40617</c:v>
                </c:pt>
                <c:pt idx="416">
                  <c:v>40646</c:v>
                </c:pt>
                <c:pt idx="417">
                  <c:v>40647</c:v>
                </c:pt>
                <c:pt idx="418">
                  <c:v>40647</c:v>
                </c:pt>
                <c:pt idx="419">
                  <c:v>40681</c:v>
                </c:pt>
                <c:pt idx="420">
                  <c:v>40681</c:v>
                </c:pt>
                <c:pt idx="421">
                  <c:v>40682</c:v>
                </c:pt>
                <c:pt idx="422">
                  <c:v>40682</c:v>
                </c:pt>
                <c:pt idx="423">
                  <c:v>40709</c:v>
                </c:pt>
                <c:pt idx="424">
                  <c:v>40709</c:v>
                </c:pt>
                <c:pt idx="425">
                  <c:v>40709</c:v>
                </c:pt>
                <c:pt idx="426">
                  <c:v>40709</c:v>
                </c:pt>
                <c:pt idx="427">
                  <c:v>40735</c:v>
                </c:pt>
                <c:pt idx="428">
                  <c:v>40736</c:v>
                </c:pt>
                <c:pt idx="429">
                  <c:v>40736</c:v>
                </c:pt>
                <c:pt idx="430">
                  <c:v>40736</c:v>
                </c:pt>
                <c:pt idx="431">
                  <c:v>40771</c:v>
                </c:pt>
                <c:pt idx="432">
                  <c:v>40772</c:v>
                </c:pt>
                <c:pt idx="433">
                  <c:v>40772</c:v>
                </c:pt>
                <c:pt idx="434">
                  <c:v>40799</c:v>
                </c:pt>
                <c:pt idx="435">
                  <c:v>40798</c:v>
                </c:pt>
                <c:pt idx="436">
                  <c:v>40798</c:v>
                </c:pt>
                <c:pt idx="437">
                  <c:v>40798</c:v>
                </c:pt>
                <c:pt idx="438">
                  <c:v>40827</c:v>
                </c:pt>
                <c:pt idx="439">
                  <c:v>40827</c:v>
                </c:pt>
                <c:pt idx="440">
                  <c:v>40829</c:v>
                </c:pt>
                <c:pt idx="441">
                  <c:v>40829</c:v>
                </c:pt>
                <c:pt idx="442">
                  <c:v>40862</c:v>
                </c:pt>
                <c:pt idx="443">
                  <c:v>40865</c:v>
                </c:pt>
                <c:pt idx="444">
                  <c:v>40865</c:v>
                </c:pt>
                <c:pt idx="445">
                  <c:v>40891</c:v>
                </c:pt>
                <c:pt idx="446">
                  <c:v>40891</c:v>
                </c:pt>
                <c:pt idx="447">
                  <c:v>40891</c:v>
                </c:pt>
                <c:pt idx="448">
                  <c:v>40919</c:v>
                </c:pt>
                <c:pt idx="449">
                  <c:v>40919</c:v>
                </c:pt>
                <c:pt idx="450">
                  <c:v>40919</c:v>
                </c:pt>
                <c:pt idx="451">
                  <c:v>40962</c:v>
                </c:pt>
                <c:pt idx="452">
                  <c:v>40960</c:v>
                </c:pt>
                <c:pt idx="453">
                  <c:v>40960</c:v>
                </c:pt>
                <c:pt idx="454">
                  <c:v>40980</c:v>
                </c:pt>
                <c:pt idx="455">
                  <c:v>40982</c:v>
                </c:pt>
                <c:pt idx="456">
                  <c:v>40982</c:v>
                </c:pt>
                <c:pt idx="457">
                  <c:v>41015</c:v>
                </c:pt>
                <c:pt idx="458">
                  <c:v>41016</c:v>
                </c:pt>
                <c:pt idx="459">
                  <c:v>41016</c:v>
                </c:pt>
                <c:pt idx="460">
                  <c:v>41016</c:v>
                </c:pt>
                <c:pt idx="461">
                  <c:v>41045</c:v>
                </c:pt>
                <c:pt idx="462">
                  <c:v>41051</c:v>
                </c:pt>
                <c:pt idx="463">
                  <c:v>41051</c:v>
                </c:pt>
                <c:pt idx="464">
                  <c:v>41051</c:v>
                </c:pt>
                <c:pt idx="465">
                  <c:v>41073</c:v>
                </c:pt>
                <c:pt idx="466">
                  <c:v>41080</c:v>
                </c:pt>
                <c:pt idx="467">
                  <c:v>41080</c:v>
                </c:pt>
                <c:pt idx="468">
                  <c:v>41107</c:v>
                </c:pt>
                <c:pt idx="469">
                  <c:v>41106</c:v>
                </c:pt>
                <c:pt idx="470">
                  <c:v>41106</c:v>
                </c:pt>
                <c:pt idx="471">
                  <c:v>41135</c:v>
                </c:pt>
                <c:pt idx="472">
                  <c:v>41137</c:v>
                </c:pt>
                <c:pt idx="473">
                  <c:v>41137</c:v>
                </c:pt>
                <c:pt idx="474">
                  <c:v>41164</c:v>
                </c:pt>
                <c:pt idx="475">
                  <c:v>41163</c:v>
                </c:pt>
                <c:pt idx="476">
                  <c:v>41163</c:v>
                </c:pt>
                <c:pt idx="477">
                  <c:v>41199</c:v>
                </c:pt>
                <c:pt idx="478">
                  <c:v>41199</c:v>
                </c:pt>
                <c:pt idx="479">
                  <c:v>41199</c:v>
                </c:pt>
                <c:pt idx="480">
                  <c:v>41225</c:v>
                </c:pt>
                <c:pt idx="481">
                  <c:v>41225</c:v>
                </c:pt>
                <c:pt idx="482">
                  <c:v>41225</c:v>
                </c:pt>
                <c:pt idx="483">
                  <c:v>41254</c:v>
                </c:pt>
                <c:pt idx="484">
                  <c:v>41255</c:v>
                </c:pt>
                <c:pt idx="485">
                  <c:v>41255</c:v>
                </c:pt>
                <c:pt idx="486">
                  <c:v>41288</c:v>
                </c:pt>
                <c:pt idx="487">
                  <c:v>41297</c:v>
                </c:pt>
                <c:pt idx="488">
                  <c:v>41297</c:v>
                </c:pt>
                <c:pt idx="489">
                  <c:v>41318</c:v>
                </c:pt>
                <c:pt idx="490">
                  <c:v>41319</c:v>
                </c:pt>
                <c:pt idx="491">
                  <c:v>41319</c:v>
                </c:pt>
                <c:pt idx="492">
                  <c:v>41344</c:v>
                </c:pt>
                <c:pt idx="493">
                  <c:v>41346</c:v>
                </c:pt>
                <c:pt idx="494">
                  <c:v>41346</c:v>
                </c:pt>
                <c:pt idx="495">
                  <c:v>41346</c:v>
                </c:pt>
                <c:pt idx="496">
                  <c:v>41379</c:v>
                </c:pt>
                <c:pt idx="497">
                  <c:v>41380</c:v>
                </c:pt>
                <c:pt idx="498">
                  <c:v>41380</c:v>
                </c:pt>
                <c:pt idx="499">
                  <c:v>41408</c:v>
                </c:pt>
                <c:pt idx="500">
                  <c:v>41408</c:v>
                </c:pt>
                <c:pt idx="501">
                  <c:v>41407</c:v>
                </c:pt>
                <c:pt idx="502">
                  <c:v>41407</c:v>
                </c:pt>
                <c:pt idx="503">
                  <c:v>41436</c:v>
                </c:pt>
                <c:pt idx="504">
                  <c:v>41437</c:v>
                </c:pt>
                <c:pt idx="505">
                  <c:v>41437</c:v>
                </c:pt>
                <c:pt idx="506">
                  <c:v>41470</c:v>
                </c:pt>
                <c:pt idx="507">
                  <c:v>41470</c:v>
                </c:pt>
                <c:pt idx="508">
                  <c:v>41470</c:v>
                </c:pt>
                <c:pt idx="509">
                  <c:v>41498</c:v>
                </c:pt>
                <c:pt idx="510">
                  <c:v>41498</c:v>
                </c:pt>
                <c:pt idx="511">
                  <c:v>41498</c:v>
                </c:pt>
                <c:pt idx="512">
                  <c:v>41535</c:v>
                </c:pt>
                <c:pt idx="513">
                  <c:v>41535</c:v>
                </c:pt>
                <c:pt idx="514">
                  <c:v>41535</c:v>
                </c:pt>
                <c:pt idx="515">
                  <c:v>41569</c:v>
                </c:pt>
                <c:pt idx="516">
                  <c:v>406810</c:v>
                </c:pt>
                <c:pt idx="517">
                  <c:v>406810</c:v>
                </c:pt>
                <c:pt idx="518">
                  <c:v>41599</c:v>
                </c:pt>
                <c:pt idx="519">
                  <c:v>41599</c:v>
                </c:pt>
                <c:pt idx="520">
                  <c:v>41599</c:v>
                </c:pt>
                <c:pt idx="521">
                  <c:v>41624</c:v>
                </c:pt>
                <c:pt idx="522">
                  <c:v>41627</c:v>
                </c:pt>
                <c:pt idx="523">
                  <c:v>41627</c:v>
                </c:pt>
                <c:pt idx="524">
                  <c:v>41654</c:v>
                </c:pt>
                <c:pt idx="525">
                  <c:v>41655</c:v>
                </c:pt>
                <c:pt idx="526">
                  <c:v>41655</c:v>
                </c:pt>
                <c:pt idx="527">
                  <c:v>41688</c:v>
                </c:pt>
                <c:pt idx="528">
                  <c:v>41690</c:v>
                </c:pt>
                <c:pt idx="529">
                  <c:v>41690</c:v>
                </c:pt>
                <c:pt idx="530">
                  <c:v>41719</c:v>
                </c:pt>
                <c:pt idx="531">
                  <c:v>41718</c:v>
                </c:pt>
                <c:pt idx="532">
                  <c:v>41718</c:v>
                </c:pt>
                <c:pt idx="533">
                  <c:v>41747</c:v>
                </c:pt>
                <c:pt idx="534">
                  <c:v>41750</c:v>
                </c:pt>
                <c:pt idx="535">
                  <c:v>41750</c:v>
                </c:pt>
                <c:pt idx="536">
                  <c:v>41772</c:v>
                </c:pt>
                <c:pt idx="537">
                  <c:v>41406</c:v>
                </c:pt>
                <c:pt idx="538">
                  <c:v>41406</c:v>
                </c:pt>
                <c:pt idx="539">
                  <c:v>41808</c:v>
                </c:pt>
                <c:pt idx="540">
                  <c:v>41807</c:v>
                </c:pt>
                <c:pt idx="541">
                  <c:v>41807</c:v>
                </c:pt>
                <c:pt idx="542">
                  <c:v>41834</c:v>
                </c:pt>
                <c:pt idx="543">
                  <c:v>41837</c:v>
                </c:pt>
                <c:pt idx="544">
                  <c:v>41837</c:v>
                </c:pt>
                <c:pt idx="545">
                  <c:v>41862</c:v>
                </c:pt>
                <c:pt idx="546">
                  <c:v>41862</c:v>
                </c:pt>
                <c:pt idx="547">
                  <c:v>41862</c:v>
                </c:pt>
                <c:pt idx="548">
                  <c:v>41898</c:v>
                </c:pt>
                <c:pt idx="549">
                  <c:v>41897</c:v>
                </c:pt>
                <c:pt idx="550">
                  <c:v>41897</c:v>
                </c:pt>
                <c:pt idx="551">
                  <c:v>41929</c:v>
                </c:pt>
                <c:pt idx="552">
                  <c:v>41928</c:v>
                </c:pt>
                <c:pt idx="553">
                  <c:v>41928</c:v>
                </c:pt>
                <c:pt idx="554">
                  <c:v>41953</c:v>
                </c:pt>
                <c:pt idx="555">
                  <c:v>41955</c:v>
                </c:pt>
                <c:pt idx="556">
                  <c:v>41955</c:v>
                </c:pt>
                <c:pt idx="557">
                  <c:v>41988</c:v>
                </c:pt>
                <c:pt idx="558">
                  <c:v>41992</c:v>
                </c:pt>
                <c:pt idx="559">
                  <c:v>41992</c:v>
                </c:pt>
                <c:pt idx="560">
                  <c:v>42014</c:v>
                </c:pt>
                <c:pt idx="561">
                  <c:v>42009</c:v>
                </c:pt>
                <c:pt idx="562">
                  <c:v>42009</c:v>
                </c:pt>
                <c:pt idx="563">
                  <c:v>42036</c:v>
                </c:pt>
                <c:pt idx="564">
                  <c:v>42036</c:v>
                </c:pt>
                <c:pt idx="565">
                  <c:v>42036</c:v>
                </c:pt>
                <c:pt idx="566">
                  <c:v>42064</c:v>
                </c:pt>
                <c:pt idx="567">
                  <c:v>42064</c:v>
                </c:pt>
                <c:pt idx="568">
                  <c:v>42064</c:v>
                </c:pt>
                <c:pt idx="569">
                  <c:v>42095</c:v>
                </c:pt>
                <c:pt idx="570">
                  <c:v>42095</c:v>
                </c:pt>
                <c:pt idx="571">
                  <c:v>42095</c:v>
                </c:pt>
                <c:pt idx="572">
                  <c:v>42125</c:v>
                </c:pt>
                <c:pt idx="573">
                  <c:v>42125</c:v>
                </c:pt>
                <c:pt idx="574">
                  <c:v>42125</c:v>
                </c:pt>
                <c:pt idx="575">
                  <c:v>42156</c:v>
                </c:pt>
                <c:pt idx="576">
                  <c:v>42156</c:v>
                </c:pt>
                <c:pt idx="577">
                  <c:v>42156</c:v>
                </c:pt>
                <c:pt idx="578">
                  <c:v>42186</c:v>
                </c:pt>
                <c:pt idx="579">
                  <c:v>42186</c:v>
                </c:pt>
                <c:pt idx="580">
                  <c:v>42186</c:v>
                </c:pt>
                <c:pt idx="581">
                  <c:v>42217</c:v>
                </c:pt>
                <c:pt idx="582">
                  <c:v>42217</c:v>
                </c:pt>
                <c:pt idx="583">
                  <c:v>42217</c:v>
                </c:pt>
                <c:pt idx="584">
                  <c:v>42248</c:v>
                </c:pt>
                <c:pt idx="585">
                  <c:v>42248</c:v>
                </c:pt>
                <c:pt idx="586">
                  <c:v>42248</c:v>
                </c:pt>
                <c:pt idx="587">
                  <c:v>42278</c:v>
                </c:pt>
                <c:pt idx="588">
                  <c:v>42278</c:v>
                </c:pt>
                <c:pt idx="589">
                  <c:v>42278</c:v>
                </c:pt>
                <c:pt idx="590">
                  <c:v>42309</c:v>
                </c:pt>
                <c:pt idx="591">
                  <c:v>42309</c:v>
                </c:pt>
                <c:pt idx="592">
                  <c:v>42309</c:v>
                </c:pt>
                <c:pt idx="593">
                  <c:v>42339</c:v>
                </c:pt>
                <c:pt idx="594">
                  <c:v>42339</c:v>
                </c:pt>
                <c:pt idx="595">
                  <c:v>42339</c:v>
                </c:pt>
                <c:pt idx="596">
                  <c:v>42379</c:v>
                </c:pt>
                <c:pt idx="597">
                  <c:v>42374</c:v>
                </c:pt>
                <c:pt idx="598">
                  <c:v>42374</c:v>
                </c:pt>
                <c:pt idx="599">
                  <c:v>42401</c:v>
                </c:pt>
                <c:pt idx="600">
                  <c:v>42401</c:v>
                </c:pt>
                <c:pt idx="601">
                  <c:v>42401</c:v>
                </c:pt>
                <c:pt idx="602">
                  <c:v>42430</c:v>
                </c:pt>
                <c:pt idx="603">
                  <c:v>42430</c:v>
                </c:pt>
                <c:pt idx="604">
                  <c:v>42430</c:v>
                </c:pt>
                <c:pt idx="605">
                  <c:v>42461</c:v>
                </c:pt>
                <c:pt idx="606">
                  <c:v>42461</c:v>
                </c:pt>
                <c:pt idx="607">
                  <c:v>42461</c:v>
                </c:pt>
                <c:pt idx="608">
                  <c:v>42491</c:v>
                </c:pt>
                <c:pt idx="609">
                  <c:v>42491</c:v>
                </c:pt>
                <c:pt idx="610">
                  <c:v>42491</c:v>
                </c:pt>
                <c:pt idx="611">
                  <c:v>42522</c:v>
                </c:pt>
                <c:pt idx="612">
                  <c:v>42522</c:v>
                </c:pt>
                <c:pt idx="613">
                  <c:v>42522</c:v>
                </c:pt>
                <c:pt idx="614">
                  <c:v>42552</c:v>
                </c:pt>
                <c:pt idx="615">
                  <c:v>42552</c:v>
                </c:pt>
                <c:pt idx="616">
                  <c:v>42552</c:v>
                </c:pt>
                <c:pt idx="617">
                  <c:v>42583</c:v>
                </c:pt>
                <c:pt idx="618">
                  <c:v>42583</c:v>
                </c:pt>
                <c:pt idx="619">
                  <c:v>42583</c:v>
                </c:pt>
                <c:pt idx="620">
                  <c:v>42614</c:v>
                </c:pt>
                <c:pt idx="621">
                  <c:v>42614</c:v>
                </c:pt>
                <c:pt idx="622">
                  <c:v>42614</c:v>
                </c:pt>
                <c:pt idx="623">
                  <c:v>42644</c:v>
                </c:pt>
                <c:pt idx="624">
                  <c:v>42644</c:v>
                </c:pt>
                <c:pt idx="625">
                  <c:v>42644</c:v>
                </c:pt>
                <c:pt idx="626">
                  <c:v>42675</c:v>
                </c:pt>
                <c:pt idx="627">
                  <c:v>42675</c:v>
                </c:pt>
                <c:pt idx="628">
                  <c:v>42675</c:v>
                </c:pt>
                <c:pt idx="629">
                  <c:v>42705</c:v>
                </c:pt>
                <c:pt idx="630">
                  <c:v>42705</c:v>
                </c:pt>
                <c:pt idx="631">
                  <c:v>42705</c:v>
                </c:pt>
                <c:pt idx="632">
                  <c:v>42745</c:v>
                </c:pt>
                <c:pt idx="633">
                  <c:v>42740</c:v>
                </c:pt>
                <c:pt idx="634">
                  <c:v>42740</c:v>
                </c:pt>
                <c:pt idx="635">
                  <c:v>42767</c:v>
                </c:pt>
                <c:pt idx="636">
                  <c:v>42767</c:v>
                </c:pt>
                <c:pt idx="637">
                  <c:v>42767</c:v>
                </c:pt>
                <c:pt idx="638">
                  <c:v>42795</c:v>
                </c:pt>
                <c:pt idx="639">
                  <c:v>42795</c:v>
                </c:pt>
                <c:pt idx="640">
                  <c:v>42795</c:v>
                </c:pt>
                <c:pt idx="641">
                  <c:v>42826</c:v>
                </c:pt>
                <c:pt idx="642">
                  <c:v>42826</c:v>
                </c:pt>
                <c:pt idx="643">
                  <c:v>42826</c:v>
                </c:pt>
                <c:pt idx="644">
                  <c:v>42856</c:v>
                </c:pt>
                <c:pt idx="645">
                  <c:v>42856</c:v>
                </c:pt>
                <c:pt idx="646">
                  <c:v>42856</c:v>
                </c:pt>
                <c:pt idx="647">
                  <c:v>42887</c:v>
                </c:pt>
                <c:pt idx="648">
                  <c:v>42887</c:v>
                </c:pt>
                <c:pt idx="649">
                  <c:v>42887</c:v>
                </c:pt>
                <c:pt idx="650">
                  <c:v>42917</c:v>
                </c:pt>
                <c:pt idx="651">
                  <c:v>42917</c:v>
                </c:pt>
                <c:pt idx="652">
                  <c:v>42917</c:v>
                </c:pt>
                <c:pt idx="653">
                  <c:v>42948</c:v>
                </c:pt>
                <c:pt idx="654">
                  <c:v>42948</c:v>
                </c:pt>
                <c:pt idx="655">
                  <c:v>42948</c:v>
                </c:pt>
                <c:pt idx="656">
                  <c:v>42979</c:v>
                </c:pt>
                <c:pt idx="657">
                  <c:v>42979</c:v>
                </c:pt>
                <c:pt idx="658">
                  <c:v>42979</c:v>
                </c:pt>
                <c:pt idx="659">
                  <c:v>43009</c:v>
                </c:pt>
                <c:pt idx="660">
                  <c:v>43009</c:v>
                </c:pt>
                <c:pt idx="661">
                  <c:v>43009</c:v>
                </c:pt>
                <c:pt idx="662">
                  <c:v>43040</c:v>
                </c:pt>
                <c:pt idx="663">
                  <c:v>43040</c:v>
                </c:pt>
                <c:pt idx="664">
                  <c:v>43040</c:v>
                </c:pt>
                <c:pt idx="665">
                  <c:v>43070</c:v>
                </c:pt>
                <c:pt idx="666">
                  <c:v>43070</c:v>
                </c:pt>
                <c:pt idx="667">
                  <c:v>43070</c:v>
                </c:pt>
                <c:pt idx="668">
                  <c:v>43110</c:v>
                </c:pt>
                <c:pt idx="669">
                  <c:v>43105</c:v>
                </c:pt>
                <c:pt idx="670">
                  <c:v>43105</c:v>
                </c:pt>
                <c:pt idx="671">
                  <c:v>43132</c:v>
                </c:pt>
                <c:pt idx="672">
                  <c:v>43132</c:v>
                </c:pt>
                <c:pt idx="673">
                  <c:v>43132</c:v>
                </c:pt>
                <c:pt idx="674">
                  <c:v>43160</c:v>
                </c:pt>
                <c:pt idx="675">
                  <c:v>43160</c:v>
                </c:pt>
                <c:pt idx="676">
                  <c:v>43160</c:v>
                </c:pt>
                <c:pt idx="677">
                  <c:v>43191</c:v>
                </c:pt>
                <c:pt idx="678">
                  <c:v>43191</c:v>
                </c:pt>
                <c:pt idx="679">
                  <c:v>43191</c:v>
                </c:pt>
                <c:pt idx="680">
                  <c:v>43221</c:v>
                </c:pt>
                <c:pt idx="681">
                  <c:v>43221</c:v>
                </c:pt>
                <c:pt idx="682">
                  <c:v>43221</c:v>
                </c:pt>
                <c:pt idx="683">
                  <c:v>43252</c:v>
                </c:pt>
                <c:pt idx="684">
                  <c:v>43252</c:v>
                </c:pt>
                <c:pt idx="685">
                  <c:v>43252</c:v>
                </c:pt>
                <c:pt idx="686">
                  <c:v>43282</c:v>
                </c:pt>
                <c:pt idx="687">
                  <c:v>43282</c:v>
                </c:pt>
                <c:pt idx="688">
                  <c:v>43282</c:v>
                </c:pt>
                <c:pt idx="689">
                  <c:v>43313</c:v>
                </c:pt>
                <c:pt idx="690">
                  <c:v>43313</c:v>
                </c:pt>
                <c:pt idx="691">
                  <c:v>43313</c:v>
                </c:pt>
                <c:pt idx="692">
                  <c:v>43344</c:v>
                </c:pt>
                <c:pt idx="693">
                  <c:v>43344</c:v>
                </c:pt>
                <c:pt idx="694">
                  <c:v>43344</c:v>
                </c:pt>
                <c:pt idx="695">
                  <c:v>43374</c:v>
                </c:pt>
                <c:pt idx="696">
                  <c:v>43374</c:v>
                </c:pt>
                <c:pt idx="697">
                  <c:v>43374</c:v>
                </c:pt>
                <c:pt idx="698">
                  <c:v>43405</c:v>
                </c:pt>
                <c:pt idx="699">
                  <c:v>43405</c:v>
                </c:pt>
                <c:pt idx="700">
                  <c:v>43405</c:v>
                </c:pt>
                <c:pt idx="701">
                  <c:v>43435</c:v>
                </c:pt>
                <c:pt idx="702">
                  <c:v>43435</c:v>
                </c:pt>
                <c:pt idx="703">
                  <c:v>43435</c:v>
                </c:pt>
                <c:pt idx="704">
                  <c:v>43475</c:v>
                </c:pt>
                <c:pt idx="705">
                  <c:v>43470</c:v>
                </c:pt>
                <c:pt idx="706">
                  <c:v>43470</c:v>
                </c:pt>
                <c:pt idx="707">
                  <c:v>43497</c:v>
                </c:pt>
                <c:pt idx="708">
                  <c:v>43497</c:v>
                </c:pt>
                <c:pt idx="709">
                  <c:v>43497</c:v>
                </c:pt>
                <c:pt idx="710">
                  <c:v>43525</c:v>
                </c:pt>
                <c:pt idx="711">
                  <c:v>43525</c:v>
                </c:pt>
                <c:pt idx="712">
                  <c:v>43525</c:v>
                </c:pt>
                <c:pt idx="713">
                  <c:v>43556</c:v>
                </c:pt>
                <c:pt idx="714">
                  <c:v>43556</c:v>
                </c:pt>
                <c:pt idx="715">
                  <c:v>43556</c:v>
                </c:pt>
                <c:pt idx="716">
                  <c:v>43586</c:v>
                </c:pt>
                <c:pt idx="717">
                  <c:v>43586</c:v>
                </c:pt>
                <c:pt idx="718">
                  <c:v>43586</c:v>
                </c:pt>
                <c:pt idx="719">
                  <c:v>43617</c:v>
                </c:pt>
                <c:pt idx="720">
                  <c:v>43617</c:v>
                </c:pt>
                <c:pt idx="721">
                  <c:v>43617</c:v>
                </c:pt>
                <c:pt idx="722">
                  <c:v>43647</c:v>
                </c:pt>
                <c:pt idx="723">
                  <c:v>43647</c:v>
                </c:pt>
                <c:pt idx="724">
                  <c:v>43647</c:v>
                </c:pt>
                <c:pt idx="725">
                  <c:v>43678</c:v>
                </c:pt>
                <c:pt idx="726">
                  <c:v>43678</c:v>
                </c:pt>
                <c:pt idx="727">
                  <c:v>43678</c:v>
                </c:pt>
                <c:pt idx="728">
                  <c:v>43709</c:v>
                </c:pt>
                <c:pt idx="729">
                  <c:v>43709</c:v>
                </c:pt>
                <c:pt idx="730">
                  <c:v>43709</c:v>
                </c:pt>
                <c:pt idx="731">
                  <c:v>43739</c:v>
                </c:pt>
                <c:pt idx="732">
                  <c:v>43739</c:v>
                </c:pt>
                <c:pt idx="733">
                  <c:v>43739</c:v>
                </c:pt>
                <c:pt idx="734">
                  <c:v>43770</c:v>
                </c:pt>
                <c:pt idx="735">
                  <c:v>43770</c:v>
                </c:pt>
                <c:pt idx="736">
                  <c:v>43770</c:v>
                </c:pt>
                <c:pt idx="737">
                  <c:v>43800</c:v>
                </c:pt>
                <c:pt idx="738">
                  <c:v>43800</c:v>
                </c:pt>
                <c:pt idx="739">
                  <c:v>43800</c:v>
                </c:pt>
              </c:numCache>
            </c:numRef>
          </c:xVal>
          <c:yVal>
            <c:numRef>
              <c:f>'Fuco update'!$L$3:$L$742</c:f>
              <c:numCache>
                <c:formatCode>General</c:formatCode>
                <c:ptCount val="740"/>
                <c:pt idx="2">
                  <c:v>0.21690200659715167</c:v>
                </c:pt>
                <c:pt idx="5">
                  <c:v>0.20354180741496317</c:v>
                </c:pt>
                <c:pt idx="8">
                  <c:v>0.23694535113920009</c:v>
                </c:pt>
                <c:pt idx="11">
                  <c:v>0.37489779435998388</c:v>
                </c:pt>
                <c:pt idx="14">
                  <c:v>0.32800741932801419</c:v>
                </c:pt>
                <c:pt idx="17">
                  <c:v>0.3576296865918544</c:v>
                </c:pt>
                <c:pt idx="20">
                  <c:v>0.3146026382630156</c:v>
                </c:pt>
                <c:pt idx="23">
                  <c:v>0.38624469205352063</c:v>
                </c:pt>
                <c:pt idx="26">
                  <c:v>0.42281161727615563</c:v>
                </c:pt>
                <c:pt idx="29">
                  <c:v>0.22965671875805768</c:v>
                </c:pt>
                <c:pt idx="32">
                  <c:v>0.15427685351110942</c:v>
                </c:pt>
                <c:pt idx="35">
                  <c:v>0.21968834192789405</c:v>
                </c:pt>
                <c:pt idx="38">
                  <c:v>0.10233155897729873</c:v>
                </c:pt>
                <c:pt idx="41">
                  <c:v>0.15055382532774758</c:v>
                </c:pt>
                <c:pt idx="44">
                  <c:v>0.12728793039356226</c:v>
                </c:pt>
                <c:pt idx="47">
                  <c:v>0.23600665158955542</c:v>
                </c:pt>
                <c:pt idx="50">
                  <c:v>0.25624232854940576</c:v>
                </c:pt>
                <c:pt idx="53">
                  <c:v>0.27627719492989433</c:v>
                </c:pt>
                <c:pt idx="56">
                  <c:v>0.42471055464288981</c:v>
                </c:pt>
                <c:pt idx="59">
                  <c:v>0.36140928516996479</c:v>
                </c:pt>
                <c:pt idx="62">
                  <c:v>0.30202809236033545</c:v>
                </c:pt>
                <c:pt idx="65">
                  <c:v>0.14489931630032357</c:v>
                </c:pt>
                <c:pt idx="68">
                  <c:v>0.22983239575124309</c:v>
                </c:pt>
                <c:pt idx="71">
                  <c:v>0.19255826222339587</c:v>
                </c:pt>
                <c:pt idx="74">
                  <c:v>0.10319991590197268</c:v>
                </c:pt>
                <c:pt idx="77">
                  <c:v>0.25010262208815986</c:v>
                </c:pt>
                <c:pt idx="80">
                  <c:v>0.19872651272976333</c:v>
                </c:pt>
                <c:pt idx="83">
                  <c:v>0.27522855398604995</c:v>
                </c:pt>
                <c:pt idx="86">
                  <c:v>0.2676504054456374</c:v>
                </c:pt>
                <c:pt idx="89">
                  <c:v>0.29942231663813268</c:v>
                </c:pt>
                <c:pt idx="92">
                  <c:v>0.11022212153990513</c:v>
                </c:pt>
                <c:pt idx="110">
                  <c:v>0.22889073658110692</c:v>
                </c:pt>
                <c:pt idx="113">
                  <c:v>0.25925266171069955</c:v>
                </c:pt>
                <c:pt idx="116">
                  <c:v>0.1844121709018072</c:v>
                </c:pt>
                <c:pt idx="119">
                  <c:v>0.30528239180509353</c:v>
                </c:pt>
                <c:pt idx="122">
                  <c:v>0.32944367562273519</c:v>
                </c:pt>
                <c:pt idx="125">
                  <c:v>0.3156102456997833</c:v>
                </c:pt>
                <c:pt idx="128">
                  <c:v>0.42474945768747424</c:v>
                </c:pt>
                <c:pt idx="131">
                  <c:v>0.43168508477803846</c:v>
                </c:pt>
                <c:pt idx="134">
                  <c:v>0.45152552823788861</c:v>
                </c:pt>
                <c:pt idx="137">
                  <c:v>0.11318763218563478</c:v>
                </c:pt>
                <c:pt idx="140">
                  <c:v>0.12085115900060395</c:v>
                </c:pt>
                <c:pt idx="143">
                  <c:v>0.24842766344719891</c:v>
                </c:pt>
                <c:pt idx="146">
                  <c:v>0.31116464534530264</c:v>
                </c:pt>
                <c:pt idx="149">
                  <c:v>0.20817925719240254</c:v>
                </c:pt>
                <c:pt idx="152">
                  <c:v>0.2512794515276931</c:v>
                </c:pt>
                <c:pt idx="155">
                  <c:v>0.38507289010681756</c:v>
                </c:pt>
                <c:pt idx="158">
                  <c:v>0.30731698299936699</c:v>
                </c:pt>
                <c:pt idx="161">
                  <c:v>0.40900952724025691</c:v>
                </c:pt>
                <c:pt idx="164">
                  <c:v>0.41923311004627334</c:v>
                </c:pt>
                <c:pt idx="167">
                  <c:v>0.26647190890525585</c:v>
                </c:pt>
                <c:pt idx="170">
                  <c:v>0.26659077993089642</c:v>
                </c:pt>
                <c:pt idx="173">
                  <c:v>9.740840481064518E-2</c:v>
                </c:pt>
                <c:pt idx="179">
                  <c:v>0.27138383585892661</c:v>
                </c:pt>
                <c:pt idx="182">
                  <c:v>0.27172340319480714</c:v>
                </c:pt>
                <c:pt idx="185">
                  <c:v>0.18572136071223164</c:v>
                </c:pt>
                <c:pt idx="188">
                  <c:v>0.20300242753100481</c:v>
                </c:pt>
                <c:pt idx="191">
                  <c:v>0.25544350877738464</c:v>
                </c:pt>
                <c:pt idx="194">
                  <c:v>0.23401915185087488</c:v>
                </c:pt>
                <c:pt idx="197">
                  <c:v>0.21780946487688518</c:v>
                </c:pt>
                <c:pt idx="200">
                  <c:v>0.43813700763573582</c:v>
                </c:pt>
                <c:pt idx="203">
                  <c:v>0.38456681611835719</c:v>
                </c:pt>
                <c:pt idx="206">
                  <c:v>0.20356905229382083</c:v>
                </c:pt>
                <c:pt idx="209">
                  <c:v>0.16484404054209145</c:v>
                </c:pt>
                <c:pt idx="212">
                  <c:v>0.23708135030808306</c:v>
                </c:pt>
                <c:pt idx="215">
                  <c:v>0.27825746511467786</c:v>
                </c:pt>
                <c:pt idx="218">
                  <c:v>0.37308399471510539</c:v>
                </c:pt>
                <c:pt idx="221">
                  <c:v>0.28103404456170494</c:v>
                </c:pt>
                <c:pt idx="224">
                  <c:v>0.26250568238843336</c:v>
                </c:pt>
                <c:pt idx="227">
                  <c:v>0.2632487369188361</c:v>
                </c:pt>
                <c:pt idx="230">
                  <c:v>0.30843460108111098</c:v>
                </c:pt>
                <c:pt idx="233">
                  <c:v>0.34747721425145001</c:v>
                </c:pt>
                <c:pt idx="236">
                  <c:v>0.43427233002984472</c:v>
                </c:pt>
                <c:pt idx="239">
                  <c:v>0.42219243064865425</c:v>
                </c:pt>
                <c:pt idx="242">
                  <c:v>0.38069881062747885</c:v>
                </c:pt>
                <c:pt idx="245">
                  <c:v>0.11056751088385004</c:v>
                </c:pt>
                <c:pt idx="248">
                  <c:v>0.28699166759630318</c:v>
                </c:pt>
                <c:pt idx="251">
                  <c:v>0.31213587980200624</c:v>
                </c:pt>
                <c:pt idx="254">
                  <c:v>0.41138550504811111</c:v>
                </c:pt>
                <c:pt idx="257">
                  <c:v>0.42624835742444156</c:v>
                </c:pt>
                <c:pt idx="260">
                  <c:v>0.32483621203097079</c:v>
                </c:pt>
                <c:pt idx="263">
                  <c:v>0.38515499873981351</c:v>
                </c:pt>
                <c:pt idx="266">
                  <c:v>0.27650727650727652</c:v>
                </c:pt>
                <c:pt idx="269">
                  <c:v>0.34679736352881529</c:v>
                </c:pt>
                <c:pt idx="272">
                  <c:v>0.40063704164077069</c:v>
                </c:pt>
                <c:pt idx="275">
                  <c:v>0.46361066459730621</c:v>
                </c:pt>
                <c:pt idx="278">
                  <c:v>0.3442411426318524</c:v>
                </c:pt>
                <c:pt idx="281">
                  <c:v>0.15400748447588108</c:v>
                </c:pt>
                <c:pt idx="284">
                  <c:v>0.15536080447178452</c:v>
                </c:pt>
                <c:pt idx="287">
                  <c:v>0.12543153049482164</c:v>
                </c:pt>
                <c:pt idx="290">
                  <c:v>0.23599975138293247</c:v>
                </c:pt>
                <c:pt idx="293">
                  <c:v>0.14408562803037234</c:v>
                </c:pt>
                <c:pt idx="296">
                  <c:v>0.31251091575944584</c:v>
                </c:pt>
                <c:pt idx="299">
                  <c:v>0.23051205349287351</c:v>
                </c:pt>
                <c:pt idx="302">
                  <c:v>0.27833229361613643</c:v>
                </c:pt>
                <c:pt idx="305">
                  <c:v>0.23924432449595176</c:v>
                </c:pt>
                <c:pt idx="308">
                  <c:v>0.44810744810744807</c:v>
                </c:pt>
                <c:pt idx="311">
                  <c:v>0.3721361185983828</c:v>
                </c:pt>
                <c:pt idx="314">
                  <c:v>0.23046375445917752</c:v>
                </c:pt>
                <c:pt idx="317">
                  <c:v>0.22909191277946453</c:v>
                </c:pt>
                <c:pt idx="320">
                  <c:v>0.13753673523911303</c:v>
                </c:pt>
                <c:pt idx="323">
                  <c:v>0.3797846707536523</c:v>
                </c:pt>
                <c:pt idx="326">
                  <c:v>0.38734379404303299</c:v>
                </c:pt>
                <c:pt idx="329">
                  <c:v>0.30723781388478583</c:v>
                </c:pt>
                <c:pt idx="332">
                  <c:v>0.24569845435987167</c:v>
                </c:pt>
                <c:pt idx="335">
                  <c:v>0.26383691156194611</c:v>
                </c:pt>
                <c:pt idx="338">
                  <c:v>0.33307423241352502</c:v>
                </c:pt>
                <c:pt idx="341">
                  <c:v>0.41703415477734546</c:v>
                </c:pt>
                <c:pt idx="344">
                  <c:v>0.12813776999416229</c:v>
                </c:pt>
                <c:pt idx="347">
                  <c:v>0.41314782186038029</c:v>
                </c:pt>
                <c:pt idx="350">
                  <c:v>0.33513741747274683</c:v>
                </c:pt>
                <c:pt idx="353">
                  <c:v>0.28013526330982724</c:v>
                </c:pt>
                <c:pt idx="356">
                  <c:v>0.15945574983588945</c:v>
                </c:pt>
                <c:pt idx="359">
                  <c:v>0.23399035262807716</c:v>
                </c:pt>
                <c:pt idx="362">
                  <c:v>0.4741261752673509</c:v>
                </c:pt>
                <c:pt idx="365">
                  <c:v>0.2699175824175824</c:v>
                </c:pt>
                <c:pt idx="368">
                  <c:v>0.19735006973500696</c:v>
                </c:pt>
                <c:pt idx="371">
                  <c:v>0.39645604299363052</c:v>
                </c:pt>
                <c:pt idx="374">
                  <c:v>0.32700039563144723</c:v>
                </c:pt>
                <c:pt idx="377">
                  <c:v>0.42275259611734722</c:v>
                </c:pt>
                <c:pt idx="380">
                  <c:v>0.28567123655913979</c:v>
                </c:pt>
                <c:pt idx="383">
                  <c:v>0.51304400157853203</c:v>
                </c:pt>
                <c:pt idx="386">
                  <c:v>0.23653764563640367</c:v>
                </c:pt>
                <c:pt idx="389">
                  <c:v>0.25370764297902793</c:v>
                </c:pt>
                <c:pt idx="393">
                  <c:v>0.35362027429528115</c:v>
                </c:pt>
                <c:pt idx="396">
                  <c:v>0.38945100370749786</c:v>
                </c:pt>
                <c:pt idx="399">
                  <c:v>0.27205080545229243</c:v>
                </c:pt>
                <c:pt idx="402">
                  <c:v>0.22082395793130066</c:v>
                </c:pt>
                <c:pt idx="405">
                  <c:v>0.37662130297005092</c:v>
                </c:pt>
                <c:pt idx="408">
                  <c:v>0.32972851796407182</c:v>
                </c:pt>
                <c:pt idx="411">
                  <c:v>0.38702907275908194</c:v>
                </c:pt>
                <c:pt idx="415">
                  <c:v>0.39576947458054751</c:v>
                </c:pt>
                <c:pt idx="418">
                  <c:v>0.11065436373873874</c:v>
                </c:pt>
                <c:pt idx="422">
                  <c:v>0.33470883458646611</c:v>
                </c:pt>
                <c:pt idx="426">
                  <c:v>0.25493686002025429</c:v>
                </c:pt>
                <c:pt idx="429">
                  <c:v>0.32000278436018958</c:v>
                </c:pt>
                <c:pt idx="433">
                  <c:v>0.39301277469011664</c:v>
                </c:pt>
                <c:pt idx="437">
                  <c:v>0.35683220494217377</c:v>
                </c:pt>
                <c:pt idx="441">
                  <c:v>0.17473870550654091</c:v>
                </c:pt>
                <c:pt idx="444">
                  <c:v>0.34646820081230956</c:v>
                </c:pt>
                <c:pt idx="447">
                  <c:v>0.20485116404656187</c:v>
                </c:pt>
                <c:pt idx="450">
                  <c:v>0.39184165413533822</c:v>
                </c:pt>
                <c:pt idx="453">
                  <c:v>0.47859608048240199</c:v>
                </c:pt>
                <c:pt idx="456">
                  <c:v>0.38874877777777778</c:v>
                </c:pt>
                <c:pt idx="460">
                  <c:v>0.36907124789207418</c:v>
                </c:pt>
                <c:pt idx="464">
                  <c:v>0.52024864378885782</c:v>
                </c:pt>
                <c:pt idx="467">
                  <c:v>0.3582057385813941</c:v>
                </c:pt>
                <c:pt idx="470">
                  <c:v>0.26276041920694526</c:v>
                </c:pt>
                <c:pt idx="473">
                  <c:v>0.3588371353459972</c:v>
                </c:pt>
                <c:pt idx="476">
                  <c:v>0.35399424736658713</c:v>
                </c:pt>
                <c:pt idx="479">
                  <c:v>0.56686145753858785</c:v>
                </c:pt>
                <c:pt idx="482">
                  <c:v>0.34682301208737598</c:v>
                </c:pt>
                <c:pt idx="485">
                  <c:v>0.44282324521716643</c:v>
                </c:pt>
                <c:pt idx="488">
                  <c:v>0.51273199477886966</c:v>
                </c:pt>
                <c:pt idx="491">
                  <c:v>0.57758933043540472</c:v>
                </c:pt>
                <c:pt idx="495">
                  <c:v>0.6526571214099216</c:v>
                </c:pt>
                <c:pt idx="498">
                  <c:v>0.42478201310303754</c:v>
                </c:pt>
                <c:pt idx="502">
                  <c:v>0.19919445701357466</c:v>
                </c:pt>
                <c:pt idx="505">
                  <c:v>0.4934184384367713</c:v>
                </c:pt>
                <c:pt idx="508">
                  <c:v>0.24750710130774453</c:v>
                </c:pt>
                <c:pt idx="511">
                  <c:v>0.30310325520833337</c:v>
                </c:pt>
                <c:pt idx="514">
                  <c:v>0.43087264521193092</c:v>
                </c:pt>
                <c:pt idx="517">
                  <c:v>0.10268981158408932</c:v>
                </c:pt>
                <c:pt idx="520">
                  <c:v>0.21223964857341682</c:v>
                </c:pt>
                <c:pt idx="523">
                  <c:v>0.37801376970932099</c:v>
                </c:pt>
                <c:pt idx="526">
                  <c:v>0.41100320948240715</c:v>
                </c:pt>
                <c:pt idx="529">
                  <c:v>0.39937915568619509</c:v>
                </c:pt>
                <c:pt idx="532">
                  <c:v>0.45547866187110891</c:v>
                </c:pt>
                <c:pt idx="535">
                  <c:v>0.43857531197420085</c:v>
                </c:pt>
                <c:pt idx="538">
                  <c:v>0.10785717680608362</c:v>
                </c:pt>
                <c:pt idx="541">
                  <c:v>0.31929266656141453</c:v>
                </c:pt>
                <c:pt idx="544">
                  <c:v>0.26572390196325191</c:v>
                </c:pt>
                <c:pt idx="547">
                  <c:v>0.23352548984034829</c:v>
                </c:pt>
                <c:pt idx="550">
                  <c:v>0.22418551572787129</c:v>
                </c:pt>
                <c:pt idx="553">
                  <c:v>0.22852870448326665</c:v>
                </c:pt>
                <c:pt idx="556">
                  <c:v>0.10471322753648672</c:v>
                </c:pt>
                <c:pt idx="559">
                  <c:v>0.31173136773136773</c:v>
                </c:pt>
                <c:pt idx="562">
                  <c:v>0.27103763892780425</c:v>
                </c:pt>
                <c:pt idx="568">
                  <c:v>0.34410019775873435</c:v>
                </c:pt>
                <c:pt idx="571">
                  <c:v>0.36866286438529788</c:v>
                </c:pt>
                <c:pt idx="574">
                  <c:v>6.655936375686422E-2</c:v>
                </c:pt>
                <c:pt idx="577">
                  <c:v>0.26211501184578939</c:v>
                </c:pt>
                <c:pt idx="580">
                  <c:v>0.21129058573992496</c:v>
                </c:pt>
                <c:pt idx="583">
                  <c:v>0.18270712909441236</c:v>
                </c:pt>
                <c:pt idx="586">
                  <c:v>0.2547430830039526</c:v>
                </c:pt>
                <c:pt idx="589">
                  <c:v>0.1526056244168999</c:v>
                </c:pt>
                <c:pt idx="592">
                  <c:v>0.31260229132569561</c:v>
                </c:pt>
                <c:pt idx="595">
                  <c:v>9.1393508800258358E-2</c:v>
                </c:pt>
                <c:pt idx="598">
                  <c:v>0.19053829736779701</c:v>
                </c:pt>
                <c:pt idx="601">
                  <c:v>0.20902100525131284</c:v>
                </c:pt>
                <c:pt idx="604">
                  <c:v>0.25948438482498426</c:v>
                </c:pt>
                <c:pt idx="607">
                  <c:v>0.25281489265875995</c:v>
                </c:pt>
                <c:pt idx="610">
                  <c:v>0.40263263665594851</c:v>
                </c:pt>
                <c:pt idx="613">
                  <c:v>0.3741275571600482</c:v>
                </c:pt>
                <c:pt idx="616">
                  <c:v>0.23495544893762851</c:v>
                </c:pt>
                <c:pt idx="619">
                  <c:v>0.24321560070912313</c:v>
                </c:pt>
                <c:pt idx="622">
                  <c:v>0.3185201679603003</c:v>
                </c:pt>
                <c:pt idx="625">
                  <c:v>0.26971904266389179</c:v>
                </c:pt>
                <c:pt idx="628">
                  <c:v>0.29248120300751879</c:v>
                </c:pt>
                <c:pt idx="631">
                  <c:v>0.19012995049504952</c:v>
                </c:pt>
                <c:pt idx="640">
                  <c:v>0.40325745682888542</c:v>
                </c:pt>
                <c:pt idx="643">
                  <c:v>0.44264819091608931</c:v>
                </c:pt>
                <c:pt idx="646">
                  <c:v>0.41733407618914964</c:v>
                </c:pt>
                <c:pt idx="649">
                  <c:v>0.21985324989210189</c:v>
                </c:pt>
                <c:pt idx="652">
                  <c:v>0.12978097417456685</c:v>
                </c:pt>
                <c:pt idx="658">
                  <c:v>0.24588252441335079</c:v>
                </c:pt>
                <c:pt idx="661">
                  <c:v>0.23202692955037271</c:v>
                </c:pt>
                <c:pt idx="667">
                  <c:v>0.22661818181818183</c:v>
                </c:pt>
                <c:pt idx="670">
                  <c:v>0.22937386980108496</c:v>
                </c:pt>
                <c:pt idx="673">
                  <c:v>0.24896265560165978</c:v>
                </c:pt>
                <c:pt idx="676">
                  <c:v>0.3898695318495779</c:v>
                </c:pt>
                <c:pt idx="679">
                  <c:v>0.28990066225165556</c:v>
                </c:pt>
                <c:pt idx="682">
                  <c:v>0.23591328279658152</c:v>
                </c:pt>
                <c:pt idx="685">
                  <c:v>0.12072159136667472</c:v>
                </c:pt>
                <c:pt idx="688">
                  <c:v>0.10881707973023294</c:v>
                </c:pt>
                <c:pt idx="691">
                  <c:v>0.16774471755066839</c:v>
                </c:pt>
                <c:pt idx="694">
                  <c:v>0.1964811302243443</c:v>
                </c:pt>
                <c:pt idx="697">
                  <c:v>0.16537180910099891</c:v>
                </c:pt>
                <c:pt idx="698">
                  <c:v>0.23081626413940692</c:v>
                </c:pt>
                <c:pt idx="712">
                  <c:v>0.1879391100702576</c:v>
                </c:pt>
                <c:pt idx="715">
                  <c:v>0.20895945562801249</c:v>
                </c:pt>
                <c:pt idx="718">
                  <c:v>0.34284979423868317</c:v>
                </c:pt>
                <c:pt idx="721">
                  <c:v>0.25718420508579704</c:v>
                </c:pt>
                <c:pt idx="724">
                  <c:v>0.22283046208340043</c:v>
                </c:pt>
                <c:pt idx="727">
                  <c:v>0.12446633825944171</c:v>
                </c:pt>
                <c:pt idx="730">
                  <c:v>0.22768643570170288</c:v>
                </c:pt>
                <c:pt idx="733">
                  <c:v>0.14358065332995693</c:v>
                </c:pt>
                <c:pt idx="739">
                  <c:v>0.28032564450474906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FF-CB4A-B36E-6EA1C8DC8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095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But Fuco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'But Fuco update'!$B$3:$B$742</c:f>
              <c:numCache>
                <c:formatCode>[$-409]mmm\-yy;@</c:formatCode>
                <c:ptCount val="740"/>
                <c:pt idx="0">
                  <c:v>36445</c:v>
                </c:pt>
                <c:pt idx="1">
                  <c:v>36446</c:v>
                </c:pt>
                <c:pt idx="2">
                  <c:v>36445</c:v>
                </c:pt>
                <c:pt idx="3">
                  <c:v>36472</c:v>
                </c:pt>
                <c:pt idx="4">
                  <c:v>36473</c:v>
                </c:pt>
                <c:pt idx="5">
                  <c:v>36472</c:v>
                </c:pt>
                <c:pt idx="6">
                  <c:v>36501</c:v>
                </c:pt>
                <c:pt idx="7">
                  <c:v>36502</c:v>
                </c:pt>
                <c:pt idx="8">
                  <c:v>36501</c:v>
                </c:pt>
                <c:pt idx="9">
                  <c:v>36530</c:v>
                </c:pt>
                <c:pt idx="10">
                  <c:v>36531</c:v>
                </c:pt>
                <c:pt idx="11">
                  <c:v>36530</c:v>
                </c:pt>
                <c:pt idx="12">
                  <c:v>36579</c:v>
                </c:pt>
                <c:pt idx="13">
                  <c:v>36578</c:v>
                </c:pt>
                <c:pt idx="14">
                  <c:v>36579</c:v>
                </c:pt>
                <c:pt idx="15">
                  <c:v>36598</c:v>
                </c:pt>
                <c:pt idx="16">
                  <c:v>36599</c:v>
                </c:pt>
                <c:pt idx="17">
                  <c:v>36598</c:v>
                </c:pt>
                <c:pt idx="18">
                  <c:v>36627</c:v>
                </c:pt>
                <c:pt idx="19">
                  <c:v>36626</c:v>
                </c:pt>
                <c:pt idx="20">
                  <c:v>36627</c:v>
                </c:pt>
                <c:pt idx="21">
                  <c:v>36662</c:v>
                </c:pt>
                <c:pt idx="22">
                  <c:v>36663</c:v>
                </c:pt>
                <c:pt idx="23">
                  <c:v>36662</c:v>
                </c:pt>
                <c:pt idx="24">
                  <c:v>36690</c:v>
                </c:pt>
                <c:pt idx="25">
                  <c:v>36692</c:v>
                </c:pt>
                <c:pt idx="26">
                  <c:v>36690</c:v>
                </c:pt>
                <c:pt idx="27">
                  <c:v>36718</c:v>
                </c:pt>
                <c:pt idx="28">
                  <c:v>36719</c:v>
                </c:pt>
                <c:pt idx="29">
                  <c:v>36718</c:v>
                </c:pt>
                <c:pt idx="30">
                  <c:v>36753</c:v>
                </c:pt>
                <c:pt idx="31">
                  <c:v>36755</c:v>
                </c:pt>
                <c:pt idx="32">
                  <c:v>36753</c:v>
                </c:pt>
                <c:pt idx="33">
                  <c:v>36781</c:v>
                </c:pt>
                <c:pt idx="34">
                  <c:v>36783</c:v>
                </c:pt>
                <c:pt idx="35">
                  <c:v>36781</c:v>
                </c:pt>
                <c:pt idx="36">
                  <c:v>36817</c:v>
                </c:pt>
                <c:pt idx="37">
                  <c:v>36815</c:v>
                </c:pt>
                <c:pt idx="38">
                  <c:v>36817</c:v>
                </c:pt>
                <c:pt idx="39">
                  <c:v>36845</c:v>
                </c:pt>
                <c:pt idx="40">
                  <c:v>36846</c:v>
                </c:pt>
                <c:pt idx="41">
                  <c:v>36845</c:v>
                </c:pt>
                <c:pt idx="42">
                  <c:v>36871</c:v>
                </c:pt>
                <c:pt idx="43">
                  <c:v>36873</c:v>
                </c:pt>
                <c:pt idx="44">
                  <c:v>36871</c:v>
                </c:pt>
                <c:pt idx="45">
                  <c:v>36901</c:v>
                </c:pt>
                <c:pt idx="46">
                  <c:v>36902</c:v>
                </c:pt>
                <c:pt idx="47">
                  <c:v>36901</c:v>
                </c:pt>
                <c:pt idx="48">
                  <c:v>36928</c:v>
                </c:pt>
                <c:pt idx="49">
                  <c:v>36929</c:v>
                </c:pt>
                <c:pt idx="50">
                  <c:v>36928</c:v>
                </c:pt>
                <c:pt idx="51">
                  <c:v>36965</c:v>
                </c:pt>
                <c:pt idx="52">
                  <c:v>36962</c:v>
                </c:pt>
                <c:pt idx="53">
                  <c:v>36964</c:v>
                </c:pt>
                <c:pt idx="54">
                  <c:v>37000</c:v>
                </c:pt>
                <c:pt idx="55">
                  <c:v>36998</c:v>
                </c:pt>
                <c:pt idx="56">
                  <c:v>36997</c:v>
                </c:pt>
                <c:pt idx="57">
                  <c:v>37026</c:v>
                </c:pt>
                <c:pt idx="58">
                  <c:v>37025</c:v>
                </c:pt>
                <c:pt idx="59">
                  <c:v>37026</c:v>
                </c:pt>
                <c:pt idx="60">
                  <c:v>37055</c:v>
                </c:pt>
                <c:pt idx="61">
                  <c:v>37054</c:v>
                </c:pt>
                <c:pt idx="62">
                  <c:v>37055</c:v>
                </c:pt>
                <c:pt idx="63">
                  <c:v>37092</c:v>
                </c:pt>
                <c:pt idx="64">
                  <c:v>37090</c:v>
                </c:pt>
                <c:pt idx="65">
                  <c:v>37092</c:v>
                </c:pt>
                <c:pt idx="66">
                  <c:v>37118</c:v>
                </c:pt>
                <c:pt idx="67">
                  <c:v>37117</c:v>
                </c:pt>
                <c:pt idx="68">
                  <c:v>37118</c:v>
                </c:pt>
                <c:pt idx="69">
                  <c:v>37152</c:v>
                </c:pt>
                <c:pt idx="70">
                  <c:v>37145</c:v>
                </c:pt>
                <c:pt idx="71">
                  <c:v>37145</c:v>
                </c:pt>
                <c:pt idx="72">
                  <c:v>37180</c:v>
                </c:pt>
                <c:pt idx="73">
                  <c:v>37182</c:v>
                </c:pt>
                <c:pt idx="74">
                  <c:v>37180</c:v>
                </c:pt>
                <c:pt idx="75">
                  <c:v>37201</c:v>
                </c:pt>
                <c:pt idx="76">
                  <c:v>37202</c:v>
                </c:pt>
                <c:pt idx="77">
                  <c:v>37201</c:v>
                </c:pt>
                <c:pt idx="78">
                  <c:v>37229</c:v>
                </c:pt>
                <c:pt idx="79">
                  <c:v>37230</c:v>
                </c:pt>
                <c:pt idx="80">
                  <c:v>37229</c:v>
                </c:pt>
                <c:pt idx="81">
                  <c:v>37271</c:v>
                </c:pt>
                <c:pt idx="82">
                  <c:v>37272</c:v>
                </c:pt>
                <c:pt idx="83">
                  <c:v>37271</c:v>
                </c:pt>
                <c:pt idx="84">
                  <c:v>37306</c:v>
                </c:pt>
                <c:pt idx="85">
                  <c:v>37301</c:v>
                </c:pt>
                <c:pt idx="86">
                  <c:v>37306</c:v>
                </c:pt>
                <c:pt idx="87">
                  <c:v>37334</c:v>
                </c:pt>
                <c:pt idx="88">
                  <c:v>37336</c:v>
                </c:pt>
                <c:pt idx="89">
                  <c:v>37336</c:v>
                </c:pt>
                <c:pt idx="90">
                  <c:v>37362</c:v>
                </c:pt>
                <c:pt idx="91">
                  <c:v>37363</c:v>
                </c:pt>
                <c:pt idx="92">
                  <c:v>37362</c:v>
                </c:pt>
                <c:pt idx="93">
                  <c:v>37392</c:v>
                </c:pt>
                <c:pt idx="94">
                  <c:v>37392</c:v>
                </c:pt>
                <c:pt idx="95">
                  <c:v>37392</c:v>
                </c:pt>
                <c:pt idx="96">
                  <c:v>37419</c:v>
                </c:pt>
                <c:pt idx="97">
                  <c:v>37420</c:v>
                </c:pt>
                <c:pt idx="98">
                  <c:v>37419</c:v>
                </c:pt>
                <c:pt idx="99">
                  <c:v>37454</c:v>
                </c:pt>
                <c:pt idx="100">
                  <c:v>37453</c:v>
                </c:pt>
                <c:pt idx="101">
                  <c:v>37454</c:v>
                </c:pt>
                <c:pt idx="102">
                  <c:v>37482</c:v>
                </c:pt>
                <c:pt idx="103">
                  <c:v>37481</c:v>
                </c:pt>
                <c:pt idx="104">
                  <c:v>37482</c:v>
                </c:pt>
                <c:pt idx="105">
                  <c:v>37517</c:v>
                </c:pt>
                <c:pt idx="106">
                  <c:v>37518</c:v>
                </c:pt>
                <c:pt idx="107">
                  <c:v>37517</c:v>
                </c:pt>
                <c:pt idx="108">
                  <c:v>37544</c:v>
                </c:pt>
                <c:pt idx="109">
                  <c:v>37546</c:v>
                </c:pt>
                <c:pt idx="110">
                  <c:v>37546</c:v>
                </c:pt>
                <c:pt idx="111">
                  <c:v>37575</c:v>
                </c:pt>
                <c:pt idx="112">
                  <c:v>37574</c:v>
                </c:pt>
                <c:pt idx="113">
                  <c:v>37574</c:v>
                </c:pt>
                <c:pt idx="114">
                  <c:v>37609</c:v>
                </c:pt>
                <c:pt idx="115">
                  <c:v>37608</c:v>
                </c:pt>
                <c:pt idx="116">
                  <c:v>37608</c:v>
                </c:pt>
                <c:pt idx="117">
                  <c:v>37635</c:v>
                </c:pt>
                <c:pt idx="118">
                  <c:v>37636</c:v>
                </c:pt>
                <c:pt idx="119">
                  <c:v>37636</c:v>
                </c:pt>
                <c:pt idx="120">
                  <c:v>37665</c:v>
                </c:pt>
                <c:pt idx="121">
                  <c:v>37663</c:v>
                </c:pt>
                <c:pt idx="122">
                  <c:v>37663</c:v>
                </c:pt>
                <c:pt idx="123">
                  <c:v>37692</c:v>
                </c:pt>
                <c:pt idx="124">
                  <c:v>37691</c:v>
                </c:pt>
                <c:pt idx="125">
                  <c:v>37692</c:v>
                </c:pt>
                <c:pt idx="126">
                  <c:v>37726</c:v>
                </c:pt>
                <c:pt idx="127">
                  <c:v>37727</c:v>
                </c:pt>
                <c:pt idx="128">
                  <c:v>37726</c:v>
                </c:pt>
                <c:pt idx="129">
                  <c:v>37761</c:v>
                </c:pt>
                <c:pt idx="130">
                  <c:v>37756</c:v>
                </c:pt>
                <c:pt idx="131">
                  <c:v>37761</c:v>
                </c:pt>
                <c:pt idx="132">
                  <c:v>37792</c:v>
                </c:pt>
                <c:pt idx="133">
                  <c:v>37790</c:v>
                </c:pt>
                <c:pt idx="134">
                  <c:v>37790</c:v>
                </c:pt>
                <c:pt idx="135">
                  <c:v>37819</c:v>
                </c:pt>
                <c:pt idx="136">
                  <c:v>37818</c:v>
                </c:pt>
                <c:pt idx="137">
                  <c:v>37819</c:v>
                </c:pt>
                <c:pt idx="138">
                  <c:v>37847</c:v>
                </c:pt>
                <c:pt idx="139">
                  <c:v>37846</c:v>
                </c:pt>
                <c:pt idx="140">
                  <c:v>37847</c:v>
                </c:pt>
                <c:pt idx="141">
                  <c:v>37888</c:v>
                </c:pt>
                <c:pt idx="142">
                  <c:v>37886</c:v>
                </c:pt>
                <c:pt idx="143">
                  <c:v>37886</c:v>
                </c:pt>
                <c:pt idx="144">
                  <c:v>37910</c:v>
                </c:pt>
                <c:pt idx="145">
                  <c:v>37910</c:v>
                </c:pt>
                <c:pt idx="146">
                  <c:v>37910</c:v>
                </c:pt>
                <c:pt idx="147">
                  <c:v>37943</c:v>
                </c:pt>
                <c:pt idx="148">
                  <c:v>37942</c:v>
                </c:pt>
                <c:pt idx="149">
                  <c:v>37942</c:v>
                </c:pt>
                <c:pt idx="150">
                  <c:v>37973</c:v>
                </c:pt>
                <c:pt idx="151">
                  <c:v>37971</c:v>
                </c:pt>
                <c:pt idx="152">
                  <c:v>37971</c:v>
                </c:pt>
                <c:pt idx="153">
                  <c:v>37999</c:v>
                </c:pt>
                <c:pt idx="156">
                  <c:v>38027</c:v>
                </c:pt>
                <c:pt idx="157">
                  <c:v>38026</c:v>
                </c:pt>
                <c:pt idx="158">
                  <c:v>38026</c:v>
                </c:pt>
                <c:pt idx="159">
                  <c:v>38063</c:v>
                </c:pt>
                <c:pt idx="160">
                  <c:v>38061</c:v>
                </c:pt>
                <c:pt idx="161">
                  <c:v>38063</c:v>
                </c:pt>
                <c:pt idx="162">
                  <c:v>38094</c:v>
                </c:pt>
                <c:pt idx="163">
                  <c:v>38093</c:v>
                </c:pt>
                <c:pt idx="164">
                  <c:v>38094</c:v>
                </c:pt>
                <c:pt idx="165">
                  <c:v>38118</c:v>
                </c:pt>
                <c:pt idx="166">
                  <c:v>38117</c:v>
                </c:pt>
                <c:pt idx="167">
                  <c:v>38118</c:v>
                </c:pt>
                <c:pt idx="168">
                  <c:v>38153</c:v>
                </c:pt>
                <c:pt idx="169">
                  <c:v>38160</c:v>
                </c:pt>
                <c:pt idx="170">
                  <c:v>38155</c:v>
                </c:pt>
                <c:pt idx="171">
                  <c:v>38181</c:v>
                </c:pt>
                <c:pt idx="172">
                  <c:v>38182</c:v>
                </c:pt>
                <c:pt idx="173">
                  <c:v>38182</c:v>
                </c:pt>
                <c:pt idx="174">
                  <c:v>38217</c:v>
                </c:pt>
                <c:pt idx="175">
                  <c:v>38218</c:v>
                </c:pt>
                <c:pt idx="176">
                  <c:v>38218</c:v>
                </c:pt>
                <c:pt idx="177">
                  <c:v>38244</c:v>
                </c:pt>
                <c:pt idx="178">
                  <c:v>38246</c:v>
                </c:pt>
                <c:pt idx="179">
                  <c:v>38246</c:v>
                </c:pt>
                <c:pt idx="180">
                  <c:v>38273</c:v>
                </c:pt>
                <c:pt idx="181">
                  <c:v>38274</c:v>
                </c:pt>
                <c:pt idx="182">
                  <c:v>38273</c:v>
                </c:pt>
                <c:pt idx="183">
                  <c:v>38307</c:v>
                </c:pt>
                <c:pt idx="184">
                  <c:v>38309</c:v>
                </c:pt>
                <c:pt idx="185">
                  <c:v>38307</c:v>
                </c:pt>
                <c:pt idx="186">
                  <c:v>38337</c:v>
                </c:pt>
                <c:pt idx="187">
                  <c:v>38337</c:v>
                </c:pt>
                <c:pt idx="188">
                  <c:v>38337</c:v>
                </c:pt>
                <c:pt idx="189">
                  <c:v>38363</c:v>
                </c:pt>
                <c:pt idx="190">
                  <c:v>38364</c:v>
                </c:pt>
                <c:pt idx="191">
                  <c:v>38363</c:v>
                </c:pt>
                <c:pt idx="192">
                  <c:v>38399</c:v>
                </c:pt>
                <c:pt idx="193">
                  <c:v>38398</c:v>
                </c:pt>
                <c:pt idx="194">
                  <c:v>38398</c:v>
                </c:pt>
                <c:pt idx="195">
                  <c:v>38428</c:v>
                </c:pt>
                <c:pt idx="196">
                  <c:v>38427</c:v>
                </c:pt>
                <c:pt idx="197">
                  <c:v>38427</c:v>
                </c:pt>
                <c:pt idx="198">
                  <c:v>38469</c:v>
                </c:pt>
                <c:pt idx="199">
                  <c:v>38470</c:v>
                </c:pt>
                <c:pt idx="200">
                  <c:v>38469</c:v>
                </c:pt>
                <c:pt idx="201">
                  <c:v>38490</c:v>
                </c:pt>
                <c:pt idx="202">
                  <c:v>38488</c:v>
                </c:pt>
                <c:pt idx="203">
                  <c:v>38488</c:v>
                </c:pt>
                <c:pt idx="204">
                  <c:v>38518</c:v>
                </c:pt>
                <c:pt idx="205">
                  <c:v>38525</c:v>
                </c:pt>
                <c:pt idx="206">
                  <c:v>38525</c:v>
                </c:pt>
                <c:pt idx="207">
                  <c:v>38547</c:v>
                </c:pt>
                <c:pt idx="208">
                  <c:v>38546</c:v>
                </c:pt>
                <c:pt idx="209">
                  <c:v>38546</c:v>
                </c:pt>
                <c:pt idx="210">
                  <c:v>38587</c:v>
                </c:pt>
                <c:pt idx="211">
                  <c:v>38587</c:v>
                </c:pt>
                <c:pt idx="212">
                  <c:v>38587</c:v>
                </c:pt>
                <c:pt idx="213">
                  <c:v>38608</c:v>
                </c:pt>
                <c:pt idx="214">
                  <c:v>38609</c:v>
                </c:pt>
                <c:pt idx="215">
                  <c:v>38609</c:v>
                </c:pt>
                <c:pt idx="216">
                  <c:v>38636</c:v>
                </c:pt>
                <c:pt idx="217">
                  <c:v>38642</c:v>
                </c:pt>
                <c:pt idx="218">
                  <c:v>38637</c:v>
                </c:pt>
                <c:pt idx="219">
                  <c:v>38671</c:v>
                </c:pt>
                <c:pt idx="220">
                  <c:v>38670</c:v>
                </c:pt>
                <c:pt idx="221">
                  <c:v>38670</c:v>
                </c:pt>
                <c:pt idx="222">
                  <c:v>38707</c:v>
                </c:pt>
                <c:pt idx="223">
                  <c:v>38706</c:v>
                </c:pt>
                <c:pt idx="224">
                  <c:v>38706</c:v>
                </c:pt>
                <c:pt idx="225">
                  <c:v>38734</c:v>
                </c:pt>
                <c:pt idx="226">
                  <c:v>38740</c:v>
                </c:pt>
                <c:pt idx="227">
                  <c:v>38737</c:v>
                </c:pt>
                <c:pt idx="228">
                  <c:v>38762</c:v>
                </c:pt>
                <c:pt idx="229">
                  <c:v>38763</c:v>
                </c:pt>
                <c:pt idx="230">
                  <c:v>38763</c:v>
                </c:pt>
                <c:pt idx="231">
                  <c:v>38789</c:v>
                </c:pt>
                <c:pt idx="232">
                  <c:v>38792</c:v>
                </c:pt>
                <c:pt idx="233">
                  <c:v>38792</c:v>
                </c:pt>
                <c:pt idx="234">
                  <c:v>38825</c:v>
                </c:pt>
                <c:pt idx="235">
                  <c:v>38826</c:v>
                </c:pt>
                <c:pt idx="236">
                  <c:v>38826</c:v>
                </c:pt>
                <c:pt idx="237">
                  <c:v>38852</c:v>
                </c:pt>
                <c:pt idx="238">
                  <c:v>38853</c:v>
                </c:pt>
                <c:pt idx="239">
                  <c:v>38853</c:v>
                </c:pt>
                <c:pt idx="240">
                  <c:v>38883</c:v>
                </c:pt>
                <c:pt idx="241">
                  <c:v>38884</c:v>
                </c:pt>
                <c:pt idx="242">
                  <c:v>38884</c:v>
                </c:pt>
                <c:pt idx="243">
                  <c:v>38916</c:v>
                </c:pt>
                <c:pt idx="244">
                  <c:v>38915</c:v>
                </c:pt>
                <c:pt idx="245">
                  <c:v>38915</c:v>
                </c:pt>
                <c:pt idx="246">
                  <c:v>38953</c:v>
                </c:pt>
                <c:pt idx="247">
                  <c:v>38952</c:v>
                </c:pt>
                <c:pt idx="248">
                  <c:v>38952</c:v>
                </c:pt>
                <c:pt idx="249">
                  <c:v>38972</c:v>
                </c:pt>
                <c:pt idx="250">
                  <c:v>38975</c:v>
                </c:pt>
                <c:pt idx="251">
                  <c:v>38975</c:v>
                </c:pt>
                <c:pt idx="252">
                  <c:v>39008</c:v>
                </c:pt>
                <c:pt idx="253">
                  <c:v>39006</c:v>
                </c:pt>
                <c:pt idx="254">
                  <c:v>39006</c:v>
                </c:pt>
                <c:pt idx="255">
                  <c:v>39035</c:v>
                </c:pt>
                <c:pt idx="256">
                  <c:v>39041</c:v>
                </c:pt>
                <c:pt idx="257">
                  <c:v>39041</c:v>
                </c:pt>
                <c:pt idx="258">
                  <c:v>39063</c:v>
                </c:pt>
                <c:pt idx="259">
                  <c:v>39062</c:v>
                </c:pt>
                <c:pt idx="260">
                  <c:v>39062</c:v>
                </c:pt>
                <c:pt idx="261">
                  <c:v>39100</c:v>
                </c:pt>
                <c:pt idx="262">
                  <c:v>39100</c:v>
                </c:pt>
                <c:pt idx="263">
                  <c:v>39100</c:v>
                </c:pt>
                <c:pt idx="264">
                  <c:v>39134</c:v>
                </c:pt>
                <c:pt idx="265">
                  <c:v>39135</c:v>
                </c:pt>
                <c:pt idx="266">
                  <c:v>39135</c:v>
                </c:pt>
                <c:pt idx="267">
                  <c:v>39154</c:v>
                </c:pt>
                <c:pt idx="268">
                  <c:v>39153</c:v>
                </c:pt>
                <c:pt idx="269">
                  <c:v>39153</c:v>
                </c:pt>
                <c:pt idx="270">
                  <c:v>39190</c:v>
                </c:pt>
                <c:pt idx="271">
                  <c:v>39191</c:v>
                </c:pt>
                <c:pt idx="272">
                  <c:v>39191</c:v>
                </c:pt>
                <c:pt idx="273">
                  <c:v>39217</c:v>
                </c:pt>
                <c:pt idx="274">
                  <c:v>39216</c:v>
                </c:pt>
                <c:pt idx="275">
                  <c:v>39216</c:v>
                </c:pt>
                <c:pt idx="276">
                  <c:v>39246</c:v>
                </c:pt>
                <c:pt idx="277">
                  <c:v>39248</c:v>
                </c:pt>
                <c:pt idx="278">
                  <c:v>39248</c:v>
                </c:pt>
                <c:pt idx="279">
                  <c:v>39280</c:v>
                </c:pt>
                <c:pt idx="280">
                  <c:v>39279</c:v>
                </c:pt>
                <c:pt idx="281">
                  <c:v>39279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39336</c:v>
                </c:pt>
                <c:pt idx="286">
                  <c:v>39335</c:v>
                </c:pt>
                <c:pt idx="287">
                  <c:v>39335</c:v>
                </c:pt>
                <c:pt idx="288">
                  <c:v>39370</c:v>
                </c:pt>
                <c:pt idx="289">
                  <c:v>39370</c:v>
                </c:pt>
                <c:pt idx="290">
                  <c:v>39370</c:v>
                </c:pt>
                <c:pt idx="291">
                  <c:v>39400</c:v>
                </c:pt>
                <c:pt idx="292">
                  <c:v>39400</c:v>
                </c:pt>
                <c:pt idx="293">
                  <c:v>39400</c:v>
                </c:pt>
                <c:pt idx="294">
                  <c:v>39427</c:v>
                </c:pt>
                <c:pt idx="295">
                  <c:v>39434</c:v>
                </c:pt>
                <c:pt idx="296">
                  <c:v>39434</c:v>
                </c:pt>
                <c:pt idx="297">
                  <c:v>39462</c:v>
                </c:pt>
                <c:pt idx="298">
                  <c:v>39463</c:v>
                </c:pt>
                <c:pt idx="299">
                  <c:v>39463</c:v>
                </c:pt>
                <c:pt idx="300">
                  <c:v>39490</c:v>
                </c:pt>
                <c:pt idx="301">
                  <c:v>39493</c:v>
                </c:pt>
                <c:pt idx="302">
                  <c:v>39493</c:v>
                </c:pt>
                <c:pt idx="303">
                  <c:v>39517</c:v>
                </c:pt>
                <c:pt idx="304">
                  <c:v>39517</c:v>
                </c:pt>
                <c:pt idx="305">
                  <c:v>39517</c:v>
                </c:pt>
                <c:pt idx="306">
                  <c:v>39553</c:v>
                </c:pt>
                <c:pt idx="307">
                  <c:v>39552</c:v>
                </c:pt>
                <c:pt idx="308">
                  <c:v>39552</c:v>
                </c:pt>
                <c:pt idx="309">
                  <c:v>39582</c:v>
                </c:pt>
                <c:pt idx="310">
                  <c:v>39583</c:v>
                </c:pt>
                <c:pt idx="311">
                  <c:v>39583</c:v>
                </c:pt>
                <c:pt idx="312">
                  <c:v>39616</c:v>
                </c:pt>
                <c:pt idx="313">
                  <c:v>39617</c:v>
                </c:pt>
                <c:pt idx="314">
                  <c:v>39617</c:v>
                </c:pt>
                <c:pt idx="315">
                  <c:v>39644</c:v>
                </c:pt>
                <c:pt idx="316">
                  <c:v>39645</c:v>
                </c:pt>
                <c:pt idx="317">
                  <c:v>39645</c:v>
                </c:pt>
                <c:pt idx="318">
                  <c:v>39672</c:v>
                </c:pt>
                <c:pt idx="319">
                  <c:v>39672</c:v>
                </c:pt>
                <c:pt idx="320">
                  <c:v>39672</c:v>
                </c:pt>
                <c:pt idx="321">
                  <c:v>39709</c:v>
                </c:pt>
                <c:pt idx="322">
                  <c:v>39709</c:v>
                </c:pt>
                <c:pt idx="323">
                  <c:v>39709</c:v>
                </c:pt>
                <c:pt idx="324">
                  <c:v>39737</c:v>
                </c:pt>
                <c:pt idx="325">
                  <c:v>39735</c:v>
                </c:pt>
                <c:pt idx="326">
                  <c:v>39735</c:v>
                </c:pt>
                <c:pt idx="327">
                  <c:v>39763</c:v>
                </c:pt>
                <c:pt idx="328">
                  <c:v>39769</c:v>
                </c:pt>
                <c:pt idx="329">
                  <c:v>39769</c:v>
                </c:pt>
                <c:pt idx="330">
                  <c:v>39797</c:v>
                </c:pt>
                <c:pt idx="331">
                  <c:v>39797</c:v>
                </c:pt>
                <c:pt idx="332">
                  <c:v>39797</c:v>
                </c:pt>
                <c:pt idx="333">
                  <c:v>39825</c:v>
                </c:pt>
                <c:pt idx="334">
                  <c:v>39826</c:v>
                </c:pt>
                <c:pt idx="335">
                  <c:v>39826</c:v>
                </c:pt>
                <c:pt idx="336">
                  <c:v>39854</c:v>
                </c:pt>
                <c:pt idx="337">
                  <c:v>39855</c:v>
                </c:pt>
                <c:pt idx="338">
                  <c:v>39855</c:v>
                </c:pt>
                <c:pt idx="339">
                  <c:v>39890</c:v>
                </c:pt>
                <c:pt idx="340">
                  <c:v>39888</c:v>
                </c:pt>
                <c:pt idx="341">
                  <c:v>39888</c:v>
                </c:pt>
                <c:pt idx="342">
                  <c:v>39920</c:v>
                </c:pt>
                <c:pt idx="343">
                  <c:v>39916</c:v>
                </c:pt>
                <c:pt idx="344">
                  <c:v>39916</c:v>
                </c:pt>
                <c:pt idx="345">
                  <c:v>39945</c:v>
                </c:pt>
                <c:pt idx="346">
                  <c:v>39946</c:v>
                </c:pt>
                <c:pt idx="347">
                  <c:v>39946</c:v>
                </c:pt>
                <c:pt idx="348">
                  <c:v>39980</c:v>
                </c:pt>
                <c:pt idx="349">
                  <c:v>39983</c:v>
                </c:pt>
                <c:pt idx="350">
                  <c:v>39983</c:v>
                </c:pt>
                <c:pt idx="351">
                  <c:v>40007</c:v>
                </c:pt>
                <c:pt idx="352">
                  <c:v>40007</c:v>
                </c:pt>
                <c:pt idx="353">
                  <c:v>40007</c:v>
                </c:pt>
                <c:pt idx="354">
                  <c:v>40043</c:v>
                </c:pt>
                <c:pt idx="355">
                  <c:v>40042</c:v>
                </c:pt>
                <c:pt idx="356">
                  <c:v>40042</c:v>
                </c:pt>
                <c:pt idx="357">
                  <c:v>40070</c:v>
                </c:pt>
                <c:pt idx="358">
                  <c:v>40071</c:v>
                </c:pt>
                <c:pt idx="359">
                  <c:v>40071</c:v>
                </c:pt>
                <c:pt idx="360">
                  <c:v>40099</c:v>
                </c:pt>
                <c:pt idx="361">
                  <c:v>40100</c:v>
                </c:pt>
                <c:pt idx="362">
                  <c:v>40100</c:v>
                </c:pt>
                <c:pt idx="363">
                  <c:v>40133</c:v>
                </c:pt>
                <c:pt idx="364">
                  <c:v>40133</c:v>
                </c:pt>
                <c:pt idx="365">
                  <c:v>40133</c:v>
                </c:pt>
                <c:pt idx="366">
                  <c:v>40161</c:v>
                </c:pt>
                <c:pt idx="367">
                  <c:v>40161</c:v>
                </c:pt>
                <c:pt idx="368">
                  <c:v>40161</c:v>
                </c:pt>
                <c:pt idx="369">
                  <c:v>40197</c:v>
                </c:pt>
                <c:pt idx="370">
                  <c:v>40197</c:v>
                </c:pt>
                <c:pt idx="371">
                  <c:v>40197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40254</c:v>
                </c:pt>
                <c:pt idx="376">
                  <c:v>40255</c:v>
                </c:pt>
                <c:pt idx="377">
                  <c:v>40255</c:v>
                </c:pt>
                <c:pt idx="378">
                  <c:v>40280</c:v>
                </c:pt>
                <c:pt idx="379">
                  <c:v>40281</c:v>
                </c:pt>
                <c:pt idx="380">
                  <c:v>40281</c:v>
                </c:pt>
                <c:pt idx="381">
                  <c:v>40315</c:v>
                </c:pt>
                <c:pt idx="382">
                  <c:v>40317</c:v>
                </c:pt>
                <c:pt idx="383">
                  <c:v>40317</c:v>
                </c:pt>
                <c:pt idx="384">
                  <c:v>40344</c:v>
                </c:pt>
                <c:pt idx="385">
                  <c:v>40345</c:v>
                </c:pt>
                <c:pt idx="386">
                  <c:v>40345</c:v>
                </c:pt>
                <c:pt idx="387">
                  <c:v>40374</c:v>
                </c:pt>
                <c:pt idx="388">
                  <c:v>40374</c:v>
                </c:pt>
                <c:pt idx="389">
                  <c:v>40374</c:v>
                </c:pt>
                <c:pt idx="390">
                  <c:v>40407</c:v>
                </c:pt>
                <c:pt idx="391">
                  <c:v>40409</c:v>
                </c:pt>
                <c:pt idx="392">
                  <c:v>40409</c:v>
                </c:pt>
                <c:pt idx="393">
                  <c:v>40409</c:v>
                </c:pt>
                <c:pt idx="394">
                  <c:v>40436</c:v>
                </c:pt>
                <c:pt idx="395">
                  <c:v>40434</c:v>
                </c:pt>
                <c:pt idx="396">
                  <c:v>40434</c:v>
                </c:pt>
                <c:pt idx="397">
                  <c:v>40464</c:v>
                </c:pt>
                <c:pt idx="398">
                  <c:v>40463</c:v>
                </c:pt>
                <c:pt idx="399">
                  <c:v>40463</c:v>
                </c:pt>
                <c:pt idx="400">
                  <c:v>40498</c:v>
                </c:pt>
                <c:pt idx="401">
                  <c:v>40500</c:v>
                </c:pt>
                <c:pt idx="402">
                  <c:v>40500</c:v>
                </c:pt>
                <c:pt idx="403">
                  <c:v>40520</c:v>
                </c:pt>
                <c:pt idx="404">
                  <c:v>40521</c:v>
                </c:pt>
                <c:pt idx="405">
                  <c:v>40521</c:v>
                </c:pt>
                <c:pt idx="406">
                  <c:v>40562</c:v>
                </c:pt>
                <c:pt idx="407">
                  <c:v>40563</c:v>
                </c:pt>
                <c:pt idx="408">
                  <c:v>40563</c:v>
                </c:pt>
                <c:pt idx="409">
                  <c:v>40591</c:v>
                </c:pt>
                <c:pt idx="410">
                  <c:v>40598</c:v>
                </c:pt>
                <c:pt idx="411">
                  <c:v>40598</c:v>
                </c:pt>
                <c:pt idx="412">
                  <c:v>40619</c:v>
                </c:pt>
                <c:pt idx="413">
                  <c:v>40617</c:v>
                </c:pt>
                <c:pt idx="414">
                  <c:v>40617</c:v>
                </c:pt>
                <c:pt idx="415">
                  <c:v>40617</c:v>
                </c:pt>
                <c:pt idx="416">
                  <c:v>40646</c:v>
                </c:pt>
                <c:pt idx="417">
                  <c:v>40647</c:v>
                </c:pt>
                <c:pt idx="418">
                  <c:v>40647</c:v>
                </c:pt>
                <c:pt idx="419">
                  <c:v>40681</c:v>
                </c:pt>
                <c:pt idx="420">
                  <c:v>40681</c:v>
                </c:pt>
                <c:pt idx="421">
                  <c:v>40682</c:v>
                </c:pt>
                <c:pt idx="422">
                  <c:v>40682</c:v>
                </c:pt>
                <c:pt idx="423">
                  <c:v>40709</c:v>
                </c:pt>
                <c:pt idx="424">
                  <c:v>40709</c:v>
                </c:pt>
                <c:pt idx="425">
                  <c:v>40709</c:v>
                </c:pt>
                <c:pt idx="426">
                  <c:v>40709</c:v>
                </c:pt>
                <c:pt idx="427">
                  <c:v>40735</c:v>
                </c:pt>
                <c:pt idx="428">
                  <c:v>40736</c:v>
                </c:pt>
                <c:pt idx="429">
                  <c:v>40736</c:v>
                </c:pt>
                <c:pt idx="430">
                  <c:v>40736</c:v>
                </c:pt>
                <c:pt idx="431">
                  <c:v>40771</c:v>
                </c:pt>
                <c:pt idx="432">
                  <c:v>40772</c:v>
                </c:pt>
                <c:pt idx="433">
                  <c:v>40772</c:v>
                </c:pt>
                <c:pt idx="434">
                  <c:v>40799</c:v>
                </c:pt>
                <c:pt idx="435">
                  <c:v>40798</c:v>
                </c:pt>
                <c:pt idx="436">
                  <c:v>40798</c:v>
                </c:pt>
                <c:pt idx="437">
                  <c:v>40798</c:v>
                </c:pt>
                <c:pt idx="438">
                  <c:v>40827</c:v>
                </c:pt>
                <c:pt idx="439">
                  <c:v>40827</c:v>
                </c:pt>
                <c:pt idx="440">
                  <c:v>40829</c:v>
                </c:pt>
                <c:pt idx="441">
                  <c:v>40829</c:v>
                </c:pt>
                <c:pt idx="442">
                  <c:v>40862</c:v>
                </c:pt>
                <c:pt idx="443">
                  <c:v>40865</c:v>
                </c:pt>
                <c:pt idx="444">
                  <c:v>40865</c:v>
                </c:pt>
                <c:pt idx="445">
                  <c:v>40891</c:v>
                </c:pt>
                <c:pt idx="446">
                  <c:v>40891</c:v>
                </c:pt>
                <c:pt idx="447">
                  <c:v>40891</c:v>
                </c:pt>
                <c:pt idx="448">
                  <c:v>40919</c:v>
                </c:pt>
                <c:pt idx="449">
                  <c:v>40919</c:v>
                </c:pt>
                <c:pt idx="450">
                  <c:v>40919</c:v>
                </c:pt>
                <c:pt idx="451">
                  <c:v>40962</c:v>
                </c:pt>
                <c:pt idx="452">
                  <c:v>40960</c:v>
                </c:pt>
                <c:pt idx="453">
                  <c:v>40960</c:v>
                </c:pt>
                <c:pt idx="454">
                  <c:v>40980</c:v>
                </c:pt>
                <c:pt idx="455">
                  <c:v>40982</c:v>
                </c:pt>
                <c:pt idx="456">
                  <c:v>40982</c:v>
                </c:pt>
                <c:pt idx="457">
                  <c:v>41015</c:v>
                </c:pt>
                <c:pt idx="458">
                  <c:v>41016</c:v>
                </c:pt>
                <c:pt idx="459">
                  <c:v>41016</c:v>
                </c:pt>
                <c:pt idx="460">
                  <c:v>41016</c:v>
                </c:pt>
                <c:pt idx="461">
                  <c:v>41045</c:v>
                </c:pt>
                <c:pt idx="462">
                  <c:v>41051</c:v>
                </c:pt>
                <c:pt idx="463">
                  <c:v>41051</c:v>
                </c:pt>
                <c:pt idx="464">
                  <c:v>41051</c:v>
                </c:pt>
                <c:pt idx="465">
                  <c:v>41073</c:v>
                </c:pt>
                <c:pt idx="466">
                  <c:v>41080</c:v>
                </c:pt>
                <c:pt idx="467">
                  <c:v>41080</c:v>
                </c:pt>
                <c:pt idx="468">
                  <c:v>41107</c:v>
                </c:pt>
                <c:pt idx="469">
                  <c:v>41106</c:v>
                </c:pt>
                <c:pt idx="470">
                  <c:v>41106</c:v>
                </c:pt>
                <c:pt idx="471">
                  <c:v>41135</c:v>
                </c:pt>
                <c:pt idx="472">
                  <c:v>41137</c:v>
                </c:pt>
                <c:pt idx="473">
                  <c:v>41137</c:v>
                </c:pt>
                <c:pt idx="474">
                  <c:v>41164</c:v>
                </c:pt>
                <c:pt idx="475">
                  <c:v>41163</c:v>
                </c:pt>
                <c:pt idx="476">
                  <c:v>41163</c:v>
                </c:pt>
                <c:pt idx="477">
                  <c:v>41199</c:v>
                </c:pt>
                <c:pt idx="478">
                  <c:v>41199</c:v>
                </c:pt>
                <c:pt idx="479">
                  <c:v>41199</c:v>
                </c:pt>
                <c:pt idx="480">
                  <c:v>41225</c:v>
                </c:pt>
                <c:pt idx="481">
                  <c:v>41225</c:v>
                </c:pt>
                <c:pt idx="482">
                  <c:v>41225</c:v>
                </c:pt>
                <c:pt idx="483">
                  <c:v>41254</c:v>
                </c:pt>
                <c:pt idx="484">
                  <c:v>41255</c:v>
                </c:pt>
                <c:pt idx="485">
                  <c:v>41255</c:v>
                </c:pt>
                <c:pt idx="486">
                  <c:v>41288</c:v>
                </c:pt>
                <c:pt idx="487">
                  <c:v>41297</c:v>
                </c:pt>
                <c:pt idx="488">
                  <c:v>41297</c:v>
                </c:pt>
                <c:pt idx="489">
                  <c:v>41318</c:v>
                </c:pt>
                <c:pt idx="490">
                  <c:v>41319</c:v>
                </c:pt>
                <c:pt idx="491">
                  <c:v>41319</c:v>
                </c:pt>
                <c:pt idx="492">
                  <c:v>41344</c:v>
                </c:pt>
                <c:pt idx="493">
                  <c:v>41346</c:v>
                </c:pt>
                <c:pt idx="494">
                  <c:v>41346</c:v>
                </c:pt>
                <c:pt idx="495">
                  <c:v>41346</c:v>
                </c:pt>
                <c:pt idx="496">
                  <c:v>41379</c:v>
                </c:pt>
                <c:pt idx="497">
                  <c:v>41380</c:v>
                </c:pt>
                <c:pt idx="498">
                  <c:v>41380</c:v>
                </c:pt>
                <c:pt idx="499">
                  <c:v>41408</c:v>
                </c:pt>
                <c:pt idx="500">
                  <c:v>41408</c:v>
                </c:pt>
                <c:pt idx="501">
                  <c:v>41407</c:v>
                </c:pt>
                <c:pt idx="502">
                  <c:v>41407</c:v>
                </c:pt>
                <c:pt idx="503">
                  <c:v>41436</c:v>
                </c:pt>
                <c:pt idx="504">
                  <c:v>41437</c:v>
                </c:pt>
                <c:pt idx="505">
                  <c:v>41437</c:v>
                </c:pt>
                <c:pt idx="506">
                  <c:v>41470</c:v>
                </c:pt>
                <c:pt idx="507">
                  <c:v>41470</c:v>
                </c:pt>
                <c:pt idx="508">
                  <c:v>41470</c:v>
                </c:pt>
                <c:pt idx="509">
                  <c:v>41498</c:v>
                </c:pt>
                <c:pt idx="510">
                  <c:v>41498</c:v>
                </c:pt>
                <c:pt idx="511">
                  <c:v>41498</c:v>
                </c:pt>
                <c:pt idx="512">
                  <c:v>41535</c:v>
                </c:pt>
                <c:pt idx="513">
                  <c:v>41535</c:v>
                </c:pt>
                <c:pt idx="514">
                  <c:v>41535</c:v>
                </c:pt>
                <c:pt idx="515">
                  <c:v>41569</c:v>
                </c:pt>
                <c:pt idx="516">
                  <c:v>406810</c:v>
                </c:pt>
                <c:pt idx="517">
                  <c:v>406810</c:v>
                </c:pt>
                <c:pt idx="518">
                  <c:v>41599</c:v>
                </c:pt>
                <c:pt idx="519">
                  <c:v>41599</c:v>
                </c:pt>
                <c:pt idx="520">
                  <c:v>41599</c:v>
                </c:pt>
                <c:pt idx="521">
                  <c:v>41624</c:v>
                </c:pt>
                <c:pt idx="522">
                  <c:v>41627</c:v>
                </c:pt>
                <c:pt idx="523">
                  <c:v>41627</c:v>
                </c:pt>
                <c:pt idx="524">
                  <c:v>41654</c:v>
                </c:pt>
                <c:pt idx="525">
                  <c:v>41655</c:v>
                </c:pt>
                <c:pt idx="526">
                  <c:v>41655</c:v>
                </c:pt>
                <c:pt idx="527">
                  <c:v>41688</c:v>
                </c:pt>
                <c:pt idx="528">
                  <c:v>41690</c:v>
                </c:pt>
                <c:pt idx="529">
                  <c:v>41690</c:v>
                </c:pt>
                <c:pt idx="530">
                  <c:v>41719</c:v>
                </c:pt>
                <c:pt idx="531">
                  <c:v>41718</c:v>
                </c:pt>
                <c:pt idx="532">
                  <c:v>41718</c:v>
                </c:pt>
                <c:pt idx="533">
                  <c:v>41747</c:v>
                </c:pt>
                <c:pt idx="534">
                  <c:v>41750</c:v>
                </c:pt>
                <c:pt idx="535">
                  <c:v>41750</c:v>
                </c:pt>
                <c:pt idx="536">
                  <c:v>41772</c:v>
                </c:pt>
                <c:pt idx="537">
                  <c:v>41406</c:v>
                </c:pt>
                <c:pt idx="538">
                  <c:v>41406</c:v>
                </c:pt>
                <c:pt idx="539">
                  <c:v>41808</c:v>
                </c:pt>
                <c:pt idx="540">
                  <c:v>41807</c:v>
                </c:pt>
                <c:pt idx="541">
                  <c:v>41807</c:v>
                </c:pt>
                <c:pt idx="542">
                  <c:v>41834</c:v>
                </c:pt>
                <c:pt idx="543">
                  <c:v>41837</c:v>
                </c:pt>
                <c:pt idx="544">
                  <c:v>41837</c:v>
                </c:pt>
                <c:pt idx="545">
                  <c:v>41862</c:v>
                </c:pt>
                <c:pt idx="546">
                  <c:v>41862</c:v>
                </c:pt>
                <c:pt idx="547">
                  <c:v>41862</c:v>
                </c:pt>
                <c:pt idx="548">
                  <c:v>41898</c:v>
                </c:pt>
                <c:pt idx="549">
                  <c:v>41897</c:v>
                </c:pt>
                <c:pt idx="550">
                  <c:v>41897</c:v>
                </c:pt>
                <c:pt idx="551">
                  <c:v>41929</c:v>
                </c:pt>
                <c:pt idx="552">
                  <c:v>41928</c:v>
                </c:pt>
                <c:pt idx="553">
                  <c:v>41928</c:v>
                </c:pt>
                <c:pt idx="554">
                  <c:v>41953</c:v>
                </c:pt>
                <c:pt idx="555">
                  <c:v>41955</c:v>
                </c:pt>
                <c:pt idx="556">
                  <c:v>41955</c:v>
                </c:pt>
                <c:pt idx="557">
                  <c:v>41988</c:v>
                </c:pt>
                <c:pt idx="558">
                  <c:v>41992</c:v>
                </c:pt>
                <c:pt idx="559">
                  <c:v>41992</c:v>
                </c:pt>
                <c:pt idx="560">
                  <c:v>42014</c:v>
                </c:pt>
                <c:pt idx="561">
                  <c:v>42009</c:v>
                </c:pt>
                <c:pt idx="562">
                  <c:v>42009</c:v>
                </c:pt>
                <c:pt idx="563">
                  <c:v>42036</c:v>
                </c:pt>
                <c:pt idx="564">
                  <c:v>42036</c:v>
                </c:pt>
                <c:pt idx="565">
                  <c:v>42036</c:v>
                </c:pt>
                <c:pt idx="566">
                  <c:v>42064</c:v>
                </c:pt>
                <c:pt idx="567">
                  <c:v>42064</c:v>
                </c:pt>
                <c:pt idx="568">
                  <c:v>42064</c:v>
                </c:pt>
                <c:pt idx="569">
                  <c:v>42095</c:v>
                </c:pt>
                <c:pt idx="570">
                  <c:v>42095</c:v>
                </c:pt>
                <c:pt idx="571">
                  <c:v>42095</c:v>
                </c:pt>
                <c:pt idx="572">
                  <c:v>42125</c:v>
                </c:pt>
                <c:pt idx="573">
                  <c:v>42125</c:v>
                </c:pt>
                <c:pt idx="574">
                  <c:v>42125</c:v>
                </c:pt>
                <c:pt idx="575">
                  <c:v>42156</c:v>
                </c:pt>
                <c:pt idx="576">
                  <c:v>42156</c:v>
                </c:pt>
                <c:pt idx="577">
                  <c:v>42156</c:v>
                </c:pt>
                <c:pt idx="578">
                  <c:v>42186</c:v>
                </c:pt>
                <c:pt idx="579">
                  <c:v>42186</c:v>
                </c:pt>
                <c:pt idx="580">
                  <c:v>42186</c:v>
                </c:pt>
                <c:pt idx="581">
                  <c:v>42217</c:v>
                </c:pt>
                <c:pt idx="582">
                  <c:v>42217</c:v>
                </c:pt>
                <c:pt idx="583">
                  <c:v>42217</c:v>
                </c:pt>
                <c:pt idx="584">
                  <c:v>42248</c:v>
                </c:pt>
                <c:pt idx="585">
                  <c:v>42248</c:v>
                </c:pt>
                <c:pt idx="586">
                  <c:v>42248</c:v>
                </c:pt>
                <c:pt idx="587">
                  <c:v>42278</c:v>
                </c:pt>
                <c:pt idx="588">
                  <c:v>42278</c:v>
                </c:pt>
                <c:pt idx="589">
                  <c:v>42278</c:v>
                </c:pt>
                <c:pt idx="590">
                  <c:v>42309</c:v>
                </c:pt>
                <c:pt idx="591">
                  <c:v>42309</c:v>
                </c:pt>
                <c:pt idx="592">
                  <c:v>42309</c:v>
                </c:pt>
                <c:pt idx="593">
                  <c:v>42339</c:v>
                </c:pt>
                <c:pt idx="594">
                  <c:v>42339</c:v>
                </c:pt>
                <c:pt idx="595">
                  <c:v>42339</c:v>
                </c:pt>
                <c:pt idx="596">
                  <c:v>42379</c:v>
                </c:pt>
                <c:pt idx="597">
                  <c:v>42374</c:v>
                </c:pt>
                <c:pt idx="598">
                  <c:v>42374</c:v>
                </c:pt>
                <c:pt idx="599">
                  <c:v>42401</c:v>
                </c:pt>
                <c:pt idx="600">
                  <c:v>42401</c:v>
                </c:pt>
                <c:pt idx="601">
                  <c:v>42401</c:v>
                </c:pt>
                <c:pt idx="602">
                  <c:v>42430</c:v>
                </c:pt>
                <c:pt idx="603">
                  <c:v>42430</c:v>
                </c:pt>
                <c:pt idx="604">
                  <c:v>42430</c:v>
                </c:pt>
                <c:pt idx="605">
                  <c:v>42461</c:v>
                </c:pt>
                <c:pt idx="606">
                  <c:v>42461</c:v>
                </c:pt>
                <c:pt idx="607">
                  <c:v>42461</c:v>
                </c:pt>
                <c:pt idx="608">
                  <c:v>42491</c:v>
                </c:pt>
                <c:pt idx="609">
                  <c:v>42491</c:v>
                </c:pt>
                <c:pt idx="610">
                  <c:v>42491</c:v>
                </c:pt>
                <c:pt idx="611">
                  <c:v>42522</c:v>
                </c:pt>
                <c:pt idx="612">
                  <c:v>42522</c:v>
                </c:pt>
                <c:pt idx="613">
                  <c:v>42522</c:v>
                </c:pt>
                <c:pt idx="614">
                  <c:v>42552</c:v>
                </c:pt>
                <c:pt idx="615">
                  <c:v>42552</c:v>
                </c:pt>
                <c:pt idx="616">
                  <c:v>42552</c:v>
                </c:pt>
                <c:pt idx="617">
                  <c:v>42583</c:v>
                </c:pt>
                <c:pt idx="618">
                  <c:v>42583</c:v>
                </c:pt>
                <c:pt idx="619">
                  <c:v>42583</c:v>
                </c:pt>
                <c:pt idx="620">
                  <c:v>42614</c:v>
                </c:pt>
                <c:pt idx="621">
                  <c:v>42614</c:v>
                </c:pt>
                <c:pt idx="622">
                  <c:v>42614</c:v>
                </c:pt>
                <c:pt idx="623">
                  <c:v>42644</c:v>
                </c:pt>
                <c:pt idx="624">
                  <c:v>42644</c:v>
                </c:pt>
                <c:pt idx="625">
                  <c:v>42644</c:v>
                </c:pt>
                <c:pt idx="626">
                  <c:v>42675</c:v>
                </c:pt>
                <c:pt idx="627">
                  <c:v>42675</c:v>
                </c:pt>
                <c:pt idx="628">
                  <c:v>42675</c:v>
                </c:pt>
                <c:pt idx="629">
                  <c:v>42705</c:v>
                </c:pt>
                <c:pt idx="630">
                  <c:v>42705</c:v>
                </c:pt>
                <c:pt idx="631">
                  <c:v>42705</c:v>
                </c:pt>
                <c:pt idx="632">
                  <c:v>42745</c:v>
                </c:pt>
                <c:pt idx="633">
                  <c:v>42740</c:v>
                </c:pt>
                <c:pt idx="634">
                  <c:v>42740</c:v>
                </c:pt>
                <c:pt idx="635">
                  <c:v>42767</c:v>
                </c:pt>
                <c:pt idx="636">
                  <c:v>42767</c:v>
                </c:pt>
                <c:pt idx="637">
                  <c:v>42767</c:v>
                </c:pt>
                <c:pt idx="638">
                  <c:v>42795</c:v>
                </c:pt>
                <c:pt idx="639">
                  <c:v>42795</c:v>
                </c:pt>
                <c:pt idx="640">
                  <c:v>42795</c:v>
                </c:pt>
                <c:pt idx="641">
                  <c:v>42826</c:v>
                </c:pt>
                <c:pt idx="642">
                  <c:v>42826</c:v>
                </c:pt>
                <c:pt idx="643">
                  <c:v>42826</c:v>
                </c:pt>
                <c:pt idx="644">
                  <c:v>42856</c:v>
                </c:pt>
                <c:pt idx="645">
                  <c:v>42856</c:v>
                </c:pt>
                <c:pt idx="646">
                  <c:v>42856</c:v>
                </c:pt>
                <c:pt idx="647">
                  <c:v>42887</c:v>
                </c:pt>
                <c:pt idx="648">
                  <c:v>42887</c:v>
                </c:pt>
                <c:pt idx="649">
                  <c:v>42887</c:v>
                </c:pt>
                <c:pt idx="650">
                  <c:v>42917</c:v>
                </c:pt>
                <c:pt idx="651">
                  <c:v>42917</c:v>
                </c:pt>
                <c:pt idx="652">
                  <c:v>42917</c:v>
                </c:pt>
                <c:pt idx="653">
                  <c:v>42948</c:v>
                </c:pt>
                <c:pt idx="654">
                  <c:v>42948</c:v>
                </c:pt>
                <c:pt idx="655">
                  <c:v>42948</c:v>
                </c:pt>
                <c:pt idx="656">
                  <c:v>42979</c:v>
                </c:pt>
                <c:pt idx="657">
                  <c:v>42979</c:v>
                </c:pt>
                <c:pt idx="658">
                  <c:v>42979</c:v>
                </c:pt>
                <c:pt idx="659">
                  <c:v>43009</c:v>
                </c:pt>
                <c:pt idx="660">
                  <c:v>43009</c:v>
                </c:pt>
                <c:pt idx="661">
                  <c:v>43009</c:v>
                </c:pt>
                <c:pt idx="662">
                  <c:v>43040</c:v>
                </c:pt>
                <c:pt idx="663">
                  <c:v>43040</c:v>
                </c:pt>
                <c:pt idx="664">
                  <c:v>43040</c:v>
                </c:pt>
                <c:pt idx="665">
                  <c:v>43070</c:v>
                </c:pt>
                <c:pt idx="666">
                  <c:v>43070</c:v>
                </c:pt>
                <c:pt idx="667">
                  <c:v>43070</c:v>
                </c:pt>
                <c:pt idx="668">
                  <c:v>43110</c:v>
                </c:pt>
                <c:pt idx="669">
                  <c:v>43105</c:v>
                </c:pt>
                <c:pt idx="670">
                  <c:v>43105</c:v>
                </c:pt>
                <c:pt idx="671">
                  <c:v>43132</c:v>
                </c:pt>
                <c:pt idx="672">
                  <c:v>43132</c:v>
                </c:pt>
                <c:pt idx="673">
                  <c:v>43132</c:v>
                </c:pt>
                <c:pt idx="674">
                  <c:v>43160</c:v>
                </c:pt>
                <c:pt idx="675">
                  <c:v>43160</c:v>
                </c:pt>
                <c:pt idx="676">
                  <c:v>43160</c:v>
                </c:pt>
                <c:pt idx="677">
                  <c:v>43191</c:v>
                </c:pt>
                <c:pt idx="678">
                  <c:v>43191</c:v>
                </c:pt>
                <c:pt idx="679">
                  <c:v>43191</c:v>
                </c:pt>
                <c:pt idx="680">
                  <c:v>43221</c:v>
                </c:pt>
                <c:pt idx="681">
                  <c:v>43221</c:v>
                </c:pt>
                <c:pt idx="682">
                  <c:v>43221</c:v>
                </c:pt>
                <c:pt idx="683">
                  <c:v>43252</c:v>
                </c:pt>
                <c:pt idx="684">
                  <c:v>43252</c:v>
                </c:pt>
                <c:pt idx="685">
                  <c:v>43252</c:v>
                </c:pt>
                <c:pt idx="686">
                  <c:v>43282</c:v>
                </c:pt>
                <c:pt idx="687">
                  <c:v>43282</c:v>
                </c:pt>
                <c:pt idx="688">
                  <c:v>43282</c:v>
                </c:pt>
                <c:pt idx="689">
                  <c:v>43313</c:v>
                </c:pt>
                <c:pt idx="690">
                  <c:v>43313</c:v>
                </c:pt>
                <c:pt idx="691">
                  <c:v>43313</c:v>
                </c:pt>
                <c:pt idx="692">
                  <c:v>43344</c:v>
                </c:pt>
                <c:pt idx="693">
                  <c:v>43344</c:v>
                </c:pt>
                <c:pt idx="694">
                  <c:v>43344</c:v>
                </c:pt>
                <c:pt idx="695">
                  <c:v>43374</c:v>
                </c:pt>
                <c:pt idx="696">
                  <c:v>43374</c:v>
                </c:pt>
                <c:pt idx="697">
                  <c:v>43374</c:v>
                </c:pt>
                <c:pt idx="698">
                  <c:v>43405</c:v>
                </c:pt>
                <c:pt idx="699">
                  <c:v>43405</c:v>
                </c:pt>
                <c:pt idx="700">
                  <c:v>43405</c:v>
                </c:pt>
                <c:pt idx="701">
                  <c:v>43435</c:v>
                </c:pt>
                <c:pt idx="702">
                  <c:v>43435</c:v>
                </c:pt>
                <c:pt idx="703">
                  <c:v>43435</c:v>
                </c:pt>
                <c:pt idx="704">
                  <c:v>43475</c:v>
                </c:pt>
                <c:pt idx="705">
                  <c:v>43470</c:v>
                </c:pt>
                <c:pt idx="706">
                  <c:v>43470</c:v>
                </c:pt>
                <c:pt idx="707">
                  <c:v>43497</c:v>
                </c:pt>
                <c:pt idx="708">
                  <c:v>43497</c:v>
                </c:pt>
                <c:pt idx="709">
                  <c:v>43497</c:v>
                </c:pt>
                <c:pt idx="710">
                  <c:v>43525</c:v>
                </c:pt>
                <c:pt idx="711">
                  <c:v>43525</c:v>
                </c:pt>
                <c:pt idx="712">
                  <c:v>43525</c:v>
                </c:pt>
                <c:pt idx="713">
                  <c:v>43556</c:v>
                </c:pt>
                <c:pt idx="714">
                  <c:v>43556</c:v>
                </c:pt>
                <c:pt idx="715">
                  <c:v>43556</c:v>
                </c:pt>
                <c:pt idx="716">
                  <c:v>43586</c:v>
                </c:pt>
                <c:pt idx="717">
                  <c:v>43586</c:v>
                </c:pt>
                <c:pt idx="718">
                  <c:v>43586</c:v>
                </c:pt>
                <c:pt idx="719">
                  <c:v>43617</c:v>
                </c:pt>
                <c:pt idx="720">
                  <c:v>43617</c:v>
                </c:pt>
                <c:pt idx="721">
                  <c:v>43617</c:v>
                </c:pt>
                <c:pt idx="722">
                  <c:v>43647</c:v>
                </c:pt>
                <c:pt idx="723">
                  <c:v>43647</c:v>
                </c:pt>
                <c:pt idx="724">
                  <c:v>43647</c:v>
                </c:pt>
                <c:pt idx="725">
                  <c:v>43678</c:v>
                </c:pt>
                <c:pt idx="726">
                  <c:v>43678</c:v>
                </c:pt>
                <c:pt idx="727">
                  <c:v>43678</c:v>
                </c:pt>
                <c:pt idx="728">
                  <c:v>43709</c:v>
                </c:pt>
                <c:pt idx="729">
                  <c:v>43709</c:v>
                </c:pt>
                <c:pt idx="730">
                  <c:v>43709</c:v>
                </c:pt>
                <c:pt idx="731">
                  <c:v>43739</c:v>
                </c:pt>
                <c:pt idx="732">
                  <c:v>43739</c:v>
                </c:pt>
                <c:pt idx="733">
                  <c:v>43739</c:v>
                </c:pt>
                <c:pt idx="734">
                  <c:v>43770</c:v>
                </c:pt>
                <c:pt idx="735">
                  <c:v>43770</c:v>
                </c:pt>
                <c:pt idx="736">
                  <c:v>43770</c:v>
                </c:pt>
                <c:pt idx="737">
                  <c:v>43800</c:v>
                </c:pt>
                <c:pt idx="738">
                  <c:v>43800</c:v>
                </c:pt>
                <c:pt idx="739">
                  <c:v>43800</c:v>
                </c:pt>
              </c:numCache>
            </c:numRef>
          </c:xVal>
          <c:yVal>
            <c:numRef>
              <c:f>'But Fuco update'!$N$3:$N$742</c:f>
              <c:numCache>
                <c:formatCode>General</c:formatCode>
                <c:ptCount val="740"/>
                <c:pt idx="2">
                  <c:v>-0.38367646745369038</c:v>
                </c:pt>
                <c:pt idx="5">
                  <c:v>-0.66415414058807087</c:v>
                </c:pt>
                <c:pt idx="8">
                  <c:v>-0.94958290852118155</c:v>
                </c:pt>
                <c:pt idx="11">
                  <c:v>-1.2137581600985425</c:v>
                </c:pt>
                <c:pt idx="14">
                  <c:v>-1.653445138149058</c:v>
                </c:pt>
                <c:pt idx="17">
                  <c:v>-1.9315849783886905</c:v>
                </c:pt>
                <c:pt idx="20">
                  <c:v>-2.3712719564392057</c:v>
                </c:pt>
                <c:pt idx="23">
                  <c:v>1.6105040295135002</c:v>
                </c:pt>
                <c:pt idx="26">
                  <c:v>4.4403529666663086</c:v>
                </c:pt>
                <c:pt idx="29">
                  <c:v>4.1986620377342101</c:v>
                </c:pt>
                <c:pt idx="32">
                  <c:v>3.7805921935656706</c:v>
                </c:pt>
                <c:pt idx="35">
                  <c:v>3.396087018069843</c:v>
                </c:pt>
                <c:pt idx="38">
                  <c:v>2.9564000400193278</c:v>
                </c:pt>
                <c:pt idx="41">
                  <c:v>2.5167130619688125</c:v>
                </c:pt>
                <c:pt idx="44">
                  <c:v>2.0770260839182972</c:v>
                </c:pt>
                <c:pt idx="47">
                  <c:v>1.7306227784184682</c:v>
                </c:pt>
                <c:pt idx="50">
                  <c:v>1.4511008337057287</c:v>
                </c:pt>
                <c:pt idx="53">
                  <c:v>1.302628016176832</c:v>
                </c:pt>
                <c:pt idx="56">
                  <c:v>0.92494356509291209</c:v>
                </c:pt>
                <c:pt idx="59">
                  <c:v>4.330907696566288</c:v>
                </c:pt>
                <c:pt idx="62">
                  <c:v>9.3618222492766883</c:v>
                </c:pt>
                <c:pt idx="65">
                  <c:v>9.0448171951710261</c:v>
                </c:pt>
                <c:pt idx="68">
                  <c:v>8.6051302171205108</c:v>
                </c:pt>
                <c:pt idx="71">
                  <c:v>8.2135940218052124</c:v>
                </c:pt>
                <c:pt idx="74">
                  <c:v>7.7739070437546971</c:v>
                </c:pt>
                <c:pt idx="77">
                  <c:v>7.4058267484315676</c:v>
                </c:pt>
                <c:pt idx="80">
                  <c:v>6.9661397703810524</c:v>
                </c:pt>
                <c:pt idx="83">
                  <c:v>6.5601874622962013</c:v>
                </c:pt>
                <c:pt idx="86">
                  <c:v>6.4092522067111934</c:v>
                </c:pt>
                <c:pt idx="89">
                  <c:v>6.3966428552151591</c:v>
                </c:pt>
                <c:pt idx="92">
                  <c:v>5.9569558771646438</c:v>
                </c:pt>
                <c:pt idx="110">
                  <c:v>5.5172688991141285</c:v>
                </c:pt>
                <c:pt idx="113">
                  <c:v>5.0775819210636133</c:v>
                </c:pt>
                <c:pt idx="116">
                  <c:v>4.637894943013098</c:v>
                </c:pt>
                <c:pt idx="119">
                  <c:v>4.2196744340355821</c:v>
                </c:pt>
                <c:pt idx="122">
                  <c:v>3.7799874559850668</c:v>
                </c:pt>
                <c:pt idx="125">
                  <c:v>3.3403004779345515</c:v>
                </c:pt>
                <c:pt idx="128">
                  <c:v>3.015279220457006</c:v>
                </c:pt>
                <c:pt idx="131">
                  <c:v>5.2248694493779251</c:v>
                </c:pt>
                <c:pt idx="134">
                  <c:v>8.7572694450278465</c:v>
                </c:pt>
                <c:pt idx="137">
                  <c:v>8.3175824669773313</c:v>
                </c:pt>
                <c:pt idx="140">
                  <c:v>7.877895488926816</c:v>
                </c:pt>
                <c:pt idx="143">
                  <c:v>7.4382085108763007</c:v>
                </c:pt>
                <c:pt idx="146">
                  <c:v>6.9985215328257855</c:v>
                </c:pt>
                <c:pt idx="149">
                  <c:v>6.5588345547752702</c:v>
                </c:pt>
                <c:pt idx="152">
                  <c:v>6.119147576724755</c:v>
                </c:pt>
                <c:pt idx="155">
                  <c:v>5.6794605986742397</c:v>
                </c:pt>
                <c:pt idx="158">
                  <c:v>5.2397736206237244</c:v>
                </c:pt>
                <c:pt idx="161">
                  <c:v>4.8000866425732092</c:v>
                </c:pt>
                <c:pt idx="164">
                  <c:v>4.4303344464744185</c:v>
                </c:pt>
                <c:pt idx="167">
                  <c:v>5.5244771327794489</c:v>
                </c:pt>
                <c:pt idx="170">
                  <c:v>7.0908648824242739</c:v>
                </c:pt>
                <c:pt idx="173">
                  <c:v>6.6511779043737587</c:v>
                </c:pt>
                <c:pt idx="179">
                  <c:v>6.2114909263232434</c:v>
                </c:pt>
                <c:pt idx="182">
                  <c:v>5.7718039482727281</c:v>
                </c:pt>
                <c:pt idx="185">
                  <c:v>5.3321169702222129</c:v>
                </c:pt>
                <c:pt idx="188">
                  <c:v>4.8924299921716976</c:v>
                </c:pt>
                <c:pt idx="191">
                  <c:v>4.6206806120530564</c:v>
                </c:pt>
                <c:pt idx="194">
                  <c:v>4.1809936340025411</c:v>
                </c:pt>
                <c:pt idx="197">
                  <c:v>3.7413066559520258</c:v>
                </c:pt>
                <c:pt idx="200">
                  <c:v>3.7055858874557095</c:v>
                </c:pt>
                <c:pt idx="203">
                  <c:v>5.5645128304607567</c:v>
                </c:pt>
                <c:pt idx="206">
                  <c:v>5.6500544406505995</c:v>
                </c:pt>
                <c:pt idx="209">
                  <c:v>5.2316578994500382</c:v>
                </c:pt>
                <c:pt idx="212">
                  <c:v>4.791970921399523</c:v>
                </c:pt>
                <c:pt idx="215">
                  <c:v>4.3522839433490077</c:v>
                </c:pt>
                <c:pt idx="218">
                  <c:v>3.9129184867335041</c:v>
                </c:pt>
                <c:pt idx="221">
                  <c:v>3.6357994656170574</c:v>
                </c:pt>
                <c:pt idx="224">
                  <c:v>3.1965233815697847</c:v>
                </c:pt>
                <c:pt idx="227">
                  <c:v>2.7574195444979894</c:v>
                </c:pt>
                <c:pt idx="230">
                  <c:v>2.4186026872322159</c:v>
                </c:pt>
                <c:pt idx="233">
                  <c:v>2.2648245153047553</c:v>
                </c:pt>
                <c:pt idx="236">
                  <c:v>4.2604540291660289</c:v>
                </c:pt>
                <c:pt idx="239">
                  <c:v>6.9507075719697209</c:v>
                </c:pt>
                <c:pt idx="242">
                  <c:v>8.235024499842508</c:v>
                </c:pt>
                <c:pt idx="245">
                  <c:v>7.7956073345042958</c:v>
                </c:pt>
                <c:pt idx="248">
                  <c:v>7.3562189776981972</c:v>
                </c:pt>
                <c:pt idx="251">
                  <c:v>6.9167860568371893</c:v>
                </c:pt>
                <c:pt idx="254">
                  <c:v>7.6504342401995746</c:v>
                </c:pt>
                <c:pt idx="257">
                  <c:v>7.7544055792654865</c:v>
                </c:pt>
                <c:pt idx="260">
                  <c:v>8.4864377433761806</c:v>
                </c:pt>
                <c:pt idx="263">
                  <c:v>8.4745660158214378</c:v>
                </c:pt>
                <c:pt idx="266">
                  <c:v>8.1061777718289143</c:v>
                </c:pt>
                <c:pt idx="269">
                  <c:v>8.1840389083389873</c:v>
                </c:pt>
                <c:pt idx="272">
                  <c:v>7.8110374767330661</c:v>
                </c:pt>
                <c:pt idx="275">
                  <c:v>10.820861171349042</c:v>
                </c:pt>
                <c:pt idx="278">
                  <c:v>14.69794748464235</c:v>
                </c:pt>
                <c:pt idx="281">
                  <c:v>14.282111414106323</c:v>
                </c:pt>
                <c:pt idx="284">
                  <c:v>13.844379315834829</c:v>
                </c:pt>
                <c:pt idx="287">
                  <c:v>13.407275637056943</c:v>
                </c:pt>
                <c:pt idx="290">
                  <c:v>13.032475988509285</c:v>
                </c:pt>
                <c:pt idx="293">
                  <c:v>12.913264519925637</c:v>
                </c:pt>
                <c:pt idx="296">
                  <c:v>12.477628976881546</c:v>
                </c:pt>
                <c:pt idx="299">
                  <c:v>12.044064777214398</c:v>
                </c:pt>
                <c:pt idx="302">
                  <c:v>11.843174275093805</c:v>
                </c:pt>
                <c:pt idx="305">
                  <c:v>11.510294800345108</c:v>
                </c:pt>
                <c:pt idx="308">
                  <c:v>12.383931798514361</c:v>
                </c:pt>
                <c:pt idx="311">
                  <c:v>13.388350311394154</c:v>
                </c:pt>
                <c:pt idx="314">
                  <c:v>12.953347421591962</c:v>
                </c:pt>
                <c:pt idx="317">
                  <c:v>12.628921325054099</c:v>
                </c:pt>
                <c:pt idx="320">
                  <c:v>12.192952834799756</c:v>
                </c:pt>
                <c:pt idx="323">
                  <c:v>13.363722090553283</c:v>
                </c:pt>
                <c:pt idx="326">
                  <c:v>15.191014780809862</c:v>
                </c:pt>
                <c:pt idx="329">
                  <c:v>14.935128980785302</c:v>
                </c:pt>
                <c:pt idx="332">
                  <c:v>14.505589494584504</c:v>
                </c:pt>
                <c:pt idx="335">
                  <c:v>14.072756120936722</c:v>
                </c:pt>
                <c:pt idx="338">
                  <c:v>13.69317892477415</c:v>
                </c:pt>
                <c:pt idx="341">
                  <c:v>13.259509771107778</c:v>
                </c:pt>
                <c:pt idx="344">
                  <c:v>12.840135548196011</c:v>
                </c:pt>
                <c:pt idx="347">
                  <c:v>16.165308259858179</c:v>
                </c:pt>
                <c:pt idx="350">
                  <c:v>18.981314586554202</c:v>
                </c:pt>
                <c:pt idx="353">
                  <c:v>19.135750198423278</c:v>
                </c:pt>
                <c:pt idx="356">
                  <c:v>18.700216478056273</c:v>
                </c:pt>
                <c:pt idx="359">
                  <c:v>18.263423647500403</c:v>
                </c:pt>
                <c:pt idx="362">
                  <c:v>18.025210546175536</c:v>
                </c:pt>
                <c:pt idx="365">
                  <c:v>17.592352074699061</c:v>
                </c:pt>
                <c:pt idx="368">
                  <c:v>17.223848368486561</c:v>
                </c:pt>
                <c:pt idx="371">
                  <c:v>16.784161390436044</c:v>
                </c:pt>
                <c:pt idx="374">
                  <c:v>16.344474412385527</c:v>
                </c:pt>
                <c:pt idx="377">
                  <c:v>15.904787434335011</c:v>
                </c:pt>
                <c:pt idx="380">
                  <c:v>15.465100456284496</c:v>
                </c:pt>
                <c:pt idx="383">
                  <c:v>17.467562703309163</c:v>
                </c:pt>
                <c:pt idx="386">
                  <c:v>17.118491546937637</c:v>
                </c:pt>
                <c:pt idx="389">
                  <c:v>16.747099996195789</c:v>
                </c:pt>
                <c:pt idx="393">
                  <c:v>16.307413018145272</c:v>
                </c:pt>
                <c:pt idx="396">
                  <c:v>15.936694262744586</c:v>
                </c:pt>
                <c:pt idx="399">
                  <c:v>15.497007284694071</c:v>
                </c:pt>
                <c:pt idx="402">
                  <c:v>15.057320306643556</c:v>
                </c:pt>
                <c:pt idx="405">
                  <c:v>15.607491508088431</c:v>
                </c:pt>
                <c:pt idx="408">
                  <c:v>15.213689502077033</c:v>
                </c:pt>
                <c:pt idx="411">
                  <c:v>14.819049566113494</c:v>
                </c:pt>
                <c:pt idx="415">
                  <c:v>14.379362588062978</c:v>
                </c:pt>
                <c:pt idx="418">
                  <c:v>13.939675610012463</c:v>
                </c:pt>
                <c:pt idx="422">
                  <c:v>14.395027229290488</c:v>
                </c:pt>
                <c:pt idx="426">
                  <c:v>14.020538880752767</c:v>
                </c:pt>
                <c:pt idx="429">
                  <c:v>13.580851902702252</c:v>
                </c:pt>
                <c:pt idx="433">
                  <c:v>13.141164924651736</c:v>
                </c:pt>
                <c:pt idx="437">
                  <c:v>12.701477946601221</c:v>
                </c:pt>
                <c:pt idx="441">
                  <c:v>12.261790968550706</c:v>
                </c:pt>
                <c:pt idx="444">
                  <c:v>12.031551020502951</c:v>
                </c:pt>
                <c:pt idx="447">
                  <c:v>11.591864042452436</c:v>
                </c:pt>
                <c:pt idx="450">
                  <c:v>11.15217706440192</c:v>
                </c:pt>
                <c:pt idx="453">
                  <c:v>10.956115026737157</c:v>
                </c:pt>
                <c:pt idx="456">
                  <c:v>10.656360261419358</c:v>
                </c:pt>
                <c:pt idx="460">
                  <c:v>10.216673283368843</c:v>
                </c:pt>
                <c:pt idx="464">
                  <c:v>11.505876020105591</c:v>
                </c:pt>
                <c:pt idx="467">
                  <c:v>11.975177673316495</c:v>
                </c:pt>
                <c:pt idx="470">
                  <c:v>11.535490695265979</c:v>
                </c:pt>
                <c:pt idx="473">
                  <c:v>11.095803717215464</c:v>
                </c:pt>
                <c:pt idx="476">
                  <c:v>10.656116739164949</c:v>
                </c:pt>
                <c:pt idx="479">
                  <c:v>10.267304155517733</c:v>
                </c:pt>
                <c:pt idx="482">
                  <c:v>9.8276171774672179</c:v>
                </c:pt>
                <c:pt idx="485">
                  <c:v>9.3879301994167026</c:v>
                </c:pt>
                <c:pt idx="488">
                  <c:v>8.9482432213661873</c:v>
                </c:pt>
                <c:pt idx="491">
                  <c:v>8.5085562433156721</c:v>
                </c:pt>
                <c:pt idx="495">
                  <c:v>8.0688692652651568</c:v>
                </c:pt>
                <c:pt idx="498">
                  <c:v>7.6291822872146415</c:v>
                </c:pt>
                <c:pt idx="502">
                  <c:v>7.1894953091641263</c:v>
                </c:pt>
                <c:pt idx="505">
                  <c:v>6.749808331113611</c:v>
                </c:pt>
                <c:pt idx="508">
                  <c:v>6.3101213530630957</c:v>
                </c:pt>
                <c:pt idx="511">
                  <c:v>5.8704343750125805</c:v>
                </c:pt>
                <c:pt idx="514">
                  <c:v>5.4307473969620652</c:v>
                </c:pt>
                <c:pt idx="517">
                  <c:v>4.9910604189115499</c:v>
                </c:pt>
                <c:pt idx="520">
                  <c:v>4.5513734408610347</c:v>
                </c:pt>
                <c:pt idx="523">
                  <c:v>4.1116864628105194</c:v>
                </c:pt>
                <c:pt idx="526">
                  <c:v>3.6719994847600042</c:v>
                </c:pt>
                <c:pt idx="529">
                  <c:v>3.2323125067094889</c:v>
                </c:pt>
                <c:pt idx="532">
                  <c:v>2.7926255286589736</c:v>
                </c:pt>
                <c:pt idx="535">
                  <c:v>2.3529385506084584</c:v>
                </c:pt>
                <c:pt idx="538">
                  <c:v>1.9132515725579431</c:v>
                </c:pt>
                <c:pt idx="541">
                  <c:v>1.4735645945074278</c:v>
                </c:pt>
                <c:pt idx="544">
                  <c:v>1.0338776164569126</c:v>
                </c:pt>
                <c:pt idx="547">
                  <c:v>0.59419063840639719</c:v>
                </c:pt>
                <c:pt idx="550">
                  <c:v>0.15450366035588181</c:v>
                </c:pt>
                <c:pt idx="553">
                  <c:v>-0.28518331769463356</c:v>
                </c:pt>
                <c:pt idx="556">
                  <c:v>-0.72487029574514894</c:v>
                </c:pt>
                <c:pt idx="559">
                  <c:v>-1.1645572737956642</c:v>
                </c:pt>
                <c:pt idx="562">
                  <c:v>-1.5544087997781011</c:v>
                </c:pt>
                <c:pt idx="568">
                  <c:v>-1.9048865907161228</c:v>
                </c:pt>
                <c:pt idx="571">
                  <c:v>-2.1497743332144488</c:v>
                </c:pt>
                <c:pt idx="574">
                  <c:v>-2.5609069652913368</c:v>
                </c:pt>
                <c:pt idx="577">
                  <c:v>-2.9556240150942212</c:v>
                </c:pt>
                <c:pt idx="580">
                  <c:v>-2.778323512367352</c:v>
                </c:pt>
                <c:pt idx="583">
                  <c:v>-3.1587825147528665</c:v>
                </c:pt>
                <c:pt idx="586">
                  <c:v>-3.5021870397087671</c:v>
                </c:pt>
                <c:pt idx="589">
                  <c:v>-3.8723033870603119</c:v>
                </c:pt>
                <c:pt idx="592">
                  <c:v>-3.558021162836813</c:v>
                </c:pt>
                <c:pt idx="595">
                  <c:v>-3.9040568381213312</c:v>
                </c:pt>
                <c:pt idx="598">
                  <c:v>-4.1731998095724663</c:v>
                </c:pt>
                <c:pt idx="601">
                  <c:v>-4.551972907570625</c:v>
                </c:pt>
                <c:pt idx="604">
                  <c:v>-4.884682585479486</c:v>
                </c:pt>
                <c:pt idx="607">
                  <c:v>-5.2338145951702701</c:v>
                </c:pt>
                <c:pt idx="610">
                  <c:v>-2.2467285742142979</c:v>
                </c:pt>
                <c:pt idx="613">
                  <c:v>0.67695161265771464</c:v>
                </c:pt>
                <c:pt idx="616">
                  <c:v>0.3273700189778681</c:v>
                </c:pt>
                <c:pt idx="619">
                  <c:v>-8.542542304439027E-2</c:v>
                </c:pt>
                <c:pt idx="622">
                  <c:v>-0.47419101937080743</c:v>
                </c:pt>
                <c:pt idx="625">
                  <c:v>-0.86559602797890167</c:v>
                </c:pt>
                <c:pt idx="628">
                  <c:v>-1.2064380768588863</c:v>
                </c:pt>
                <c:pt idx="631">
                  <c:v>-1.5384541716308586</c:v>
                </c:pt>
                <c:pt idx="640">
                  <c:v>-0.60328933104731186</c:v>
                </c:pt>
                <c:pt idx="643">
                  <c:v>1.7431051885657651</c:v>
                </c:pt>
                <c:pt idx="646">
                  <c:v>5.3296818710885336</c:v>
                </c:pt>
                <c:pt idx="649">
                  <c:v>5.0041395697904125</c:v>
                </c:pt>
                <c:pt idx="652">
                  <c:v>4.6099558928036002</c:v>
                </c:pt>
                <c:pt idx="658">
                  <c:v>4.271709268865294</c:v>
                </c:pt>
                <c:pt idx="661">
                  <c:v>4.1499757411935043</c:v>
                </c:pt>
                <c:pt idx="667">
                  <c:v>3.7811523111735519</c:v>
                </c:pt>
                <c:pt idx="670">
                  <c:v>3.4686324993050599</c:v>
                </c:pt>
                <c:pt idx="673">
                  <c:v>3.0799073804091668</c:v>
                </c:pt>
                <c:pt idx="676">
                  <c:v>2.7312220541524463</c:v>
                </c:pt>
                <c:pt idx="679">
                  <c:v>3.4553503665119085</c:v>
                </c:pt>
                <c:pt idx="682">
                  <c:v>5.8899756809453852</c:v>
                </c:pt>
                <c:pt idx="685">
                  <c:v>5.7791209161353203</c:v>
                </c:pt>
                <c:pt idx="688">
                  <c:v>5.4075858487353461</c:v>
                </c:pt>
                <c:pt idx="691">
                  <c:v>5.061270050349874</c:v>
                </c:pt>
                <c:pt idx="694">
                  <c:v>4.6974529340204763</c:v>
                </c:pt>
                <c:pt idx="697">
                  <c:v>4.4508801151093023</c:v>
                </c:pt>
                <c:pt idx="698">
                  <c:v>4.0182849029922787</c:v>
                </c:pt>
                <c:pt idx="712">
                  <c:v>4.2849041126113789</c:v>
                </c:pt>
                <c:pt idx="715">
                  <c:v>4.6740044767791433</c:v>
                </c:pt>
                <c:pt idx="718">
                  <c:v>8.3932789089670834</c:v>
                </c:pt>
                <c:pt idx="721">
                  <c:v>9.7881595381699054</c:v>
                </c:pt>
                <c:pt idx="724">
                  <c:v>9.3895600419239162</c:v>
                </c:pt>
                <c:pt idx="727">
                  <c:v>8.9803485795608662</c:v>
                </c:pt>
                <c:pt idx="730">
                  <c:v>8.6734830880585374</c:v>
                </c:pt>
                <c:pt idx="733">
                  <c:v>8.2514186724555678</c:v>
                </c:pt>
                <c:pt idx="739">
                  <c:v>7.9250522137565413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E2-A147-8067-8D42DA9B9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462"/>
        <c:minorUnit val="730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But Fuco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'But Fuco update'!$B$3:$B$742</c:f>
              <c:numCache>
                <c:formatCode>[$-409]mmm\-yy;@</c:formatCode>
                <c:ptCount val="740"/>
                <c:pt idx="0">
                  <c:v>36445</c:v>
                </c:pt>
                <c:pt idx="1">
                  <c:v>36446</c:v>
                </c:pt>
                <c:pt idx="2">
                  <c:v>36445</c:v>
                </c:pt>
                <c:pt idx="3">
                  <c:v>36472</c:v>
                </c:pt>
                <c:pt idx="4">
                  <c:v>36473</c:v>
                </c:pt>
                <c:pt idx="5">
                  <c:v>36472</c:v>
                </c:pt>
                <c:pt idx="6">
                  <c:v>36501</c:v>
                </c:pt>
                <c:pt idx="7">
                  <c:v>36502</c:v>
                </c:pt>
                <c:pt idx="8">
                  <c:v>36501</c:v>
                </c:pt>
                <c:pt idx="9">
                  <c:v>36530</c:v>
                </c:pt>
                <c:pt idx="10">
                  <c:v>36531</c:v>
                </c:pt>
                <c:pt idx="11">
                  <c:v>36530</c:v>
                </c:pt>
                <c:pt idx="12">
                  <c:v>36579</c:v>
                </c:pt>
                <c:pt idx="13">
                  <c:v>36578</c:v>
                </c:pt>
                <c:pt idx="14">
                  <c:v>36579</c:v>
                </c:pt>
                <c:pt idx="15">
                  <c:v>36598</c:v>
                </c:pt>
                <c:pt idx="16">
                  <c:v>36599</c:v>
                </c:pt>
                <c:pt idx="17">
                  <c:v>36598</c:v>
                </c:pt>
                <c:pt idx="18">
                  <c:v>36627</c:v>
                </c:pt>
                <c:pt idx="19">
                  <c:v>36626</c:v>
                </c:pt>
                <c:pt idx="20">
                  <c:v>36627</c:v>
                </c:pt>
                <c:pt idx="21">
                  <c:v>36662</c:v>
                </c:pt>
                <c:pt idx="22">
                  <c:v>36663</c:v>
                </c:pt>
                <c:pt idx="23">
                  <c:v>36662</c:v>
                </c:pt>
                <c:pt idx="24">
                  <c:v>36690</c:v>
                </c:pt>
                <c:pt idx="25">
                  <c:v>36692</c:v>
                </c:pt>
                <c:pt idx="26">
                  <c:v>36690</c:v>
                </c:pt>
                <c:pt idx="27">
                  <c:v>36718</c:v>
                </c:pt>
                <c:pt idx="28">
                  <c:v>36719</c:v>
                </c:pt>
                <c:pt idx="29">
                  <c:v>36718</c:v>
                </c:pt>
                <c:pt idx="30">
                  <c:v>36753</c:v>
                </c:pt>
                <c:pt idx="31">
                  <c:v>36755</c:v>
                </c:pt>
                <c:pt idx="32">
                  <c:v>36753</c:v>
                </c:pt>
                <c:pt idx="33">
                  <c:v>36781</c:v>
                </c:pt>
                <c:pt idx="34">
                  <c:v>36783</c:v>
                </c:pt>
                <c:pt idx="35">
                  <c:v>36781</c:v>
                </c:pt>
                <c:pt idx="36">
                  <c:v>36817</c:v>
                </c:pt>
                <c:pt idx="37">
                  <c:v>36815</c:v>
                </c:pt>
                <c:pt idx="38">
                  <c:v>36817</c:v>
                </c:pt>
                <c:pt idx="39">
                  <c:v>36845</c:v>
                </c:pt>
                <c:pt idx="40">
                  <c:v>36846</c:v>
                </c:pt>
                <c:pt idx="41">
                  <c:v>36845</c:v>
                </c:pt>
                <c:pt idx="42">
                  <c:v>36871</c:v>
                </c:pt>
                <c:pt idx="43">
                  <c:v>36873</c:v>
                </c:pt>
                <c:pt idx="44">
                  <c:v>36871</c:v>
                </c:pt>
                <c:pt idx="45">
                  <c:v>36901</c:v>
                </c:pt>
                <c:pt idx="46">
                  <c:v>36902</c:v>
                </c:pt>
                <c:pt idx="47">
                  <c:v>36901</c:v>
                </c:pt>
                <c:pt idx="48">
                  <c:v>36928</c:v>
                </c:pt>
                <c:pt idx="49">
                  <c:v>36929</c:v>
                </c:pt>
                <c:pt idx="50">
                  <c:v>36928</c:v>
                </c:pt>
                <c:pt idx="51">
                  <c:v>36965</c:v>
                </c:pt>
                <c:pt idx="52">
                  <c:v>36962</c:v>
                </c:pt>
                <c:pt idx="53">
                  <c:v>36964</c:v>
                </c:pt>
                <c:pt idx="54">
                  <c:v>37000</c:v>
                </c:pt>
                <c:pt idx="55">
                  <c:v>36998</c:v>
                </c:pt>
                <c:pt idx="56">
                  <c:v>36997</c:v>
                </c:pt>
                <c:pt idx="57">
                  <c:v>37026</c:v>
                </c:pt>
                <c:pt idx="58">
                  <c:v>37025</c:v>
                </c:pt>
                <c:pt idx="59">
                  <c:v>37026</c:v>
                </c:pt>
                <c:pt idx="60">
                  <c:v>37055</c:v>
                </c:pt>
                <c:pt idx="61">
                  <c:v>37054</c:v>
                </c:pt>
                <c:pt idx="62">
                  <c:v>37055</c:v>
                </c:pt>
                <c:pt idx="63">
                  <c:v>37092</c:v>
                </c:pt>
                <c:pt idx="64">
                  <c:v>37090</c:v>
                </c:pt>
                <c:pt idx="65">
                  <c:v>37092</c:v>
                </c:pt>
                <c:pt idx="66">
                  <c:v>37118</c:v>
                </c:pt>
                <c:pt idx="67">
                  <c:v>37117</c:v>
                </c:pt>
                <c:pt idx="68">
                  <c:v>37118</c:v>
                </c:pt>
                <c:pt idx="69">
                  <c:v>37152</c:v>
                </c:pt>
                <c:pt idx="70">
                  <c:v>37145</c:v>
                </c:pt>
                <c:pt idx="71">
                  <c:v>37145</c:v>
                </c:pt>
                <c:pt idx="72">
                  <c:v>37180</c:v>
                </c:pt>
                <c:pt idx="73">
                  <c:v>37182</c:v>
                </c:pt>
                <c:pt idx="74">
                  <c:v>37180</c:v>
                </c:pt>
                <c:pt idx="75">
                  <c:v>37201</c:v>
                </c:pt>
                <c:pt idx="76">
                  <c:v>37202</c:v>
                </c:pt>
                <c:pt idx="77">
                  <c:v>37201</c:v>
                </c:pt>
                <c:pt idx="78">
                  <c:v>37229</c:v>
                </c:pt>
                <c:pt idx="79">
                  <c:v>37230</c:v>
                </c:pt>
                <c:pt idx="80">
                  <c:v>37229</c:v>
                </c:pt>
                <c:pt idx="81">
                  <c:v>37271</c:v>
                </c:pt>
                <c:pt idx="82">
                  <c:v>37272</c:v>
                </c:pt>
                <c:pt idx="83">
                  <c:v>37271</c:v>
                </c:pt>
                <c:pt idx="84">
                  <c:v>37306</c:v>
                </c:pt>
                <c:pt idx="85">
                  <c:v>37301</c:v>
                </c:pt>
                <c:pt idx="86">
                  <c:v>37306</c:v>
                </c:pt>
                <c:pt idx="87">
                  <c:v>37334</c:v>
                </c:pt>
                <c:pt idx="88">
                  <c:v>37336</c:v>
                </c:pt>
                <c:pt idx="89">
                  <c:v>37336</c:v>
                </c:pt>
                <c:pt idx="90">
                  <c:v>37362</c:v>
                </c:pt>
                <c:pt idx="91">
                  <c:v>37363</c:v>
                </c:pt>
                <c:pt idx="92">
                  <c:v>37362</c:v>
                </c:pt>
                <c:pt idx="93">
                  <c:v>37392</c:v>
                </c:pt>
                <c:pt idx="94">
                  <c:v>37392</c:v>
                </c:pt>
                <c:pt idx="95">
                  <c:v>37392</c:v>
                </c:pt>
                <c:pt idx="96">
                  <c:v>37419</c:v>
                </c:pt>
                <c:pt idx="97">
                  <c:v>37420</c:v>
                </c:pt>
                <c:pt idx="98">
                  <c:v>37419</c:v>
                </c:pt>
                <c:pt idx="99">
                  <c:v>37454</c:v>
                </c:pt>
                <c:pt idx="100">
                  <c:v>37453</c:v>
                </c:pt>
                <c:pt idx="101">
                  <c:v>37454</c:v>
                </c:pt>
                <c:pt idx="102">
                  <c:v>37482</c:v>
                </c:pt>
                <c:pt idx="103">
                  <c:v>37481</c:v>
                </c:pt>
                <c:pt idx="104">
                  <c:v>37482</c:v>
                </c:pt>
                <c:pt idx="105">
                  <c:v>37517</c:v>
                </c:pt>
                <c:pt idx="106">
                  <c:v>37518</c:v>
                </c:pt>
                <c:pt idx="107">
                  <c:v>37517</c:v>
                </c:pt>
                <c:pt idx="108">
                  <c:v>37544</c:v>
                </c:pt>
                <c:pt idx="109">
                  <c:v>37546</c:v>
                </c:pt>
                <c:pt idx="110">
                  <c:v>37546</c:v>
                </c:pt>
                <c:pt idx="111">
                  <c:v>37575</c:v>
                </c:pt>
                <c:pt idx="112">
                  <c:v>37574</c:v>
                </c:pt>
                <c:pt idx="113">
                  <c:v>37574</c:v>
                </c:pt>
                <c:pt idx="114">
                  <c:v>37609</c:v>
                </c:pt>
                <c:pt idx="115">
                  <c:v>37608</c:v>
                </c:pt>
                <c:pt idx="116">
                  <c:v>37608</c:v>
                </c:pt>
                <c:pt idx="117">
                  <c:v>37635</c:v>
                </c:pt>
                <c:pt idx="118">
                  <c:v>37636</c:v>
                </c:pt>
                <c:pt idx="119">
                  <c:v>37636</c:v>
                </c:pt>
                <c:pt idx="120">
                  <c:v>37665</c:v>
                </c:pt>
                <c:pt idx="121">
                  <c:v>37663</c:v>
                </c:pt>
                <c:pt idx="122">
                  <c:v>37663</c:v>
                </c:pt>
                <c:pt idx="123">
                  <c:v>37692</c:v>
                </c:pt>
                <c:pt idx="124">
                  <c:v>37691</c:v>
                </c:pt>
                <c:pt idx="125">
                  <c:v>37692</c:v>
                </c:pt>
                <c:pt idx="126">
                  <c:v>37726</c:v>
                </c:pt>
                <c:pt idx="127">
                  <c:v>37727</c:v>
                </c:pt>
                <c:pt idx="128">
                  <c:v>37726</c:v>
                </c:pt>
                <c:pt idx="129">
                  <c:v>37761</c:v>
                </c:pt>
                <c:pt idx="130">
                  <c:v>37756</c:v>
                </c:pt>
                <c:pt idx="131">
                  <c:v>37761</c:v>
                </c:pt>
                <c:pt idx="132">
                  <c:v>37792</c:v>
                </c:pt>
                <c:pt idx="133">
                  <c:v>37790</c:v>
                </c:pt>
                <c:pt idx="134">
                  <c:v>37790</c:v>
                </c:pt>
                <c:pt idx="135">
                  <c:v>37819</c:v>
                </c:pt>
                <c:pt idx="136">
                  <c:v>37818</c:v>
                </c:pt>
                <c:pt idx="137">
                  <c:v>37819</c:v>
                </c:pt>
                <c:pt idx="138">
                  <c:v>37847</c:v>
                </c:pt>
                <c:pt idx="139">
                  <c:v>37846</c:v>
                </c:pt>
                <c:pt idx="140">
                  <c:v>37847</c:v>
                </c:pt>
                <c:pt idx="141">
                  <c:v>37888</c:v>
                </c:pt>
                <c:pt idx="142">
                  <c:v>37886</c:v>
                </c:pt>
                <c:pt idx="143">
                  <c:v>37886</c:v>
                </c:pt>
                <c:pt idx="144">
                  <c:v>37910</c:v>
                </c:pt>
                <c:pt idx="145">
                  <c:v>37910</c:v>
                </c:pt>
                <c:pt idx="146">
                  <c:v>37910</c:v>
                </c:pt>
                <c:pt idx="147">
                  <c:v>37943</c:v>
                </c:pt>
                <c:pt idx="148">
                  <c:v>37942</c:v>
                </c:pt>
                <c:pt idx="149">
                  <c:v>37942</c:v>
                </c:pt>
                <c:pt idx="150">
                  <c:v>37973</c:v>
                </c:pt>
                <c:pt idx="151">
                  <c:v>37971</c:v>
                </c:pt>
                <c:pt idx="152">
                  <c:v>37971</c:v>
                </c:pt>
                <c:pt idx="153">
                  <c:v>37999</c:v>
                </c:pt>
                <c:pt idx="156">
                  <c:v>38027</c:v>
                </c:pt>
                <c:pt idx="157">
                  <c:v>38026</c:v>
                </c:pt>
                <c:pt idx="158">
                  <c:v>38026</c:v>
                </c:pt>
                <c:pt idx="159">
                  <c:v>38063</c:v>
                </c:pt>
                <c:pt idx="160">
                  <c:v>38061</c:v>
                </c:pt>
                <c:pt idx="161">
                  <c:v>38063</c:v>
                </c:pt>
                <c:pt idx="162">
                  <c:v>38094</c:v>
                </c:pt>
                <c:pt idx="163">
                  <c:v>38093</c:v>
                </c:pt>
                <c:pt idx="164">
                  <c:v>38094</c:v>
                </c:pt>
                <c:pt idx="165">
                  <c:v>38118</c:v>
                </c:pt>
                <c:pt idx="166">
                  <c:v>38117</c:v>
                </c:pt>
                <c:pt idx="167">
                  <c:v>38118</c:v>
                </c:pt>
                <c:pt idx="168">
                  <c:v>38153</c:v>
                </c:pt>
                <c:pt idx="169">
                  <c:v>38160</c:v>
                </c:pt>
                <c:pt idx="170">
                  <c:v>38155</c:v>
                </c:pt>
                <c:pt idx="171">
                  <c:v>38181</c:v>
                </c:pt>
                <c:pt idx="172">
                  <c:v>38182</c:v>
                </c:pt>
                <c:pt idx="173">
                  <c:v>38182</c:v>
                </c:pt>
                <c:pt idx="174">
                  <c:v>38217</c:v>
                </c:pt>
                <c:pt idx="175">
                  <c:v>38218</c:v>
                </c:pt>
                <c:pt idx="176">
                  <c:v>38218</c:v>
                </c:pt>
                <c:pt idx="177">
                  <c:v>38244</c:v>
                </c:pt>
                <c:pt idx="178">
                  <c:v>38246</c:v>
                </c:pt>
                <c:pt idx="179">
                  <c:v>38246</c:v>
                </c:pt>
                <c:pt idx="180">
                  <c:v>38273</c:v>
                </c:pt>
                <c:pt idx="181">
                  <c:v>38274</c:v>
                </c:pt>
                <c:pt idx="182">
                  <c:v>38273</c:v>
                </c:pt>
                <c:pt idx="183">
                  <c:v>38307</c:v>
                </c:pt>
                <c:pt idx="184">
                  <c:v>38309</c:v>
                </c:pt>
                <c:pt idx="185">
                  <c:v>38307</c:v>
                </c:pt>
                <c:pt idx="186">
                  <c:v>38337</c:v>
                </c:pt>
                <c:pt idx="187">
                  <c:v>38337</c:v>
                </c:pt>
                <c:pt idx="188">
                  <c:v>38337</c:v>
                </c:pt>
                <c:pt idx="189">
                  <c:v>38363</c:v>
                </c:pt>
                <c:pt idx="190">
                  <c:v>38364</c:v>
                </c:pt>
                <c:pt idx="191">
                  <c:v>38363</c:v>
                </c:pt>
                <c:pt idx="192">
                  <c:v>38399</c:v>
                </c:pt>
                <c:pt idx="193">
                  <c:v>38398</c:v>
                </c:pt>
                <c:pt idx="194">
                  <c:v>38398</c:v>
                </c:pt>
                <c:pt idx="195">
                  <c:v>38428</c:v>
                </c:pt>
                <c:pt idx="196">
                  <c:v>38427</c:v>
                </c:pt>
                <c:pt idx="197">
                  <c:v>38427</c:v>
                </c:pt>
                <c:pt idx="198">
                  <c:v>38469</c:v>
                </c:pt>
                <c:pt idx="199">
                  <c:v>38470</c:v>
                </c:pt>
                <c:pt idx="200">
                  <c:v>38469</c:v>
                </c:pt>
                <c:pt idx="201">
                  <c:v>38490</c:v>
                </c:pt>
                <c:pt idx="202">
                  <c:v>38488</c:v>
                </c:pt>
                <c:pt idx="203">
                  <c:v>38488</c:v>
                </c:pt>
                <c:pt idx="204">
                  <c:v>38518</c:v>
                </c:pt>
                <c:pt idx="205">
                  <c:v>38525</c:v>
                </c:pt>
                <c:pt idx="206">
                  <c:v>38525</c:v>
                </c:pt>
                <c:pt idx="207">
                  <c:v>38547</c:v>
                </c:pt>
                <c:pt idx="208">
                  <c:v>38546</c:v>
                </c:pt>
                <c:pt idx="209">
                  <c:v>38546</c:v>
                </c:pt>
                <c:pt idx="210">
                  <c:v>38587</c:v>
                </c:pt>
                <c:pt idx="211">
                  <c:v>38587</c:v>
                </c:pt>
                <c:pt idx="212">
                  <c:v>38587</c:v>
                </c:pt>
                <c:pt idx="213">
                  <c:v>38608</c:v>
                </c:pt>
                <c:pt idx="214">
                  <c:v>38609</c:v>
                </c:pt>
                <c:pt idx="215">
                  <c:v>38609</c:v>
                </c:pt>
                <c:pt idx="216">
                  <c:v>38636</c:v>
                </c:pt>
                <c:pt idx="217">
                  <c:v>38642</c:v>
                </c:pt>
                <c:pt idx="218">
                  <c:v>38637</c:v>
                </c:pt>
                <c:pt idx="219">
                  <c:v>38671</c:v>
                </c:pt>
                <c:pt idx="220">
                  <c:v>38670</c:v>
                </c:pt>
                <c:pt idx="221">
                  <c:v>38670</c:v>
                </c:pt>
                <c:pt idx="222">
                  <c:v>38707</c:v>
                </c:pt>
                <c:pt idx="223">
                  <c:v>38706</c:v>
                </c:pt>
                <c:pt idx="224">
                  <c:v>38706</c:v>
                </c:pt>
                <c:pt idx="225">
                  <c:v>38734</c:v>
                </c:pt>
                <c:pt idx="226">
                  <c:v>38740</c:v>
                </c:pt>
                <c:pt idx="227">
                  <c:v>38737</c:v>
                </c:pt>
                <c:pt idx="228">
                  <c:v>38762</c:v>
                </c:pt>
                <c:pt idx="229">
                  <c:v>38763</c:v>
                </c:pt>
                <c:pt idx="230">
                  <c:v>38763</c:v>
                </c:pt>
                <c:pt idx="231">
                  <c:v>38789</c:v>
                </c:pt>
                <c:pt idx="232">
                  <c:v>38792</c:v>
                </c:pt>
                <c:pt idx="233">
                  <c:v>38792</c:v>
                </c:pt>
                <c:pt idx="234">
                  <c:v>38825</c:v>
                </c:pt>
                <c:pt idx="235">
                  <c:v>38826</c:v>
                </c:pt>
                <c:pt idx="236">
                  <c:v>38826</c:v>
                </c:pt>
                <c:pt idx="237">
                  <c:v>38852</c:v>
                </c:pt>
                <c:pt idx="238">
                  <c:v>38853</c:v>
                </c:pt>
                <c:pt idx="239">
                  <c:v>38853</c:v>
                </c:pt>
                <c:pt idx="240">
                  <c:v>38883</c:v>
                </c:pt>
                <c:pt idx="241">
                  <c:v>38884</c:v>
                </c:pt>
                <c:pt idx="242">
                  <c:v>38884</c:v>
                </c:pt>
                <c:pt idx="243">
                  <c:v>38916</c:v>
                </c:pt>
                <c:pt idx="244">
                  <c:v>38915</c:v>
                </c:pt>
                <c:pt idx="245">
                  <c:v>38915</c:v>
                </c:pt>
                <c:pt idx="246">
                  <c:v>38953</c:v>
                </c:pt>
                <c:pt idx="247">
                  <c:v>38952</c:v>
                </c:pt>
                <c:pt idx="248">
                  <c:v>38952</c:v>
                </c:pt>
                <c:pt idx="249">
                  <c:v>38972</c:v>
                </c:pt>
                <c:pt idx="250">
                  <c:v>38975</c:v>
                </c:pt>
                <c:pt idx="251">
                  <c:v>38975</c:v>
                </c:pt>
                <c:pt idx="252">
                  <c:v>39008</c:v>
                </c:pt>
                <c:pt idx="253">
                  <c:v>39006</c:v>
                </c:pt>
                <c:pt idx="254">
                  <c:v>39006</c:v>
                </c:pt>
                <c:pt idx="255">
                  <c:v>39035</c:v>
                </c:pt>
                <c:pt idx="256">
                  <c:v>39041</c:v>
                </c:pt>
                <c:pt idx="257">
                  <c:v>39041</c:v>
                </c:pt>
                <c:pt idx="258">
                  <c:v>39063</c:v>
                </c:pt>
                <c:pt idx="259">
                  <c:v>39062</c:v>
                </c:pt>
                <c:pt idx="260">
                  <c:v>39062</c:v>
                </c:pt>
                <c:pt idx="261">
                  <c:v>39100</c:v>
                </c:pt>
                <c:pt idx="262">
                  <c:v>39100</c:v>
                </c:pt>
                <c:pt idx="263">
                  <c:v>39100</c:v>
                </c:pt>
                <c:pt idx="264">
                  <c:v>39134</c:v>
                </c:pt>
                <c:pt idx="265">
                  <c:v>39135</c:v>
                </c:pt>
                <c:pt idx="266">
                  <c:v>39135</c:v>
                </c:pt>
                <c:pt idx="267">
                  <c:v>39154</c:v>
                </c:pt>
                <c:pt idx="268">
                  <c:v>39153</c:v>
                </c:pt>
                <c:pt idx="269">
                  <c:v>39153</c:v>
                </c:pt>
                <c:pt idx="270">
                  <c:v>39190</c:v>
                </c:pt>
                <c:pt idx="271">
                  <c:v>39191</c:v>
                </c:pt>
                <c:pt idx="272">
                  <c:v>39191</c:v>
                </c:pt>
                <c:pt idx="273">
                  <c:v>39217</c:v>
                </c:pt>
                <c:pt idx="274">
                  <c:v>39216</c:v>
                </c:pt>
                <c:pt idx="275">
                  <c:v>39216</c:v>
                </c:pt>
                <c:pt idx="276">
                  <c:v>39246</c:v>
                </c:pt>
                <c:pt idx="277">
                  <c:v>39248</c:v>
                </c:pt>
                <c:pt idx="278">
                  <c:v>39248</c:v>
                </c:pt>
                <c:pt idx="279">
                  <c:v>39280</c:v>
                </c:pt>
                <c:pt idx="280">
                  <c:v>39279</c:v>
                </c:pt>
                <c:pt idx="281">
                  <c:v>39279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39336</c:v>
                </c:pt>
                <c:pt idx="286">
                  <c:v>39335</c:v>
                </c:pt>
                <c:pt idx="287">
                  <c:v>39335</c:v>
                </c:pt>
                <c:pt idx="288">
                  <c:v>39370</c:v>
                </c:pt>
                <c:pt idx="289">
                  <c:v>39370</c:v>
                </c:pt>
                <c:pt idx="290">
                  <c:v>39370</c:v>
                </c:pt>
                <c:pt idx="291">
                  <c:v>39400</c:v>
                </c:pt>
                <c:pt idx="292">
                  <c:v>39400</c:v>
                </c:pt>
                <c:pt idx="293">
                  <c:v>39400</c:v>
                </c:pt>
                <c:pt idx="294">
                  <c:v>39427</c:v>
                </c:pt>
                <c:pt idx="295">
                  <c:v>39434</c:v>
                </c:pt>
                <c:pt idx="296">
                  <c:v>39434</c:v>
                </c:pt>
                <c:pt idx="297">
                  <c:v>39462</c:v>
                </c:pt>
                <c:pt idx="298">
                  <c:v>39463</c:v>
                </c:pt>
                <c:pt idx="299">
                  <c:v>39463</c:v>
                </c:pt>
                <c:pt idx="300">
                  <c:v>39490</c:v>
                </c:pt>
                <c:pt idx="301">
                  <c:v>39493</c:v>
                </c:pt>
                <c:pt idx="302">
                  <c:v>39493</c:v>
                </c:pt>
                <c:pt idx="303">
                  <c:v>39517</c:v>
                </c:pt>
                <c:pt idx="304">
                  <c:v>39517</c:v>
                </c:pt>
                <c:pt idx="305">
                  <c:v>39517</c:v>
                </c:pt>
                <c:pt idx="306">
                  <c:v>39553</c:v>
                </c:pt>
                <c:pt idx="307">
                  <c:v>39552</c:v>
                </c:pt>
                <c:pt idx="308">
                  <c:v>39552</c:v>
                </c:pt>
                <c:pt idx="309">
                  <c:v>39582</c:v>
                </c:pt>
                <c:pt idx="310">
                  <c:v>39583</c:v>
                </c:pt>
                <c:pt idx="311">
                  <c:v>39583</c:v>
                </c:pt>
                <c:pt idx="312">
                  <c:v>39616</c:v>
                </c:pt>
                <c:pt idx="313">
                  <c:v>39617</c:v>
                </c:pt>
                <c:pt idx="314">
                  <c:v>39617</c:v>
                </c:pt>
                <c:pt idx="315">
                  <c:v>39644</c:v>
                </c:pt>
                <c:pt idx="316">
                  <c:v>39645</c:v>
                </c:pt>
                <c:pt idx="317">
                  <c:v>39645</c:v>
                </c:pt>
                <c:pt idx="318">
                  <c:v>39672</c:v>
                </c:pt>
                <c:pt idx="319">
                  <c:v>39672</c:v>
                </c:pt>
                <c:pt idx="320">
                  <c:v>39672</c:v>
                </c:pt>
                <c:pt idx="321">
                  <c:v>39709</c:v>
                </c:pt>
                <c:pt idx="322">
                  <c:v>39709</c:v>
                </c:pt>
                <c:pt idx="323">
                  <c:v>39709</c:v>
                </c:pt>
                <c:pt idx="324">
                  <c:v>39737</c:v>
                </c:pt>
                <c:pt idx="325">
                  <c:v>39735</c:v>
                </c:pt>
                <c:pt idx="326">
                  <c:v>39735</c:v>
                </c:pt>
                <c:pt idx="327">
                  <c:v>39763</c:v>
                </c:pt>
                <c:pt idx="328">
                  <c:v>39769</c:v>
                </c:pt>
                <c:pt idx="329">
                  <c:v>39769</c:v>
                </c:pt>
                <c:pt idx="330">
                  <c:v>39797</c:v>
                </c:pt>
                <c:pt idx="331">
                  <c:v>39797</c:v>
                </c:pt>
                <c:pt idx="332">
                  <c:v>39797</c:v>
                </c:pt>
                <c:pt idx="333">
                  <c:v>39825</c:v>
                </c:pt>
                <c:pt idx="334">
                  <c:v>39826</c:v>
                </c:pt>
                <c:pt idx="335">
                  <c:v>39826</c:v>
                </c:pt>
                <c:pt idx="336">
                  <c:v>39854</c:v>
                </c:pt>
                <c:pt idx="337">
                  <c:v>39855</c:v>
                </c:pt>
                <c:pt idx="338">
                  <c:v>39855</c:v>
                </c:pt>
                <c:pt idx="339">
                  <c:v>39890</c:v>
                </c:pt>
                <c:pt idx="340">
                  <c:v>39888</c:v>
                </c:pt>
                <c:pt idx="341">
                  <c:v>39888</c:v>
                </c:pt>
                <c:pt idx="342">
                  <c:v>39920</c:v>
                </c:pt>
                <c:pt idx="343">
                  <c:v>39916</c:v>
                </c:pt>
                <c:pt idx="344">
                  <c:v>39916</c:v>
                </c:pt>
                <c:pt idx="345">
                  <c:v>39945</c:v>
                </c:pt>
                <c:pt idx="346">
                  <c:v>39946</c:v>
                </c:pt>
                <c:pt idx="347">
                  <c:v>39946</c:v>
                </c:pt>
                <c:pt idx="348">
                  <c:v>39980</c:v>
                </c:pt>
                <c:pt idx="349">
                  <c:v>39983</c:v>
                </c:pt>
                <c:pt idx="350">
                  <c:v>39983</c:v>
                </c:pt>
                <c:pt idx="351">
                  <c:v>40007</c:v>
                </c:pt>
                <c:pt idx="352">
                  <c:v>40007</c:v>
                </c:pt>
                <c:pt idx="353">
                  <c:v>40007</c:v>
                </c:pt>
                <c:pt idx="354">
                  <c:v>40043</c:v>
                </c:pt>
                <c:pt idx="355">
                  <c:v>40042</c:v>
                </c:pt>
                <c:pt idx="356">
                  <c:v>40042</c:v>
                </c:pt>
                <c:pt idx="357">
                  <c:v>40070</c:v>
                </c:pt>
                <c:pt idx="358">
                  <c:v>40071</c:v>
                </c:pt>
                <c:pt idx="359">
                  <c:v>40071</c:v>
                </c:pt>
                <c:pt idx="360">
                  <c:v>40099</c:v>
                </c:pt>
                <c:pt idx="361">
                  <c:v>40100</c:v>
                </c:pt>
                <c:pt idx="362">
                  <c:v>40100</c:v>
                </c:pt>
                <c:pt idx="363">
                  <c:v>40133</c:v>
                </c:pt>
                <c:pt idx="364">
                  <c:v>40133</c:v>
                </c:pt>
                <c:pt idx="365">
                  <c:v>40133</c:v>
                </c:pt>
                <c:pt idx="366">
                  <c:v>40161</c:v>
                </c:pt>
                <c:pt idx="367">
                  <c:v>40161</c:v>
                </c:pt>
                <c:pt idx="368">
                  <c:v>40161</c:v>
                </c:pt>
                <c:pt idx="369">
                  <c:v>40197</c:v>
                </c:pt>
                <c:pt idx="370">
                  <c:v>40197</c:v>
                </c:pt>
                <c:pt idx="371">
                  <c:v>40197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40254</c:v>
                </c:pt>
                <c:pt idx="376">
                  <c:v>40255</c:v>
                </c:pt>
                <c:pt idx="377">
                  <c:v>40255</c:v>
                </c:pt>
                <c:pt idx="378">
                  <c:v>40280</c:v>
                </c:pt>
                <c:pt idx="379">
                  <c:v>40281</c:v>
                </c:pt>
                <c:pt idx="380">
                  <c:v>40281</c:v>
                </c:pt>
                <c:pt idx="381">
                  <c:v>40315</c:v>
                </c:pt>
                <c:pt idx="382">
                  <c:v>40317</c:v>
                </c:pt>
                <c:pt idx="383">
                  <c:v>40317</c:v>
                </c:pt>
                <c:pt idx="384">
                  <c:v>40344</c:v>
                </c:pt>
                <c:pt idx="385">
                  <c:v>40345</c:v>
                </c:pt>
                <c:pt idx="386">
                  <c:v>40345</c:v>
                </c:pt>
                <c:pt idx="387">
                  <c:v>40374</c:v>
                </c:pt>
                <c:pt idx="388">
                  <c:v>40374</c:v>
                </c:pt>
                <c:pt idx="389">
                  <c:v>40374</c:v>
                </c:pt>
                <c:pt idx="390">
                  <c:v>40407</c:v>
                </c:pt>
                <c:pt idx="391">
                  <c:v>40409</c:v>
                </c:pt>
                <c:pt idx="392">
                  <c:v>40409</c:v>
                </c:pt>
                <c:pt idx="393">
                  <c:v>40409</c:v>
                </c:pt>
                <c:pt idx="394">
                  <c:v>40436</c:v>
                </c:pt>
                <c:pt idx="395">
                  <c:v>40434</c:v>
                </c:pt>
                <c:pt idx="396">
                  <c:v>40434</c:v>
                </c:pt>
                <c:pt idx="397">
                  <c:v>40464</c:v>
                </c:pt>
                <c:pt idx="398">
                  <c:v>40463</c:v>
                </c:pt>
                <c:pt idx="399">
                  <c:v>40463</c:v>
                </c:pt>
                <c:pt idx="400">
                  <c:v>40498</c:v>
                </c:pt>
                <c:pt idx="401">
                  <c:v>40500</c:v>
                </c:pt>
                <c:pt idx="402">
                  <c:v>40500</c:v>
                </c:pt>
                <c:pt idx="403">
                  <c:v>40520</c:v>
                </c:pt>
                <c:pt idx="404">
                  <c:v>40521</c:v>
                </c:pt>
                <c:pt idx="405">
                  <c:v>40521</c:v>
                </c:pt>
                <c:pt idx="406">
                  <c:v>40562</c:v>
                </c:pt>
                <c:pt idx="407">
                  <c:v>40563</c:v>
                </c:pt>
                <c:pt idx="408">
                  <c:v>40563</c:v>
                </c:pt>
                <c:pt idx="409">
                  <c:v>40591</c:v>
                </c:pt>
                <c:pt idx="410">
                  <c:v>40598</c:v>
                </c:pt>
                <c:pt idx="411">
                  <c:v>40598</c:v>
                </c:pt>
                <c:pt idx="412">
                  <c:v>40619</c:v>
                </c:pt>
                <c:pt idx="413">
                  <c:v>40617</c:v>
                </c:pt>
                <c:pt idx="414">
                  <c:v>40617</c:v>
                </c:pt>
                <c:pt idx="415">
                  <c:v>40617</c:v>
                </c:pt>
                <c:pt idx="416">
                  <c:v>40646</c:v>
                </c:pt>
                <c:pt idx="417">
                  <c:v>40647</c:v>
                </c:pt>
                <c:pt idx="418">
                  <c:v>40647</c:v>
                </c:pt>
                <c:pt idx="419">
                  <c:v>40681</c:v>
                </c:pt>
                <c:pt idx="420">
                  <c:v>40681</c:v>
                </c:pt>
                <c:pt idx="421">
                  <c:v>40682</c:v>
                </c:pt>
                <c:pt idx="422">
                  <c:v>40682</c:v>
                </c:pt>
                <c:pt idx="423">
                  <c:v>40709</c:v>
                </c:pt>
                <c:pt idx="424">
                  <c:v>40709</c:v>
                </c:pt>
                <c:pt idx="425">
                  <c:v>40709</c:v>
                </c:pt>
                <c:pt idx="426">
                  <c:v>40709</c:v>
                </c:pt>
                <c:pt idx="427">
                  <c:v>40735</c:v>
                </c:pt>
                <c:pt idx="428">
                  <c:v>40736</c:v>
                </c:pt>
                <c:pt idx="429">
                  <c:v>40736</c:v>
                </c:pt>
                <c:pt idx="430">
                  <c:v>40736</c:v>
                </c:pt>
                <c:pt idx="431">
                  <c:v>40771</c:v>
                </c:pt>
                <c:pt idx="432">
                  <c:v>40772</c:v>
                </c:pt>
                <c:pt idx="433">
                  <c:v>40772</c:v>
                </c:pt>
                <c:pt idx="434">
                  <c:v>40799</c:v>
                </c:pt>
                <c:pt idx="435">
                  <c:v>40798</c:v>
                </c:pt>
                <c:pt idx="436">
                  <c:v>40798</c:v>
                </c:pt>
                <c:pt idx="437">
                  <c:v>40798</c:v>
                </c:pt>
                <c:pt idx="438">
                  <c:v>40827</c:v>
                </c:pt>
                <c:pt idx="439">
                  <c:v>40827</c:v>
                </c:pt>
                <c:pt idx="440">
                  <c:v>40829</c:v>
                </c:pt>
                <c:pt idx="441">
                  <c:v>40829</c:v>
                </c:pt>
                <c:pt idx="442">
                  <c:v>40862</c:v>
                </c:pt>
                <c:pt idx="443">
                  <c:v>40865</c:v>
                </c:pt>
                <c:pt idx="444">
                  <c:v>40865</c:v>
                </c:pt>
                <c:pt idx="445">
                  <c:v>40891</c:v>
                </c:pt>
                <c:pt idx="446">
                  <c:v>40891</c:v>
                </c:pt>
                <c:pt idx="447">
                  <c:v>40891</c:v>
                </c:pt>
                <c:pt idx="448">
                  <c:v>40919</c:v>
                </c:pt>
                <c:pt idx="449">
                  <c:v>40919</c:v>
                </c:pt>
                <c:pt idx="450">
                  <c:v>40919</c:v>
                </c:pt>
                <c:pt idx="451">
                  <c:v>40962</c:v>
                </c:pt>
                <c:pt idx="452">
                  <c:v>40960</c:v>
                </c:pt>
                <c:pt idx="453">
                  <c:v>40960</c:v>
                </c:pt>
                <c:pt idx="454">
                  <c:v>40980</c:v>
                </c:pt>
                <c:pt idx="455">
                  <c:v>40982</c:v>
                </c:pt>
                <c:pt idx="456">
                  <c:v>40982</c:v>
                </c:pt>
                <c:pt idx="457">
                  <c:v>41015</c:v>
                </c:pt>
                <c:pt idx="458">
                  <c:v>41016</c:v>
                </c:pt>
                <c:pt idx="459">
                  <c:v>41016</c:v>
                </c:pt>
                <c:pt idx="460">
                  <c:v>41016</c:v>
                </c:pt>
                <c:pt idx="461">
                  <c:v>41045</c:v>
                </c:pt>
                <c:pt idx="462">
                  <c:v>41051</c:v>
                </c:pt>
                <c:pt idx="463">
                  <c:v>41051</c:v>
                </c:pt>
                <c:pt idx="464">
                  <c:v>41051</c:v>
                </c:pt>
                <c:pt idx="465">
                  <c:v>41073</c:v>
                </c:pt>
                <c:pt idx="466">
                  <c:v>41080</c:v>
                </c:pt>
                <c:pt idx="467">
                  <c:v>41080</c:v>
                </c:pt>
                <c:pt idx="468">
                  <c:v>41107</c:v>
                </c:pt>
                <c:pt idx="469">
                  <c:v>41106</c:v>
                </c:pt>
                <c:pt idx="470">
                  <c:v>41106</c:v>
                </c:pt>
                <c:pt idx="471">
                  <c:v>41135</c:v>
                </c:pt>
                <c:pt idx="472">
                  <c:v>41137</c:v>
                </c:pt>
                <c:pt idx="473">
                  <c:v>41137</c:v>
                </c:pt>
                <c:pt idx="474">
                  <c:v>41164</c:v>
                </c:pt>
                <c:pt idx="475">
                  <c:v>41163</c:v>
                </c:pt>
                <c:pt idx="476">
                  <c:v>41163</c:v>
                </c:pt>
                <c:pt idx="477">
                  <c:v>41199</c:v>
                </c:pt>
                <c:pt idx="478">
                  <c:v>41199</c:v>
                </c:pt>
                <c:pt idx="479">
                  <c:v>41199</c:v>
                </c:pt>
                <c:pt idx="480">
                  <c:v>41225</c:v>
                </c:pt>
                <c:pt idx="481">
                  <c:v>41225</c:v>
                </c:pt>
                <c:pt idx="482">
                  <c:v>41225</c:v>
                </c:pt>
                <c:pt idx="483">
                  <c:v>41254</c:v>
                </c:pt>
                <c:pt idx="484">
                  <c:v>41255</c:v>
                </c:pt>
                <c:pt idx="485">
                  <c:v>41255</c:v>
                </c:pt>
                <c:pt idx="486">
                  <c:v>41288</c:v>
                </c:pt>
                <c:pt idx="487">
                  <c:v>41297</c:v>
                </c:pt>
                <c:pt idx="488">
                  <c:v>41297</c:v>
                </c:pt>
                <c:pt idx="489">
                  <c:v>41318</c:v>
                </c:pt>
                <c:pt idx="490">
                  <c:v>41319</c:v>
                </c:pt>
                <c:pt idx="491">
                  <c:v>41319</c:v>
                </c:pt>
                <c:pt idx="492">
                  <c:v>41344</c:v>
                </c:pt>
                <c:pt idx="493">
                  <c:v>41346</c:v>
                </c:pt>
                <c:pt idx="494">
                  <c:v>41346</c:v>
                </c:pt>
                <c:pt idx="495">
                  <c:v>41346</c:v>
                </c:pt>
                <c:pt idx="496">
                  <c:v>41379</c:v>
                </c:pt>
                <c:pt idx="497">
                  <c:v>41380</c:v>
                </c:pt>
                <c:pt idx="498">
                  <c:v>41380</c:v>
                </c:pt>
                <c:pt idx="499">
                  <c:v>41408</c:v>
                </c:pt>
                <c:pt idx="500">
                  <c:v>41408</c:v>
                </c:pt>
                <c:pt idx="501">
                  <c:v>41407</c:v>
                </c:pt>
                <c:pt idx="502">
                  <c:v>41407</c:v>
                </c:pt>
                <c:pt idx="503">
                  <c:v>41436</c:v>
                </c:pt>
                <c:pt idx="504">
                  <c:v>41437</c:v>
                </c:pt>
                <c:pt idx="505">
                  <c:v>41437</c:v>
                </c:pt>
                <c:pt idx="506">
                  <c:v>41470</c:v>
                </c:pt>
                <c:pt idx="507">
                  <c:v>41470</c:v>
                </c:pt>
                <c:pt idx="508">
                  <c:v>41470</c:v>
                </c:pt>
                <c:pt idx="509">
                  <c:v>41498</c:v>
                </c:pt>
                <c:pt idx="510">
                  <c:v>41498</c:v>
                </c:pt>
                <c:pt idx="511">
                  <c:v>41498</c:v>
                </c:pt>
                <c:pt idx="512">
                  <c:v>41535</c:v>
                </c:pt>
                <c:pt idx="513">
                  <c:v>41535</c:v>
                </c:pt>
                <c:pt idx="514">
                  <c:v>41535</c:v>
                </c:pt>
                <c:pt idx="515">
                  <c:v>41569</c:v>
                </c:pt>
                <c:pt idx="516">
                  <c:v>406810</c:v>
                </c:pt>
                <c:pt idx="517">
                  <c:v>406810</c:v>
                </c:pt>
                <c:pt idx="518">
                  <c:v>41599</c:v>
                </c:pt>
                <c:pt idx="519">
                  <c:v>41599</c:v>
                </c:pt>
                <c:pt idx="520">
                  <c:v>41599</c:v>
                </c:pt>
                <c:pt idx="521">
                  <c:v>41624</c:v>
                </c:pt>
                <c:pt idx="522">
                  <c:v>41627</c:v>
                </c:pt>
                <c:pt idx="523">
                  <c:v>41627</c:v>
                </c:pt>
                <c:pt idx="524">
                  <c:v>41654</c:v>
                </c:pt>
                <c:pt idx="525">
                  <c:v>41655</c:v>
                </c:pt>
                <c:pt idx="526">
                  <c:v>41655</c:v>
                </c:pt>
                <c:pt idx="527">
                  <c:v>41688</c:v>
                </c:pt>
                <c:pt idx="528">
                  <c:v>41690</c:v>
                </c:pt>
                <c:pt idx="529">
                  <c:v>41690</c:v>
                </c:pt>
                <c:pt idx="530">
                  <c:v>41719</c:v>
                </c:pt>
                <c:pt idx="531">
                  <c:v>41718</c:v>
                </c:pt>
                <c:pt idx="532">
                  <c:v>41718</c:v>
                </c:pt>
                <c:pt idx="533">
                  <c:v>41747</c:v>
                </c:pt>
                <c:pt idx="534">
                  <c:v>41750</c:v>
                </c:pt>
                <c:pt idx="535">
                  <c:v>41750</c:v>
                </c:pt>
                <c:pt idx="536">
                  <c:v>41772</c:v>
                </c:pt>
                <c:pt idx="537">
                  <c:v>41406</c:v>
                </c:pt>
                <c:pt idx="538">
                  <c:v>41406</c:v>
                </c:pt>
                <c:pt idx="539">
                  <c:v>41808</c:v>
                </c:pt>
                <c:pt idx="540">
                  <c:v>41807</c:v>
                </c:pt>
                <c:pt idx="541">
                  <c:v>41807</c:v>
                </c:pt>
                <c:pt idx="542">
                  <c:v>41834</c:v>
                </c:pt>
                <c:pt idx="543">
                  <c:v>41837</c:v>
                </c:pt>
                <c:pt idx="544">
                  <c:v>41837</c:v>
                </c:pt>
                <c:pt idx="545">
                  <c:v>41862</c:v>
                </c:pt>
                <c:pt idx="546">
                  <c:v>41862</c:v>
                </c:pt>
                <c:pt idx="547">
                  <c:v>41862</c:v>
                </c:pt>
                <c:pt idx="548">
                  <c:v>41898</c:v>
                </c:pt>
                <c:pt idx="549">
                  <c:v>41897</c:v>
                </c:pt>
                <c:pt idx="550">
                  <c:v>41897</c:v>
                </c:pt>
                <c:pt idx="551">
                  <c:v>41929</c:v>
                </c:pt>
                <c:pt idx="552">
                  <c:v>41928</c:v>
                </c:pt>
                <c:pt idx="553">
                  <c:v>41928</c:v>
                </c:pt>
                <c:pt idx="554">
                  <c:v>41953</c:v>
                </c:pt>
                <c:pt idx="555">
                  <c:v>41955</c:v>
                </c:pt>
                <c:pt idx="556">
                  <c:v>41955</c:v>
                </c:pt>
                <c:pt idx="557">
                  <c:v>41988</c:v>
                </c:pt>
                <c:pt idx="558">
                  <c:v>41992</c:v>
                </c:pt>
                <c:pt idx="559">
                  <c:v>41992</c:v>
                </c:pt>
                <c:pt idx="560">
                  <c:v>42014</c:v>
                </c:pt>
                <c:pt idx="561">
                  <c:v>42009</c:v>
                </c:pt>
                <c:pt idx="562">
                  <c:v>42009</c:v>
                </c:pt>
                <c:pt idx="563">
                  <c:v>42036</c:v>
                </c:pt>
                <c:pt idx="564">
                  <c:v>42036</c:v>
                </c:pt>
                <c:pt idx="565">
                  <c:v>42036</c:v>
                </c:pt>
                <c:pt idx="566">
                  <c:v>42064</c:v>
                </c:pt>
                <c:pt idx="567">
                  <c:v>42064</c:v>
                </c:pt>
                <c:pt idx="568">
                  <c:v>42064</c:v>
                </c:pt>
                <c:pt idx="569">
                  <c:v>42095</c:v>
                </c:pt>
                <c:pt idx="570">
                  <c:v>42095</c:v>
                </c:pt>
                <c:pt idx="571">
                  <c:v>42095</c:v>
                </c:pt>
                <c:pt idx="572">
                  <c:v>42125</c:v>
                </c:pt>
                <c:pt idx="573">
                  <c:v>42125</c:v>
                </c:pt>
                <c:pt idx="574">
                  <c:v>42125</c:v>
                </c:pt>
                <c:pt idx="575">
                  <c:v>42156</c:v>
                </c:pt>
                <c:pt idx="576">
                  <c:v>42156</c:v>
                </c:pt>
                <c:pt idx="577">
                  <c:v>42156</c:v>
                </c:pt>
                <c:pt idx="578">
                  <c:v>42186</c:v>
                </c:pt>
                <c:pt idx="579">
                  <c:v>42186</c:v>
                </c:pt>
                <c:pt idx="580">
                  <c:v>42186</c:v>
                </c:pt>
                <c:pt idx="581">
                  <c:v>42217</c:v>
                </c:pt>
                <c:pt idx="582">
                  <c:v>42217</c:v>
                </c:pt>
                <c:pt idx="583">
                  <c:v>42217</c:v>
                </c:pt>
                <c:pt idx="584">
                  <c:v>42248</c:v>
                </c:pt>
                <c:pt idx="585">
                  <c:v>42248</c:v>
                </c:pt>
                <c:pt idx="586">
                  <c:v>42248</c:v>
                </c:pt>
                <c:pt idx="587">
                  <c:v>42278</c:v>
                </c:pt>
                <c:pt idx="588">
                  <c:v>42278</c:v>
                </c:pt>
                <c:pt idx="589">
                  <c:v>42278</c:v>
                </c:pt>
                <c:pt idx="590">
                  <c:v>42309</c:v>
                </c:pt>
                <c:pt idx="591">
                  <c:v>42309</c:v>
                </c:pt>
                <c:pt idx="592">
                  <c:v>42309</c:v>
                </c:pt>
                <c:pt idx="593">
                  <c:v>42339</c:v>
                </c:pt>
                <c:pt idx="594">
                  <c:v>42339</c:v>
                </c:pt>
                <c:pt idx="595">
                  <c:v>42339</c:v>
                </c:pt>
                <c:pt idx="596">
                  <c:v>42379</c:v>
                </c:pt>
                <c:pt idx="597">
                  <c:v>42374</c:v>
                </c:pt>
                <c:pt idx="598">
                  <c:v>42374</c:v>
                </c:pt>
                <c:pt idx="599">
                  <c:v>42401</c:v>
                </c:pt>
                <c:pt idx="600">
                  <c:v>42401</c:v>
                </c:pt>
                <c:pt idx="601">
                  <c:v>42401</c:v>
                </c:pt>
                <c:pt idx="602">
                  <c:v>42430</c:v>
                </c:pt>
                <c:pt idx="603">
                  <c:v>42430</c:v>
                </c:pt>
                <c:pt idx="604">
                  <c:v>42430</c:v>
                </c:pt>
                <c:pt idx="605">
                  <c:v>42461</c:v>
                </c:pt>
                <c:pt idx="606">
                  <c:v>42461</c:v>
                </c:pt>
                <c:pt idx="607">
                  <c:v>42461</c:v>
                </c:pt>
                <c:pt idx="608">
                  <c:v>42491</c:v>
                </c:pt>
                <c:pt idx="609">
                  <c:v>42491</c:v>
                </c:pt>
                <c:pt idx="610">
                  <c:v>42491</c:v>
                </c:pt>
                <c:pt idx="611">
                  <c:v>42522</c:v>
                </c:pt>
                <c:pt idx="612">
                  <c:v>42522</c:v>
                </c:pt>
                <c:pt idx="613">
                  <c:v>42522</c:v>
                </c:pt>
                <c:pt idx="614">
                  <c:v>42552</c:v>
                </c:pt>
                <c:pt idx="615">
                  <c:v>42552</c:v>
                </c:pt>
                <c:pt idx="616">
                  <c:v>42552</c:v>
                </c:pt>
                <c:pt idx="617">
                  <c:v>42583</c:v>
                </c:pt>
                <c:pt idx="618">
                  <c:v>42583</c:v>
                </c:pt>
                <c:pt idx="619">
                  <c:v>42583</c:v>
                </c:pt>
                <c:pt idx="620">
                  <c:v>42614</c:v>
                </c:pt>
                <c:pt idx="621">
                  <c:v>42614</c:v>
                </c:pt>
                <c:pt idx="622">
                  <c:v>42614</c:v>
                </c:pt>
                <c:pt idx="623">
                  <c:v>42644</c:v>
                </c:pt>
                <c:pt idx="624">
                  <c:v>42644</c:v>
                </c:pt>
                <c:pt idx="625">
                  <c:v>42644</c:v>
                </c:pt>
                <c:pt idx="626">
                  <c:v>42675</c:v>
                </c:pt>
                <c:pt idx="627">
                  <c:v>42675</c:v>
                </c:pt>
                <c:pt idx="628">
                  <c:v>42675</c:v>
                </c:pt>
                <c:pt idx="629">
                  <c:v>42705</c:v>
                </c:pt>
                <c:pt idx="630">
                  <c:v>42705</c:v>
                </c:pt>
                <c:pt idx="631">
                  <c:v>42705</c:v>
                </c:pt>
                <c:pt idx="632">
                  <c:v>42745</c:v>
                </c:pt>
                <c:pt idx="633">
                  <c:v>42740</c:v>
                </c:pt>
                <c:pt idx="634">
                  <c:v>42740</c:v>
                </c:pt>
                <c:pt idx="635">
                  <c:v>42767</c:v>
                </c:pt>
                <c:pt idx="636">
                  <c:v>42767</c:v>
                </c:pt>
                <c:pt idx="637">
                  <c:v>42767</c:v>
                </c:pt>
                <c:pt idx="638">
                  <c:v>42795</c:v>
                </c:pt>
                <c:pt idx="639">
                  <c:v>42795</c:v>
                </c:pt>
                <c:pt idx="640">
                  <c:v>42795</c:v>
                </c:pt>
                <c:pt idx="641">
                  <c:v>42826</c:v>
                </c:pt>
                <c:pt idx="642">
                  <c:v>42826</c:v>
                </c:pt>
                <c:pt idx="643">
                  <c:v>42826</c:v>
                </c:pt>
                <c:pt idx="644">
                  <c:v>42856</c:v>
                </c:pt>
                <c:pt idx="645">
                  <c:v>42856</c:v>
                </c:pt>
                <c:pt idx="646">
                  <c:v>42856</c:v>
                </c:pt>
                <c:pt idx="647">
                  <c:v>42887</c:v>
                </c:pt>
                <c:pt idx="648">
                  <c:v>42887</c:v>
                </c:pt>
                <c:pt idx="649">
                  <c:v>42887</c:v>
                </c:pt>
                <c:pt idx="650">
                  <c:v>42917</c:v>
                </c:pt>
                <c:pt idx="651">
                  <c:v>42917</c:v>
                </c:pt>
                <c:pt idx="652">
                  <c:v>42917</c:v>
                </c:pt>
                <c:pt idx="653">
                  <c:v>42948</c:v>
                </c:pt>
                <c:pt idx="654">
                  <c:v>42948</c:v>
                </c:pt>
                <c:pt idx="655">
                  <c:v>42948</c:v>
                </c:pt>
                <c:pt idx="656">
                  <c:v>42979</c:v>
                </c:pt>
                <c:pt idx="657">
                  <c:v>42979</c:v>
                </c:pt>
                <c:pt idx="658">
                  <c:v>42979</c:v>
                </c:pt>
                <c:pt idx="659">
                  <c:v>43009</c:v>
                </c:pt>
                <c:pt idx="660">
                  <c:v>43009</c:v>
                </c:pt>
                <c:pt idx="661">
                  <c:v>43009</c:v>
                </c:pt>
                <c:pt idx="662">
                  <c:v>43040</c:v>
                </c:pt>
                <c:pt idx="663">
                  <c:v>43040</c:v>
                </c:pt>
                <c:pt idx="664">
                  <c:v>43040</c:v>
                </c:pt>
                <c:pt idx="665">
                  <c:v>43070</c:v>
                </c:pt>
                <c:pt idx="666">
                  <c:v>43070</c:v>
                </c:pt>
                <c:pt idx="667">
                  <c:v>43070</c:v>
                </c:pt>
                <c:pt idx="668">
                  <c:v>43110</c:v>
                </c:pt>
                <c:pt idx="669">
                  <c:v>43105</c:v>
                </c:pt>
                <c:pt idx="670">
                  <c:v>43105</c:v>
                </c:pt>
                <c:pt idx="671">
                  <c:v>43132</c:v>
                </c:pt>
                <c:pt idx="672">
                  <c:v>43132</c:v>
                </c:pt>
                <c:pt idx="673">
                  <c:v>43132</c:v>
                </c:pt>
                <c:pt idx="674">
                  <c:v>43160</c:v>
                </c:pt>
                <c:pt idx="675">
                  <c:v>43160</c:v>
                </c:pt>
                <c:pt idx="676">
                  <c:v>43160</c:v>
                </c:pt>
                <c:pt idx="677">
                  <c:v>43191</c:v>
                </c:pt>
                <c:pt idx="678">
                  <c:v>43191</c:v>
                </c:pt>
                <c:pt idx="679">
                  <c:v>43191</c:v>
                </c:pt>
                <c:pt idx="680">
                  <c:v>43221</c:v>
                </c:pt>
                <c:pt idx="681">
                  <c:v>43221</c:v>
                </c:pt>
                <c:pt idx="682">
                  <c:v>43221</c:v>
                </c:pt>
                <c:pt idx="683">
                  <c:v>43252</c:v>
                </c:pt>
                <c:pt idx="684">
                  <c:v>43252</c:v>
                </c:pt>
                <c:pt idx="685">
                  <c:v>43252</c:v>
                </c:pt>
                <c:pt idx="686">
                  <c:v>43282</c:v>
                </c:pt>
                <c:pt idx="687">
                  <c:v>43282</c:v>
                </c:pt>
                <c:pt idx="688">
                  <c:v>43282</c:v>
                </c:pt>
                <c:pt idx="689">
                  <c:v>43313</c:v>
                </c:pt>
                <c:pt idx="690">
                  <c:v>43313</c:v>
                </c:pt>
                <c:pt idx="691">
                  <c:v>43313</c:v>
                </c:pt>
                <c:pt idx="692">
                  <c:v>43344</c:v>
                </c:pt>
                <c:pt idx="693">
                  <c:v>43344</c:v>
                </c:pt>
                <c:pt idx="694">
                  <c:v>43344</c:v>
                </c:pt>
                <c:pt idx="695">
                  <c:v>43374</c:v>
                </c:pt>
                <c:pt idx="696">
                  <c:v>43374</c:v>
                </c:pt>
                <c:pt idx="697">
                  <c:v>43374</c:v>
                </c:pt>
                <c:pt idx="698">
                  <c:v>43405</c:v>
                </c:pt>
                <c:pt idx="699">
                  <c:v>43405</c:v>
                </c:pt>
                <c:pt idx="700">
                  <c:v>43405</c:v>
                </c:pt>
                <c:pt idx="701">
                  <c:v>43435</c:v>
                </c:pt>
                <c:pt idx="702">
                  <c:v>43435</c:v>
                </c:pt>
                <c:pt idx="703">
                  <c:v>43435</c:v>
                </c:pt>
                <c:pt idx="704">
                  <c:v>43475</c:v>
                </c:pt>
                <c:pt idx="705">
                  <c:v>43470</c:v>
                </c:pt>
                <c:pt idx="706">
                  <c:v>43470</c:v>
                </c:pt>
                <c:pt idx="707">
                  <c:v>43497</c:v>
                </c:pt>
                <c:pt idx="708">
                  <c:v>43497</c:v>
                </c:pt>
                <c:pt idx="709">
                  <c:v>43497</c:v>
                </c:pt>
                <c:pt idx="710">
                  <c:v>43525</c:v>
                </c:pt>
                <c:pt idx="711">
                  <c:v>43525</c:v>
                </c:pt>
                <c:pt idx="712">
                  <c:v>43525</c:v>
                </c:pt>
                <c:pt idx="713">
                  <c:v>43556</c:v>
                </c:pt>
                <c:pt idx="714">
                  <c:v>43556</c:v>
                </c:pt>
                <c:pt idx="715">
                  <c:v>43556</c:v>
                </c:pt>
                <c:pt idx="716">
                  <c:v>43586</c:v>
                </c:pt>
                <c:pt idx="717">
                  <c:v>43586</c:v>
                </c:pt>
                <c:pt idx="718">
                  <c:v>43586</c:v>
                </c:pt>
                <c:pt idx="719">
                  <c:v>43617</c:v>
                </c:pt>
                <c:pt idx="720">
                  <c:v>43617</c:v>
                </c:pt>
                <c:pt idx="721">
                  <c:v>43617</c:v>
                </c:pt>
                <c:pt idx="722">
                  <c:v>43647</c:v>
                </c:pt>
                <c:pt idx="723">
                  <c:v>43647</c:v>
                </c:pt>
                <c:pt idx="724">
                  <c:v>43647</c:v>
                </c:pt>
                <c:pt idx="725">
                  <c:v>43678</c:v>
                </c:pt>
                <c:pt idx="726">
                  <c:v>43678</c:v>
                </c:pt>
                <c:pt idx="727">
                  <c:v>43678</c:v>
                </c:pt>
                <c:pt idx="728">
                  <c:v>43709</c:v>
                </c:pt>
                <c:pt idx="729">
                  <c:v>43709</c:v>
                </c:pt>
                <c:pt idx="730">
                  <c:v>43709</c:v>
                </c:pt>
                <c:pt idx="731">
                  <c:v>43739</c:v>
                </c:pt>
                <c:pt idx="732">
                  <c:v>43739</c:v>
                </c:pt>
                <c:pt idx="733">
                  <c:v>43739</c:v>
                </c:pt>
                <c:pt idx="734">
                  <c:v>43770</c:v>
                </c:pt>
                <c:pt idx="735">
                  <c:v>43770</c:v>
                </c:pt>
                <c:pt idx="736">
                  <c:v>43770</c:v>
                </c:pt>
                <c:pt idx="737">
                  <c:v>43800</c:v>
                </c:pt>
                <c:pt idx="738">
                  <c:v>43800</c:v>
                </c:pt>
                <c:pt idx="739">
                  <c:v>43800</c:v>
                </c:pt>
              </c:numCache>
            </c:numRef>
          </c:xVal>
          <c:yVal>
            <c:numRef>
              <c:f>'But Fuco update'!$L$3:$L$742</c:f>
              <c:numCache>
                <c:formatCode>General</c:formatCode>
                <c:ptCount val="740"/>
                <c:pt idx="2">
                  <c:v>2.4142996026416622E-3</c:v>
                </c:pt>
                <c:pt idx="5">
                  <c:v>6.8626219882678237E-3</c:v>
                </c:pt>
                <c:pt idx="8">
                  <c:v>6.6492080043950713E-3</c:v>
                </c:pt>
                <c:pt idx="11">
                  <c:v>7.5653281315937156E-3</c:v>
                </c:pt>
                <c:pt idx="14">
                  <c:v>0</c:v>
                </c:pt>
                <c:pt idx="17">
                  <c:v>6.9633928787433842E-3</c:v>
                </c:pt>
                <c:pt idx="20">
                  <c:v>0</c:v>
                </c:pt>
                <c:pt idx="23">
                  <c:v>0.19058452000066026</c:v>
                </c:pt>
                <c:pt idx="26">
                  <c:v>0.1409313926401784</c:v>
                </c:pt>
                <c:pt idx="29">
                  <c:v>8.5345014287070142E-3</c:v>
                </c:pt>
                <c:pt idx="32">
                  <c:v>9.3179364346777536E-4</c:v>
                </c:pt>
                <c:pt idx="35">
                  <c:v>2.3785786374956727E-3</c:v>
                </c:pt>
                <c:pt idx="38">
                  <c:v>0</c:v>
                </c:pt>
                <c:pt idx="41">
                  <c:v>0</c:v>
                </c:pt>
                <c:pt idx="44">
                  <c:v>0</c:v>
                </c:pt>
                <c:pt idx="47">
                  <c:v>4.0209369843674141E-3</c:v>
                </c:pt>
                <c:pt idx="50">
                  <c:v>6.903818090999516E-3</c:v>
                </c:pt>
                <c:pt idx="53">
                  <c:v>1.25526124389736E-2</c:v>
                </c:pt>
                <c:pt idx="56">
                  <c:v>2.6725818890627256E-3</c:v>
                </c:pt>
                <c:pt idx="59">
                  <c:v>0.16576449396175091</c:v>
                </c:pt>
                <c:pt idx="62">
                  <c:v>0.23580701124112971</c:v>
                </c:pt>
                <c:pt idx="65">
                  <c:v>5.2881310503204307E-3</c:v>
                </c:pt>
                <c:pt idx="68">
                  <c:v>0</c:v>
                </c:pt>
                <c:pt idx="71">
                  <c:v>2.0755107280009269E-3</c:v>
                </c:pt>
                <c:pt idx="74">
                  <c:v>0</c:v>
                </c:pt>
                <c:pt idx="77">
                  <c:v>3.0865632863024545E-3</c:v>
                </c:pt>
                <c:pt idx="80">
                  <c:v>0</c:v>
                </c:pt>
                <c:pt idx="83">
                  <c:v>1.4541127982141237E-3</c:v>
                </c:pt>
                <c:pt idx="86">
                  <c:v>1.2446470517447607E-2</c:v>
                </c:pt>
                <c:pt idx="89">
                  <c:v>1.8408925987296293E-2</c:v>
                </c:pt>
                <c:pt idx="92">
                  <c:v>0</c:v>
                </c:pt>
                <c:pt idx="95">
                  <c:v>7.2520913142719468E-2</c:v>
                </c:pt>
                <c:pt idx="98">
                  <c:v>0.18982399382970458</c:v>
                </c:pt>
                <c:pt idx="101">
                  <c:v>0</c:v>
                </c:pt>
                <c:pt idx="104">
                  <c:v>7.166036132383583E-3</c:v>
                </c:pt>
                <c:pt idx="107">
                  <c:v>0</c:v>
                </c:pt>
                <c:pt idx="110">
                  <c:v>0</c:v>
                </c:pt>
                <c:pt idx="113">
                  <c:v>0</c:v>
                </c:pt>
                <c:pt idx="116">
                  <c:v>0</c:v>
                </c:pt>
                <c:pt idx="119">
                  <c:v>9.2529932687311785E-4</c:v>
                </c:pt>
                <c:pt idx="122">
                  <c:v>0</c:v>
                </c:pt>
                <c:pt idx="125">
                  <c:v>0</c:v>
                </c:pt>
                <c:pt idx="128">
                  <c:v>4.9425973922764691E-3</c:v>
                </c:pt>
                <c:pt idx="131">
                  <c:v>0.11419551151960593</c:v>
                </c:pt>
                <c:pt idx="134">
                  <c:v>0.17121443636342565</c:v>
                </c:pt>
                <c:pt idx="137">
                  <c:v>0</c:v>
                </c:pt>
                <c:pt idx="140">
                  <c:v>0</c:v>
                </c:pt>
                <c:pt idx="143">
                  <c:v>0</c:v>
                </c:pt>
                <c:pt idx="146">
                  <c:v>0</c:v>
                </c:pt>
                <c:pt idx="149">
                  <c:v>0</c:v>
                </c:pt>
                <c:pt idx="152">
                  <c:v>0</c:v>
                </c:pt>
                <c:pt idx="155">
                  <c:v>0</c:v>
                </c:pt>
                <c:pt idx="158">
                  <c:v>0</c:v>
                </c:pt>
                <c:pt idx="161">
                  <c:v>0</c:v>
                </c:pt>
                <c:pt idx="164">
                  <c:v>3.0144970020403875E-3</c:v>
                </c:pt>
                <c:pt idx="167">
                  <c:v>6.6114811482962943E-2</c:v>
                </c:pt>
                <c:pt idx="170">
                  <c:v>8.6470652853124996E-2</c:v>
                </c:pt>
                <c:pt idx="173">
                  <c:v>0</c:v>
                </c:pt>
                <c:pt idx="179">
                  <c:v>0</c:v>
                </c:pt>
                <c:pt idx="182">
                  <c:v>0</c:v>
                </c:pt>
                <c:pt idx="185">
                  <c:v>0</c:v>
                </c:pt>
                <c:pt idx="188">
                  <c:v>0</c:v>
                </c:pt>
                <c:pt idx="191">
                  <c:v>7.2388498450592989E-3</c:v>
                </c:pt>
                <c:pt idx="194">
                  <c:v>0</c:v>
                </c:pt>
                <c:pt idx="197">
                  <c:v>0</c:v>
                </c:pt>
                <c:pt idx="200">
                  <c:v>1.7412722162590773E-2</c:v>
                </c:pt>
                <c:pt idx="203">
                  <c:v>9.9080380041127694E-2</c:v>
                </c:pt>
                <c:pt idx="206">
                  <c:v>2.2639664562469051E-2</c:v>
                </c:pt>
                <c:pt idx="209">
                  <c:v>9.177115630477023E-4</c:v>
                </c:pt>
                <c:pt idx="212">
                  <c:v>0</c:v>
                </c:pt>
                <c:pt idx="215">
                  <c:v>0</c:v>
                </c:pt>
                <c:pt idx="218">
                  <c:v>1.3858989402492771E-5</c:v>
                </c:pt>
                <c:pt idx="221">
                  <c:v>7.0073946772846651E-3</c:v>
                </c:pt>
                <c:pt idx="224">
                  <c:v>1.771134057136785E-5</c:v>
                </c:pt>
                <c:pt idx="227">
                  <c:v>2.5135943561428063E-5</c:v>
                </c:pt>
                <c:pt idx="230">
                  <c:v>4.347946303900019E-3</c:v>
                </c:pt>
                <c:pt idx="233">
                  <c:v>1.2323928306659107E-2</c:v>
                </c:pt>
                <c:pt idx="236">
                  <c:v>0.10497286270164083</c:v>
                </c:pt>
                <c:pt idx="239">
                  <c:v>0.13491421655096802</c:v>
                </c:pt>
                <c:pt idx="242">
                  <c:v>7.4312158569381753E-2</c:v>
                </c:pt>
                <c:pt idx="245">
                  <c:v>1.163011579718629E-5</c:v>
                </c:pt>
                <c:pt idx="248">
                  <c:v>1.2871890365819122E-5</c:v>
                </c:pt>
                <c:pt idx="251">
                  <c:v>1.0950983398309169E-5</c:v>
                </c:pt>
                <c:pt idx="254">
                  <c:v>5.0575911267004794E-2</c:v>
                </c:pt>
                <c:pt idx="257">
                  <c:v>2.3434067017082786E-2</c:v>
                </c:pt>
                <c:pt idx="260">
                  <c:v>5.0506253722453841E-2</c:v>
                </c:pt>
                <c:pt idx="263">
                  <c:v>1.8440720826682348E-2</c:v>
                </c:pt>
                <c:pt idx="266">
                  <c:v>3.0732893428545606E-3</c:v>
                </c:pt>
                <c:pt idx="269">
                  <c:v>2.2308602332262974E-2</c:v>
                </c:pt>
                <c:pt idx="272">
                  <c:v>2.874440646364202E-3</c:v>
                </c:pt>
                <c:pt idx="275">
                  <c:v>0.14868909705670416</c:v>
                </c:pt>
                <c:pt idx="278">
                  <c:v>0.18607193419472767</c:v>
                </c:pt>
                <c:pt idx="281">
                  <c:v>1.0280791216021714E-3</c:v>
                </c:pt>
                <c:pt idx="284">
                  <c:v>8.4263925170641285E-5</c:v>
                </c:pt>
                <c:pt idx="287">
                  <c:v>1.1135157207023275E-4</c:v>
                </c:pt>
                <c:pt idx="290">
                  <c:v>2.7969295792156131E-3</c:v>
                </c:pt>
                <c:pt idx="293">
                  <c:v>1.3813905406641659E-2</c:v>
                </c:pt>
                <c:pt idx="296">
                  <c:v>1.7463468591721488E-4</c:v>
                </c:pt>
                <c:pt idx="299">
                  <c:v>2.6391870490937884E-4</c:v>
                </c:pt>
                <c:pt idx="302">
                  <c:v>1.0293179455188189E-2</c:v>
                </c:pt>
                <c:pt idx="305">
                  <c:v>4.6038736307350385E-3</c:v>
                </c:pt>
                <c:pt idx="308">
                  <c:v>5.6610045510045497E-2</c:v>
                </c:pt>
                <c:pt idx="311">
                  <c:v>6.2247304582210242E-2</c:v>
                </c:pt>
                <c:pt idx="314">
                  <c:v>2.0190482600794239E-4</c:v>
                </c:pt>
                <c:pt idx="317">
                  <c:v>4.9682514490753523E-3</c:v>
                </c:pt>
                <c:pt idx="320">
                  <c:v>1.602831952978894E-4</c:v>
                </c:pt>
                <c:pt idx="323">
                  <c:v>6.9417753987861028E-2</c:v>
                </c:pt>
                <c:pt idx="326">
                  <c:v>9.7716804472423188E-2</c:v>
                </c:pt>
                <c:pt idx="329">
                  <c:v>7.9226399892574177E-3</c:v>
                </c:pt>
                <c:pt idx="332">
                  <c:v>4.374015748031496E-4</c:v>
                </c:pt>
                <c:pt idx="335">
                  <c:v>2.9542052393145558E-4</c:v>
                </c:pt>
                <c:pt idx="338">
                  <c:v>2.5909962430366632E-3</c:v>
                </c:pt>
                <c:pt idx="341">
                  <c:v>2.5939472546476436E-4</c:v>
                </c:pt>
                <c:pt idx="344">
                  <c:v>8.7556917688266182E-4</c:v>
                </c:pt>
                <c:pt idx="347">
                  <c:v>0.16228202806974906</c:v>
                </c:pt>
                <c:pt idx="350">
                  <c:v>0.14033471518501459</c:v>
                </c:pt>
                <c:pt idx="353">
                  <c:v>2.5609299352550619E-2</c:v>
                </c:pt>
                <c:pt idx="356">
                  <c:v>1.7902369159157364E-4</c:v>
                </c:pt>
                <c:pt idx="359">
                  <c:v>1.24750499001996E-4</c:v>
                </c:pt>
                <c:pt idx="362">
                  <c:v>8.6844111103136432E-3</c:v>
                </c:pt>
                <c:pt idx="365">
                  <c:v>2.9433869701726845E-4</c:v>
                </c:pt>
                <c:pt idx="368">
                  <c:v>3.0683124128312415E-3</c:v>
                </c:pt>
                <c:pt idx="371">
                  <c:v>0</c:v>
                </c:pt>
                <c:pt idx="374">
                  <c:v>0</c:v>
                </c:pt>
                <c:pt idx="377">
                  <c:v>0</c:v>
                </c:pt>
                <c:pt idx="380">
                  <c:v>0</c:v>
                </c:pt>
                <c:pt idx="383">
                  <c:v>0.10526738358326755</c:v>
                </c:pt>
                <c:pt idx="386">
                  <c:v>3.9059408661244232E-3</c:v>
                </c:pt>
                <c:pt idx="389">
                  <c:v>2.9438335993834976E-3</c:v>
                </c:pt>
                <c:pt idx="393">
                  <c:v>0</c:v>
                </c:pt>
                <c:pt idx="396">
                  <c:v>2.9728340406849109E-3</c:v>
                </c:pt>
                <c:pt idx="399">
                  <c:v>0</c:v>
                </c:pt>
                <c:pt idx="402">
                  <c:v>0</c:v>
                </c:pt>
                <c:pt idx="405">
                  <c:v>4.2667245557350554E-2</c:v>
                </c:pt>
                <c:pt idx="408">
                  <c:v>1.9778443113772455E-3</c:v>
                </c:pt>
                <c:pt idx="411">
                  <c:v>1.9417258413090457E-3</c:v>
                </c:pt>
                <c:pt idx="415">
                  <c:v>0</c:v>
                </c:pt>
                <c:pt idx="418">
                  <c:v>0</c:v>
                </c:pt>
                <c:pt idx="422">
                  <c:v>3.8580104106419884E-2</c:v>
                </c:pt>
                <c:pt idx="426">
                  <c:v>2.8103479801957912E-3</c:v>
                </c:pt>
                <c:pt idx="429">
                  <c:v>0</c:v>
                </c:pt>
                <c:pt idx="433">
                  <c:v>0</c:v>
                </c:pt>
                <c:pt idx="437">
                  <c:v>0</c:v>
                </c:pt>
                <c:pt idx="441">
                  <c:v>0</c:v>
                </c:pt>
                <c:pt idx="444">
                  <c:v>9.0280891197375597E-3</c:v>
                </c:pt>
                <c:pt idx="447">
                  <c:v>0</c:v>
                </c:pt>
                <c:pt idx="450">
                  <c:v>0</c:v>
                </c:pt>
                <c:pt idx="453">
                  <c:v>1.0501307531380748E-2</c:v>
                </c:pt>
                <c:pt idx="456">
                  <c:v>6.0316944444444446E-3</c:v>
                </c:pt>
                <c:pt idx="460">
                  <c:v>0</c:v>
                </c:pt>
                <c:pt idx="464">
                  <c:v>7.4522758442033391E-2</c:v>
                </c:pt>
                <c:pt idx="467">
                  <c:v>3.9181411986353686E-2</c:v>
                </c:pt>
                <c:pt idx="470">
                  <c:v>0</c:v>
                </c:pt>
                <c:pt idx="473">
                  <c:v>0</c:v>
                </c:pt>
                <c:pt idx="476">
                  <c:v>0</c:v>
                </c:pt>
                <c:pt idx="479">
                  <c:v>2.1929103820646752E-3</c:v>
                </c:pt>
                <c:pt idx="482">
                  <c:v>0</c:v>
                </c:pt>
                <c:pt idx="485">
                  <c:v>0</c:v>
                </c:pt>
                <c:pt idx="488">
                  <c:v>0</c:v>
                </c:pt>
                <c:pt idx="491">
                  <c:v>0</c:v>
                </c:pt>
                <c:pt idx="495">
                  <c:v>0</c:v>
                </c:pt>
                <c:pt idx="498">
                  <c:v>0</c:v>
                </c:pt>
                <c:pt idx="502">
                  <c:v>0</c:v>
                </c:pt>
                <c:pt idx="505">
                  <c:v>0</c:v>
                </c:pt>
                <c:pt idx="508">
                  <c:v>0</c:v>
                </c:pt>
                <c:pt idx="511">
                  <c:v>0</c:v>
                </c:pt>
                <c:pt idx="514">
                  <c:v>0</c:v>
                </c:pt>
                <c:pt idx="517">
                  <c:v>0</c:v>
                </c:pt>
                <c:pt idx="520">
                  <c:v>0</c:v>
                </c:pt>
                <c:pt idx="523">
                  <c:v>0</c:v>
                </c:pt>
                <c:pt idx="526">
                  <c:v>0</c:v>
                </c:pt>
                <c:pt idx="529">
                  <c:v>0</c:v>
                </c:pt>
                <c:pt idx="532">
                  <c:v>0</c:v>
                </c:pt>
                <c:pt idx="535">
                  <c:v>0</c:v>
                </c:pt>
                <c:pt idx="538">
                  <c:v>0</c:v>
                </c:pt>
                <c:pt idx="541">
                  <c:v>0</c:v>
                </c:pt>
                <c:pt idx="544">
                  <c:v>0</c:v>
                </c:pt>
                <c:pt idx="547">
                  <c:v>0</c:v>
                </c:pt>
                <c:pt idx="550">
                  <c:v>0</c:v>
                </c:pt>
                <c:pt idx="553">
                  <c:v>0</c:v>
                </c:pt>
                <c:pt idx="556">
                  <c:v>0</c:v>
                </c:pt>
                <c:pt idx="559">
                  <c:v>0</c:v>
                </c:pt>
                <c:pt idx="562">
                  <c:v>2.1481273932941062E-3</c:v>
                </c:pt>
                <c:pt idx="568">
                  <c:v>3.8453087233575032E-3</c:v>
                </c:pt>
                <c:pt idx="571">
                  <c:v>8.3967046894803561E-3</c:v>
                </c:pt>
                <c:pt idx="574">
                  <c:v>1.2308180268888467E-3</c:v>
                </c:pt>
                <c:pt idx="577">
                  <c:v>1.9384018953262977E-3</c:v>
                </c:pt>
                <c:pt idx="580">
                  <c:v>2.6594876815141139E-2</c:v>
                </c:pt>
                <c:pt idx="583">
                  <c:v>2.5529865125240854E-3</c:v>
                </c:pt>
                <c:pt idx="586">
                  <c:v>4.1501976284584975E-3</c:v>
                </c:pt>
                <c:pt idx="589">
                  <c:v>2.9988004798080768E-3</c:v>
                </c:pt>
                <c:pt idx="592">
                  <c:v>3.2499392097264442E-2</c:v>
                </c:pt>
                <c:pt idx="595">
                  <c:v>4.0367834652026485E-3</c:v>
                </c:pt>
                <c:pt idx="598">
                  <c:v>7.3511975337917949E-3</c:v>
                </c:pt>
                <c:pt idx="601">
                  <c:v>2.6256564141035259E-3</c:v>
                </c:pt>
                <c:pt idx="604">
                  <c:v>4.6111926220918052E-3</c:v>
                </c:pt>
                <c:pt idx="607">
                  <c:v>3.9033178201471246E-3</c:v>
                </c:pt>
                <c:pt idx="610">
                  <c:v>0.14770900321543406</c:v>
                </c:pt>
                <c:pt idx="613">
                  <c:v>0.1449759326113117</c:v>
                </c:pt>
                <c:pt idx="616">
                  <c:v>3.8839387708476127E-3</c:v>
                </c:pt>
                <c:pt idx="619">
                  <c:v>1.1591435974362472E-3</c:v>
                </c:pt>
                <c:pt idx="622">
                  <c:v>2.1949357424608726E-3</c:v>
                </c:pt>
                <c:pt idx="625">
                  <c:v>2.0811654526534861E-3</c:v>
                </c:pt>
                <c:pt idx="628">
                  <c:v>4.2606516290726818E-3</c:v>
                </c:pt>
                <c:pt idx="631">
                  <c:v>4.6410891089108917E-3</c:v>
                </c:pt>
                <c:pt idx="640">
                  <c:v>5.9262166405023547E-2</c:v>
                </c:pt>
                <c:pt idx="643">
                  <c:v>0.12009237875288682</c:v>
                </c:pt>
                <c:pt idx="646">
                  <c:v>0.17354969008983911</c:v>
                </c:pt>
                <c:pt idx="649">
                  <c:v>4.9201381096245144E-3</c:v>
                </c:pt>
                <c:pt idx="652">
                  <c:v>1.9613926119646939E-3</c:v>
                </c:pt>
                <c:pt idx="658">
                  <c:v>4.3725258708643047E-3</c:v>
                </c:pt>
                <c:pt idx="661">
                  <c:v>1.3705193556143302E-2</c:v>
                </c:pt>
                <c:pt idx="667">
                  <c:v>3.0545309090909091E-3</c:v>
                </c:pt>
                <c:pt idx="670">
                  <c:v>5.4814647377938522E-3</c:v>
                </c:pt>
                <c:pt idx="673">
                  <c:v>2.1966804979253116E-3</c:v>
                </c:pt>
                <c:pt idx="676">
                  <c:v>3.9225718427560322E-3</c:v>
                </c:pt>
                <c:pt idx="679">
                  <c:v>5.0165562913907287E-2</c:v>
                </c:pt>
                <c:pt idx="682">
                  <c:v>0.12389551446091449</c:v>
                </c:pt>
                <c:pt idx="685">
                  <c:v>1.4174116131110573E-2</c:v>
                </c:pt>
                <c:pt idx="688">
                  <c:v>2.937647399561422E-3</c:v>
                </c:pt>
                <c:pt idx="691">
                  <c:v>4.0247089262613204E-3</c:v>
                </c:pt>
                <c:pt idx="694">
                  <c:v>3.2703250703119886E-3</c:v>
                </c:pt>
                <c:pt idx="697">
                  <c:v>8.3240704772475031E-3</c:v>
                </c:pt>
                <c:pt idx="698">
                  <c:v>3.0568633445429531E-4</c:v>
                </c:pt>
                <c:pt idx="712">
                  <c:v>3.0444906323185011E-2</c:v>
                </c:pt>
                <c:pt idx="715">
                  <c:v>3.5724383328607882E-2</c:v>
                </c:pt>
                <c:pt idx="718">
                  <c:v>0.17926954732510289</c:v>
                </c:pt>
                <c:pt idx="721">
                  <c:v>7.9077940872441604E-2</c:v>
                </c:pt>
                <c:pt idx="724">
                  <c:v>1.7710513604894541E-3</c:v>
                </c:pt>
                <c:pt idx="727">
                  <c:v>1.3136288998357964E-3</c:v>
                </c:pt>
                <c:pt idx="730">
                  <c:v>5.7251908396946565E-3</c:v>
                </c:pt>
                <c:pt idx="733">
                  <c:v>7.5961002785515316E-4</c:v>
                </c:pt>
                <c:pt idx="739">
                  <c:v>4.8846132971506117E-3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A-F24B-9EAB-27C30E510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095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Peridin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'Peridin update'!$B$3:$B$742</c:f>
              <c:numCache>
                <c:formatCode>[$-409]mmm\-yy;@</c:formatCode>
                <c:ptCount val="740"/>
                <c:pt idx="0">
                  <c:v>36445</c:v>
                </c:pt>
                <c:pt idx="1">
                  <c:v>36446</c:v>
                </c:pt>
                <c:pt idx="2">
                  <c:v>36445</c:v>
                </c:pt>
                <c:pt idx="3">
                  <c:v>36472</c:v>
                </c:pt>
                <c:pt idx="4">
                  <c:v>36473</c:v>
                </c:pt>
                <c:pt idx="5">
                  <c:v>36472</c:v>
                </c:pt>
                <c:pt idx="6">
                  <c:v>36501</c:v>
                </c:pt>
                <c:pt idx="7">
                  <c:v>36502</c:v>
                </c:pt>
                <c:pt idx="8">
                  <c:v>36501</c:v>
                </c:pt>
                <c:pt idx="9">
                  <c:v>36530</c:v>
                </c:pt>
                <c:pt idx="10">
                  <c:v>36531</c:v>
                </c:pt>
                <c:pt idx="11">
                  <c:v>36530</c:v>
                </c:pt>
                <c:pt idx="12">
                  <c:v>36579</c:v>
                </c:pt>
                <c:pt idx="13">
                  <c:v>36578</c:v>
                </c:pt>
                <c:pt idx="14">
                  <c:v>36579</c:v>
                </c:pt>
                <c:pt idx="15">
                  <c:v>36598</c:v>
                </c:pt>
                <c:pt idx="16">
                  <c:v>36599</c:v>
                </c:pt>
                <c:pt idx="17">
                  <c:v>36598</c:v>
                </c:pt>
                <c:pt idx="18">
                  <c:v>36627</c:v>
                </c:pt>
                <c:pt idx="19">
                  <c:v>36626</c:v>
                </c:pt>
                <c:pt idx="20">
                  <c:v>36627</c:v>
                </c:pt>
                <c:pt idx="21">
                  <c:v>36662</c:v>
                </c:pt>
                <c:pt idx="22">
                  <c:v>36663</c:v>
                </c:pt>
                <c:pt idx="23">
                  <c:v>36662</c:v>
                </c:pt>
                <c:pt idx="24">
                  <c:v>36690</c:v>
                </c:pt>
                <c:pt idx="25">
                  <c:v>36692</c:v>
                </c:pt>
                <c:pt idx="26">
                  <c:v>36690</c:v>
                </c:pt>
                <c:pt idx="27">
                  <c:v>36718</c:v>
                </c:pt>
                <c:pt idx="28">
                  <c:v>36719</c:v>
                </c:pt>
                <c:pt idx="29">
                  <c:v>36718</c:v>
                </c:pt>
                <c:pt idx="30">
                  <c:v>36753</c:v>
                </c:pt>
                <c:pt idx="31">
                  <c:v>36755</c:v>
                </c:pt>
                <c:pt idx="32">
                  <c:v>36753</c:v>
                </c:pt>
                <c:pt idx="33">
                  <c:v>36781</c:v>
                </c:pt>
                <c:pt idx="34">
                  <c:v>36783</c:v>
                </c:pt>
                <c:pt idx="35">
                  <c:v>36781</c:v>
                </c:pt>
                <c:pt idx="36">
                  <c:v>36817</c:v>
                </c:pt>
                <c:pt idx="37">
                  <c:v>36815</c:v>
                </c:pt>
                <c:pt idx="38">
                  <c:v>36817</c:v>
                </c:pt>
                <c:pt idx="39">
                  <c:v>36845</c:v>
                </c:pt>
                <c:pt idx="40">
                  <c:v>36846</c:v>
                </c:pt>
                <c:pt idx="41">
                  <c:v>36845</c:v>
                </c:pt>
                <c:pt idx="42">
                  <c:v>36871</c:v>
                </c:pt>
                <c:pt idx="43">
                  <c:v>36873</c:v>
                </c:pt>
                <c:pt idx="44">
                  <c:v>36871</c:v>
                </c:pt>
                <c:pt idx="45">
                  <c:v>36901</c:v>
                </c:pt>
                <c:pt idx="46">
                  <c:v>36902</c:v>
                </c:pt>
                <c:pt idx="47">
                  <c:v>36901</c:v>
                </c:pt>
                <c:pt idx="48">
                  <c:v>36928</c:v>
                </c:pt>
                <c:pt idx="49">
                  <c:v>36929</c:v>
                </c:pt>
                <c:pt idx="50">
                  <c:v>36928</c:v>
                </c:pt>
                <c:pt idx="51">
                  <c:v>36965</c:v>
                </c:pt>
                <c:pt idx="52">
                  <c:v>36962</c:v>
                </c:pt>
                <c:pt idx="53">
                  <c:v>36964</c:v>
                </c:pt>
                <c:pt idx="54">
                  <c:v>37000</c:v>
                </c:pt>
                <c:pt idx="55">
                  <c:v>36998</c:v>
                </c:pt>
                <c:pt idx="56">
                  <c:v>36997</c:v>
                </c:pt>
                <c:pt idx="57">
                  <c:v>37026</c:v>
                </c:pt>
                <c:pt idx="58">
                  <c:v>37025</c:v>
                </c:pt>
                <c:pt idx="59">
                  <c:v>37026</c:v>
                </c:pt>
                <c:pt idx="60">
                  <c:v>37055</c:v>
                </c:pt>
                <c:pt idx="61">
                  <c:v>37054</c:v>
                </c:pt>
                <c:pt idx="62">
                  <c:v>37055</c:v>
                </c:pt>
                <c:pt idx="63">
                  <c:v>37092</c:v>
                </c:pt>
                <c:pt idx="64">
                  <c:v>37090</c:v>
                </c:pt>
                <c:pt idx="65">
                  <c:v>37092</c:v>
                </c:pt>
                <c:pt idx="66">
                  <c:v>37118</c:v>
                </c:pt>
                <c:pt idx="67">
                  <c:v>37117</c:v>
                </c:pt>
                <c:pt idx="68">
                  <c:v>37118</c:v>
                </c:pt>
                <c:pt idx="69">
                  <c:v>37152</c:v>
                </c:pt>
                <c:pt idx="70">
                  <c:v>37145</c:v>
                </c:pt>
                <c:pt idx="71">
                  <c:v>37145</c:v>
                </c:pt>
                <c:pt idx="72">
                  <c:v>37180</c:v>
                </c:pt>
                <c:pt idx="73">
                  <c:v>37182</c:v>
                </c:pt>
                <c:pt idx="74">
                  <c:v>37180</c:v>
                </c:pt>
                <c:pt idx="75">
                  <c:v>37201</c:v>
                </c:pt>
                <c:pt idx="76">
                  <c:v>37202</c:v>
                </c:pt>
                <c:pt idx="77">
                  <c:v>37201</c:v>
                </c:pt>
                <c:pt idx="78">
                  <c:v>37229</c:v>
                </c:pt>
                <c:pt idx="79">
                  <c:v>37230</c:v>
                </c:pt>
                <c:pt idx="80">
                  <c:v>37229</c:v>
                </c:pt>
                <c:pt idx="81">
                  <c:v>37271</c:v>
                </c:pt>
                <c:pt idx="82">
                  <c:v>37272</c:v>
                </c:pt>
                <c:pt idx="83">
                  <c:v>37271</c:v>
                </c:pt>
                <c:pt idx="84">
                  <c:v>37306</c:v>
                </c:pt>
                <c:pt idx="85">
                  <c:v>37301</c:v>
                </c:pt>
                <c:pt idx="86">
                  <c:v>37306</c:v>
                </c:pt>
                <c:pt idx="87">
                  <c:v>37334</c:v>
                </c:pt>
                <c:pt idx="88">
                  <c:v>37336</c:v>
                </c:pt>
                <c:pt idx="89">
                  <c:v>37336</c:v>
                </c:pt>
                <c:pt idx="90">
                  <c:v>37362</c:v>
                </c:pt>
                <c:pt idx="91">
                  <c:v>37363</c:v>
                </c:pt>
                <c:pt idx="92">
                  <c:v>37362</c:v>
                </c:pt>
                <c:pt idx="93">
                  <c:v>37392</c:v>
                </c:pt>
                <c:pt idx="94">
                  <c:v>37392</c:v>
                </c:pt>
                <c:pt idx="95">
                  <c:v>37392</c:v>
                </c:pt>
                <c:pt idx="96">
                  <c:v>37419</c:v>
                </c:pt>
                <c:pt idx="97">
                  <c:v>37420</c:v>
                </c:pt>
                <c:pt idx="98">
                  <c:v>37419</c:v>
                </c:pt>
                <c:pt idx="99">
                  <c:v>37454</c:v>
                </c:pt>
                <c:pt idx="100">
                  <c:v>37453</c:v>
                </c:pt>
                <c:pt idx="101">
                  <c:v>37454</c:v>
                </c:pt>
                <c:pt idx="102">
                  <c:v>37482</c:v>
                </c:pt>
                <c:pt idx="103">
                  <c:v>37481</c:v>
                </c:pt>
                <c:pt idx="104">
                  <c:v>37482</c:v>
                </c:pt>
                <c:pt idx="105">
                  <c:v>37517</c:v>
                </c:pt>
                <c:pt idx="106">
                  <c:v>37518</c:v>
                </c:pt>
                <c:pt idx="107">
                  <c:v>37517</c:v>
                </c:pt>
                <c:pt idx="108">
                  <c:v>37544</c:v>
                </c:pt>
                <c:pt idx="109">
                  <c:v>37546</c:v>
                </c:pt>
                <c:pt idx="110">
                  <c:v>37546</c:v>
                </c:pt>
                <c:pt idx="111">
                  <c:v>37575</c:v>
                </c:pt>
                <c:pt idx="112">
                  <c:v>37574</c:v>
                </c:pt>
                <c:pt idx="113">
                  <c:v>37574</c:v>
                </c:pt>
                <c:pt idx="114">
                  <c:v>37609</c:v>
                </c:pt>
                <c:pt idx="115">
                  <c:v>37608</c:v>
                </c:pt>
                <c:pt idx="116">
                  <c:v>37608</c:v>
                </c:pt>
                <c:pt idx="117">
                  <c:v>37635</c:v>
                </c:pt>
                <c:pt idx="118">
                  <c:v>37636</c:v>
                </c:pt>
                <c:pt idx="119">
                  <c:v>37636</c:v>
                </c:pt>
                <c:pt idx="120">
                  <c:v>37665</c:v>
                </c:pt>
                <c:pt idx="121">
                  <c:v>37663</c:v>
                </c:pt>
                <c:pt idx="122">
                  <c:v>37663</c:v>
                </c:pt>
                <c:pt idx="123">
                  <c:v>37692</c:v>
                </c:pt>
                <c:pt idx="124">
                  <c:v>37691</c:v>
                </c:pt>
                <c:pt idx="125">
                  <c:v>37692</c:v>
                </c:pt>
                <c:pt idx="126">
                  <c:v>37726</c:v>
                </c:pt>
                <c:pt idx="127">
                  <c:v>37727</c:v>
                </c:pt>
                <c:pt idx="128">
                  <c:v>37726</c:v>
                </c:pt>
                <c:pt idx="129">
                  <c:v>37761</c:v>
                </c:pt>
                <c:pt idx="130">
                  <c:v>37756</c:v>
                </c:pt>
                <c:pt idx="131">
                  <c:v>37761</c:v>
                </c:pt>
                <c:pt idx="132">
                  <c:v>37792</c:v>
                </c:pt>
                <c:pt idx="133">
                  <c:v>37790</c:v>
                </c:pt>
                <c:pt idx="134">
                  <c:v>37790</c:v>
                </c:pt>
                <c:pt idx="135">
                  <c:v>37819</c:v>
                </c:pt>
                <c:pt idx="136">
                  <c:v>37818</c:v>
                </c:pt>
                <c:pt idx="137">
                  <c:v>37819</c:v>
                </c:pt>
                <c:pt idx="138">
                  <c:v>37847</c:v>
                </c:pt>
                <c:pt idx="139">
                  <c:v>37846</c:v>
                </c:pt>
                <c:pt idx="140">
                  <c:v>37847</c:v>
                </c:pt>
                <c:pt idx="141">
                  <c:v>37888</c:v>
                </c:pt>
                <c:pt idx="142">
                  <c:v>37886</c:v>
                </c:pt>
                <c:pt idx="143">
                  <c:v>37886</c:v>
                </c:pt>
                <c:pt idx="144">
                  <c:v>37910</c:v>
                </c:pt>
                <c:pt idx="145">
                  <c:v>37910</c:v>
                </c:pt>
                <c:pt idx="146">
                  <c:v>37910</c:v>
                </c:pt>
                <c:pt idx="147">
                  <c:v>37943</c:v>
                </c:pt>
                <c:pt idx="148">
                  <c:v>37942</c:v>
                </c:pt>
                <c:pt idx="149">
                  <c:v>37942</c:v>
                </c:pt>
                <c:pt idx="150">
                  <c:v>37973</c:v>
                </c:pt>
                <c:pt idx="151">
                  <c:v>37971</c:v>
                </c:pt>
                <c:pt idx="152">
                  <c:v>37971</c:v>
                </c:pt>
                <c:pt idx="153">
                  <c:v>37999</c:v>
                </c:pt>
                <c:pt idx="156">
                  <c:v>38027</c:v>
                </c:pt>
                <c:pt idx="157">
                  <c:v>38026</c:v>
                </c:pt>
                <c:pt idx="158">
                  <c:v>38026</c:v>
                </c:pt>
                <c:pt idx="159">
                  <c:v>38063</c:v>
                </c:pt>
                <c:pt idx="160">
                  <c:v>38061</c:v>
                </c:pt>
                <c:pt idx="161">
                  <c:v>38063</c:v>
                </c:pt>
                <c:pt idx="162">
                  <c:v>38094</c:v>
                </c:pt>
                <c:pt idx="163">
                  <c:v>38093</c:v>
                </c:pt>
                <c:pt idx="164">
                  <c:v>38094</c:v>
                </c:pt>
                <c:pt idx="165">
                  <c:v>38118</c:v>
                </c:pt>
                <c:pt idx="166">
                  <c:v>38117</c:v>
                </c:pt>
                <c:pt idx="167">
                  <c:v>38118</c:v>
                </c:pt>
                <c:pt idx="168">
                  <c:v>38153</c:v>
                </c:pt>
                <c:pt idx="169">
                  <c:v>38160</c:v>
                </c:pt>
                <c:pt idx="170">
                  <c:v>38155</c:v>
                </c:pt>
                <c:pt idx="171">
                  <c:v>38181</c:v>
                </c:pt>
                <c:pt idx="172">
                  <c:v>38182</c:v>
                </c:pt>
                <c:pt idx="173">
                  <c:v>38182</c:v>
                </c:pt>
                <c:pt idx="174">
                  <c:v>38217</c:v>
                </c:pt>
                <c:pt idx="175">
                  <c:v>38218</c:v>
                </c:pt>
                <c:pt idx="176">
                  <c:v>38218</c:v>
                </c:pt>
                <c:pt idx="177">
                  <c:v>38244</c:v>
                </c:pt>
                <c:pt idx="178">
                  <c:v>38246</c:v>
                </c:pt>
                <c:pt idx="179">
                  <c:v>38246</c:v>
                </c:pt>
                <c:pt idx="180">
                  <c:v>38273</c:v>
                </c:pt>
                <c:pt idx="181">
                  <c:v>38274</c:v>
                </c:pt>
                <c:pt idx="182">
                  <c:v>38273</c:v>
                </c:pt>
                <c:pt idx="183">
                  <c:v>38307</c:v>
                </c:pt>
                <c:pt idx="184">
                  <c:v>38309</c:v>
                </c:pt>
                <c:pt idx="185">
                  <c:v>38307</c:v>
                </c:pt>
                <c:pt idx="186">
                  <c:v>38337</c:v>
                </c:pt>
                <c:pt idx="187">
                  <c:v>38337</c:v>
                </c:pt>
                <c:pt idx="188">
                  <c:v>38337</c:v>
                </c:pt>
                <c:pt idx="189">
                  <c:v>38363</c:v>
                </c:pt>
                <c:pt idx="190">
                  <c:v>38364</c:v>
                </c:pt>
                <c:pt idx="191">
                  <c:v>38363</c:v>
                </c:pt>
                <c:pt idx="192">
                  <c:v>38399</c:v>
                </c:pt>
                <c:pt idx="193">
                  <c:v>38398</c:v>
                </c:pt>
                <c:pt idx="194">
                  <c:v>38398</c:v>
                </c:pt>
                <c:pt idx="195">
                  <c:v>38428</c:v>
                </c:pt>
                <c:pt idx="196">
                  <c:v>38427</c:v>
                </c:pt>
                <c:pt idx="197">
                  <c:v>38427</c:v>
                </c:pt>
                <c:pt idx="198">
                  <c:v>38469</c:v>
                </c:pt>
                <c:pt idx="199">
                  <c:v>38470</c:v>
                </c:pt>
                <c:pt idx="200">
                  <c:v>38469</c:v>
                </c:pt>
                <c:pt idx="201">
                  <c:v>38490</c:v>
                </c:pt>
                <c:pt idx="202">
                  <c:v>38488</c:v>
                </c:pt>
                <c:pt idx="203">
                  <c:v>38488</c:v>
                </c:pt>
                <c:pt idx="204">
                  <c:v>38518</c:v>
                </c:pt>
                <c:pt idx="205">
                  <c:v>38525</c:v>
                </c:pt>
                <c:pt idx="206">
                  <c:v>38525</c:v>
                </c:pt>
                <c:pt idx="207">
                  <c:v>38547</c:v>
                </c:pt>
                <c:pt idx="208">
                  <c:v>38546</c:v>
                </c:pt>
                <c:pt idx="209">
                  <c:v>38546</c:v>
                </c:pt>
                <c:pt idx="210">
                  <c:v>38587</c:v>
                </c:pt>
                <c:pt idx="211">
                  <c:v>38587</c:v>
                </c:pt>
                <c:pt idx="212">
                  <c:v>38587</c:v>
                </c:pt>
                <c:pt idx="213">
                  <c:v>38608</c:v>
                </c:pt>
                <c:pt idx="214">
                  <c:v>38609</c:v>
                </c:pt>
                <c:pt idx="215">
                  <c:v>38609</c:v>
                </c:pt>
                <c:pt idx="216">
                  <c:v>38636</c:v>
                </c:pt>
                <c:pt idx="217">
                  <c:v>38642</c:v>
                </c:pt>
                <c:pt idx="218">
                  <c:v>38637</c:v>
                </c:pt>
                <c:pt idx="219">
                  <c:v>38671</c:v>
                </c:pt>
                <c:pt idx="220">
                  <c:v>38670</c:v>
                </c:pt>
                <c:pt idx="221">
                  <c:v>38670</c:v>
                </c:pt>
                <c:pt idx="222">
                  <c:v>38707</c:v>
                </c:pt>
                <c:pt idx="223">
                  <c:v>38706</c:v>
                </c:pt>
                <c:pt idx="224">
                  <c:v>38706</c:v>
                </c:pt>
                <c:pt idx="225">
                  <c:v>38734</c:v>
                </c:pt>
                <c:pt idx="226">
                  <c:v>38740</c:v>
                </c:pt>
                <c:pt idx="227">
                  <c:v>38737</c:v>
                </c:pt>
                <c:pt idx="228">
                  <c:v>38762</c:v>
                </c:pt>
                <c:pt idx="229">
                  <c:v>38763</c:v>
                </c:pt>
                <c:pt idx="230">
                  <c:v>38763</c:v>
                </c:pt>
                <c:pt idx="231">
                  <c:v>38789</c:v>
                </c:pt>
                <c:pt idx="232">
                  <c:v>38792</c:v>
                </c:pt>
                <c:pt idx="233">
                  <c:v>38792</c:v>
                </c:pt>
                <c:pt idx="234">
                  <c:v>38825</c:v>
                </c:pt>
                <c:pt idx="235">
                  <c:v>38826</c:v>
                </c:pt>
                <c:pt idx="236">
                  <c:v>38826</c:v>
                </c:pt>
                <c:pt idx="237">
                  <c:v>38852</c:v>
                </c:pt>
                <c:pt idx="238">
                  <c:v>38853</c:v>
                </c:pt>
                <c:pt idx="239">
                  <c:v>38853</c:v>
                </c:pt>
                <c:pt idx="240">
                  <c:v>38883</c:v>
                </c:pt>
                <c:pt idx="241">
                  <c:v>38884</c:v>
                </c:pt>
                <c:pt idx="242">
                  <c:v>38884</c:v>
                </c:pt>
                <c:pt idx="243">
                  <c:v>38916</c:v>
                </c:pt>
                <c:pt idx="244">
                  <c:v>38915</c:v>
                </c:pt>
                <c:pt idx="245">
                  <c:v>38915</c:v>
                </c:pt>
                <c:pt idx="246">
                  <c:v>38953</c:v>
                </c:pt>
                <c:pt idx="247">
                  <c:v>38952</c:v>
                </c:pt>
                <c:pt idx="248">
                  <c:v>38952</c:v>
                </c:pt>
                <c:pt idx="249">
                  <c:v>38972</c:v>
                </c:pt>
                <c:pt idx="250">
                  <c:v>38975</c:v>
                </c:pt>
                <c:pt idx="251">
                  <c:v>38975</c:v>
                </c:pt>
                <c:pt idx="252">
                  <c:v>39008</c:v>
                </c:pt>
                <c:pt idx="253">
                  <c:v>39006</c:v>
                </c:pt>
                <c:pt idx="254">
                  <c:v>39006</c:v>
                </c:pt>
                <c:pt idx="255">
                  <c:v>39035</c:v>
                </c:pt>
                <c:pt idx="256">
                  <c:v>39041</c:v>
                </c:pt>
                <c:pt idx="257">
                  <c:v>39041</c:v>
                </c:pt>
                <c:pt idx="258">
                  <c:v>39063</c:v>
                </c:pt>
                <c:pt idx="259">
                  <c:v>39062</c:v>
                </c:pt>
                <c:pt idx="260">
                  <c:v>39062</c:v>
                </c:pt>
                <c:pt idx="261">
                  <c:v>39100</c:v>
                </c:pt>
                <c:pt idx="262">
                  <c:v>39100</c:v>
                </c:pt>
                <c:pt idx="263">
                  <c:v>39100</c:v>
                </c:pt>
                <c:pt idx="264">
                  <c:v>39134</c:v>
                </c:pt>
                <c:pt idx="265">
                  <c:v>39135</c:v>
                </c:pt>
                <c:pt idx="266">
                  <c:v>39135</c:v>
                </c:pt>
                <c:pt idx="267">
                  <c:v>39154</c:v>
                </c:pt>
                <c:pt idx="268">
                  <c:v>39153</c:v>
                </c:pt>
                <c:pt idx="269">
                  <c:v>39153</c:v>
                </c:pt>
                <c:pt idx="270">
                  <c:v>39190</c:v>
                </c:pt>
                <c:pt idx="271">
                  <c:v>39191</c:v>
                </c:pt>
                <c:pt idx="272">
                  <c:v>39191</c:v>
                </c:pt>
                <c:pt idx="273">
                  <c:v>39217</c:v>
                </c:pt>
                <c:pt idx="274">
                  <c:v>39216</c:v>
                </c:pt>
                <c:pt idx="275">
                  <c:v>39216</c:v>
                </c:pt>
                <c:pt idx="276">
                  <c:v>39246</c:v>
                </c:pt>
                <c:pt idx="277">
                  <c:v>39248</c:v>
                </c:pt>
                <c:pt idx="278">
                  <c:v>39248</c:v>
                </c:pt>
                <c:pt idx="279">
                  <c:v>39280</c:v>
                </c:pt>
                <c:pt idx="280">
                  <c:v>39279</c:v>
                </c:pt>
                <c:pt idx="281">
                  <c:v>39279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39336</c:v>
                </c:pt>
                <c:pt idx="286">
                  <c:v>39335</c:v>
                </c:pt>
                <c:pt idx="287">
                  <c:v>39335</c:v>
                </c:pt>
                <c:pt idx="288">
                  <c:v>39370</c:v>
                </c:pt>
                <c:pt idx="289">
                  <c:v>39370</c:v>
                </c:pt>
                <c:pt idx="290">
                  <c:v>39370</c:v>
                </c:pt>
                <c:pt idx="291">
                  <c:v>39400</c:v>
                </c:pt>
                <c:pt idx="292">
                  <c:v>39400</c:v>
                </c:pt>
                <c:pt idx="293">
                  <c:v>39400</c:v>
                </c:pt>
                <c:pt idx="294">
                  <c:v>39427</c:v>
                </c:pt>
                <c:pt idx="295">
                  <c:v>39434</c:v>
                </c:pt>
                <c:pt idx="296">
                  <c:v>39434</c:v>
                </c:pt>
                <c:pt idx="297">
                  <c:v>39462</c:v>
                </c:pt>
                <c:pt idx="298">
                  <c:v>39463</c:v>
                </c:pt>
                <c:pt idx="299">
                  <c:v>39463</c:v>
                </c:pt>
                <c:pt idx="300">
                  <c:v>39490</c:v>
                </c:pt>
                <c:pt idx="301">
                  <c:v>39493</c:v>
                </c:pt>
                <c:pt idx="302">
                  <c:v>39493</c:v>
                </c:pt>
                <c:pt idx="303">
                  <c:v>39517</c:v>
                </c:pt>
                <c:pt idx="304">
                  <c:v>39517</c:v>
                </c:pt>
                <c:pt idx="305">
                  <c:v>39517</c:v>
                </c:pt>
                <c:pt idx="306">
                  <c:v>39553</c:v>
                </c:pt>
                <c:pt idx="307">
                  <c:v>39552</c:v>
                </c:pt>
                <c:pt idx="308">
                  <c:v>39552</c:v>
                </c:pt>
                <c:pt idx="309">
                  <c:v>39582</c:v>
                </c:pt>
                <c:pt idx="310">
                  <c:v>39583</c:v>
                </c:pt>
                <c:pt idx="311">
                  <c:v>39583</c:v>
                </c:pt>
                <c:pt idx="312">
                  <c:v>39616</c:v>
                </c:pt>
                <c:pt idx="313">
                  <c:v>39617</c:v>
                </c:pt>
                <c:pt idx="314">
                  <c:v>39617</c:v>
                </c:pt>
                <c:pt idx="315">
                  <c:v>39644</c:v>
                </c:pt>
                <c:pt idx="316">
                  <c:v>39645</c:v>
                </c:pt>
                <c:pt idx="317">
                  <c:v>39645</c:v>
                </c:pt>
                <c:pt idx="318">
                  <c:v>39672</c:v>
                </c:pt>
                <c:pt idx="319">
                  <c:v>39672</c:v>
                </c:pt>
                <c:pt idx="320">
                  <c:v>39672</c:v>
                </c:pt>
                <c:pt idx="321">
                  <c:v>39709</c:v>
                </c:pt>
                <c:pt idx="322">
                  <c:v>39709</c:v>
                </c:pt>
                <c:pt idx="323">
                  <c:v>39709</c:v>
                </c:pt>
                <c:pt idx="324">
                  <c:v>39737</c:v>
                </c:pt>
                <c:pt idx="325">
                  <c:v>39735</c:v>
                </c:pt>
                <c:pt idx="326">
                  <c:v>39735</c:v>
                </c:pt>
                <c:pt idx="327">
                  <c:v>39763</c:v>
                </c:pt>
                <c:pt idx="328">
                  <c:v>39769</c:v>
                </c:pt>
                <c:pt idx="329">
                  <c:v>39769</c:v>
                </c:pt>
                <c:pt idx="330">
                  <c:v>39797</c:v>
                </c:pt>
                <c:pt idx="331">
                  <c:v>39797</c:v>
                </c:pt>
                <c:pt idx="332">
                  <c:v>39797</c:v>
                </c:pt>
                <c:pt idx="333">
                  <c:v>39825</c:v>
                </c:pt>
                <c:pt idx="334">
                  <c:v>39826</c:v>
                </c:pt>
                <c:pt idx="335">
                  <c:v>39826</c:v>
                </c:pt>
                <c:pt idx="336">
                  <c:v>39854</c:v>
                </c:pt>
                <c:pt idx="337">
                  <c:v>39855</c:v>
                </c:pt>
                <c:pt idx="338">
                  <c:v>39855</c:v>
                </c:pt>
                <c:pt idx="339">
                  <c:v>39890</c:v>
                </c:pt>
                <c:pt idx="340">
                  <c:v>39888</c:v>
                </c:pt>
                <c:pt idx="341">
                  <c:v>39888</c:v>
                </c:pt>
                <c:pt idx="342">
                  <c:v>39920</c:v>
                </c:pt>
                <c:pt idx="343">
                  <c:v>39916</c:v>
                </c:pt>
                <c:pt idx="344">
                  <c:v>39916</c:v>
                </c:pt>
                <c:pt idx="345">
                  <c:v>39945</c:v>
                </c:pt>
                <c:pt idx="346">
                  <c:v>39946</c:v>
                </c:pt>
                <c:pt idx="347">
                  <c:v>39946</c:v>
                </c:pt>
                <c:pt idx="348">
                  <c:v>39980</c:v>
                </c:pt>
                <c:pt idx="349">
                  <c:v>39983</c:v>
                </c:pt>
                <c:pt idx="350">
                  <c:v>39983</c:v>
                </c:pt>
                <c:pt idx="351">
                  <c:v>40007</c:v>
                </c:pt>
                <c:pt idx="352">
                  <c:v>40007</c:v>
                </c:pt>
                <c:pt idx="353">
                  <c:v>40007</c:v>
                </c:pt>
                <c:pt idx="354">
                  <c:v>40043</c:v>
                </c:pt>
                <c:pt idx="355">
                  <c:v>40042</c:v>
                </c:pt>
                <c:pt idx="356">
                  <c:v>40042</c:v>
                </c:pt>
                <c:pt idx="357">
                  <c:v>40070</c:v>
                </c:pt>
                <c:pt idx="358">
                  <c:v>40071</c:v>
                </c:pt>
                <c:pt idx="359">
                  <c:v>40071</c:v>
                </c:pt>
                <c:pt idx="360">
                  <c:v>40099</c:v>
                </c:pt>
                <c:pt idx="361">
                  <c:v>40100</c:v>
                </c:pt>
                <c:pt idx="362">
                  <c:v>40100</c:v>
                </c:pt>
                <c:pt idx="363">
                  <c:v>40133</c:v>
                </c:pt>
                <c:pt idx="364">
                  <c:v>40133</c:v>
                </c:pt>
                <c:pt idx="365">
                  <c:v>40133</c:v>
                </c:pt>
                <c:pt idx="366">
                  <c:v>40161</c:v>
                </c:pt>
                <c:pt idx="367">
                  <c:v>40161</c:v>
                </c:pt>
                <c:pt idx="368">
                  <c:v>40161</c:v>
                </c:pt>
                <c:pt idx="369">
                  <c:v>40197</c:v>
                </c:pt>
                <c:pt idx="370">
                  <c:v>40197</c:v>
                </c:pt>
                <c:pt idx="371">
                  <c:v>40197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40254</c:v>
                </c:pt>
                <c:pt idx="376">
                  <c:v>40255</c:v>
                </c:pt>
                <c:pt idx="377">
                  <c:v>40255</c:v>
                </c:pt>
                <c:pt idx="378">
                  <c:v>40280</c:v>
                </c:pt>
                <c:pt idx="379">
                  <c:v>40281</c:v>
                </c:pt>
                <c:pt idx="380">
                  <c:v>40281</c:v>
                </c:pt>
                <c:pt idx="381">
                  <c:v>40315</c:v>
                </c:pt>
                <c:pt idx="382">
                  <c:v>40317</c:v>
                </c:pt>
                <c:pt idx="383">
                  <c:v>40317</c:v>
                </c:pt>
                <c:pt idx="384">
                  <c:v>40344</c:v>
                </c:pt>
                <c:pt idx="385">
                  <c:v>40345</c:v>
                </c:pt>
                <c:pt idx="386">
                  <c:v>40345</c:v>
                </c:pt>
                <c:pt idx="387">
                  <c:v>40374</c:v>
                </c:pt>
                <c:pt idx="388">
                  <c:v>40374</c:v>
                </c:pt>
                <c:pt idx="389">
                  <c:v>40374</c:v>
                </c:pt>
                <c:pt idx="390">
                  <c:v>40407</c:v>
                </c:pt>
                <c:pt idx="391">
                  <c:v>40409</c:v>
                </c:pt>
                <c:pt idx="392">
                  <c:v>40409</c:v>
                </c:pt>
                <c:pt idx="393">
                  <c:v>40409</c:v>
                </c:pt>
                <c:pt idx="394">
                  <c:v>40436</c:v>
                </c:pt>
                <c:pt idx="395">
                  <c:v>40434</c:v>
                </c:pt>
                <c:pt idx="396">
                  <c:v>40434</c:v>
                </c:pt>
                <c:pt idx="397">
                  <c:v>40464</c:v>
                </c:pt>
                <c:pt idx="398">
                  <c:v>40463</c:v>
                </c:pt>
                <c:pt idx="399">
                  <c:v>40463</c:v>
                </c:pt>
                <c:pt idx="400">
                  <c:v>40498</c:v>
                </c:pt>
                <c:pt idx="401">
                  <c:v>40500</c:v>
                </c:pt>
                <c:pt idx="402">
                  <c:v>40500</c:v>
                </c:pt>
                <c:pt idx="403">
                  <c:v>40520</c:v>
                </c:pt>
                <c:pt idx="404">
                  <c:v>40521</c:v>
                </c:pt>
                <c:pt idx="405">
                  <c:v>40521</c:v>
                </c:pt>
                <c:pt idx="406">
                  <c:v>40562</c:v>
                </c:pt>
                <c:pt idx="407">
                  <c:v>40563</c:v>
                </c:pt>
                <c:pt idx="408">
                  <c:v>40563</c:v>
                </c:pt>
                <c:pt idx="409">
                  <c:v>40591</c:v>
                </c:pt>
                <c:pt idx="410">
                  <c:v>40598</c:v>
                </c:pt>
                <c:pt idx="411">
                  <c:v>40598</c:v>
                </c:pt>
                <c:pt idx="412">
                  <c:v>40619</c:v>
                </c:pt>
                <c:pt idx="413">
                  <c:v>40617</c:v>
                </c:pt>
                <c:pt idx="414">
                  <c:v>40617</c:v>
                </c:pt>
                <c:pt idx="415">
                  <c:v>40617</c:v>
                </c:pt>
                <c:pt idx="416">
                  <c:v>40646</c:v>
                </c:pt>
                <c:pt idx="417">
                  <c:v>40647</c:v>
                </c:pt>
                <c:pt idx="418">
                  <c:v>40647</c:v>
                </c:pt>
                <c:pt idx="419">
                  <c:v>40681</c:v>
                </c:pt>
                <c:pt idx="420">
                  <c:v>40681</c:v>
                </c:pt>
                <c:pt idx="421">
                  <c:v>40682</c:v>
                </c:pt>
                <c:pt idx="422">
                  <c:v>40682</c:v>
                </c:pt>
                <c:pt idx="423">
                  <c:v>40709</c:v>
                </c:pt>
                <c:pt idx="424">
                  <c:v>40709</c:v>
                </c:pt>
                <c:pt idx="425">
                  <c:v>40709</c:v>
                </c:pt>
                <c:pt idx="426">
                  <c:v>40709</c:v>
                </c:pt>
                <c:pt idx="427">
                  <c:v>40735</c:v>
                </c:pt>
                <c:pt idx="428">
                  <c:v>40736</c:v>
                </c:pt>
                <c:pt idx="429">
                  <c:v>40736</c:v>
                </c:pt>
                <c:pt idx="430">
                  <c:v>40736</c:v>
                </c:pt>
                <c:pt idx="431">
                  <c:v>40771</c:v>
                </c:pt>
                <c:pt idx="432">
                  <c:v>40772</c:v>
                </c:pt>
                <c:pt idx="433">
                  <c:v>40772</c:v>
                </c:pt>
                <c:pt idx="434">
                  <c:v>40799</c:v>
                </c:pt>
                <c:pt idx="435">
                  <c:v>40798</c:v>
                </c:pt>
                <c:pt idx="436">
                  <c:v>40798</c:v>
                </c:pt>
                <c:pt idx="437">
                  <c:v>40798</c:v>
                </c:pt>
                <c:pt idx="438">
                  <c:v>40827</c:v>
                </c:pt>
                <c:pt idx="439">
                  <c:v>40827</c:v>
                </c:pt>
                <c:pt idx="440">
                  <c:v>40829</c:v>
                </c:pt>
                <c:pt idx="441">
                  <c:v>40829</c:v>
                </c:pt>
                <c:pt idx="442">
                  <c:v>40862</c:v>
                </c:pt>
                <c:pt idx="443">
                  <c:v>40865</c:v>
                </c:pt>
                <c:pt idx="444">
                  <c:v>40865</c:v>
                </c:pt>
                <c:pt idx="445">
                  <c:v>40891</c:v>
                </c:pt>
                <c:pt idx="446">
                  <c:v>40891</c:v>
                </c:pt>
                <c:pt idx="447">
                  <c:v>40891</c:v>
                </c:pt>
                <c:pt idx="448">
                  <c:v>40919</c:v>
                </c:pt>
                <c:pt idx="449">
                  <c:v>40919</c:v>
                </c:pt>
                <c:pt idx="450">
                  <c:v>40919</c:v>
                </c:pt>
                <c:pt idx="451">
                  <c:v>40962</c:v>
                </c:pt>
                <c:pt idx="452">
                  <c:v>40960</c:v>
                </c:pt>
                <c:pt idx="453">
                  <c:v>40960</c:v>
                </c:pt>
                <c:pt idx="454">
                  <c:v>40980</c:v>
                </c:pt>
                <c:pt idx="455">
                  <c:v>40982</c:v>
                </c:pt>
                <c:pt idx="456">
                  <c:v>40982</c:v>
                </c:pt>
                <c:pt idx="457">
                  <c:v>41015</c:v>
                </c:pt>
                <c:pt idx="458">
                  <c:v>41016</c:v>
                </c:pt>
                <c:pt idx="459">
                  <c:v>41016</c:v>
                </c:pt>
                <c:pt idx="460">
                  <c:v>41016</c:v>
                </c:pt>
                <c:pt idx="461">
                  <c:v>41045</c:v>
                </c:pt>
                <c:pt idx="462">
                  <c:v>41051</c:v>
                </c:pt>
                <c:pt idx="463">
                  <c:v>41051</c:v>
                </c:pt>
                <c:pt idx="464">
                  <c:v>41051</c:v>
                </c:pt>
                <c:pt idx="465">
                  <c:v>41073</c:v>
                </c:pt>
                <c:pt idx="466">
                  <c:v>41080</c:v>
                </c:pt>
                <c:pt idx="467">
                  <c:v>41080</c:v>
                </c:pt>
                <c:pt idx="468">
                  <c:v>41107</c:v>
                </c:pt>
                <c:pt idx="469">
                  <c:v>41106</c:v>
                </c:pt>
                <c:pt idx="470">
                  <c:v>41106</c:v>
                </c:pt>
                <c:pt idx="471">
                  <c:v>41135</c:v>
                </c:pt>
                <c:pt idx="472">
                  <c:v>41137</c:v>
                </c:pt>
                <c:pt idx="473">
                  <c:v>41137</c:v>
                </c:pt>
                <c:pt idx="474">
                  <c:v>41164</c:v>
                </c:pt>
                <c:pt idx="475">
                  <c:v>41163</c:v>
                </c:pt>
                <c:pt idx="476">
                  <c:v>41163</c:v>
                </c:pt>
                <c:pt idx="477">
                  <c:v>41199</c:v>
                </c:pt>
                <c:pt idx="478">
                  <c:v>41199</c:v>
                </c:pt>
                <c:pt idx="479">
                  <c:v>41199</c:v>
                </c:pt>
                <c:pt idx="480">
                  <c:v>41225</c:v>
                </c:pt>
                <c:pt idx="481">
                  <c:v>41225</c:v>
                </c:pt>
                <c:pt idx="482">
                  <c:v>41225</c:v>
                </c:pt>
                <c:pt idx="483">
                  <c:v>41254</c:v>
                </c:pt>
                <c:pt idx="484">
                  <c:v>41255</c:v>
                </c:pt>
                <c:pt idx="485">
                  <c:v>41255</c:v>
                </c:pt>
                <c:pt idx="486">
                  <c:v>41288</c:v>
                </c:pt>
                <c:pt idx="487">
                  <c:v>41297</c:v>
                </c:pt>
                <c:pt idx="488">
                  <c:v>41297</c:v>
                </c:pt>
                <c:pt idx="489">
                  <c:v>41318</c:v>
                </c:pt>
                <c:pt idx="490">
                  <c:v>41319</c:v>
                </c:pt>
                <c:pt idx="491">
                  <c:v>41319</c:v>
                </c:pt>
                <c:pt idx="492">
                  <c:v>41344</c:v>
                </c:pt>
                <c:pt idx="493">
                  <c:v>41346</c:v>
                </c:pt>
                <c:pt idx="494">
                  <c:v>41346</c:v>
                </c:pt>
                <c:pt idx="495">
                  <c:v>41346</c:v>
                </c:pt>
                <c:pt idx="496">
                  <c:v>41379</c:v>
                </c:pt>
                <c:pt idx="497">
                  <c:v>41380</c:v>
                </c:pt>
                <c:pt idx="498">
                  <c:v>41380</c:v>
                </c:pt>
                <c:pt idx="499">
                  <c:v>41408</c:v>
                </c:pt>
                <c:pt idx="500">
                  <c:v>41408</c:v>
                </c:pt>
                <c:pt idx="501">
                  <c:v>41407</c:v>
                </c:pt>
                <c:pt idx="502">
                  <c:v>41407</c:v>
                </c:pt>
                <c:pt idx="503">
                  <c:v>41436</c:v>
                </c:pt>
                <c:pt idx="504">
                  <c:v>41437</c:v>
                </c:pt>
                <c:pt idx="505">
                  <c:v>41437</c:v>
                </c:pt>
                <c:pt idx="506">
                  <c:v>41470</c:v>
                </c:pt>
                <c:pt idx="507">
                  <c:v>41470</c:v>
                </c:pt>
                <c:pt idx="508">
                  <c:v>41470</c:v>
                </c:pt>
                <c:pt idx="509">
                  <c:v>41498</c:v>
                </c:pt>
                <c:pt idx="510">
                  <c:v>41498</c:v>
                </c:pt>
                <c:pt idx="511">
                  <c:v>41498</c:v>
                </c:pt>
                <c:pt idx="512">
                  <c:v>41535</c:v>
                </c:pt>
                <c:pt idx="513">
                  <c:v>41535</c:v>
                </c:pt>
                <c:pt idx="514">
                  <c:v>41535</c:v>
                </c:pt>
                <c:pt idx="515">
                  <c:v>41569</c:v>
                </c:pt>
                <c:pt idx="516">
                  <c:v>406810</c:v>
                </c:pt>
                <c:pt idx="517">
                  <c:v>406810</c:v>
                </c:pt>
                <c:pt idx="518">
                  <c:v>41599</c:v>
                </c:pt>
                <c:pt idx="519">
                  <c:v>41599</c:v>
                </c:pt>
                <c:pt idx="520">
                  <c:v>41599</c:v>
                </c:pt>
                <c:pt idx="521">
                  <c:v>41624</c:v>
                </c:pt>
                <c:pt idx="522">
                  <c:v>41627</c:v>
                </c:pt>
                <c:pt idx="523">
                  <c:v>41627</c:v>
                </c:pt>
                <c:pt idx="524">
                  <c:v>41654</c:v>
                </c:pt>
                <c:pt idx="525">
                  <c:v>41655</c:v>
                </c:pt>
                <c:pt idx="526">
                  <c:v>41655</c:v>
                </c:pt>
                <c:pt idx="527">
                  <c:v>41688</c:v>
                </c:pt>
                <c:pt idx="528">
                  <c:v>41690</c:v>
                </c:pt>
                <c:pt idx="529">
                  <c:v>41690</c:v>
                </c:pt>
                <c:pt idx="530">
                  <c:v>41719</c:v>
                </c:pt>
                <c:pt idx="531">
                  <c:v>41718</c:v>
                </c:pt>
                <c:pt idx="532">
                  <c:v>41718</c:v>
                </c:pt>
                <c:pt idx="533">
                  <c:v>41747</c:v>
                </c:pt>
                <c:pt idx="534">
                  <c:v>41750</c:v>
                </c:pt>
                <c:pt idx="535">
                  <c:v>41750</c:v>
                </c:pt>
                <c:pt idx="536">
                  <c:v>41772</c:v>
                </c:pt>
                <c:pt idx="537">
                  <c:v>41406</c:v>
                </c:pt>
                <c:pt idx="538">
                  <c:v>41406</c:v>
                </c:pt>
                <c:pt idx="539">
                  <c:v>41808</c:v>
                </c:pt>
                <c:pt idx="540">
                  <c:v>41807</c:v>
                </c:pt>
                <c:pt idx="541">
                  <c:v>41807</c:v>
                </c:pt>
                <c:pt idx="542">
                  <c:v>41834</c:v>
                </c:pt>
                <c:pt idx="543">
                  <c:v>41837</c:v>
                </c:pt>
                <c:pt idx="544">
                  <c:v>41837</c:v>
                </c:pt>
                <c:pt idx="545">
                  <c:v>41862</c:v>
                </c:pt>
                <c:pt idx="546">
                  <c:v>41862</c:v>
                </c:pt>
                <c:pt idx="547">
                  <c:v>41862</c:v>
                </c:pt>
                <c:pt idx="548">
                  <c:v>41898</c:v>
                </c:pt>
                <c:pt idx="549">
                  <c:v>41897</c:v>
                </c:pt>
                <c:pt idx="550">
                  <c:v>41897</c:v>
                </c:pt>
                <c:pt idx="551">
                  <c:v>41929</c:v>
                </c:pt>
                <c:pt idx="552">
                  <c:v>41928</c:v>
                </c:pt>
                <c:pt idx="553">
                  <c:v>41928</c:v>
                </c:pt>
                <c:pt idx="554">
                  <c:v>41953</c:v>
                </c:pt>
                <c:pt idx="555">
                  <c:v>41955</c:v>
                </c:pt>
                <c:pt idx="556">
                  <c:v>41955</c:v>
                </c:pt>
                <c:pt idx="557">
                  <c:v>41988</c:v>
                </c:pt>
                <c:pt idx="558">
                  <c:v>41992</c:v>
                </c:pt>
                <c:pt idx="559">
                  <c:v>41992</c:v>
                </c:pt>
                <c:pt idx="560">
                  <c:v>42014</c:v>
                </c:pt>
                <c:pt idx="561">
                  <c:v>42009</c:v>
                </c:pt>
                <c:pt idx="562">
                  <c:v>42009</c:v>
                </c:pt>
                <c:pt idx="563">
                  <c:v>42036</c:v>
                </c:pt>
                <c:pt idx="564">
                  <c:v>42036</c:v>
                </c:pt>
                <c:pt idx="565">
                  <c:v>42036</c:v>
                </c:pt>
                <c:pt idx="566">
                  <c:v>42064</c:v>
                </c:pt>
                <c:pt idx="567">
                  <c:v>42064</c:v>
                </c:pt>
                <c:pt idx="568">
                  <c:v>42064</c:v>
                </c:pt>
                <c:pt idx="569">
                  <c:v>42095</c:v>
                </c:pt>
                <c:pt idx="570">
                  <c:v>42095</c:v>
                </c:pt>
                <c:pt idx="571">
                  <c:v>42095</c:v>
                </c:pt>
                <c:pt idx="572">
                  <c:v>42125</c:v>
                </c:pt>
                <c:pt idx="573">
                  <c:v>42125</c:v>
                </c:pt>
                <c:pt idx="574">
                  <c:v>42125</c:v>
                </c:pt>
                <c:pt idx="575">
                  <c:v>42156</c:v>
                </c:pt>
                <c:pt idx="576">
                  <c:v>42156</c:v>
                </c:pt>
                <c:pt idx="577">
                  <c:v>42156</c:v>
                </c:pt>
                <c:pt idx="578">
                  <c:v>42186</c:v>
                </c:pt>
                <c:pt idx="579">
                  <c:v>42186</c:v>
                </c:pt>
                <c:pt idx="580">
                  <c:v>42186</c:v>
                </c:pt>
                <c:pt idx="581">
                  <c:v>42217</c:v>
                </c:pt>
                <c:pt idx="582">
                  <c:v>42217</c:v>
                </c:pt>
                <c:pt idx="583">
                  <c:v>42217</c:v>
                </c:pt>
                <c:pt idx="584">
                  <c:v>42248</c:v>
                </c:pt>
                <c:pt idx="585">
                  <c:v>42248</c:v>
                </c:pt>
                <c:pt idx="586">
                  <c:v>42248</c:v>
                </c:pt>
                <c:pt idx="587">
                  <c:v>42278</c:v>
                </c:pt>
                <c:pt idx="588">
                  <c:v>42278</c:v>
                </c:pt>
                <c:pt idx="589">
                  <c:v>42278</c:v>
                </c:pt>
                <c:pt idx="590">
                  <c:v>42309</c:v>
                </c:pt>
                <c:pt idx="591">
                  <c:v>42309</c:v>
                </c:pt>
                <c:pt idx="592">
                  <c:v>42309</c:v>
                </c:pt>
                <c:pt idx="593">
                  <c:v>42339</c:v>
                </c:pt>
                <c:pt idx="594">
                  <c:v>42339</c:v>
                </c:pt>
                <c:pt idx="595">
                  <c:v>42339</c:v>
                </c:pt>
                <c:pt idx="596">
                  <c:v>42379</c:v>
                </c:pt>
                <c:pt idx="597">
                  <c:v>42374</c:v>
                </c:pt>
                <c:pt idx="598">
                  <c:v>42374</c:v>
                </c:pt>
                <c:pt idx="599">
                  <c:v>42401</c:v>
                </c:pt>
                <c:pt idx="600">
                  <c:v>42401</c:v>
                </c:pt>
                <c:pt idx="601">
                  <c:v>42401</c:v>
                </c:pt>
                <c:pt idx="602">
                  <c:v>42430</c:v>
                </c:pt>
                <c:pt idx="603">
                  <c:v>42430</c:v>
                </c:pt>
                <c:pt idx="604">
                  <c:v>42430</c:v>
                </c:pt>
                <c:pt idx="605">
                  <c:v>42461</c:v>
                </c:pt>
                <c:pt idx="606">
                  <c:v>42461</c:v>
                </c:pt>
                <c:pt idx="607">
                  <c:v>42461</c:v>
                </c:pt>
                <c:pt idx="608">
                  <c:v>42491</c:v>
                </c:pt>
                <c:pt idx="609">
                  <c:v>42491</c:v>
                </c:pt>
                <c:pt idx="610">
                  <c:v>42491</c:v>
                </c:pt>
                <c:pt idx="611">
                  <c:v>42522</c:v>
                </c:pt>
                <c:pt idx="612">
                  <c:v>42522</c:v>
                </c:pt>
                <c:pt idx="613">
                  <c:v>42522</c:v>
                </c:pt>
                <c:pt idx="614">
                  <c:v>42552</c:v>
                </c:pt>
                <c:pt idx="615">
                  <c:v>42552</c:v>
                </c:pt>
                <c:pt idx="616">
                  <c:v>42552</c:v>
                </c:pt>
                <c:pt idx="617">
                  <c:v>42583</c:v>
                </c:pt>
                <c:pt idx="618">
                  <c:v>42583</c:v>
                </c:pt>
                <c:pt idx="619">
                  <c:v>42583</c:v>
                </c:pt>
                <c:pt idx="620">
                  <c:v>42614</c:v>
                </c:pt>
                <c:pt idx="621">
                  <c:v>42614</c:v>
                </c:pt>
                <c:pt idx="622">
                  <c:v>42614</c:v>
                </c:pt>
                <c:pt idx="623">
                  <c:v>42644</c:v>
                </c:pt>
                <c:pt idx="624">
                  <c:v>42644</c:v>
                </c:pt>
                <c:pt idx="625">
                  <c:v>42644</c:v>
                </c:pt>
                <c:pt idx="626">
                  <c:v>42675</c:v>
                </c:pt>
                <c:pt idx="627">
                  <c:v>42675</c:v>
                </c:pt>
                <c:pt idx="628">
                  <c:v>42675</c:v>
                </c:pt>
                <c:pt idx="629">
                  <c:v>42705</c:v>
                </c:pt>
                <c:pt idx="630">
                  <c:v>42705</c:v>
                </c:pt>
                <c:pt idx="631">
                  <c:v>42705</c:v>
                </c:pt>
                <c:pt idx="632">
                  <c:v>42745</c:v>
                </c:pt>
                <c:pt idx="633">
                  <c:v>42740</c:v>
                </c:pt>
                <c:pt idx="634">
                  <c:v>42740</c:v>
                </c:pt>
                <c:pt idx="635">
                  <c:v>42767</c:v>
                </c:pt>
                <c:pt idx="636">
                  <c:v>42767</c:v>
                </c:pt>
                <c:pt idx="637">
                  <c:v>42767</c:v>
                </c:pt>
                <c:pt idx="638">
                  <c:v>42795</c:v>
                </c:pt>
                <c:pt idx="639">
                  <c:v>42795</c:v>
                </c:pt>
                <c:pt idx="640">
                  <c:v>42795</c:v>
                </c:pt>
                <c:pt idx="641">
                  <c:v>42826</c:v>
                </c:pt>
                <c:pt idx="642">
                  <c:v>42826</c:v>
                </c:pt>
                <c:pt idx="643">
                  <c:v>42826</c:v>
                </c:pt>
                <c:pt idx="644">
                  <c:v>42856</c:v>
                </c:pt>
                <c:pt idx="645">
                  <c:v>42856</c:v>
                </c:pt>
                <c:pt idx="646">
                  <c:v>42856</c:v>
                </c:pt>
                <c:pt idx="647">
                  <c:v>42887</c:v>
                </c:pt>
                <c:pt idx="648">
                  <c:v>42887</c:v>
                </c:pt>
                <c:pt idx="649">
                  <c:v>42887</c:v>
                </c:pt>
                <c:pt idx="650">
                  <c:v>42917</c:v>
                </c:pt>
                <c:pt idx="651">
                  <c:v>42917</c:v>
                </c:pt>
                <c:pt idx="652">
                  <c:v>42917</c:v>
                </c:pt>
                <c:pt idx="653">
                  <c:v>42948</c:v>
                </c:pt>
                <c:pt idx="654">
                  <c:v>42948</c:v>
                </c:pt>
                <c:pt idx="655">
                  <c:v>42948</c:v>
                </c:pt>
                <c:pt idx="656">
                  <c:v>42979</c:v>
                </c:pt>
                <c:pt idx="657">
                  <c:v>42979</c:v>
                </c:pt>
                <c:pt idx="658">
                  <c:v>42979</c:v>
                </c:pt>
                <c:pt idx="659">
                  <c:v>43009</c:v>
                </c:pt>
                <c:pt idx="660">
                  <c:v>43009</c:v>
                </c:pt>
                <c:pt idx="661">
                  <c:v>43009</c:v>
                </c:pt>
                <c:pt idx="662">
                  <c:v>43040</c:v>
                </c:pt>
                <c:pt idx="663">
                  <c:v>43040</c:v>
                </c:pt>
                <c:pt idx="664">
                  <c:v>43040</c:v>
                </c:pt>
                <c:pt idx="665">
                  <c:v>43070</c:v>
                </c:pt>
                <c:pt idx="666">
                  <c:v>43070</c:v>
                </c:pt>
                <c:pt idx="667">
                  <c:v>43070</c:v>
                </c:pt>
                <c:pt idx="668">
                  <c:v>43110</c:v>
                </c:pt>
                <c:pt idx="669">
                  <c:v>43105</c:v>
                </c:pt>
                <c:pt idx="670">
                  <c:v>43105</c:v>
                </c:pt>
                <c:pt idx="671">
                  <c:v>43132</c:v>
                </c:pt>
                <c:pt idx="672">
                  <c:v>43132</c:v>
                </c:pt>
                <c:pt idx="673">
                  <c:v>43132</c:v>
                </c:pt>
                <c:pt idx="674">
                  <c:v>43160</c:v>
                </c:pt>
                <c:pt idx="675">
                  <c:v>43160</c:v>
                </c:pt>
                <c:pt idx="676">
                  <c:v>43160</c:v>
                </c:pt>
                <c:pt idx="677">
                  <c:v>43191</c:v>
                </c:pt>
                <c:pt idx="678">
                  <c:v>43191</c:v>
                </c:pt>
                <c:pt idx="679">
                  <c:v>43191</c:v>
                </c:pt>
                <c:pt idx="680">
                  <c:v>43221</c:v>
                </c:pt>
                <c:pt idx="681">
                  <c:v>43221</c:v>
                </c:pt>
                <c:pt idx="682">
                  <c:v>43221</c:v>
                </c:pt>
                <c:pt idx="683">
                  <c:v>43252</c:v>
                </c:pt>
                <c:pt idx="684">
                  <c:v>43252</c:v>
                </c:pt>
                <c:pt idx="685">
                  <c:v>43252</c:v>
                </c:pt>
                <c:pt idx="686">
                  <c:v>43282</c:v>
                </c:pt>
                <c:pt idx="687">
                  <c:v>43282</c:v>
                </c:pt>
                <c:pt idx="688">
                  <c:v>43282</c:v>
                </c:pt>
                <c:pt idx="689">
                  <c:v>43313</c:v>
                </c:pt>
                <c:pt idx="690">
                  <c:v>43313</c:v>
                </c:pt>
                <c:pt idx="691">
                  <c:v>43313</c:v>
                </c:pt>
                <c:pt idx="692">
                  <c:v>43344</c:v>
                </c:pt>
                <c:pt idx="693">
                  <c:v>43344</c:v>
                </c:pt>
                <c:pt idx="694">
                  <c:v>43344</c:v>
                </c:pt>
                <c:pt idx="695">
                  <c:v>43374</c:v>
                </c:pt>
                <c:pt idx="696">
                  <c:v>43374</c:v>
                </c:pt>
                <c:pt idx="697">
                  <c:v>43374</c:v>
                </c:pt>
                <c:pt idx="698">
                  <c:v>43405</c:v>
                </c:pt>
                <c:pt idx="699">
                  <c:v>43405</c:v>
                </c:pt>
                <c:pt idx="700">
                  <c:v>43405</c:v>
                </c:pt>
                <c:pt idx="701">
                  <c:v>43435</c:v>
                </c:pt>
                <c:pt idx="702">
                  <c:v>43435</c:v>
                </c:pt>
                <c:pt idx="703">
                  <c:v>43435</c:v>
                </c:pt>
                <c:pt idx="704">
                  <c:v>43475</c:v>
                </c:pt>
                <c:pt idx="705">
                  <c:v>43470</c:v>
                </c:pt>
                <c:pt idx="706">
                  <c:v>43470</c:v>
                </c:pt>
                <c:pt idx="707">
                  <c:v>43497</c:v>
                </c:pt>
                <c:pt idx="708">
                  <c:v>43497</c:v>
                </c:pt>
                <c:pt idx="709">
                  <c:v>43497</c:v>
                </c:pt>
                <c:pt idx="710">
                  <c:v>43525</c:v>
                </c:pt>
                <c:pt idx="711">
                  <c:v>43525</c:v>
                </c:pt>
                <c:pt idx="712">
                  <c:v>43525</c:v>
                </c:pt>
                <c:pt idx="713">
                  <c:v>43556</c:v>
                </c:pt>
                <c:pt idx="714">
                  <c:v>43556</c:v>
                </c:pt>
                <c:pt idx="715">
                  <c:v>43556</c:v>
                </c:pt>
                <c:pt idx="716">
                  <c:v>43586</c:v>
                </c:pt>
                <c:pt idx="717">
                  <c:v>43586</c:v>
                </c:pt>
                <c:pt idx="718">
                  <c:v>43586</c:v>
                </c:pt>
                <c:pt idx="719">
                  <c:v>43617</c:v>
                </c:pt>
                <c:pt idx="720">
                  <c:v>43617</c:v>
                </c:pt>
                <c:pt idx="721">
                  <c:v>43617</c:v>
                </c:pt>
                <c:pt idx="722">
                  <c:v>43647</c:v>
                </c:pt>
                <c:pt idx="723">
                  <c:v>43647</c:v>
                </c:pt>
                <c:pt idx="724">
                  <c:v>43647</c:v>
                </c:pt>
                <c:pt idx="725">
                  <c:v>43678</c:v>
                </c:pt>
                <c:pt idx="726">
                  <c:v>43678</c:v>
                </c:pt>
                <c:pt idx="727">
                  <c:v>43678</c:v>
                </c:pt>
                <c:pt idx="728">
                  <c:v>43709</c:v>
                </c:pt>
                <c:pt idx="729">
                  <c:v>43709</c:v>
                </c:pt>
                <c:pt idx="730">
                  <c:v>43709</c:v>
                </c:pt>
                <c:pt idx="731">
                  <c:v>43739</c:v>
                </c:pt>
                <c:pt idx="732">
                  <c:v>43739</c:v>
                </c:pt>
                <c:pt idx="733">
                  <c:v>43739</c:v>
                </c:pt>
                <c:pt idx="734">
                  <c:v>43770</c:v>
                </c:pt>
                <c:pt idx="735">
                  <c:v>43770</c:v>
                </c:pt>
                <c:pt idx="736">
                  <c:v>43770</c:v>
                </c:pt>
                <c:pt idx="737">
                  <c:v>43800</c:v>
                </c:pt>
                <c:pt idx="738">
                  <c:v>43800</c:v>
                </c:pt>
                <c:pt idx="739">
                  <c:v>43800</c:v>
                </c:pt>
              </c:numCache>
            </c:numRef>
          </c:xVal>
          <c:yVal>
            <c:numRef>
              <c:f>'Peridin update'!$N$3:$N$742</c:f>
              <c:numCache>
                <c:formatCode>General</c:formatCode>
                <c:ptCount val="740"/>
                <c:pt idx="2">
                  <c:v>-0.60579920384714958</c:v>
                </c:pt>
                <c:pt idx="5">
                  <c:v>-1.0788283990669902</c:v>
                </c:pt>
                <c:pt idx="8">
                  <c:v>-0.38601260603278409</c:v>
                </c:pt>
                <c:pt idx="11">
                  <c:v>-0.25758686967133942</c:v>
                </c:pt>
                <c:pt idx="14">
                  <c:v>-0.24820847796537987</c:v>
                </c:pt>
                <c:pt idx="17">
                  <c:v>-0.77623538236528722</c:v>
                </c:pt>
                <c:pt idx="20">
                  <c:v>-0.95545449367880686</c:v>
                </c:pt>
                <c:pt idx="23">
                  <c:v>-1.3465028771747944</c:v>
                </c:pt>
                <c:pt idx="26">
                  <c:v>-1.9558500499415872</c:v>
                </c:pt>
                <c:pt idx="29">
                  <c:v>-2.1193965422698304</c:v>
                </c:pt>
                <c:pt idx="32">
                  <c:v>-2.414403483669326</c:v>
                </c:pt>
                <c:pt idx="35">
                  <c:v>-2.3817368180665457</c:v>
                </c:pt>
                <c:pt idx="38">
                  <c:v>-2.621554497963178</c:v>
                </c:pt>
                <c:pt idx="41">
                  <c:v>-0.16796828879017367</c:v>
                </c:pt>
                <c:pt idx="44">
                  <c:v>0.62722117811749656</c:v>
                </c:pt>
                <c:pt idx="47">
                  <c:v>2.3607200917792959</c:v>
                </c:pt>
                <c:pt idx="50">
                  <c:v>3.8489220146462935</c:v>
                </c:pt>
                <c:pt idx="53">
                  <c:v>3.1854283785824844</c:v>
                </c:pt>
                <c:pt idx="56">
                  <c:v>2.6459412146526162</c:v>
                </c:pt>
                <c:pt idx="59">
                  <c:v>2.8776216368316714</c:v>
                </c:pt>
                <c:pt idx="62">
                  <c:v>2.39029234873709</c:v>
                </c:pt>
                <c:pt idx="65">
                  <c:v>2.381244726816516</c:v>
                </c:pt>
                <c:pt idx="68">
                  <c:v>1.686242065575553</c:v>
                </c:pt>
                <c:pt idx="71">
                  <c:v>1.0634059346650968</c:v>
                </c:pt>
                <c:pt idx="74">
                  <c:v>0.43483385496832294</c:v>
                </c:pt>
                <c:pt idx="77">
                  <c:v>-0.25210509244246537</c:v>
                </c:pt>
                <c:pt idx="80">
                  <c:v>-0.91320829917931778</c:v>
                </c:pt>
                <c:pt idx="83">
                  <c:v>-0.8271150000149935</c:v>
                </c:pt>
                <c:pt idx="86">
                  <c:v>-0.36796706737644574</c:v>
                </c:pt>
                <c:pt idx="89">
                  <c:v>-0.674111621349607</c:v>
                </c:pt>
                <c:pt idx="92">
                  <c:v>0.32918112784160125</c:v>
                </c:pt>
                <c:pt idx="110">
                  <c:v>-5.3824384792279856E-2</c:v>
                </c:pt>
                <c:pt idx="113">
                  <c:v>-0.35765407136179062</c:v>
                </c:pt>
                <c:pt idx="116">
                  <c:v>0.25173691020224298</c:v>
                </c:pt>
                <c:pt idx="119">
                  <c:v>0.80153631440278073</c:v>
                </c:pt>
                <c:pt idx="122">
                  <c:v>1.4178307764355442</c:v>
                </c:pt>
                <c:pt idx="125">
                  <c:v>1.8152956427682152</c:v>
                </c:pt>
                <c:pt idx="128">
                  <c:v>1.0253693360249914</c:v>
                </c:pt>
                <c:pt idx="131">
                  <c:v>0.79132469491942781</c:v>
                </c:pt>
                <c:pt idx="134">
                  <c:v>0.19956321966692625</c:v>
                </c:pt>
                <c:pt idx="137">
                  <c:v>-0.48646020269855972</c:v>
                </c:pt>
                <c:pt idx="140">
                  <c:v>-1.057842995371693</c:v>
                </c:pt>
                <c:pt idx="143">
                  <c:v>-1.625649373922911</c:v>
                </c:pt>
                <c:pt idx="146">
                  <c:v>-2.0738274163240016</c:v>
                </c:pt>
                <c:pt idx="149">
                  <c:v>-2.0458623571152996</c:v>
                </c:pt>
                <c:pt idx="152">
                  <c:v>-1.9501295878050788</c:v>
                </c:pt>
                <c:pt idx="155">
                  <c:v>-2.5901373843300837</c:v>
                </c:pt>
                <c:pt idx="158">
                  <c:v>-3.1994380005048324</c:v>
                </c:pt>
                <c:pt idx="161">
                  <c:v>-3.7639231064207195</c:v>
                </c:pt>
                <c:pt idx="164">
                  <c:v>-4.0884780671258687</c:v>
                </c:pt>
                <c:pt idx="167">
                  <c:v>-4.3251094018224316</c:v>
                </c:pt>
                <c:pt idx="170">
                  <c:v>-4.8904933280640757</c:v>
                </c:pt>
                <c:pt idx="173">
                  <c:v>-5.2714181764837011</c:v>
                </c:pt>
                <c:pt idx="179">
                  <c:v>-5.8483885738720254</c:v>
                </c:pt>
                <c:pt idx="182">
                  <c:v>-6.5132295834091378</c:v>
                </c:pt>
                <c:pt idx="185">
                  <c:v>-6.4537301357720267</c:v>
                </c:pt>
                <c:pt idx="188">
                  <c:v>-6.082166882875879</c:v>
                </c:pt>
                <c:pt idx="191">
                  <c:v>-5.6747752766602</c:v>
                </c:pt>
                <c:pt idx="194">
                  <c:v>-5.2869205570762707</c:v>
                </c:pt>
                <c:pt idx="197">
                  <c:v>-3.9330458350452178</c:v>
                </c:pt>
                <c:pt idx="200">
                  <c:v>-4.4523489216490297</c:v>
                </c:pt>
                <c:pt idx="203">
                  <c:v>-4.8070368352438733</c:v>
                </c:pt>
                <c:pt idx="206">
                  <c:v>-5.28918514128243</c:v>
                </c:pt>
                <c:pt idx="209">
                  <c:v>-5.6516844840202607</c:v>
                </c:pt>
                <c:pt idx="212">
                  <c:v>-5.6536570607284089</c:v>
                </c:pt>
                <c:pt idx="215">
                  <c:v>-6.2666888080692873</c:v>
                </c:pt>
                <c:pt idx="218">
                  <c:v>-7.0561770242573711</c:v>
                </c:pt>
                <c:pt idx="221">
                  <c:v>-7.844955622502054</c:v>
                </c:pt>
                <c:pt idx="224">
                  <c:v>-8.4691617200611002</c:v>
                </c:pt>
                <c:pt idx="227">
                  <c:v>-8.2049697643304871</c:v>
                </c:pt>
                <c:pt idx="230">
                  <c:v>-8.7377130361329698</c:v>
                </c:pt>
                <c:pt idx="233">
                  <c:v>-9.4529242019766251</c:v>
                </c:pt>
                <c:pt idx="236">
                  <c:v>-10.027896562546051</c:v>
                </c:pt>
                <c:pt idx="239">
                  <c:v>-10.650027417111925</c:v>
                </c:pt>
                <c:pt idx="242">
                  <c:v>-11.235056720011064</c:v>
                </c:pt>
                <c:pt idx="245">
                  <c:v>-11.592889838714584</c:v>
                </c:pt>
                <c:pt idx="248">
                  <c:v>-12.209210687576876</c:v>
                </c:pt>
                <c:pt idx="251">
                  <c:v>-12.59527569536159</c:v>
                </c:pt>
                <c:pt idx="254">
                  <c:v>-13.158952010376945</c:v>
                </c:pt>
                <c:pt idx="257">
                  <c:v>-13.765418107812685</c:v>
                </c:pt>
                <c:pt idx="260">
                  <c:v>-12.983288072666745</c:v>
                </c:pt>
                <c:pt idx="263">
                  <c:v>-13.255356599263745</c:v>
                </c:pt>
                <c:pt idx="266">
                  <c:v>-13.590968467267627</c:v>
                </c:pt>
                <c:pt idx="269">
                  <c:v>-13.745157435102465</c:v>
                </c:pt>
                <c:pt idx="272">
                  <c:v>-14.053754365904357</c:v>
                </c:pt>
                <c:pt idx="275">
                  <c:v>-14.60714018404374</c:v>
                </c:pt>
                <c:pt idx="278">
                  <c:v>-15.196529909133341</c:v>
                </c:pt>
                <c:pt idx="281">
                  <c:v>-15.619873958598138</c:v>
                </c:pt>
                <c:pt idx="284">
                  <c:v>-16.286380527862356</c:v>
                </c:pt>
                <c:pt idx="287">
                  <c:v>-15.573165030698366</c:v>
                </c:pt>
                <c:pt idx="290">
                  <c:v>-16.357197731441346</c:v>
                </c:pt>
                <c:pt idx="293">
                  <c:v>-16.866616738438701</c:v>
                </c:pt>
                <c:pt idx="296">
                  <c:v>-16.872581769320703</c:v>
                </c:pt>
                <c:pt idx="299">
                  <c:v>-16.644606559849819</c:v>
                </c:pt>
                <c:pt idx="302">
                  <c:v>-16.379532556585183</c:v>
                </c:pt>
                <c:pt idx="305">
                  <c:v>-16.451835190492659</c:v>
                </c:pt>
                <c:pt idx="308">
                  <c:v>-17.045269997398677</c:v>
                </c:pt>
                <c:pt idx="311">
                  <c:v>-17.31332368561791</c:v>
                </c:pt>
                <c:pt idx="314">
                  <c:v>-17.875590909512294</c:v>
                </c:pt>
                <c:pt idx="317">
                  <c:v>-17.461471214320433</c:v>
                </c:pt>
                <c:pt idx="320">
                  <c:v>-13.873380019908637</c:v>
                </c:pt>
                <c:pt idx="323">
                  <c:v>-14.532186141061896</c:v>
                </c:pt>
                <c:pt idx="326">
                  <c:v>-15.261225939751389</c:v>
                </c:pt>
                <c:pt idx="329">
                  <c:v>-15.843160468500495</c:v>
                </c:pt>
                <c:pt idx="332">
                  <c:v>-15.563729492008958</c:v>
                </c:pt>
                <c:pt idx="335">
                  <c:v>-15.646978686457281</c:v>
                </c:pt>
                <c:pt idx="338">
                  <c:v>-16.08062573511539</c:v>
                </c:pt>
                <c:pt idx="341">
                  <c:v>-16.68742147278159</c:v>
                </c:pt>
                <c:pt idx="344">
                  <c:v>-17.071374317295493</c:v>
                </c:pt>
                <c:pt idx="347">
                  <c:v>-17.723020176772337</c:v>
                </c:pt>
                <c:pt idx="350">
                  <c:v>-18.156217342156925</c:v>
                </c:pt>
                <c:pt idx="353">
                  <c:v>-18.441657253417777</c:v>
                </c:pt>
                <c:pt idx="356">
                  <c:v>-18.656228552637302</c:v>
                </c:pt>
                <c:pt idx="359">
                  <c:v>-18.787601316957396</c:v>
                </c:pt>
                <c:pt idx="362">
                  <c:v>-19.298470700247943</c:v>
                </c:pt>
                <c:pt idx="365">
                  <c:v>-19.396760712044426</c:v>
                </c:pt>
                <c:pt idx="368">
                  <c:v>-19.005148278239371</c:v>
                </c:pt>
                <c:pt idx="371">
                  <c:v>-19.030679407819441</c:v>
                </c:pt>
                <c:pt idx="374">
                  <c:v>-19.266549169355422</c:v>
                </c:pt>
                <c:pt idx="377">
                  <c:v>-19.895665421757698</c:v>
                </c:pt>
                <c:pt idx="380">
                  <c:v>-19.723330287242369</c:v>
                </c:pt>
                <c:pt idx="383">
                  <c:v>-20.142999704303282</c:v>
                </c:pt>
                <c:pt idx="386">
                  <c:v>-20.182395383272912</c:v>
                </c:pt>
                <c:pt idx="389">
                  <c:v>-19.907067708285474</c:v>
                </c:pt>
                <c:pt idx="393">
                  <c:v>-18.950490020843258</c:v>
                </c:pt>
                <c:pt idx="396">
                  <c:v>-19.390682279203144</c:v>
                </c:pt>
                <c:pt idx="399">
                  <c:v>-19.882644015949616</c:v>
                </c:pt>
                <c:pt idx="402">
                  <c:v>-19.25210362790925</c:v>
                </c:pt>
                <c:pt idx="405">
                  <c:v>-19.778241848950593</c:v>
                </c:pt>
                <c:pt idx="408">
                  <c:v>-20.024524082948687</c:v>
                </c:pt>
                <c:pt idx="411">
                  <c:v>-19.928196317845448</c:v>
                </c:pt>
                <c:pt idx="415">
                  <c:v>-20.062114569807758</c:v>
                </c:pt>
                <c:pt idx="418">
                  <c:v>-19.033306438943267</c:v>
                </c:pt>
                <c:pt idx="422">
                  <c:v>-19.488604055715356</c:v>
                </c:pt>
                <c:pt idx="426">
                  <c:v>-19.968585513109712</c:v>
                </c:pt>
                <c:pt idx="429">
                  <c:v>-20.132709924125404</c:v>
                </c:pt>
                <c:pt idx="433">
                  <c:v>-20.271533067521403</c:v>
                </c:pt>
                <c:pt idx="437">
                  <c:v>-20.852123080248038</c:v>
                </c:pt>
                <c:pt idx="441">
                  <c:v>-20.278267745571512</c:v>
                </c:pt>
                <c:pt idx="444">
                  <c:v>-20.363879294402295</c:v>
                </c:pt>
                <c:pt idx="447">
                  <c:v>-17.732549374836815</c:v>
                </c:pt>
                <c:pt idx="450">
                  <c:v>-17.87592504495478</c:v>
                </c:pt>
                <c:pt idx="453">
                  <c:v>-17.499430167228549</c:v>
                </c:pt>
                <c:pt idx="456">
                  <c:v>-16.731030885321211</c:v>
                </c:pt>
                <c:pt idx="460">
                  <c:v>-16.518001247320459</c:v>
                </c:pt>
                <c:pt idx="464">
                  <c:v>-16.856023906474238</c:v>
                </c:pt>
                <c:pt idx="467">
                  <c:v>-17.153973394857584</c:v>
                </c:pt>
                <c:pt idx="470">
                  <c:v>-17.19891751903678</c:v>
                </c:pt>
                <c:pt idx="473">
                  <c:v>-13.930828557477589</c:v>
                </c:pt>
                <c:pt idx="476">
                  <c:v>-9.421319877469605</c:v>
                </c:pt>
                <c:pt idx="479">
                  <c:v>-10.211246184212829</c:v>
                </c:pt>
                <c:pt idx="482">
                  <c:v>-10.872346867381872</c:v>
                </c:pt>
                <c:pt idx="485">
                  <c:v>-10.857443789182382</c:v>
                </c:pt>
                <c:pt idx="488">
                  <c:v>-11.469790809597674</c:v>
                </c:pt>
                <c:pt idx="491">
                  <c:v>-12.030509171007154</c:v>
                </c:pt>
                <c:pt idx="495">
                  <c:v>-12.7645394476442</c:v>
                </c:pt>
                <c:pt idx="498">
                  <c:v>-13.554465754387424</c:v>
                </c:pt>
                <c:pt idx="502">
                  <c:v>-13.352430441472354</c:v>
                </c:pt>
                <c:pt idx="505">
                  <c:v>-13.802461303803208</c:v>
                </c:pt>
                <c:pt idx="508">
                  <c:v>-13.398459789363304</c:v>
                </c:pt>
                <c:pt idx="511">
                  <c:v>-12.430868585791707</c:v>
                </c:pt>
                <c:pt idx="514">
                  <c:v>-12.782199925012788</c:v>
                </c:pt>
                <c:pt idx="517">
                  <c:v>-12.889731488583527</c:v>
                </c:pt>
                <c:pt idx="520">
                  <c:v>-12.433706572914637</c:v>
                </c:pt>
                <c:pt idx="523">
                  <c:v>-12.627282590731538</c:v>
                </c:pt>
                <c:pt idx="526">
                  <c:v>-12.534448515697104</c:v>
                </c:pt>
                <c:pt idx="529">
                  <c:v>-12.612120130146023</c:v>
                </c:pt>
                <c:pt idx="532">
                  <c:v>-12.803087502184223</c:v>
                </c:pt>
                <c:pt idx="535">
                  <c:v>-13.351446914170857</c:v>
                </c:pt>
                <c:pt idx="538">
                  <c:v>-14.141373220914081</c:v>
                </c:pt>
                <c:pt idx="541">
                  <c:v>-13.491646171245165</c:v>
                </c:pt>
                <c:pt idx="544">
                  <c:v>-12.231270367840974</c:v>
                </c:pt>
                <c:pt idx="547">
                  <c:v>-11.35399574033014</c:v>
                </c:pt>
                <c:pt idx="550">
                  <c:v>-10.790557229870654</c:v>
                </c:pt>
                <c:pt idx="553">
                  <c:v>-11.316901050561002</c:v>
                </c:pt>
                <c:pt idx="556">
                  <c:v>-11.515356183952935</c:v>
                </c:pt>
                <c:pt idx="559">
                  <c:v>-10.329613773088409</c:v>
                </c:pt>
                <c:pt idx="562">
                  <c:v>-10.461171057874298</c:v>
                </c:pt>
                <c:pt idx="568">
                  <c:v>-10.888755446307805</c:v>
                </c:pt>
                <c:pt idx="571">
                  <c:v>-10.847351805961754</c:v>
                </c:pt>
                <c:pt idx="574">
                  <c:v>-2.0391813406497832</c:v>
                </c:pt>
                <c:pt idx="577">
                  <c:v>-1.3142784780888861</c:v>
                </c:pt>
                <c:pt idx="580">
                  <c:v>-0.67298710085819968</c:v>
                </c:pt>
                <c:pt idx="583">
                  <c:v>4.6216645242432683</c:v>
                </c:pt>
                <c:pt idx="586">
                  <c:v>4.0831857775192617</c:v>
                </c:pt>
                <c:pt idx="589">
                  <c:v>5.0016542661543948</c:v>
                </c:pt>
                <c:pt idx="592">
                  <c:v>5.3720879069680354</c:v>
                </c:pt>
                <c:pt idx="595">
                  <c:v>5.9296814596767584</c:v>
                </c:pt>
                <c:pt idx="598">
                  <c:v>5.7919058745742724</c:v>
                </c:pt>
                <c:pt idx="601">
                  <c:v>7.2044039430165814</c:v>
                </c:pt>
                <c:pt idx="604">
                  <c:v>8.7665531682142799</c:v>
                </c:pt>
                <c:pt idx="607">
                  <c:v>8.1806880160280802</c:v>
                </c:pt>
                <c:pt idx="610">
                  <c:v>7.8100337395092287</c:v>
                </c:pt>
                <c:pt idx="613">
                  <c:v>7.419518967520828</c:v>
                </c:pt>
                <c:pt idx="616">
                  <c:v>6.987802456025717</c:v>
                </c:pt>
                <c:pt idx="619">
                  <c:v>6.4414320781687646</c:v>
                </c:pt>
                <c:pt idx="622">
                  <c:v>5.8405496703239157</c:v>
                </c:pt>
                <c:pt idx="625">
                  <c:v>5.7019129439333902</c:v>
                </c:pt>
                <c:pt idx="628">
                  <c:v>5.1021246120810044</c:v>
                </c:pt>
                <c:pt idx="631">
                  <c:v>7.5153114510344423</c:v>
                </c:pt>
                <c:pt idx="640">
                  <c:v>6.9673021518185134</c:v>
                </c:pt>
                <c:pt idx="643">
                  <c:v>6.3923309659277967</c:v>
                </c:pt>
                <c:pt idx="646">
                  <c:v>5.7267863854225789</c:v>
                </c:pt>
                <c:pt idx="649">
                  <c:v>5.1415031163717391</c:v>
                </c:pt>
                <c:pt idx="652">
                  <c:v>4.9147595709815421</c:v>
                </c:pt>
                <c:pt idx="658">
                  <c:v>4.336767369989122</c:v>
                </c:pt>
                <c:pt idx="661">
                  <c:v>4.0332736963949367</c:v>
                </c:pt>
                <c:pt idx="667">
                  <c:v>3.9376304551764911</c:v>
                </c:pt>
                <c:pt idx="670">
                  <c:v>3.7729132076957326</c:v>
                </c:pt>
                <c:pt idx="673">
                  <c:v>3.6388078560626802</c:v>
                </c:pt>
                <c:pt idx="676">
                  <c:v>2.9782673565798721</c:v>
                </c:pt>
                <c:pt idx="679">
                  <c:v>2.2040400940316682</c:v>
                </c:pt>
                <c:pt idx="682">
                  <c:v>1.7041050145058143</c:v>
                </c:pt>
                <c:pt idx="685">
                  <c:v>1.2884038664432387</c:v>
                </c:pt>
                <c:pt idx="688">
                  <c:v>0.8215280639787037</c:v>
                </c:pt>
                <c:pt idx="691">
                  <c:v>0.13610611093982494</c:v>
                </c:pt>
                <c:pt idx="694">
                  <c:v>-0.42845889206209375</c:v>
                </c:pt>
                <c:pt idx="697">
                  <c:v>-0.64388677001000083</c:v>
                </c:pt>
                <c:pt idx="698">
                  <c:v>-0.19683571061207111</c:v>
                </c:pt>
                <c:pt idx="712">
                  <c:v>0.45681202411554794</c:v>
                </c:pt>
                <c:pt idx="715">
                  <c:v>-0.10009141336567901</c:v>
                </c:pt>
                <c:pt idx="718">
                  <c:v>-0.54041522227933969</c:v>
                </c:pt>
                <c:pt idx="721">
                  <c:v>-1.0493299658567916</c:v>
                </c:pt>
                <c:pt idx="724">
                  <c:v>-1.1267333608171406</c:v>
                </c:pt>
                <c:pt idx="727">
                  <c:v>-1.6259877591805001</c:v>
                </c:pt>
                <c:pt idx="730">
                  <c:v>-2.4019941852810462</c:v>
                </c:pt>
                <c:pt idx="733">
                  <c:v>-3.1679087860384714</c:v>
                </c:pt>
                <c:pt idx="739">
                  <c:v>-3.6061308294352319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BE-8D45-93A4-8433C5840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462"/>
        <c:minorUnit val="730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Peridin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'Peridin update'!$B$3:$B$742</c:f>
              <c:numCache>
                <c:formatCode>[$-409]mmm\-yy;@</c:formatCode>
                <c:ptCount val="740"/>
                <c:pt idx="0">
                  <c:v>36445</c:v>
                </c:pt>
                <c:pt idx="1">
                  <c:v>36446</c:v>
                </c:pt>
                <c:pt idx="2">
                  <c:v>36445</c:v>
                </c:pt>
                <c:pt idx="3">
                  <c:v>36472</c:v>
                </c:pt>
                <c:pt idx="4">
                  <c:v>36473</c:v>
                </c:pt>
                <c:pt idx="5">
                  <c:v>36472</c:v>
                </c:pt>
                <c:pt idx="6">
                  <c:v>36501</c:v>
                </c:pt>
                <c:pt idx="7">
                  <c:v>36502</c:v>
                </c:pt>
                <c:pt idx="8">
                  <c:v>36501</c:v>
                </c:pt>
                <c:pt idx="9">
                  <c:v>36530</c:v>
                </c:pt>
                <c:pt idx="10">
                  <c:v>36531</c:v>
                </c:pt>
                <c:pt idx="11">
                  <c:v>36530</c:v>
                </c:pt>
                <c:pt idx="12">
                  <c:v>36579</c:v>
                </c:pt>
                <c:pt idx="13">
                  <c:v>36578</c:v>
                </c:pt>
                <c:pt idx="14">
                  <c:v>36579</c:v>
                </c:pt>
                <c:pt idx="15">
                  <c:v>36598</c:v>
                </c:pt>
                <c:pt idx="16">
                  <c:v>36599</c:v>
                </c:pt>
                <c:pt idx="17">
                  <c:v>36598</c:v>
                </c:pt>
                <c:pt idx="18">
                  <c:v>36627</c:v>
                </c:pt>
                <c:pt idx="19">
                  <c:v>36626</c:v>
                </c:pt>
                <c:pt idx="20">
                  <c:v>36627</c:v>
                </c:pt>
                <c:pt idx="21">
                  <c:v>36662</c:v>
                </c:pt>
                <c:pt idx="22">
                  <c:v>36663</c:v>
                </c:pt>
                <c:pt idx="23">
                  <c:v>36662</c:v>
                </c:pt>
                <c:pt idx="24">
                  <c:v>36690</c:v>
                </c:pt>
                <c:pt idx="25">
                  <c:v>36692</c:v>
                </c:pt>
                <c:pt idx="26">
                  <c:v>36690</c:v>
                </c:pt>
                <c:pt idx="27">
                  <c:v>36718</c:v>
                </c:pt>
                <c:pt idx="28">
                  <c:v>36719</c:v>
                </c:pt>
                <c:pt idx="29">
                  <c:v>36718</c:v>
                </c:pt>
                <c:pt idx="30">
                  <c:v>36753</c:v>
                </c:pt>
                <c:pt idx="31">
                  <c:v>36755</c:v>
                </c:pt>
                <c:pt idx="32">
                  <c:v>36753</c:v>
                </c:pt>
                <c:pt idx="33">
                  <c:v>36781</c:v>
                </c:pt>
                <c:pt idx="34">
                  <c:v>36783</c:v>
                </c:pt>
                <c:pt idx="35">
                  <c:v>36781</c:v>
                </c:pt>
                <c:pt idx="36">
                  <c:v>36817</c:v>
                </c:pt>
                <c:pt idx="37">
                  <c:v>36815</c:v>
                </c:pt>
                <c:pt idx="38">
                  <c:v>36817</c:v>
                </c:pt>
                <c:pt idx="39">
                  <c:v>36845</c:v>
                </c:pt>
                <c:pt idx="40">
                  <c:v>36846</c:v>
                </c:pt>
                <c:pt idx="41">
                  <c:v>36845</c:v>
                </c:pt>
                <c:pt idx="42">
                  <c:v>36871</c:v>
                </c:pt>
                <c:pt idx="43">
                  <c:v>36873</c:v>
                </c:pt>
                <c:pt idx="44">
                  <c:v>36871</c:v>
                </c:pt>
                <c:pt idx="45">
                  <c:v>36901</c:v>
                </c:pt>
                <c:pt idx="46">
                  <c:v>36902</c:v>
                </c:pt>
                <c:pt idx="47">
                  <c:v>36901</c:v>
                </c:pt>
                <c:pt idx="48">
                  <c:v>36928</c:v>
                </c:pt>
                <c:pt idx="49">
                  <c:v>36929</c:v>
                </c:pt>
                <c:pt idx="50">
                  <c:v>36928</c:v>
                </c:pt>
                <c:pt idx="51">
                  <c:v>36965</c:v>
                </c:pt>
                <c:pt idx="52">
                  <c:v>36962</c:v>
                </c:pt>
                <c:pt idx="53">
                  <c:v>36964</c:v>
                </c:pt>
                <c:pt idx="54">
                  <c:v>37000</c:v>
                </c:pt>
                <c:pt idx="55">
                  <c:v>36998</c:v>
                </c:pt>
                <c:pt idx="56">
                  <c:v>36997</c:v>
                </c:pt>
                <c:pt idx="57">
                  <c:v>37026</c:v>
                </c:pt>
                <c:pt idx="58">
                  <c:v>37025</c:v>
                </c:pt>
                <c:pt idx="59">
                  <c:v>37026</c:v>
                </c:pt>
                <c:pt idx="60">
                  <c:v>37055</c:v>
                </c:pt>
                <c:pt idx="61">
                  <c:v>37054</c:v>
                </c:pt>
                <c:pt idx="62">
                  <c:v>37055</c:v>
                </c:pt>
                <c:pt idx="63">
                  <c:v>37092</c:v>
                </c:pt>
                <c:pt idx="64">
                  <c:v>37090</c:v>
                </c:pt>
                <c:pt idx="65">
                  <c:v>37092</c:v>
                </c:pt>
                <c:pt idx="66">
                  <c:v>37118</c:v>
                </c:pt>
                <c:pt idx="67">
                  <c:v>37117</c:v>
                </c:pt>
                <c:pt idx="68">
                  <c:v>37118</c:v>
                </c:pt>
                <c:pt idx="69">
                  <c:v>37152</c:v>
                </c:pt>
                <c:pt idx="70">
                  <c:v>37145</c:v>
                </c:pt>
                <c:pt idx="71">
                  <c:v>37145</c:v>
                </c:pt>
                <c:pt idx="72">
                  <c:v>37180</c:v>
                </c:pt>
                <c:pt idx="73">
                  <c:v>37182</c:v>
                </c:pt>
                <c:pt idx="74">
                  <c:v>37180</c:v>
                </c:pt>
                <c:pt idx="75">
                  <c:v>37201</c:v>
                </c:pt>
                <c:pt idx="76">
                  <c:v>37202</c:v>
                </c:pt>
                <c:pt idx="77">
                  <c:v>37201</c:v>
                </c:pt>
                <c:pt idx="78">
                  <c:v>37229</c:v>
                </c:pt>
                <c:pt idx="79">
                  <c:v>37230</c:v>
                </c:pt>
                <c:pt idx="80">
                  <c:v>37229</c:v>
                </c:pt>
                <c:pt idx="81">
                  <c:v>37271</c:v>
                </c:pt>
                <c:pt idx="82">
                  <c:v>37272</c:v>
                </c:pt>
                <c:pt idx="83">
                  <c:v>37271</c:v>
                </c:pt>
                <c:pt idx="84">
                  <c:v>37306</c:v>
                </c:pt>
                <c:pt idx="85">
                  <c:v>37301</c:v>
                </c:pt>
                <c:pt idx="86">
                  <c:v>37306</c:v>
                </c:pt>
                <c:pt idx="87">
                  <c:v>37334</c:v>
                </c:pt>
                <c:pt idx="88">
                  <c:v>37336</c:v>
                </c:pt>
                <c:pt idx="89">
                  <c:v>37336</c:v>
                </c:pt>
                <c:pt idx="90">
                  <c:v>37362</c:v>
                </c:pt>
                <c:pt idx="91">
                  <c:v>37363</c:v>
                </c:pt>
                <c:pt idx="92">
                  <c:v>37362</c:v>
                </c:pt>
                <c:pt idx="93">
                  <c:v>37392</c:v>
                </c:pt>
                <c:pt idx="94">
                  <c:v>37392</c:v>
                </c:pt>
                <c:pt idx="95">
                  <c:v>37392</c:v>
                </c:pt>
                <c:pt idx="96">
                  <c:v>37419</c:v>
                </c:pt>
                <c:pt idx="97">
                  <c:v>37420</c:v>
                </c:pt>
                <c:pt idx="98">
                  <c:v>37419</c:v>
                </c:pt>
                <c:pt idx="99">
                  <c:v>37454</c:v>
                </c:pt>
                <c:pt idx="100">
                  <c:v>37453</c:v>
                </c:pt>
                <c:pt idx="101">
                  <c:v>37454</c:v>
                </c:pt>
                <c:pt idx="102">
                  <c:v>37482</c:v>
                </c:pt>
                <c:pt idx="103">
                  <c:v>37481</c:v>
                </c:pt>
                <c:pt idx="104">
                  <c:v>37482</c:v>
                </c:pt>
                <c:pt idx="105">
                  <c:v>37517</c:v>
                </c:pt>
                <c:pt idx="106">
                  <c:v>37518</c:v>
                </c:pt>
                <c:pt idx="107">
                  <c:v>37517</c:v>
                </c:pt>
                <c:pt idx="108">
                  <c:v>37544</c:v>
                </c:pt>
                <c:pt idx="109">
                  <c:v>37546</c:v>
                </c:pt>
                <c:pt idx="110">
                  <c:v>37546</c:v>
                </c:pt>
                <c:pt idx="111">
                  <c:v>37575</c:v>
                </c:pt>
                <c:pt idx="112">
                  <c:v>37574</c:v>
                </c:pt>
                <c:pt idx="113">
                  <c:v>37574</c:v>
                </c:pt>
                <c:pt idx="114">
                  <c:v>37609</c:v>
                </c:pt>
                <c:pt idx="115">
                  <c:v>37608</c:v>
                </c:pt>
                <c:pt idx="116">
                  <c:v>37608</c:v>
                </c:pt>
                <c:pt idx="117">
                  <c:v>37635</c:v>
                </c:pt>
                <c:pt idx="118">
                  <c:v>37636</c:v>
                </c:pt>
                <c:pt idx="119">
                  <c:v>37636</c:v>
                </c:pt>
                <c:pt idx="120">
                  <c:v>37665</c:v>
                </c:pt>
                <c:pt idx="121">
                  <c:v>37663</c:v>
                </c:pt>
                <c:pt idx="122">
                  <c:v>37663</c:v>
                </c:pt>
                <c:pt idx="123">
                  <c:v>37692</c:v>
                </c:pt>
                <c:pt idx="124">
                  <c:v>37691</c:v>
                </c:pt>
                <c:pt idx="125">
                  <c:v>37692</c:v>
                </c:pt>
                <c:pt idx="126">
                  <c:v>37726</c:v>
                </c:pt>
                <c:pt idx="127">
                  <c:v>37727</c:v>
                </c:pt>
                <c:pt idx="128">
                  <c:v>37726</c:v>
                </c:pt>
                <c:pt idx="129">
                  <c:v>37761</c:v>
                </c:pt>
                <c:pt idx="130">
                  <c:v>37756</c:v>
                </c:pt>
                <c:pt idx="131">
                  <c:v>37761</c:v>
                </c:pt>
                <c:pt idx="132">
                  <c:v>37792</c:v>
                </c:pt>
                <c:pt idx="133">
                  <c:v>37790</c:v>
                </c:pt>
                <c:pt idx="134">
                  <c:v>37790</c:v>
                </c:pt>
                <c:pt idx="135">
                  <c:v>37819</c:v>
                </c:pt>
                <c:pt idx="136">
                  <c:v>37818</c:v>
                </c:pt>
                <c:pt idx="137">
                  <c:v>37819</c:v>
                </c:pt>
                <c:pt idx="138">
                  <c:v>37847</c:v>
                </c:pt>
                <c:pt idx="139">
                  <c:v>37846</c:v>
                </c:pt>
                <c:pt idx="140">
                  <c:v>37847</c:v>
                </c:pt>
                <c:pt idx="141">
                  <c:v>37888</c:v>
                </c:pt>
                <c:pt idx="142">
                  <c:v>37886</c:v>
                </c:pt>
                <c:pt idx="143">
                  <c:v>37886</c:v>
                </c:pt>
                <c:pt idx="144">
                  <c:v>37910</c:v>
                </c:pt>
                <c:pt idx="145">
                  <c:v>37910</c:v>
                </c:pt>
                <c:pt idx="146">
                  <c:v>37910</c:v>
                </c:pt>
                <c:pt idx="147">
                  <c:v>37943</c:v>
                </c:pt>
                <c:pt idx="148">
                  <c:v>37942</c:v>
                </c:pt>
                <c:pt idx="149">
                  <c:v>37942</c:v>
                </c:pt>
                <c:pt idx="150">
                  <c:v>37973</c:v>
                </c:pt>
                <c:pt idx="151">
                  <c:v>37971</c:v>
                </c:pt>
                <c:pt idx="152">
                  <c:v>37971</c:v>
                </c:pt>
                <c:pt idx="153">
                  <c:v>37999</c:v>
                </c:pt>
                <c:pt idx="156">
                  <c:v>38027</c:v>
                </c:pt>
                <c:pt idx="157">
                  <c:v>38026</c:v>
                </c:pt>
                <c:pt idx="158">
                  <c:v>38026</c:v>
                </c:pt>
                <c:pt idx="159">
                  <c:v>38063</c:v>
                </c:pt>
                <c:pt idx="160">
                  <c:v>38061</c:v>
                </c:pt>
                <c:pt idx="161">
                  <c:v>38063</c:v>
                </c:pt>
                <c:pt idx="162">
                  <c:v>38094</c:v>
                </c:pt>
                <c:pt idx="163">
                  <c:v>38093</c:v>
                </c:pt>
                <c:pt idx="164">
                  <c:v>38094</c:v>
                </c:pt>
                <c:pt idx="165">
                  <c:v>38118</c:v>
                </c:pt>
                <c:pt idx="166">
                  <c:v>38117</c:v>
                </c:pt>
                <c:pt idx="167">
                  <c:v>38118</c:v>
                </c:pt>
                <c:pt idx="168">
                  <c:v>38153</c:v>
                </c:pt>
                <c:pt idx="169">
                  <c:v>38160</c:v>
                </c:pt>
                <c:pt idx="170">
                  <c:v>38155</c:v>
                </c:pt>
                <c:pt idx="171">
                  <c:v>38181</c:v>
                </c:pt>
                <c:pt idx="172">
                  <c:v>38182</c:v>
                </c:pt>
                <c:pt idx="173">
                  <c:v>38182</c:v>
                </c:pt>
                <c:pt idx="174">
                  <c:v>38217</c:v>
                </c:pt>
                <c:pt idx="175">
                  <c:v>38218</c:v>
                </c:pt>
                <c:pt idx="176">
                  <c:v>38218</c:v>
                </c:pt>
                <c:pt idx="177">
                  <c:v>38244</c:v>
                </c:pt>
                <c:pt idx="178">
                  <c:v>38246</c:v>
                </c:pt>
                <c:pt idx="179">
                  <c:v>38246</c:v>
                </c:pt>
                <c:pt idx="180">
                  <c:v>38273</c:v>
                </c:pt>
                <c:pt idx="181">
                  <c:v>38274</c:v>
                </c:pt>
                <c:pt idx="182">
                  <c:v>38273</c:v>
                </c:pt>
                <c:pt idx="183">
                  <c:v>38307</c:v>
                </c:pt>
                <c:pt idx="184">
                  <c:v>38309</c:v>
                </c:pt>
                <c:pt idx="185">
                  <c:v>38307</c:v>
                </c:pt>
                <c:pt idx="186">
                  <c:v>38337</c:v>
                </c:pt>
                <c:pt idx="187">
                  <c:v>38337</c:v>
                </c:pt>
                <c:pt idx="188">
                  <c:v>38337</c:v>
                </c:pt>
                <c:pt idx="189">
                  <c:v>38363</c:v>
                </c:pt>
                <c:pt idx="190">
                  <c:v>38364</c:v>
                </c:pt>
                <c:pt idx="191">
                  <c:v>38363</c:v>
                </c:pt>
                <c:pt idx="192">
                  <c:v>38399</c:v>
                </c:pt>
                <c:pt idx="193">
                  <c:v>38398</c:v>
                </c:pt>
                <c:pt idx="194">
                  <c:v>38398</c:v>
                </c:pt>
                <c:pt idx="195">
                  <c:v>38428</c:v>
                </c:pt>
                <c:pt idx="196">
                  <c:v>38427</c:v>
                </c:pt>
                <c:pt idx="197">
                  <c:v>38427</c:v>
                </c:pt>
                <c:pt idx="198">
                  <c:v>38469</c:v>
                </c:pt>
                <c:pt idx="199">
                  <c:v>38470</c:v>
                </c:pt>
                <c:pt idx="200">
                  <c:v>38469</c:v>
                </c:pt>
                <c:pt idx="201">
                  <c:v>38490</c:v>
                </c:pt>
                <c:pt idx="202">
                  <c:v>38488</c:v>
                </c:pt>
                <c:pt idx="203">
                  <c:v>38488</c:v>
                </c:pt>
                <c:pt idx="204">
                  <c:v>38518</c:v>
                </c:pt>
                <c:pt idx="205">
                  <c:v>38525</c:v>
                </c:pt>
                <c:pt idx="206">
                  <c:v>38525</c:v>
                </c:pt>
                <c:pt idx="207">
                  <c:v>38547</c:v>
                </c:pt>
                <c:pt idx="208">
                  <c:v>38546</c:v>
                </c:pt>
                <c:pt idx="209">
                  <c:v>38546</c:v>
                </c:pt>
                <c:pt idx="210">
                  <c:v>38587</c:v>
                </c:pt>
                <c:pt idx="211">
                  <c:v>38587</c:v>
                </c:pt>
                <c:pt idx="212">
                  <c:v>38587</c:v>
                </c:pt>
                <c:pt idx="213">
                  <c:v>38608</c:v>
                </c:pt>
                <c:pt idx="214">
                  <c:v>38609</c:v>
                </c:pt>
                <c:pt idx="215">
                  <c:v>38609</c:v>
                </c:pt>
                <c:pt idx="216">
                  <c:v>38636</c:v>
                </c:pt>
                <c:pt idx="217">
                  <c:v>38642</c:v>
                </c:pt>
                <c:pt idx="218">
                  <c:v>38637</c:v>
                </c:pt>
                <c:pt idx="219">
                  <c:v>38671</c:v>
                </c:pt>
                <c:pt idx="220">
                  <c:v>38670</c:v>
                </c:pt>
                <c:pt idx="221">
                  <c:v>38670</c:v>
                </c:pt>
                <c:pt idx="222">
                  <c:v>38707</c:v>
                </c:pt>
                <c:pt idx="223">
                  <c:v>38706</c:v>
                </c:pt>
                <c:pt idx="224">
                  <c:v>38706</c:v>
                </c:pt>
                <c:pt idx="225">
                  <c:v>38734</c:v>
                </c:pt>
                <c:pt idx="226">
                  <c:v>38740</c:v>
                </c:pt>
                <c:pt idx="227">
                  <c:v>38737</c:v>
                </c:pt>
                <c:pt idx="228">
                  <c:v>38762</c:v>
                </c:pt>
                <c:pt idx="229">
                  <c:v>38763</c:v>
                </c:pt>
                <c:pt idx="230">
                  <c:v>38763</c:v>
                </c:pt>
                <c:pt idx="231">
                  <c:v>38789</c:v>
                </c:pt>
                <c:pt idx="232">
                  <c:v>38792</c:v>
                </c:pt>
                <c:pt idx="233">
                  <c:v>38792</c:v>
                </c:pt>
                <c:pt idx="234">
                  <c:v>38825</c:v>
                </c:pt>
                <c:pt idx="235">
                  <c:v>38826</c:v>
                </c:pt>
                <c:pt idx="236">
                  <c:v>38826</c:v>
                </c:pt>
                <c:pt idx="237">
                  <c:v>38852</c:v>
                </c:pt>
                <c:pt idx="238">
                  <c:v>38853</c:v>
                </c:pt>
                <c:pt idx="239">
                  <c:v>38853</c:v>
                </c:pt>
                <c:pt idx="240">
                  <c:v>38883</c:v>
                </c:pt>
                <c:pt idx="241">
                  <c:v>38884</c:v>
                </c:pt>
                <c:pt idx="242">
                  <c:v>38884</c:v>
                </c:pt>
                <c:pt idx="243">
                  <c:v>38916</c:v>
                </c:pt>
                <c:pt idx="244">
                  <c:v>38915</c:v>
                </c:pt>
                <c:pt idx="245">
                  <c:v>38915</c:v>
                </c:pt>
                <c:pt idx="246">
                  <c:v>38953</c:v>
                </c:pt>
                <c:pt idx="247">
                  <c:v>38952</c:v>
                </c:pt>
                <c:pt idx="248">
                  <c:v>38952</c:v>
                </c:pt>
                <c:pt idx="249">
                  <c:v>38972</c:v>
                </c:pt>
                <c:pt idx="250">
                  <c:v>38975</c:v>
                </c:pt>
                <c:pt idx="251">
                  <c:v>38975</c:v>
                </c:pt>
                <c:pt idx="252">
                  <c:v>39008</c:v>
                </c:pt>
                <c:pt idx="253">
                  <c:v>39006</c:v>
                </c:pt>
                <c:pt idx="254">
                  <c:v>39006</c:v>
                </c:pt>
                <c:pt idx="255">
                  <c:v>39035</c:v>
                </c:pt>
                <c:pt idx="256">
                  <c:v>39041</c:v>
                </c:pt>
                <c:pt idx="257">
                  <c:v>39041</c:v>
                </c:pt>
                <c:pt idx="258">
                  <c:v>39063</c:v>
                </c:pt>
                <c:pt idx="259">
                  <c:v>39062</c:v>
                </c:pt>
                <c:pt idx="260">
                  <c:v>39062</c:v>
                </c:pt>
                <c:pt idx="261">
                  <c:v>39100</c:v>
                </c:pt>
                <c:pt idx="262">
                  <c:v>39100</c:v>
                </c:pt>
                <c:pt idx="263">
                  <c:v>39100</c:v>
                </c:pt>
                <c:pt idx="264">
                  <c:v>39134</c:v>
                </c:pt>
                <c:pt idx="265">
                  <c:v>39135</c:v>
                </c:pt>
                <c:pt idx="266">
                  <c:v>39135</c:v>
                </c:pt>
                <c:pt idx="267">
                  <c:v>39154</c:v>
                </c:pt>
                <c:pt idx="268">
                  <c:v>39153</c:v>
                </c:pt>
                <c:pt idx="269">
                  <c:v>39153</c:v>
                </c:pt>
                <c:pt idx="270">
                  <c:v>39190</c:v>
                </c:pt>
                <c:pt idx="271">
                  <c:v>39191</c:v>
                </c:pt>
                <c:pt idx="272">
                  <c:v>39191</c:v>
                </c:pt>
                <c:pt idx="273">
                  <c:v>39217</c:v>
                </c:pt>
                <c:pt idx="274">
                  <c:v>39216</c:v>
                </c:pt>
                <c:pt idx="275">
                  <c:v>39216</c:v>
                </c:pt>
                <c:pt idx="276">
                  <c:v>39246</c:v>
                </c:pt>
                <c:pt idx="277">
                  <c:v>39248</c:v>
                </c:pt>
                <c:pt idx="278">
                  <c:v>39248</c:v>
                </c:pt>
                <c:pt idx="279">
                  <c:v>39280</c:v>
                </c:pt>
                <c:pt idx="280">
                  <c:v>39279</c:v>
                </c:pt>
                <c:pt idx="281">
                  <c:v>39279</c:v>
                </c:pt>
                <c:pt idx="282">
                  <c:v>39308</c:v>
                </c:pt>
                <c:pt idx="283">
                  <c:v>39308</c:v>
                </c:pt>
                <c:pt idx="284">
                  <c:v>39308</c:v>
                </c:pt>
                <c:pt idx="285">
                  <c:v>39336</c:v>
                </c:pt>
                <c:pt idx="286">
                  <c:v>39335</c:v>
                </c:pt>
                <c:pt idx="287">
                  <c:v>39335</c:v>
                </c:pt>
                <c:pt idx="288">
                  <c:v>39370</c:v>
                </c:pt>
                <c:pt idx="289">
                  <c:v>39370</c:v>
                </c:pt>
                <c:pt idx="290">
                  <c:v>39370</c:v>
                </c:pt>
                <c:pt idx="291">
                  <c:v>39400</c:v>
                </c:pt>
                <c:pt idx="292">
                  <c:v>39400</c:v>
                </c:pt>
                <c:pt idx="293">
                  <c:v>39400</c:v>
                </c:pt>
                <c:pt idx="294">
                  <c:v>39427</c:v>
                </c:pt>
                <c:pt idx="295">
                  <c:v>39434</c:v>
                </c:pt>
                <c:pt idx="296">
                  <c:v>39434</c:v>
                </c:pt>
                <c:pt idx="297">
                  <c:v>39462</c:v>
                </c:pt>
                <c:pt idx="298">
                  <c:v>39463</c:v>
                </c:pt>
                <c:pt idx="299">
                  <c:v>39463</c:v>
                </c:pt>
                <c:pt idx="300">
                  <c:v>39490</c:v>
                </c:pt>
                <c:pt idx="301">
                  <c:v>39493</c:v>
                </c:pt>
                <c:pt idx="302">
                  <c:v>39493</c:v>
                </c:pt>
                <c:pt idx="303">
                  <c:v>39517</c:v>
                </c:pt>
                <c:pt idx="304">
                  <c:v>39517</c:v>
                </c:pt>
                <c:pt idx="305">
                  <c:v>39517</c:v>
                </c:pt>
                <c:pt idx="306">
                  <c:v>39553</c:v>
                </c:pt>
                <c:pt idx="307">
                  <c:v>39552</c:v>
                </c:pt>
                <c:pt idx="308">
                  <c:v>39552</c:v>
                </c:pt>
                <c:pt idx="309">
                  <c:v>39582</c:v>
                </c:pt>
                <c:pt idx="310">
                  <c:v>39583</c:v>
                </c:pt>
                <c:pt idx="311">
                  <c:v>39583</c:v>
                </c:pt>
                <c:pt idx="312">
                  <c:v>39616</c:v>
                </c:pt>
                <c:pt idx="313">
                  <c:v>39617</c:v>
                </c:pt>
                <c:pt idx="314">
                  <c:v>39617</c:v>
                </c:pt>
                <c:pt idx="315">
                  <c:v>39644</c:v>
                </c:pt>
                <c:pt idx="316">
                  <c:v>39645</c:v>
                </c:pt>
                <c:pt idx="317">
                  <c:v>39645</c:v>
                </c:pt>
                <c:pt idx="318">
                  <c:v>39672</c:v>
                </c:pt>
                <c:pt idx="319">
                  <c:v>39672</c:v>
                </c:pt>
                <c:pt idx="320">
                  <c:v>39672</c:v>
                </c:pt>
                <c:pt idx="321">
                  <c:v>39709</c:v>
                </c:pt>
                <c:pt idx="322">
                  <c:v>39709</c:v>
                </c:pt>
                <c:pt idx="323">
                  <c:v>39709</c:v>
                </c:pt>
                <c:pt idx="324">
                  <c:v>39737</c:v>
                </c:pt>
                <c:pt idx="325">
                  <c:v>39735</c:v>
                </c:pt>
                <c:pt idx="326">
                  <c:v>39735</c:v>
                </c:pt>
                <c:pt idx="327">
                  <c:v>39763</c:v>
                </c:pt>
                <c:pt idx="328">
                  <c:v>39769</c:v>
                </c:pt>
                <c:pt idx="329">
                  <c:v>39769</c:v>
                </c:pt>
                <c:pt idx="330">
                  <c:v>39797</c:v>
                </c:pt>
                <c:pt idx="331">
                  <c:v>39797</c:v>
                </c:pt>
                <c:pt idx="332">
                  <c:v>39797</c:v>
                </c:pt>
                <c:pt idx="333">
                  <c:v>39825</c:v>
                </c:pt>
                <c:pt idx="334">
                  <c:v>39826</c:v>
                </c:pt>
                <c:pt idx="335">
                  <c:v>39826</c:v>
                </c:pt>
                <c:pt idx="336">
                  <c:v>39854</c:v>
                </c:pt>
                <c:pt idx="337">
                  <c:v>39855</c:v>
                </c:pt>
                <c:pt idx="338">
                  <c:v>39855</c:v>
                </c:pt>
                <c:pt idx="339">
                  <c:v>39890</c:v>
                </c:pt>
                <c:pt idx="340">
                  <c:v>39888</c:v>
                </c:pt>
                <c:pt idx="341">
                  <c:v>39888</c:v>
                </c:pt>
                <c:pt idx="342">
                  <c:v>39920</c:v>
                </c:pt>
                <c:pt idx="343">
                  <c:v>39916</c:v>
                </c:pt>
                <c:pt idx="344">
                  <c:v>39916</c:v>
                </c:pt>
                <c:pt idx="345">
                  <c:v>39945</c:v>
                </c:pt>
                <c:pt idx="346">
                  <c:v>39946</c:v>
                </c:pt>
                <c:pt idx="347">
                  <c:v>39946</c:v>
                </c:pt>
                <c:pt idx="348">
                  <c:v>39980</c:v>
                </c:pt>
                <c:pt idx="349">
                  <c:v>39983</c:v>
                </c:pt>
                <c:pt idx="350">
                  <c:v>39983</c:v>
                </c:pt>
                <c:pt idx="351">
                  <c:v>40007</c:v>
                </c:pt>
                <c:pt idx="352">
                  <c:v>40007</c:v>
                </c:pt>
                <c:pt idx="353">
                  <c:v>40007</c:v>
                </c:pt>
                <c:pt idx="354">
                  <c:v>40043</c:v>
                </c:pt>
                <c:pt idx="355">
                  <c:v>40042</c:v>
                </c:pt>
                <c:pt idx="356">
                  <c:v>40042</c:v>
                </c:pt>
                <c:pt idx="357">
                  <c:v>40070</c:v>
                </c:pt>
                <c:pt idx="358">
                  <c:v>40071</c:v>
                </c:pt>
                <c:pt idx="359">
                  <c:v>40071</c:v>
                </c:pt>
                <c:pt idx="360">
                  <c:v>40099</c:v>
                </c:pt>
                <c:pt idx="361">
                  <c:v>40100</c:v>
                </c:pt>
                <c:pt idx="362">
                  <c:v>40100</c:v>
                </c:pt>
                <c:pt idx="363">
                  <c:v>40133</c:v>
                </c:pt>
                <c:pt idx="364">
                  <c:v>40133</c:v>
                </c:pt>
                <c:pt idx="365">
                  <c:v>40133</c:v>
                </c:pt>
                <c:pt idx="366">
                  <c:v>40161</c:v>
                </c:pt>
                <c:pt idx="367">
                  <c:v>40161</c:v>
                </c:pt>
                <c:pt idx="368">
                  <c:v>40161</c:v>
                </c:pt>
                <c:pt idx="369">
                  <c:v>40197</c:v>
                </c:pt>
                <c:pt idx="370">
                  <c:v>40197</c:v>
                </c:pt>
                <c:pt idx="371">
                  <c:v>40197</c:v>
                </c:pt>
                <c:pt idx="372">
                  <c:v>40225</c:v>
                </c:pt>
                <c:pt idx="373">
                  <c:v>40225</c:v>
                </c:pt>
                <c:pt idx="374">
                  <c:v>40225</c:v>
                </c:pt>
                <c:pt idx="375">
                  <c:v>40254</c:v>
                </c:pt>
                <c:pt idx="376">
                  <c:v>40255</c:v>
                </c:pt>
                <c:pt idx="377">
                  <c:v>40255</c:v>
                </c:pt>
                <c:pt idx="378">
                  <c:v>40280</c:v>
                </c:pt>
                <c:pt idx="379">
                  <c:v>40281</c:v>
                </c:pt>
                <c:pt idx="380">
                  <c:v>40281</c:v>
                </c:pt>
                <c:pt idx="381">
                  <c:v>40315</c:v>
                </c:pt>
                <c:pt idx="382">
                  <c:v>40317</c:v>
                </c:pt>
                <c:pt idx="383">
                  <c:v>40317</c:v>
                </c:pt>
                <c:pt idx="384">
                  <c:v>40344</c:v>
                </c:pt>
                <c:pt idx="385">
                  <c:v>40345</c:v>
                </c:pt>
                <c:pt idx="386">
                  <c:v>40345</c:v>
                </c:pt>
                <c:pt idx="387">
                  <c:v>40374</c:v>
                </c:pt>
                <c:pt idx="388">
                  <c:v>40374</c:v>
                </c:pt>
                <c:pt idx="389">
                  <c:v>40374</c:v>
                </c:pt>
                <c:pt idx="390">
                  <c:v>40407</c:v>
                </c:pt>
                <c:pt idx="391">
                  <c:v>40409</c:v>
                </c:pt>
                <c:pt idx="392">
                  <c:v>40409</c:v>
                </c:pt>
                <c:pt idx="393">
                  <c:v>40409</c:v>
                </c:pt>
                <c:pt idx="394">
                  <c:v>40436</c:v>
                </c:pt>
                <c:pt idx="395">
                  <c:v>40434</c:v>
                </c:pt>
                <c:pt idx="396">
                  <c:v>40434</c:v>
                </c:pt>
                <c:pt idx="397">
                  <c:v>40464</c:v>
                </c:pt>
                <c:pt idx="398">
                  <c:v>40463</c:v>
                </c:pt>
                <c:pt idx="399">
                  <c:v>40463</c:v>
                </c:pt>
                <c:pt idx="400">
                  <c:v>40498</c:v>
                </c:pt>
                <c:pt idx="401">
                  <c:v>40500</c:v>
                </c:pt>
                <c:pt idx="402">
                  <c:v>40500</c:v>
                </c:pt>
                <c:pt idx="403">
                  <c:v>40520</c:v>
                </c:pt>
                <c:pt idx="404">
                  <c:v>40521</c:v>
                </c:pt>
                <c:pt idx="405">
                  <c:v>40521</c:v>
                </c:pt>
                <c:pt idx="406">
                  <c:v>40562</c:v>
                </c:pt>
                <c:pt idx="407">
                  <c:v>40563</c:v>
                </c:pt>
                <c:pt idx="408">
                  <c:v>40563</c:v>
                </c:pt>
                <c:pt idx="409">
                  <c:v>40591</c:v>
                </c:pt>
                <c:pt idx="410">
                  <c:v>40598</c:v>
                </c:pt>
                <c:pt idx="411">
                  <c:v>40598</c:v>
                </c:pt>
                <c:pt idx="412">
                  <c:v>40619</c:v>
                </c:pt>
                <c:pt idx="413">
                  <c:v>40617</c:v>
                </c:pt>
                <c:pt idx="414">
                  <c:v>40617</c:v>
                </c:pt>
                <c:pt idx="415">
                  <c:v>40617</c:v>
                </c:pt>
                <c:pt idx="416">
                  <c:v>40646</c:v>
                </c:pt>
                <c:pt idx="417">
                  <c:v>40647</c:v>
                </c:pt>
                <c:pt idx="418">
                  <c:v>40647</c:v>
                </c:pt>
                <c:pt idx="419">
                  <c:v>40681</c:v>
                </c:pt>
                <c:pt idx="420">
                  <c:v>40681</c:v>
                </c:pt>
                <c:pt idx="421">
                  <c:v>40682</c:v>
                </c:pt>
                <c:pt idx="422">
                  <c:v>40682</c:v>
                </c:pt>
                <c:pt idx="423">
                  <c:v>40709</c:v>
                </c:pt>
                <c:pt idx="424">
                  <c:v>40709</c:v>
                </c:pt>
                <c:pt idx="425">
                  <c:v>40709</c:v>
                </c:pt>
                <c:pt idx="426">
                  <c:v>40709</c:v>
                </c:pt>
                <c:pt idx="427">
                  <c:v>40735</c:v>
                </c:pt>
                <c:pt idx="428">
                  <c:v>40736</c:v>
                </c:pt>
                <c:pt idx="429">
                  <c:v>40736</c:v>
                </c:pt>
                <c:pt idx="430">
                  <c:v>40736</c:v>
                </c:pt>
                <c:pt idx="431">
                  <c:v>40771</c:v>
                </c:pt>
                <c:pt idx="432">
                  <c:v>40772</c:v>
                </c:pt>
                <c:pt idx="433">
                  <c:v>40772</c:v>
                </c:pt>
                <c:pt idx="434">
                  <c:v>40799</c:v>
                </c:pt>
                <c:pt idx="435">
                  <c:v>40798</c:v>
                </c:pt>
                <c:pt idx="436">
                  <c:v>40798</c:v>
                </c:pt>
                <c:pt idx="437">
                  <c:v>40798</c:v>
                </c:pt>
                <c:pt idx="438">
                  <c:v>40827</c:v>
                </c:pt>
                <c:pt idx="439">
                  <c:v>40827</c:v>
                </c:pt>
                <c:pt idx="440">
                  <c:v>40829</c:v>
                </c:pt>
                <c:pt idx="441">
                  <c:v>40829</c:v>
                </c:pt>
                <c:pt idx="442">
                  <c:v>40862</c:v>
                </c:pt>
                <c:pt idx="443">
                  <c:v>40865</c:v>
                </c:pt>
                <c:pt idx="444">
                  <c:v>40865</c:v>
                </c:pt>
                <c:pt idx="445">
                  <c:v>40891</c:v>
                </c:pt>
                <c:pt idx="446">
                  <c:v>40891</c:v>
                </c:pt>
                <c:pt idx="447">
                  <c:v>40891</c:v>
                </c:pt>
                <c:pt idx="448">
                  <c:v>40919</c:v>
                </c:pt>
                <c:pt idx="449">
                  <c:v>40919</c:v>
                </c:pt>
                <c:pt idx="450">
                  <c:v>40919</c:v>
                </c:pt>
                <c:pt idx="451">
                  <c:v>40962</c:v>
                </c:pt>
                <c:pt idx="452">
                  <c:v>40960</c:v>
                </c:pt>
                <c:pt idx="453">
                  <c:v>40960</c:v>
                </c:pt>
                <c:pt idx="454">
                  <c:v>40980</c:v>
                </c:pt>
                <c:pt idx="455">
                  <c:v>40982</c:v>
                </c:pt>
                <c:pt idx="456">
                  <c:v>40982</c:v>
                </c:pt>
                <c:pt idx="457">
                  <c:v>41015</c:v>
                </c:pt>
                <c:pt idx="458">
                  <c:v>41016</c:v>
                </c:pt>
                <c:pt idx="459">
                  <c:v>41016</c:v>
                </c:pt>
                <c:pt idx="460">
                  <c:v>41016</c:v>
                </c:pt>
                <c:pt idx="461">
                  <c:v>41045</c:v>
                </c:pt>
                <c:pt idx="462">
                  <c:v>41051</c:v>
                </c:pt>
                <c:pt idx="463">
                  <c:v>41051</c:v>
                </c:pt>
                <c:pt idx="464">
                  <c:v>41051</c:v>
                </c:pt>
                <c:pt idx="465">
                  <c:v>41073</c:v>
                </c:pt>
                <c:pt idx="466">
                  <c:v>41080</c:v>
                </c:pt>
                <c:pt idx="467">
                  <c:v>41080</c:v>
                </c:pt>
                <c:pt idx="468">
                  <c:v>41107</c:v>
                </c:pt>
                <c:pt idx="469">
                  <c:v>41106</c:v>
                </c:pt>
                <c:pt idx="470">
                  <c:v>41106</c:v>
                </c:pt>
                <c:pt idx="471">
                  <c:v>41135</c:v>
                </c:pt>
                <c:pt idx="472">
                  <c:v>41137</c:v>
                </c:pt>
                <c:pt idx="473">
                  <c:v>41137</c:v>
                </c:pt>
                <c:pt idx="474">
                  <c:v>41164</c:v>
                </c:pt>
                <c:pt idx="475">
                  <c:v>41163</c:v>
                </c:pt>
                <c:pt idx="476">
                  <c:v>41163</c:v>
                </c:pt>
                <c:pt idx="477">
                  <c:v>41199</c:v>
                </c:pt>
                <c:pt idx="478">
                  <c:v>41199</c:v>
                </c:pt>
                <c:pt idx="479">
                  <c:v>41199</c:v>
                </c:pt>
                <c:pt idx="480">
                  <c:v>41225</c:v>
                </c:pt>
                <c:pt idx="481">
                  <c:v>41225</c:v>
                </c:pt>
                <c:pt idx="482">
                  <c:v>41225</c:v>
                </c:pt>
                <c:pt idx="483">
                  <c:v>41254</c:v>
                </c:pt>
                <c:pt idx="484">
                  <c:v>41255</c:v>
                </c:pt>
                <c:pt idx="485">
                  <c:v>41255</c:v>
                </c:pt>
                <c:pt idx="486">
                  <c:v>41288</c:v>
                </c:pt>
                <c:pt idx="487">
                  <c:v>41297</c:v>
                </c:pt>
                <c:pt idx="488">
                  <c:v>41297</c:v>
                </c:pt>
                <c:pt idx="489">
                  <c:v>41318</c:v>
                </c:pt>
                <c:pt idx="490">
                  <c:v>41319</c:v>
                </c:pt>
                <c:pt idx="491">
                  <c:v>41319</c:v>
                </c:pt>
                <c:pt idx="492">
                  <c:v>41344</c:v>
                </c:pt>
                <c:pt idx="493">
                  <c:v>41346</c:v>
                </c:pt>
                <c:pt idx="494">
                  <c:v>41346</c:v>
                </c:pt>
                <c:pt idx="495">
                  <c:v>41346</c:v>
                </c:pt>
                <c:pt idx="496">
                  <c:v>41379</c:v>
                </c:pt>
                <c:pt idx="497">
                  <c:v>41380</c:v>
                </c:pt>
                <c:pt idx="498">
                  <c:v>41380</c:v>
                </c:pt>
                <c:pt idx="499">
                  <c:v>41408</c:v>
                </c:pt>
                <c:pt idx="500">
                  <c:v>41408</c:v>
                </c:pt>
                <c:pt idx="501">
                  <c:v>41407</c:v>
                </c:pt>
                <c:pt idx="502">
                  <c:v>41407</c:v>
                </c:pt>
                <c:pt idx="503">
                  <c:v>41436</c:v>
                </c:pt>
                <c:pt idx="504">
                  <c:v>41437</c:v>
                </c:pt>
                <c:pt idx="505">
                  <c:v>41437</c:v>
                </c:pt>
                <c:pt idx="506">
                  <c:v>41470</c:v>
                </c:pt>
                <c:pt idx="507">
                  <c:v>41470</c:v>
                </c:pt>
                <c:pt idx="508">
                  <c:v>41470</c:v>
                </c:pt>
                <c:pt idx="509">
                  <c:v>41498</c:v>
                </c:pt>
                <c:pt idx="510">
                  <c:v>41498</c:v>
                </c:pt>
                <c:pt idx="511">
                  <c:v>41498</c:v>
                </c:pt>
                <c:pt idx="512">
                  <c:v>41535</c:v>
                </c:pt>
                <c:pt idx="513">
                  <c:v>41535</c:v>
                </c:pt>
                <c:pt idx="514">
                  <c:v>41535</c:v>
                </c:pt>
                <c:pt idx="515">
                  <c:v>41569</c:v>
                </c:pt>
                <c:pt idx="516">
                  <c:v>406810</c:v>
                </c:pt>
                <c:pt idx="517">
                  <c:v>406810</c:v>
                </c:pt>
                <c:pt idx="518">
                  <c:v>41599</c:v>
                </c:pt>
                <c:pt idx="519">
                  <c:v>41599</c:v>
                </c:pt>
                <c:pt idx="520">
                  <c:v>41599</c:v>
                </c:pt>
                <c:pt idx="521">
                  <c:v>41624</c:v>
                </c:pt>
                <c:pt idx="522">
                  <c:v>41627</c:v>
                </c:pt>
                <c:pt idx="523">
                  <c:v>41627</c:v>
                </c:pt>
                <c:pt idx="524">
                  <c:v>41654</c:v>
                </c:pt>
                <c:pt idx="525">
                  <c:v>41655</c:v>
                </c:pt>
                <c:pt idx="526">
                  <c:v>41655</c:v>
                </c:pt>
                <c:pt idx="527">
                  <c:v>41688</c:v>
                </c:pt>
                <c:pt idx="528">
                  <c:v>41690</c:v>
                </c:pt>
                <c:pt idx="529">
                  <c:v>41690</c:v>
                </c:pt>
                <c:pt idx="530">
                  <c:v>41719</c:v>
                </c:pt>
                <c:pt idx="531">
                  <c:v>41718</c:v>
                </c:pt>
                <c:pt idx="532">
                  <c:v>41718</c:v>
                </c:pt>
                <c:pt idx="533">
                  <c:v>41747</c:v>
                </c:pt>
                <c:pt idx="534">
                  <c:v>41750</c:v>
                </c:pt>
                <c:pt idx="535">
                  <c:v>41750</c:v>
                </c:pt>
                <c:pt idx="536">
                  <c:v>41772</c:v>
                </c:pt>
                <c:pt idx="537">
                  <c:v>41406</c:v>
                </c:pt>
                <c:pt idx="538">
                  <c:v>41406</c:v>
                </c:pt>
                <c:pt idx="539">
                  <c:v>41808</c:v>
                </c:pt>
                <c:pt idx="540">
                  <c:v>41807</c:v>
                </c:pt>
                <c:pt idx="541">
                  <c:v>41807</c:v>
                </c:pt>
                <c:pt idx="542">
                  <c:v>41834</c:v>
                </c:pt>
                <c:pt idx="543">
                  <c:v>41837</c:v>
                </c:pt>
                <c:pt idx="544">
                  <c:v>41837</c:v>
                </c:pt>
                <c:pt idx="545">
                  <c:v>41862</c:v>
                </c:pt>
                <c:pt idx="546">
                  <c:v>41862</c:v>
                </c:pt>
                <c:pt idx="547">
                  <c:v>41862</c:v>
                </c:pt>
                <c:pt idx="548">
                  <c:v>41898</c:v>
                </c:pt>
                <c:pt idx="549">
                  <c:v>41897</c:v>
                </c:pt>
                <c:pt idx="550">
                  <c:v>41897</c:v>
                </c:pt>
                <c:pt idx="551">
                  <c:v>41929</c:v>
                </c:pt>
                <c:pt idx="552">
                  <c:v>41928</c:v>
                </c:pt>
                <c:pt idx="553">
                  <c:v>41928</c:v>
                </c:pt>
                <c:pt idx="554">
                  <c:v>41953</c:v>
                </c:pt>
                <c:pt idx="555">
                  <c:v>41955</c:v>
                </c:pt>
                <c:pt idx="556">
                  <c:v>41955</c:v>
                </c:pt>
                <c:pt idx="557">
                  <c:v>41988</c:v>
                </c:pt>
                <c:pt idx="558">
                  <c:v>41992</c:v>
                </c:pt>
                <c:pt idx="559">
                  <c:v>41992</c:v>
                </c:pt>
                <c:pt idx="560">
                  <c:v>42014</c:v>
                </c:pt>
                <c:pt idx="561">
                  <c:v>42009</c:v>
                </c:pt>
                <c:pt idx="562">
                  <c:v>42009</c:v>
                </c:pt>
                <c:pt idx="563">
                  <c:v>42036</c:v>
                </c:pt>
                <c:pt idx="564">
                  <c:v>42036</c:v>
                </c:pt>
                <c:pt idx="565">
                  <c:v>42036</c:v>
                </c:pt>
                <c:pt idx="566">
                  <c:v>42064</c:v>
                </c:pt>
                <c:pt idx="567">
                  <c:v>42064</c:v>
                </c:pt>
                <c:pt idx="568">
                  <c:v>42064</c:v>
                </c:pt>
                <c:pt idx="569">
                  <c:v>42095</c:v>
                </c:pt>
                <c:pt idx="570">
                  <c:v>42095</c:v>
                </c:pt>
                <c:pt idx="571">
                  <c:v>42095</c:v>
                </c:pt>
                <c:pt idx="572">
                  <c:v>42125</c:v>
                </c:pt>
                <c:pt idx="573">
                  <c:v>42125</c:v>
                </c:pt>
                <c:pt idx="574">
                  <c:v>42125</c:v>
                </c:pt>
                <c:pt idx="575">
                  <c:v>42156</c:v>
                </c:pt>
                <c:pt idx="576">
                  <c:v>42156</c:v>
                </c:pt>
                <c:pt idx="577">
                  <c:v>42156</c:v>
                </c:pt>
                <c:pt idx="578">
                  <c:v>42186</c:v>
                </c:pt>
                <c:pt idx="579">
                  <c:v>42186</c:v>
                </c:pt>
                <c:pt idx="580">
                  <c:v>42186</c:v>
                </c:pt>
                <c:pt idx="581">
                  <c:v>42217</c:v>
                </c:pt>
                <c:pt idx="582">
                  <c:v>42217</c:v>
                </c:pt>
                <c:pt idx="583">
                  <c:v>42217</c:v>
                </c:pt>
                <c:pt idx="584">
                  <c:v>42248</c:v>
                </c:pt>
                <c:pt idx="585">
                  <c:v>42248</c:v>
                </c:pt>
                <c:pt idx="586">
                  <c:v>42248</c:v>
                </c:pt>
                <c:pt idx="587">
                  <c:v>42278</c:v>
                </c:pt>
                <c:pt idx="588">
                  <c:v>42278</c:v>
                </c:pt>
                <c:pt idx="589">
                  <c:v>42278</c:v>
                </c:pt>
                <c:pt idx="590">
                  <c:v>42309</c:v>
                </c:pt>
                <c:pt idx="591">
                  <c:v>42309</c:v>
                </c:pt>
                <c:pt idx="592">
                  <c:v>42309</c:v>
                </c:pt>
                <c:pt idx="593">
                  <c:v>42339</c:v>
                </c:pt>
                <c:pt idx="594">
                  <c:v>42339</c:v>
                </c:pt>
                <c:pt idx="595">
                  <c:v>42339</c:v>
                </c:pt>
                <c:pt idx="596">
                  <c:v>42379</c:v>
                </c:pt>
                <c:pt idx="597">
                  <c:v>42374</c:v>
                </c:pt>
                <c:pt idx="598">
                  <c:v>42374</c:v>
                </c:pt>
                <c:pt idx="599">
                  <c:v>42401</c:v>
                </c:pt>
                <c:pt idx="600">
                  <c:v>42401</c:v>
                </c:pt>
                <c:pt idx="601">
                  <c:v>42401</c:v>
                </c:pt>
                <c:pt idx="602">
                  <c:v>42430</c:v>
                </c:pt>
                <c:pt idx="603">
                  <c:v>42430</c:v>
                </c:pt>
                <c:pt idx="604">
                  <c:v>42430</c:v>
                </c:pt>
                <c:pt idx="605">
                  <c:v>42461</c:v>
                </c:pt>
                <c:pt idx="606">
                  <c:v>42461</c:v>
                </c:pt>
                <c:pt idx="607">
                  <c:v>42461</c:v>
                </c:pt>
                <c:pt idx="608">
                  <c:v>42491</c:v>
                </c:pt>
                <c:pt idx="609">
                  <c:v>42491</c:v>
                </c:pt>
                <c:pt idx="610">
                  <c:v>42491</c:v>
                </c:pt>
                <c:pt idx="611">
                  <c:v>42522</c:v>
                </c:pt>
                <c:pt idx="612">
                  <c:v>42522</c:v>
                </c:pt>
                <c:pt idx="613">
                  <c:v>42522</c:v>
                </c:pt>
                <c:pt idx="614">
                  <c:v>42552</c:v>
                </c:pt>
                <c:pt idx="615">
                  <c:v>42552</c:v>
                </c:pt>
                <c:pt idx="616">
                  <c:v>42552</c:v>
                </c:pt>
                <c:pt idx="617">
                  <c:v>42583</c:v>
                </c:pt>
                <c:pt idx="618">
                  <c:v>42583</c:v>
                </c:pt>
                <c:pt idx="619">
                  <c:v>42583</c:v>
                </c:pt>
                <c:pt idx="620">
                  <c:v>42614</c:v>
                </c:pt>
                <c:pt idx="621">
                  <c:v>42614</c:v>
                </c:pt>
                <c:pt idx="622">
                  <c:v>42614</c:v>
                </c:pt>
                <c:pt idx="623">
                  <c:v>42644</c:v>
                </c:pt>
                <c:pt idx="624">
                  <c:v>42644</c:v>
                </c:pt>
                <c:pt idx="625">
                  <c:v>42644</c:v>
                </c:pt>
                <c:pt idx="626">
                  <c:v>42675</c:v>
                </c:pt>
                <c:pt idx="627">
                  <c:v>42675</c:v>
                </c:pt>
                <c:pt idx="628">
                  <c:v>42675</c:v>
                </c:pt>
                <c:pt idx="629">
                  <c:v>42705</c:v>
                </c:pt>
                <c:pt idx="630">
                  <c:v>42705</c:v>
                </c:pt>
                <c:pt idx="631">
                  <c:v>42705</c:v>
                </c:pt>
                <c:pt idx="632">
                  <c:v>42745</c:v>
                </c:pt>
                <c:pt idx="633">
                  <c:v>42740</c:v>
                </c:pt>
                <c:pt idx="634">
                  <c:v>42740</c:v>
                </c:pt>
                <c:pt idx="635">
                  <c:v>42767</c:v>
                </c:pt>
                <c:pt idx="636">
                  <c:v>42767</c:v>
                </c:pt>
                <c:pt idx="637">
                  <c:v>42767</c:v>
                </c:pt>
                <c:pt idx="638">
                  <c:v>42795</c:v>
                </c:pt>
                <c:pt idx="639">
                  <c:v>42795</c:v>
                </c:pt>
                <c:pt idx="640">
                  <c:v>42795</c:v>
                </c:pt>
                <c:pt idx="641">
                  <c:v>42826</c:v>
                </c:pt>
                <c:pt idx="642">
                  <c:v>42826</c:v>
                </c:pt>
                <c:pt idx="643">
                  <c:v>42826</c:v>
                </c:pt>
                <c:pt idx="644">
                  <c:v>42856</c:v>
                </c:pt>
                <c:pt idx="645">
                  <c:v>42856</c:v>
                </c:pt>
                <c:pt idx="646">
                  <c:v>42856</c:v>
                </c:pt>
                <c:pt idx="647">
                  <c:v>42887</c:v>
                </c:pt>
                <c:pt idx="648">
                  <c:v>42887</c:v>
                </c:pt>
                <c:pt idx="649">
                  <c:v>42887</c:v>
                </c:pt>
                <c:pt idx="650">
                  <c:v>42917</c:v>
                </c:pt>
                <c:pt idx="651">
                  <c:v>42917</c:v>
                </c:pt>
                <c:pt idx="652">
                  <c:v>42917</c:v>
                </c:pt>
                <c:pt idx="653">
                  <c:v>42948</c:v>
                </c:pt>
                <c:pt idx="654">
                  <c:v>42948</c:v>
                </c:pt>
                <c:pt idx="655">
                  <c:v>42948</c:v>
                </c:pt>
                <c:pt idx="656">
                  <c:v>42979</c:v>
                </c:pt>
                <c:pt idx="657">
                  <c:v>42979</c:v>
                </c:pt>
                <c:pt idx="658">
                  <c:v>42979</c:v>
                </c:pt>
                <c:pt idx="659">
                  <c:v>43009</c:v>
                </c:pt>
                <c:pt idx="660">
                  <c:v>43009</c:v>
                </c:pt>
                <c:pt idx="661">
                  <c:v>43009</c:v>
                </c:pt>
                <c:pt idx="662">
                  <c:v>43040</c:v>
                </c:pt>
                <c:pt idx="663">
                  <c:v>43040</c:v>
                </c:pt>
                <c:pt idx="664">
                  <c:v>43040</c:v>
                </c:pt>
                <c:pt idx="665">
                  <c:v>43070</c:v>
                </c:pt>
                <c:pt idx="666">
                  <c:v>43070</c:v>
                </c:pt>
                <c:pt idx="667">
                  <c:v>43070</c:v>
                </c:pt>
                <c:pt idx="668">
                  <c:v>43110</c:v>
                </c:pt>
                <c:pt idx="669">
                  <c:v>43105</c:v>
                </c:pt>
                <c:pt idx="670">
                  <c:v>43105</c:v>
                </c:pt>
                <c:pt idx="671">
                  <c:v>43132</c:v>
                </c:pt>
                <c:pt idx="672">
                  <c:v>43132</c:v>
                </c:pt>
                <c:pt idx="673">
                  <c:v>43132</c:v>
                </c:pt>
                <c:pt idx="674">
                  <c:v>43160</c:v>
                </c:pt>
                <c:pt idx="675">
                  <c:v>43160</c:v>
                </c:pt>
                <c:pt idx="676">
                  <c:v>43160</c:v>
                </c:pt>
                <c:pt idx="677">
                  <c:v>43191</c:v>
                </c:pt>
                <c:pt idx="678">
                  <c:v>43191</c:v>
                </c:pt>
                <c:pt idx="679">
                  <c:v>43191</c:v>
                </c:pt>
                <c:pt idx="680">
                  <c:v>43221</c:v>
                </c:pt>
                <c:pt idx="681">
                  <c:v>43221</c:v>
                </c:pt>
                <c:pt idx="682">
                  <c:v>43221</c:v>
                </c:pt>
                <c:pt idx="683">
                  <c:v>43252</c:v>
                </c:pt>
                <c:pt idx="684">
                  <c:v>43252</c:v>
                </c:pt>
                <c:pt idx="685">
                  <c:v>43252</c:v>
                </c:pt>
                <c:pt idx="686">
                  <c:v>43282</c:v>
                </c:pt>
                <c:pt idx="687">
                  <c:v>43282</c:v>
                </c:pt>
                <c:pt idx="688">
                  <c:v>43282</c:v>
                </c:pt>
                <c:pt idx="689">
                  <c:v>43313</c:v>
                </c:pt>
                <c:pt idx="690">
                  <c:v>43313</c:v>
                </c:pt>
                <c:pt idx="691">
                  <c:v>43313</c:v>
                </c:pt>
                <c:pt idx="692">
                  <c:v>43344</c:v>
                </c:pt>
                <c:pt idx="693">
                  <c:v>43344</c:v>
                </c:pt>
                <c:pt idx="694">
                  <c:v>43344</c:v>
                </c:pt>
                <c:pt idx="695">
                  <c:v>43374</c:v>
                </c:pt>
                <c:pt idx="696">
                  <c:v>43374</c:v>
                </c:pt>
                <c:pt idx="697">
                  <c:v>43374</c:v>
                </c:pt>
                <c:pt idx="698">
                  <c:v>43405</c:v>
                </c:pt>
                <c:pt idx="699">
                  <c:v>43405</c:v>
                </c:pt>
                <c:pt idx="700">
                  <c:v>43405</c:v>
                </c:pt>
                <c:pt idx="701">
                  <c:v>43435</c:v>
                </c:pt>
                <c:pt idx="702">
                  <c:v>43435</c:v>
                </c:pt>
                <c:pt idx="703">
                  <c:v>43435</c:v>
                </c:pt>
                <c:pt idx="704">
                  <c:v>43475</c:v>
                </c:pt>
                <c:pt idx="705">
                  <c:v>43470</c:v>
                </c:pt>
                <c:pt idx="706">
                  <c:v>43470</c:v>
                </c:pt>
                <c:pt idx="707">
                  <c:v>43497</c:v>
                </c:pt>
                <c:pt idx="708">
                  <c:v>43497</c:v>
                </c:pt>
                <c:pt idx="709">
                  <c:v>43497</c:v>
                </c:pt>
                <c:pt idx="710">
                  <c:v>43525</c:v>
                </c:pt>
                <c:pt idx="711">
                  <c:v>43525</c:v>
                </c:pt>
                <c:pt idx="712">
                  <c:v>43525</c:v>
                </c:pt>
                <c:pt idx="713">
                  <c:v>43556</c:v>
                </c:pt>
                <c:pt idx="714">
                  <c:v>43556</c:v>
                </c:pt>
                <c:pt idx="715">
                  <c:v>43556</c:v>
                </c:pt>
                <c:pt idx="716">
                  <c:v>43586</c:v>
                </c:pt>
                <c:pt idx="717">
                  <c:v>43586</c:v>
                </c:pt>
                <c:pt idx="718">
                  <c:v>43586</c:v>
                </c:pt>
                <c:pt idx="719">
                  <c:v>43617</c:v>
                </c:pt>
                <c:pt idx="720">
                  <c:v>43617</c:v>
                </c:pt>
                <c:pt idx="721">
                  <c:v>43617</c:v>
                </c:pt>
                <c:pt idx="722">
                  <c:v>43647</c:v>
                </c:pt>
                <c:pt idx="723">
                  <c:v>43647</c:v>
                </c:pt>
                <c:pt idx="724">
                  <c:v>43647</c:v>
                </c:pt>
                <c:pt idx="725">
                  <c:v>43678</c:v>
                </c:pt>
                <c:pt idx="726">
                  <c:v>43678</c:v>
                </c:pt>
                <c:pt idx="727">
                  <c:v>43678</c:v>
                </c:pt>
                <c:pt idx="728">
                  <c:v>43709</c:v>
                </c:pt>
                <c:pt idx="729">
                  <c:v>43709</c:v>
                </c:pt>
                <c:pt idx="730">
                  <c:v>43709</c:v>
                </c:pt>
                <c:pt idx="731">
                  <c:v>43739</c:v>
                </c:pt>
                <c:pt idx="732">
                  <c:v>43739</c:v>
                </c:pt>
                <c:pt idx="733">
                  <c:v>43739</c:v>
                </c:pt>
                <c:pt idx="734">
                  <c:v>43770</c:v>
                </c:pt>
                <c:pt idx="735">
                  <c:v>43770</c:v>
                </c:pt>
                <c:pt idx="736">
                  <c:v>43770</c:v>
                </c:pt>
                <c:pt idx="737">
                  <c:v>43800</c:v>
                </c:pt>
                <c:pt idx="738">
                  <c:v>43800</c:v>
                </c:pt>
                <c:pt idx="739">
                  <c:v>43800</c:v>
                </c:pt>
              </c:numCache>
            </c:numRef>
          </c:xVal>
          <c:yVal>
            <c:numRef>
              <c:f>'Peridin update'!$L$3:$L$742</c:f>
              <c:numCache>
                <c:formatCode>General</c:formatCode>
                <c:ptCount val="740"/>
                <c:pt idx="2">
                  <c:v>5.8248586686216706E-3</c:v>
                </c:pt>
                <c:pt idx="5">
                  <c:v>1.0025036282464114E-2</c:v>
                </c:pt>
                <c:pt idx="8">
                  <c:v>4.6906528356630138E-2</c:v>
                </c:pt>
                <c:pt idx="11">
                  <c:v>2.9052055753812124E-2</c:v>
                </c:pt>
                <c:pt idx="14">
                  <c:v>2.5285994448408948E-2</c:v>
                </c:pt>
                <c:pt idx="17">
                  <c:v>8.2851844190876388E-3</c:v>
                </c:pt>
                <c:pt idx="20">
                  <c:v>1.9319714726061581E-2</c:v>
                </c:pt>
                <c:pt idx="23">
                  <c:v>1.261849826779635E-2</c:v>
                </c:pt>
                <c:pt idx="26">
                  <c:v>5.7126187148477375E-3</c:v>
                </c:pt>
                <c:pt idx="29">
                  <c:v>1.9815517837719277E-2</c:v>
                </c:pt>
                <c:pt idx="32">
                  <c:v>1.5656768124561727E-2</c:v>
                </c:pt>
                <c:pt idx="35">
                  <c:v>2.6022718710896786E-2</c:v>
                </c:pt>
                <c:pt idx="38">
                  <c:v>1.740267974334837E-2</c:v>
                </c:pt>
                <c:pt idx="41">
                  <c:v>0.10260847913183749</c:v>
                </c:pt>
                <c:pt idx="44">
                  <c:v>5.0145118288917663E-2</c:v>
                </c:pt>
                <c:pt idx="47">
                  <c:v>7.9828526265310271E-2</c:v>
                </c:pt>
                <c:pt idx="50">
                  <c:v>7.2068558934349922E-2</c:v>
                </c:pt>
                <c:pt idx="53">
                  <c:v>3.9996960046650536E-3</c:v>
                </c:pt>
                <c:pt idx="56">
                  <c:v>7.9226392477479025E-3</c:v>
                </c:pt>
                <c:pt idx="59">
                  <c:v>3.231851648827546E-2</c:v>
                </c:pt>
                <c:pt idx="62">
                  <c:v>9.572653017679119E-3</c:v>
                </c:pt>
                <c:pt idx="65">
                  <c:v>2.4703087730644349E-2</c:v>
                </c:pt>
                <c:pt idx="68">
                  <c:v>3.0029083750538034E-3</c:v>
                </c:pt>
                <c:pt idx="71">
                  <c:v>5.285895687449969E-3</c:v>
                </c:pt>
                <c:pt idx="74">
                  <c:v>5.104439017110619E-3</c:v>
                </c:pt>
                <c:pt idx="77">
                  <c:v>3.2580038643446338E-3</c:v>
                </c:pt>
                <c:pt idx="80">
                  <c:v>4.0753172074529369E-3</c:v>
                </c:pt>
                <c:pt idx="83">
                  <c:v>2.7712869616121655E-2</c:v>
                </c:pt>
                <c:pt idx="86">
                  <c:v>3.9514448424909511E-2</c:v>
                </c:pt>
                <c:pt idx="89">
                  <c:v>1.530442988577412E-2</c:v>
                </c:pt>
                <c:pt idx="92">
                  <c:v>5.6728463101886714E-2</c:v>
                </c:pt>
                <c:pt idx="110">
                  <c:v>1.2872934390044949E-2</c:v>
                </c:pt>
                <c:pt idx="113">
                  <c:v>1.537766068803398E-2</c:v>
                </c:pt>
                <c:pt idx="116">
                  <c:v>4.4267385456823377E-2</c:v>
                </c:pt>
                <c:pt idx="119">
                  <c:v>4.2382206629138698E-2</c:v>
                </c:pt>
                <c:pt idx="122">
                  <c:v>4.4485776977786148E-2</c:v>
                </c:pt>
                <c:pt idx="125">
                  <c:v>3.7563105369880036E-2</c:v>
                </c:pt>
                <c:pt idx="128">
                  <c:v>0</c:v>
                </c:pt>
                <c:pt idx="131">
                  <c:v>1.7585309755538518E-2</c:v>
                </c:pt>
                <c:pt idx="134">
                  <c:v>6.2689420425856065E-3</c:v>
                </c:pt>
                <c:pt idx="137">
                  <c:v>3.2869664880572284E-3</c:v>
                </c:pt>
                <c:pt idx="140">
                  <c:v>6.9136214190081121E-3</c:v>
                </c:pt>
                <c:pt idx="143">
                  <c:v>7.02676123641118E-3</c:v>
                </c:pt>
                <c:pt idx="146">
                  <c:v>1.0811202200706154E-2</c:v>
                </c:pt>
                <c:pt idx="149">
                  <c:v>2.5873983449600391E-2</c:v>
                </c:pt>
                <c:pt idx="152">
                  <c:v>2.8017814137363251E-2</c:v>
                </c:pt>
                <c:pt idx="155">
                  <c:v>4.7426702538426613E-3</c:v>
                </c:pt>
                <c:pt idx="158">
                  <c:v>5.7140915320728096E-3</c:v>
                </c:pt>
                <c:pt idx="161">
                  <c:v>7.1318296559782987E-3</c:v>
                </c:pt>
                <c:pt idx="164">
                  <c:v>1.4722016891929318E-2</c:v>
                </c:pt>
                <c:pt idx="167">
                  <c:v>1.7503479735136235E-2</c:v>
                </c:pt>
                <c:pt idx="170">
                  <c:v>7.1033954858660698E-3</c:v>
                </c:pt>
                <c:pt idx="173">
                  <c:v>1.293875617724668E-2</c:v>
                </c:pt>
                <c:pt idx="179">
                  <c:v>6.7368576115610325E-3</c:v>
                </c:pt>
                <c:pt idx="182">
                  <c:v>3.9570718611663443E-3</c:v>
                </c:pt>
                <c:pt idx="185">
                  <c:v>2.6871573445357708E-2</c:v>
                </c:pt>
                <c:pt idx="188">
                  <c:v>3.6743708142725609E-2</c:v>
                </c:pt>
                <c:pt idx="191">
                  <c:v>3.7877137665773643E-2</c:v>
                </c:pt>
                <c:pt idx="194">
                  <c:v>3.7259088493952063E-2</c:v>
                </c:pt>
                <c:pt idx="197">
                  <c:v>6.7819119563859415E-2</c:v>
                </c:pt>
                <c:pt idx="200">
                  <c:v>8.5611622893403683E-3</c:v>
                </c:pt>
                <c:pt idx="203">
                  <c:v>1.3768761292454808E-2</c:v>
                </c:pt>
                <c:pt idx="206">
                  <c:v>9.7365533222314761E-3</c:v>
                </c:pt>
                <c:pt idx="209">
                  <c:v>1.3521646826185627E-2</c:v>
                </c:pt>
                <c:pt idx="212">
                  <c:v>2.4926906700194679E-2</c:v>
                </c:pt>
                <c:pt idx="215">
                  <c:v>5.5960572428510966E-3</c:v>
                </c:pt>
                <c:pt idx="218">
                  <c:v>1.3858989402492771E-5</c:v>
                </c:pt>
                <c:pt idx="221">
                  <c:v>3.6307744441889457E-5</c:v>
                </c:pt>
                <c:pt idx="224">
                  <c:v>5.2425568091248823E-3</c:v>
                </c:pt>
                <c:pt idx="227">
                  <c:v>3.334701845816123E-2</c:v>
                </c:pt>
                <c:pt idx="230">
                  <c:v>8.1359821934663297E-3</c:v>
                </c:pt>
                <c:pt idx="233">
                  <c:v>2.3636125768610175E-3</c:v>
                </c:pt>
                <c:pt idx="236">
                  <c:v>6.8000654821120492E-3</c:v>
                </c:pt>
                <c:pt idx="239">
                  <c:v>5.3082070960633514E-3</c:v>
                </c:pt>
                <c:pt idx="242">
                  <c:v>6.4819142333948834E-3</c:v>
                </c:pt>
                <c:pt idx="245">
                  <c:v>1.3669262766959617E-2</c:v>
                </c:pt>
                <c:pt idx="248">
                  <c:v>5.4920065560828254E-3</c:v>
                </c:pt>
                <c:pt idx="251">
                  <c:v>1.2776147298027361E-2</c:v>
                </c:pt>
                <c:pt idx="254">
                  <c:v>7.1574157463146415E-3</c:v>
                </c:pt>
                <c:pt idx="257">
                  <c:v>5.8037614980289099E-3</c:v>
                </c:pt>
                <c:pt idx="260">
                  <c:v>4.9731983323406788E-2</c:v>
                </c:pt>
                <c:pt idx="263">
                  <c:v>1.6382424598840629E-2</c:v>
                </c:pt>
                <c:pt idx="266">
                  <c:v>1.437223176353611E-2</c:v>
                </c:pt>
                <c:pt idx="269">
                  <c:v>2.0111543011661313E-2</c:v>
                </c:pt>
                <c:pt idx="272">
                  <c:v>1.5226848974518337E-2</c:v>
                </c:pt>
                <c:pt idx="275">
                  <c:v>7.4829554902721591E-3</c:v>
                </c:pt>
                <c:pt idx="278">
                  <c:v>6.343972330244977E-3</c:v>
                </c:pt>
                <c:pt idx="281">
                  <c:v>1.1596825266274625E-2</c:v>
                </c:pt>
                <c:pt idx="284">
                  <c:v>3.9043818993848493E-3</c:v>
                </c:pt>
                <c:pt idx="287">
                  <c:v>4.7551872749545268E-2</c:v>
                </c:pt>
                <c:pt idx="290">
                  <c:v>1.8644415439119896E-4</c:v>
                </c:pt>
                <c:pt idx="293">
                  <c:v>8.8738450279022951E-3</c:v>
                </c:pt>
                <c:pt idx="296">
                  <c:v>2.4800605460790597E-2</c:v>
                </c:pt>
                <c:pt idx="299">
                  <c:v>3.2201302129157137E-2</c:v>
                </c:pt>
                <c:pt idx="302">
                  <c:v>3.3374922021210229E-2</c:v>
                </c:pt>
                <c:pt idx="305">
                  <c:v>2.2702016193046518E-2</c:v>
                </c:pt>
                <c:pt idx="308">
                  <c:v>6.216006216006216E-3</c:v>
                </c:pt>
                <c:pt idx="311">
                  <c:v>1.6509433962264154E-2</c:v>
                </c:pt>
                <c:pt idx="314">
                  <c:v>7.2019923268492984E-3</c:v>
                </c:pt>
                <c:pt idx="317">
                  <c:v>3.8089980678995314E-2</c:v>
                </c:pt>
                <c:pt idx="320">
                  <c:v>0.13849853059043549</c:v>
                </c:pt>
                <c:pt idx="323">
                  <c:v>4.1479854820508123E-3</c:v>
                </c:pt>
                <c:pt idx="326">
                  <c:v>1.9261439443765853E-3</c:v>
                </c:pt>
                <c:pt idx="329">
                  <c:v>6.5798173761246132E-3</c:v>
                </c:pt>
                <c:pt idx="332">
                  <c:v>3.3829104695246429E-2</c:v>
                </c:pt>
                <c:pt idx="335">
                  <c:v>2.2355721883001774E-2</c:v>
                </c:pt>
                <c:pt idx="338">
                  <c:v>1.127089001165954E-2</c:v>
                </c:pt>
                <c:pt idx="341">
                  <c:v>5.7933333333333335E-3</c:v>
                </c:pt>
                <c:pt idx="344">
                  <c:v>1.2842965557501458E-2</c:v>
                </c:pt>
                <c:pt idx="347">
                  <c:v>4.3745002734066471E-3</c:v>
                </c:pt>
                <c:pt idx="350">
                  <c:v>1.1285122063565177E-2</c:v>
                </c:pt>
                <c:pt idx="353">
                  <c:v>1.5959421007051836E-2</c:v>
                </c:pt>
                <c:pt idx="356">
                  <c:v>1.8201348690099657E-2</c:v>
                </c:pt>
                <c:pt idx="359">
                  <c:v>2.0833333333333336E-2</c:v>
                </c:pt>
                <c:pt idx="362">
                  <c:v>8.8279623914447724E-3</c:v>
                </c:pt>
                <c:pt idx="365">
                  <c:v>2.1879905808477231E-2</c:v>
                </c:pt>
                <c:pt idx="368">
                  <c:v>3.7377963737796373E-2</c:v>
                </c:pt>
                <c:pt idx="371">
                  <c:v>2.4181632165605094E-2</c:v>
                </c:pt>
                <c:pt idx="374">
                  <c:v>1.7527572092841514E-2</c:v>
                </c:pt>
                <c:pt idx="377">
                  <c:v>5.0872241201670191E-3</c:v>
                </c:pt>
                <c:pt idx="380">
                  <c:v>3.0441129032258069E-2</c:v>
                </c:pt>
                <c:pt idx="383">
                  <c:v>1.1713072217837411E-2</c:v>
                </c:pt>
                <c:pt idx="386">
                  <c:v>2.374302731369532E-2</c:v>
                </c:pt>
                <c:pt idx="389">
                  <c:v>3.3699296801893548E-2</c:v>
                </c:pt>
                <c:pt idx="393">
                  <c:v>5.5250632689612215E-2</c:v>
                </c:pt>
                <c:pt idx="396">
                  <c:v>1.1063832382067417E-2</c:v>
                </c:pt>
                <c:pt idx="399">
                  <c:v>9.4261055607187116E-3</c:v>
                </c:pt>
                <c:pt idx="402">
                  <c:v>4.4936446674385691E-2</c:v>
                </c:pt>
                <c:pt idx="405">
                  <c:v>8.3449328942463014E-3</c:v>
                </c:pt>
                <c:pt idx="408">
                  <c:v>1.7198173652694611E-2</c:v>
                </c:pt>
                <c:pt idx="411">
                  <c:v>2.803663682206442E-2</c:v>
                </c:pt>
                <c:pt idx="415">
                  <c:v>2.0752806862621417E-2</c:v>
                </c:pt>
                <c:pt idx="418">
                  <c:v>5.7535641891891899E-2</c:v>
                </c:pt>
                <c:pt idx="422">
                  <c:v>1.0585974551764023E-2</c:v>
                </c:pt>
                <c:pt idx="426">
                  <c:v>9.8051015528299746E-3</c:v>
                </c:pt>
                <c:pt idx="429">
                  <c:v>1.9797235387045815E-2</c:v>
                </c:pt>
                <c:pt idx="433">
                  <c:v>2.0597640681560569E-2</c:v>
                </c:pt>
                <c:pt idx="437">
                  <c:v>6.6223511242008487E-3</c:v>
                </c:pt>
                <c:pt idx="441">
                  <c:v>4.3143215698205048E-2</c:v>
                </c:pt>
                <c:pt idx="444">
                  <c:v>2.2280988830742792E-2</c:v>
                </c:pt>
                <c:pt idx="447">
                  <c:v>0.10823139925597024</c:v>
                </c:pt>
                <c:pt idx="450">
                  <c:v>2.0453621553884707E-2</c:v>
                </c:pt>
                <c:pt idx="453">
                  <c:v>3.6899720034457288E-2</c:v>
                </c:pt>
                <c:pt idx="456">
                  <c:v>4.9297611111111111E-2</c:v>
                </c:pt>
                <c:pt idx="460">
                  <c:v>3.1728499156829688E-2</c:v>
                </c:pt>
                <c:pt idx="464">
                  <c:v>1.4295966414726323E-2</c:v>
                </c:pt>
                <c:pt idx="467">
                  <c:v>1.5563680686389325E-2</c:v>
                </c:pt>
                <c:pt idx="470">
                  <c:v>2.356750231673414E-2</c:v>
                </c:pt>
                <c:pt idx="473">
                  <c:v>0.1283752638323534</c:v>
                </c:pt>
                <c:pt idx="476">
                  <c:v>0.16764756158031577</c:v>
                </c:pt>
                <c:pt idx="479">
                  <c:v>0</c:v>
                </c:pt>
                <c:pt idx="482">
                  <c:v>4.0753970404900008E-3</c:v>
                </c:pt>
                <c:pt idx="485">
                  <c:v>2.5460767838676318E-2</c:v>
                </c:pt>
                <c:pt idx="488">
                  <c:v>5.617718570843571E-3</c:v>
                </c:pt>
                <c:pt idx="491">
                  <c:v>7.2509905727880927E-3</c:v>
                </c:pt>
                <c:pt idx="495">
                  <c:v>1.7682702349869452E-3</c:v>
                </c:pt>
                <c:pt idx="498">
                  <c:v>0</c:v>
                </c:pt>
                <c:pt idx="502">
                  <c:v>3.1380693815987931E-2</c:v>
                </c:pt>
                <c:pt idx="505">
                  <c:v>1.0752588264683022E-2</c:v>
                </c:pt>
                <c:pt idx="508">
                  <c:v>3.776989215353261E-2</c:v>
                </c:pt>
                <c:pt idx="511">
                  <c:v>5.5599045138888879E-2</c:v>
                </c:pt>
                <c:pt idx="514">
                  <c:v>1.387494648208934E-2</c:v>
                </c:pt>
                <c:pt idx="517">
                  <c:v>2.1587549430100023E-2</c:v>
                </c:pt>
                <c:pt idx="520">
                  <c:v>3.9415651820923221E-2</c:v>
                </c:pt>
                <c:pt idx="523">
                  <c:v>1.8865534162823119E-2</c:v>
                </c:pt>
                <c:pt idx="526">
                  <c:v>2.7926113979078925E-2</c:v>
                </c:pt>
                <c:pt idx="529">
                  <c:v>2.2532168558686397E-2</c:v>
                </c:pt>
                <c:pt idx="532">
                  <c:v>1.8948058640417299E-2</c:v>
                </c:pt>
                <c:pt idx="535">
                  <c:v>7.641965787997757E-3</c:v>
                </c:pt>
                <c:pt idx="538">
                  <c:v>0</c:v>
                </c:pt>
                <c:pt idx="541">
                  <c:v>4.5543416482475535E-2</c:v>
                </c:pt>
                <c:pt idx="544">
                  <c:v>6.4861282406242116E-2</c:v>
                </c:pt>
                <c:pt idx="547">
                  <c:v>5.2741881349782284E-2</c:v>
                </c:pt>
                <c:pt idx="550">
                  <c:v>4.281367959034383E-2</c:v>
                </c:pt>
                <c:pt idx="553">
                  <c:v>8.3384287518417175E-3</c:v>
                </c:pt>
                <c:pt idx="556">
                  <c:v>1.8711183400738528E-2</c:v>
                </c:pt>
                <c:pt idx="559">
                  <c:v>6.2500255937755933E-2</c:v>
                </c:pt>
                <c:pt idx="562">
                  <c:v>2.0827496030634163E-2</c:v>
                </c:pt>
                <c:pt idx="568">
                  <c:v>1.1462682194389512E-2</c:v>
                </c:pt>
                <c:pt idx="571">
                  <c:v>2.6299112801013949E-2</c:v>
                </c:pt>
                <c:pt idx="574">
                  <c:v>0.30363567506154132</c:v>
                </c:pt>
                <c:pt idx="577">
                  <c:v>4.7921602412233477E-2</c:v>
                </c:pt>
                <c:pt idx="580">
                  <c:v>4.5276554087126775E-2</c:v>
                </c:pt>
                <c:pt idx="583">
                  <c:v>0.19248554913294802</c:v>
                </c:pt>
                <c:pt idx="586">
                  <c:v>7.9545405138339922E-3</c:v>
                </c:pt>
                <c:pt idx="589">
                  <c:v>5.4045048647207793E-2</c:v>
                </c:pt>
                <c:pt idx="592">
                  <c:v>3.6707972878185648E-2</c:v>
                </c:pt>
                <c:pt idx="595">
                  <c:v>4.2628774422735348E-2</c:v>
                </c:pt>
                <c:pt idx="598">
                  <c:v>2.0630780175480198E-2</c:v>
                </c:pt>
                <c:pt idx="601">
                  <c:v>6.967366841710429E-2</c:v>
                </c:pt>
                <c:pt idx="604">
                  <c:v>7.4407880947390481E-2</c:v>
                </c:pt>
                <c:pt idx="607">
                  <c:v>6.4554721513286287E-3</c:v>
                </c:pt>
                <c:pt idx="610">
                  <c:v>1.3263665594855307E-2</c:v>
                </c:pt>
                <c:pt idx="613">
                  <c:v>1.2635379061371844E-2</c:v>
                </c:pt>
                <c:pt idx="616">
                  <c:v>1.1331962531414212E-2</c:v>
                </c:pt>
                <c:pt idx="619">
                  <c:v>7.7048888585844813E-3</c:v>
                </c:pt>
                <c:pt idx="622">
                  <c:v>5.9804014505662291E-3</c:v>
                </c:pt>
                <c:pt idx="625">
                  <c:v>2.0603537981269515E-2</c:v>
                </c:pt>
                <c:pt idx="628">
                  <c:v>6.0150125313283192E-3</c:v>
                </c:pt>
                <c:pt idx="631">
                  <c:v>0.10133044554455448</c:v>
                </c:pt>
                <c:pt idx="640">
                  <c:v>7.6530416012558873E-3</c:v>
                </c:pt>
                <c:pt idx="643">
                  <c:v>6.8001026430587622E-3</c:v>
                </c:pt>
                <c:pt idx="646">
                  <c:v>3.9348144021171382E-3</c:v>
                </c:pt>
                <c:pt idx="649">
                  <c:v>6.4738800172637031E-3</c:v>
                </c:pt>
                <c:pt idx="652">
                  <c:v>1.7816279830009808E-2</c:v>
                </c:pt>
                <c:pt idx="658">
                  <c:v>6.7045328669290173E-3</c:v>
                </c:pt>
                <c:pt idx="661">
                  <c:v>1.5388290454436163E-2</c:v>
                </c:pt>
                <c:pt idx="667">
                  <c:v>2.1963636363636366E-2</c:v>
                </c:pt>
                <c:pt idx="670">
                  <c:v>1.9778481012658226E-2</c:v>
                </c:pt>
                <c:pt idx="673">
                  <c:v>2.0746887966804982E-2</c:v>
                </c:pt>
                <c:pt idx="676">
                  <c:v>4.0931184446149913E-3</c:v>
                </c:pt>
                <c:pt idx="679">
                  <c:v>4.9663907284768199E-4</c:v>
                </c:pt>
                <c:pt idx="682">
                  <c:v>9.1738689585244577E-3</c:v>
                </c:pt>
                <c:pt idx="685">
                  <c:v>1.1838608359507129E-2</c:v>
                </c:pt>
                <c:pt idx="688">
                  <c:v>1.0219698787703256E-2</c:v>
                </c:pt>
                <c:pt idx="691">
                  <c:v>3.3059939629150503E-3</c:v>
                </c:pt>
                <c:pt idx="694">
                  <c:v>7.1293021126299962E-3</c:v>
                </c:pt>
                <c:pt idx="697">
                  <c:v>1.8174250832408433E-2</c:v>
                </c:pt>
                <c:pt idx="698">
                  <c:v>3.9131763986548461E-2</c:v>
                </c:pt>
                <c:pt idx="712">
                  <c:v>4.5667447306791564E-2</c:v>
                </c:pt>
                <c:pt idx="715">
                  <c:v>7.3716756450240995E-3</c:v>
                </c:pt>
                <c:pt idx="718">
                  <c:v>1.1059670781893006E-2</c:v>
                </c:pt>
                <c:pt idx="721">
                  <c:v>8.8897973950795954E-3</c:v>
                </c:pt>
                <c:pt idx="724">
                  <c:v>2.2540653678956687E-2</c:v>
                </c:pt>
                <c:pt idx="727">
                  <c:v>9.1954022988505746E-3</c:v>
                </c:pt>
                <c:pt idx="730">
                  <c:v>4.4035525543159132E-4</c:v>
                </c:pt>
                <c:pt idx="733">
                  <c:v>7.5961002785515316E-4</c:v>
                </c:pt>
                <c:pt idx="739">
                  <c:v>1.1126160108548168E-2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B2-0440-BC22-D249D83CF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095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22</xdr:col>
      <xdr:colOff>819150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087761-1742-004A-B86F-329F9F249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19</xdr:row>
      <xdr:rowOff>0</xdr:rowOff>
    </xdr:from>
    <xdr:to>
      <xdr:col>22</xdr:col>
      <xdr:colOff>819150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52386E-63B9-A14F-8472-961C1CD22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36</xdr:row>
      <xdr:rowOff>0</xdr:rowOff>
    </xdr:from>
    <xdr:to>
      <xdr:col>22</xdr:col>
      <xdr:colOff>819150</xdr:colOff>
      <xdr:row>50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A2F880-814A-2C4B-8EA5-4FCA33E30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53</xdr:row>
      <xdr:rowOff>0</xdr:rowOff>
    </xdr:from>
    <xdr:to>
      <xdr:col>22</xdr:col>
      <xdr:colOff>819150</xdr:colOff>
      <xdr:row>67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E96A9E-11E0-5F4F-ACB5-429185F36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5</xdr:row>
      <xdr:rowOff>0</xdr:rowOff>
    </xdr:from>
    <xdr:to>
      <xdr:col>22</xdr:col>
      <xdr:colOff>819150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A75296-8644-8347-92F9-39509040CA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819150</xdr:colOff>
      <xdr:row>35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157669-37E2-C147-B68C-55133A7282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</xdr:row>
      <xdr:rowOff>0</xdr:rowOff>
    </xdr:from>
    <xdr:to>
      <xdr:col>22</xdr:col>
      <xdr:colOff>819150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73E596-24C8-2F4B-8D51-3B89AA1C6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23</xdr:row>
      <xdr:rowOff>0</xdr:rowOff>
    </xdr:from>
    <xdr:to>
      <xdr:col>22</xdr:col>
      <xdr:colOff>819150</xdr:colOff>
      <xdr:row>37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DD88C0-A777-B949-8767-50AC02A46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6</xdr:row>
      <xdr:rowOff>0</xdr:rowOff>
    </xdr:from>
    <xdr:to>
      <xdr:col>22</xdr:col>
      <xdr:colOff>819150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845793-9E68-6F44-9F3B-A6B0C371E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22</xdr:col>
      <xdr:colOff>819150</xdr:colOff>
      <xdr:row>36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7CB28E-5099-EB47-802E-F65B02340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2"/>
  <sheetViews>
    <sheetView workbookViewId="0">
      <selection sqref="A1:J1048576"/>
    </sheetView>
  </sheetViews>
  <sheetFormatPr defaultColWidth="8.85546875" defaultRowHeight="15"/>
  <sheetData>
    <row r="1" spans="1:12" ht="18">
      <c r="F1" s="1" t="s">
        <v>0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</row>
    <row r="2" spans="1:12" ht="25.5">
      <c r="A2" s="2" t="s">
        <v>2</v>
      </c>
      <c r="B2" s="3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7" t="s">
        <v>13</v>
      </c>
    </row>
    <row r="3" spans="1:12">
      <c r="A3" s="8">
        <v>6</v>
      </c>
      <c r="B3" s="9">
        <v>36445</v>
      </c>
      <c r="C3" s="10">
        <v>1999</v>
      </c>
      <c r="D3" s="11" t="s">
        <v>14</v>
      </c>
      <c r="E3" s="12">
        <v>10</v>
      </c>
      <c r="F3" s="13">
        <v>3.5698365161440249</v>
      </c>
      <c r="G3" s="13">
        <v>3.7162682833333335E-2</v>
      </c>
      <c r="H3" s="13">
        <v>1.5403266500000002E-2</v>
      </c>
      <c r="I3" s="13">
        <v>0.97345581050000007</v>
      </c>
      <c r="J3" s="13">
        <v>0.12047614400000001</v>
      </c>
      <c r="K3" s="14" t="s">
        <v>15</v>
      </c>
    </row>
    <row r="4" spans="1:12">
      <c r="A4" s="8">
        <v>8</v>
      </c>
      <c r="B4" s="9">
        <v>36446</v>
      </c>
      <c r="C4" s="10">
        <v>1999</v>
      </c>
      <c r="D4" s="11" t="s">
        <v>14</v>
      </c>
      <c r="E4" s="12">
        <v>10</v>
      </c>
      <c r="F4" s="13">
        <v>0.68411831495979114</v>
      </c>
      <c r="G4" s="13">
        <v>0</v>
      </c>
      <c r="H4" s="13">
        <v>0</v>
      </c>
      <c r="I4" s="13">
        <v>0.15073272133333332</v>
      </c>
      <c r="J4" s="13">
        <v>0</v>
      </c>
      <c r="K4" s="14" t="s">
        <v>15</v>
      </c>
    </row>
    <row r="5" spans="1:12">
      <c r="A5" s="8">
        <v>15</v>
      </c>
      <c r="B5" s="9">
        <v>36445</v>
      </c>
      <c r="C5" s="10">
        <v>1999</v>
      </c>
      <c r="D5" s="11" t="s">
        <v>14</v>
      </c>
      <c r="E5" s="12">
        <v>10</v>
      </c>
      <c r="F5" s="13">
        <v>2.1260596804117222</v>
      </c>
      <c r="G5" s="13">
        <v>0</v>
      </c>
      <c r="H5" s="13">
        <v>0</v>
      </c>
      <c r="I5" s="13">
        <v>0.25964941783333334</v>
      </c>
      <c r="J5" s="13">
        <v>1.7418896999999999E-2</v>
      </c>
      <c r="K5" s="14" t="s">
        <v>15</v>
      </c>
    </row>
    <row r="6" spans="1:12">
      <c r="A6" s="8">
        <v>6</v>
      </c>
      <c r="B6" s="9">
        <v>36472</v>
      </c>
      <c r="C6" s="10">
        <v>1999</v>
      </c>
      <c r="D6" s="11" t="s">
        <v>16</v>
      </c>
      <c r="E6" s="10">
        <v>11</v>
      </c>
      <c r="F6" s="13">
        <v>2.4054250359482343</v>
      </c>
      <c r="G6" s="13">
        <v>2.42904075E-2</v>
      </c>
      <c r="H6" s="13">
        <v>2.8152886833333331E-2</v>
      </c>
      <c r="I6" s="13">
        <v>0.56843149333333343</v>
      </c>
      <c r="J6" s="13">
        <v>2.2977579666666664E-2</v>
      </c>
      <c r="K6" s="14" t="s">
        <v>15</v>
      </c>
    </row>
    <row r="7" spans="1:12">
      <c r="A7" s="8">
        <v>8</v>
      </c>
      <c r="B7" s="9">
        <v>36473</v>
      </c>
      <c r="C7" s="10">
        <v>1999</v>
      </c>
      <c r="D7" s="11" t="s">
        <v>16</v>
      </c>
      <c r="E7" s="10">
        <v>11</v>
      </c>
      <c r="F7" s="13">
        <v>0.3110645838477441</v>
      </c>
      <c r="G7" s="13">
        <v>0</v>
      </c>
      <c r="H7" s="13">
        <v>0</v>
      </c>
      <c r="I7" s="13">
        <v>8.7869832333333328E-2</v>
      </c>
      <c r="J7" s="13">
        <v>0</v>
      </c>
      <c r="K7" s="14" t="s">
        <v>15</v>
      </c>
    </row>
    <row r="8" spans="1:12">
      <c r="A8" s="8">
        <v>15</v>
      </c>
      <c r="B8" s="9">
        <v>36472</v>
      </c>
      <c r="C8" s="10">
        <v>1999</v>
      </c>
      <c r="D8" s="11" t="s">
        <v>16</v>
      </c>
      <c r="E8" s="10">
        <v>11</v>
      </c>
      <c r="F8" s="13">
        <v>1.3858617673943463</v>
      </c>
      <c r="G8" s="13">
        <v>1.6835813999999998E-2</v>
      </c>
      <c r="H8" s="13">
        <v>0</v>
      </c>
      <c r="I8" s="13">
        <v>0.17869869033333333</v>
      </c>
      <c r="J8" s="13">
        <v>7.0865236666666663E-3</v>
      </c>
      <c r="K8" s="14" t="s">
        <v>15</v>
      </c>
    </row>
    <row r="9" spans="1:12">
      <c r="A9" s="8">
        <v>6</v>
      </c>
      <c r="B9" s="9">
        <v>36501</v>
      </c>
      <c r="C9" s="10">
        <v>1999</v>
      </c>
      <c r="D9" s="11" t="s">
        <v>17</v>
      </c>
      <c r="E9" s="10">
        <v>12</v>
      </c>
      <c r="F9" s="13">
        <v>4.7679182065098988</v>
      </c>
      <c r="G9" s="13">
        <v>5.5952682666666663E-2</v>
      </c>
      <c r="H9" s="13">
        <v>4.3322807666666671E-2</v>
      </c>
      <c r="I9" s="13">
        <v>1.5410330740000004</v>
      </c>
      <c r="J9" s="13">
        <v>3.0529119000000004E-2</v>
      </c>
      <c r="K9" s="14" t="s">
        <v>15</v>
      </c>
    </row>
    <row r="10" spans="1:12">
      <c r="A10" s="8">
        <v>8</v>
      </c>
      <c r="B10" s="9">
        <v>36502</v>
      </c>
      <c r="C10" s="10">
        <v>1999</v>
      </c>
      <c r="D10" s="11" t="s">
        <v>17</v>
      </c>
      <c r="E10" s="10">
        <v>12</v>
      </c>
      <c r="F10" s="13">
        <v>0.21161475257447457</v>
      </c>
      <c r="G10" s="13">
        <v>0</v>
      </c>
      <c r="H10" s="13">
        <v>0</v>
      </c>
      <c r="I10" s="13">
        <v>4.3713193666666664E-2</v>
      </c>
      <c r="J10" s="13">
        <v>0</v>
      </c>
      <c r="K10" s="14" t="s">
        <v>15</v>
      </c>
    </row>
    <row r="11" spans="1:12">
      <c r="A11" s="8">
        <v>15</v>
      </c>
      <c r="B11" s="9">
        <v>36501</v>
      </c>
      <c r="C11" s="10">
        <v>1999</v>
      </c>
      <c r="D11" s="11" t="s">
        <v>17</v>
      </c>
      <c r="E11" s="10">
        <v>12</v>
      </c>
      <c r="F11" s="13">
        <v>3.2797970689479876</v>
      </c>
      <c r="G11" s="13">
        <v>0.33146381550000004</v>
      </c>
      <c r="H11" s="13">
        <v>1.1595195666666667E-2</v>
      </c>
      <c r="I11" s="13">
        <v>0.37226358599999998</v>
      </c>
      <c r="J11" s="13">
        <v>1.40421105E-2</v>
      </c>
      <c r="K11" s="14" t="s">
        <v>15</v>
      </c>
    </row>
    <row r="12" spans="1:12">
      <c r="A12" s="8">
        <v>6</v>
      </c>
      <c r="B12" s="9">
        <v>36530</v>
      </c>
      <c r="C12" s="12">
        <v>2000</v>
      </c>
      <c r="D12" s="11" t="s">
        <v>18</v>
      </c>
      <c r="E12" s="10">
        <v>1</v>
      </c>
      <c r="F12" s="13">
        <v>3.2113695330360645</v>
      </c>
      <c r="G12" s="13">
        <v>0.10454679900000001</v>
      </c>
      <c r="H12" s="13">
        <v>0</v>
      </c>
      <c r="I12" s="13">
        <v>1.3133687546666666</v>
      </c>
      <c r="J12" s="13">
        <v>2.9915655333333332E-2</v>
      </c>
      <c r="K12" s="14" t="s">
        <v>15</v>
      </c>
    </row>
    <row r="13" spans="1:12">
      <c r="A13" s="8">
        <v>8</v>
      </c>
      <c r="B13" s="9">
        <v>36531</v>
      </c>
      <c r="C13" s="12">
        <v>2000</v>
      </c>
      <c r="D13" s="11" t="s">
        <v>18</v>
      </c>
      <c r="E13" s="10">
        <v>1</v>
      </c>
      <c r="F13" s="13">
        <v>0.42222455228107891</v>
      </c>
      <c r="G13" s="13">
        <v>7.935359166666666E-3</v>
      </c>
      <c r="H13" s="13">
        <v>0</v>
      </c>
      <c r="I13" s="13">
        <v>0.12130810133333333</v>
      </c>
      <c r="J13" s="13">
        <v>3.4739670000000001E-3</v>
      </c>
      <c r="K13" s="14" t="s">
        <v>15</v>
      </c>
    </row>
    <row r="14" spans="1:12">
      <c r="A14" s="8">
        <v>15</v>
      </c>
      <c r="B14" s="9">
        <v>36530</v>
      </c>
      <c r="C14" s="12">
        <v>2000</v>
      </c>
      <c r="D14" s="11" t="s">
        <v>18</v>
      </c>
      <c r="E14" s="10">
        <v>1</v>
      </c>
      <c r="F14" s="13">
        <v>2.4582124693169112</v>
      </c>
      <c r="G14" s="13">
        <v>6.4497345500000011E-2</v>
      </c>
      <c r="H14" s="13">
        <v>4.6086515500000001E-2</v>
      </c>
      <c r="I14" s="13">
        <v>0.84912798500000009</v>
      </c>
      <c r="J14" s="13">
        <v>3.1601588999999999E-2</v>
      </c>
      <c r="K14" s="14" t="s">
        <v>15</v>
      </c>
    </row>
    <row r="15" spans="1:12">
      <c r="A15" s="8">
        <v>6</v>
      </c>
      <c r="B15" s="9">
        <v>36579</v>
      </c>
      <c r="C15" s="12">
        <v>2000</v>
      </c>
      <c r="D15" s="11" t="s">
        <v>19</v>
      </c>
      <c r="E15" s="12">
        <v>2</v>
      </c>
      <c r="F15" s="13">
        <v>2.0140819848751135</v>
      </c>
      <c r="G15" s="13">
        <v>4.8594443333333334E-2</v>
      </c>
      <c r="H15" s="13">
        <v>0</v>
      </c>
      <c r="I15" s="13">
        <v>0.61307109916666658</v>
      </c>
      <c r="J15" s="13">
        <v>4.5020465333333343E-2</v>
      </c>
      <c r="K15" s="14" t="s">
        <v>15</v>
      </c>
    </row>
    <row r="16" spans="1:12">
      <c r="A16" s="8">
        <v>8</v>
      </c>
      <c r="B16" s="9">
        <v>36578</v>
      </c>
      <c r="C16" s="12">
        <v>2000</v>
      </c>
      <c r="D16" s="11" t="s">
        <v>19</v>
      </c>
      <c r="E16" s="12">
        <v>2</v>
      </c>
      <c r="F16" s="13">
        <v>2.3171913009145619</v>
      </c>
      <c r="G16" s="13">
        <v>3.6569745500000007E-2</v>
      </c>
      <c r="H16" s="13">
        <v>0</v>
      </c>
      <c r="I16" s="13">
        <v>0.76498130850000012</v>
      </c>
      <c r="J16" s="13">
        <v>2.7099731166666668E-2</v>
      </c>
      <c r="K16" s="14" t="s">
        <v>15</v>
      </c>
    </row>
    <row r="17" spans="1:11">
      <c r="A17" s="8">
        <v>15</v>
      </c>
      <c r="B17" s="9">
        <v>36579</v>
      </c>
      <c r="C17" s="12">
        <v>2000</v>
      </c>
      <c r="D17" s="11" t="s">
        <v>19</v>
      </c>
      <c r="E17" s="12">
        <v>2</v>
      </c>
      <c r="F17" s="13">
        <v>2.1126904269730375</v>
      </c>
      <c r="G17" s="13">
        <v>7.7777841833333333E-2</v>
      </c>
      <c r="H17" s="13">
        <v>0</v>
      </c>
      <c r="I17" s="13">
        <v>0.73561549999999998</v>
      </c>
      <c r="J17" s="13">
        <v>3.7478335999999994E-2</v>
      </c>
      <c r="K17" s="14" t="s">
        <v>15</v>
      </c>
    </row>
    <row r="18" spans="1:11">
      <c r="A18" s="8">
        <v>6</v>
      </c>
      <c r="B18" s="9">
        <v>36598</v>
      </c>
      <c r="C18" s="12">
        <v>2000</v>
      </c>
      <c r="D18" s="11" t="s">
        <v>20</v>
      </c>
      <c r="E18" s="12">
        <v>3</v>
      </c>
      <c r="F18" s="13">
        <v>2.4864958323771345</v>
      </c>
      <c r="G18" s="13">
        <v>2.6547783666666668E-2</v>
      </c>
      <c r="H18" s="13">
        <v>3.4807287500000006E-2</v>
      </c>
      <c r="I18" s="13">
        <v>0.8636486596666666</v>
      </c>
      <c r="J18" s="13">
        <v>4.3798528000000003E-2</v>
      </c>
      <c r="K18" s="14" t="s">
        <v>15</v>
      </c>
    </row>
    <row r="19" spans="1:11">
      <c r="A19" s="8">
        <v>8</v>
      </c>
      <c r="B19" s="9">
        <v>36599</v>
      </c>
      <c r="C19" s="12">
        <v>2000</v>
      </c>
      <c r="D19" s="11" t="s">
        <v>20</v>
      </c>
      <c r="E19" s="12">
        <v>3</v>
      </c>
      <c r="F19" s="13">
        <v>0.61220145148561822</v>
      </c>
      <c r="G19" s="13">
        <v>1.4866624666666666E-2</v>
      </c>
      <c r="H19" s="13">
        <v>0</v>
      </c>
      <c r="I19" s="13">
        <v>9.7627194833333333E-2</v>
      </c>
      <c r="J19" s="13">
        <v>1.3364363000000001E-2</v>
      </c>
      <c r="K19" s="14" t="s">
        <v>15</v>
      </c>
    </row>
    <row r="20" spans="1:11">
      <c r="A20" s="8">
        <v>15</v>
      </c>
      <c r="B20" s="9">
        <v>36598</v>
      </c>
      <c r="C20" s="12">
        <v>2000</v>
      </c>
      <c r="D20" s="11" t="s">
        <v>20</v>
      </c>
      <c r="E20" s="12">
        <v>3</v>
      </c>
      <c r="F20" s="13">
        <v>1.8999130352897891</v>
      </c>
      <c r="G20" s="13">
        <v>0</v>
      </c>
      <c r="H20" s="13">
        <v>0</v>
      </c>
      <c r="I20" s="13">
        <v>0.82637558733333316</v>
      </c>
      <c r="J20" s="13">
        <v>3.2077951666666667E-2</v>
      </c>
      <c r="K20" s="14" t="s">
        <v>15</v>
      </c>
    </row>
    <row r="21" spans="1:11">
      <c r="A21" s="8">
        <v>6</v>
      </c>
      <c r="B21" s="9">
        <v>36627</v>
      </c>
      <c r="C21" s="12">
        <v>2000</v>
      </c>
      <c r="D21" s="15" t="s">
        <v>21</v>
      </c>
      <c r="E21" s="12">
        <v>4</v>
      </c>
      <c r="F21" s="13">
        <v>5.022326198879675</v>
      </c>
      <c r="G21" s="13">
        <v>7.0578505666666652E-2</v>
      </c>
      <c r="H21" s="13">
        <v>0</v>
      </c>
      <c r="I21" s="13">
        <v>1.7924839006666664</v>
      </c>
      <c r="J21" s="13">
        <v>0</v>
      </c>
      <c r="K21" s="14" t="s">
        <v>15</v>
      </c>
    </row>
    <row r="22" spans="1:11">
      <c r="A22" s="8">
        <v>8</v>
      </c>
      <c r="B22" s="9">
        <v>36626</v>
      </c>
      <c r="C22" s="12">
        <v>2000</v>
      </c>
      <c r="D22" s="15" t="s">
        <v>21</v>
      </c>
      <c r="E22" s="12">
        <v>4</v>
      </c>
      <c r="F22" s="13">
        <v>1.2058709934784821</v>
      </c>
      <c r="G22" s="13">
        <v>5.5080586500000001E-2</v>
      </c>
      <c r="H22" s="13">
        <v>0</v>
      </c>
      <c r="I22" s="13">
        <v>0.36183654816666666</v>
      </c>
      <c r="J22" s="13">
        <v>0</v>
      </c>
      <c r="K22" s="14" t="s">
        <v>15</v>
      </c>
    </row>
    <row r="23" spans="1:11">
      <c r="A23" s="8">
        <v>15</v>
      </c>
      <c r="B23" s="9">
        <v>36627</v>
      </c>
      <c r="C23" s="12">
        <v>2000</v>
      </c>
      <c r="D23" s="15" t="s">
        <v>21</v>
      </c>
      <c r="E23" s="12">
        <v>4</v>
      </c>
      <c r="F23" s="13">
        <v>1.4114651038746628</v>
      </c>
      <c r="G23" s="13">
        <v>2.1937004E-2</v>
      </c>
      <c r="H23" s="13">
        <v>0</v>
      </c>
      <c r="I23" s="13">
        <v>0.24913746500000003</v>
      </c>
      <c r="J23" s="13">
        <v>0</v>
      </c>
      <c r="K23" s="14" t="s">
        <v>15</v>
      </c>
    </row>
    <row r="24" spans="1:11">
      <c r="A24" s="8">
        <v>6</v>
      </c>
      <c r="B24" s="9">
        <v>36662</v>
      </c>
      <c r="C24" s="12">
        <v>2000</v>
      </c>
      <c r="D24" s="15" t="s">
        <v>22</v>
      </c>
      <c r="E24" s="12">
        <v>5</v>
      </c>
      <c r="F24" s="13">
        <v>11.531826484625775</v>
      </c>
      <c r="G24" s="13">
        <v>0.14703336266666667</v>
      </c>
      <c r="H24" s="13">
        <v>2.5866577715000001</v>
      </c>
      <c r="I24" s="13">
        <v>4.3771852110000005</v>
      </c>
      <c r="J24" s="13">
        <v>0.13445944299999998</v>
      </c>
      <c r="K24" s="14" t="s">
        <v>15</v>
      </c>
    </row>
    <row r="25" spans="1:11">
      <c r="A25" s="8">
        <v>8</v>
      </c>
      <c r="B25" s="9">
        <v>36663</v>
      </c>
      <c r="C25" s="12">
        <v>2000</v>
      </c>
      <c r="D25" s="15" t="s">
        <v>22</v>
      </c>
      <c r="E25" s="12">
        <v>5</v>
      </c>
      <c r="F25" s="13">
        <v>1.1071352573506272</v>
      </c>
      <c r="G25" s="13">
        <v>0</v>
      </c>
      <c r="H25" s="13">
        <v>0</v>
      </c>
      <c r="I25" s="13">
        <v>8.5917101833333329E-2</v>
      </c>
      <c r="J25" s="13">
        <v>8.2881233333333346E-3</v>
      </c>
      <c r="K25" s="14" t="s">
        <v>15</v>
      </c>
    </row>
    <row r="26" spans="1:11">
      <c r="A26" s="8">
        <v>15</v>
      </c>
      <c r="B26" s="9">
        <v>36662</v>
      </c>
      <c r="C26" s="12">
        <v>2000</v>
      </c>
      <c r="D26" s="15" t="s">
        <v>22</v>
      </c>
      <c r="E26" s="12">
        <v>5</v>
      </c>
      <c r="F26" s="13">
        <v>8.2380986981171329</v>
      </c>
      <c r="G26" s="13">
        <v>0.11640378833333333</v>
      </c>
      <c r="H26" s="13">
        <v>1.3921867714999998</v>
      </c>
      <c r="I26" s="13">
        <v>3.6005514678333332</v>
      </c>
      <c r="J26" s="13">
        <v>9.9368895833333332E-2</v>
      </c>
      <c r="K26" s="14" t="s">
        <v>15</v>
      </c>
    </row>
    <row r="27" spans="1:11">
      <c r="A27" s="8">
        <v>6</v>
      </c>
      <c r="B27" s="9">
        <v>36690</v>
      </c>
      <c r="C27" s="12">
        <v>2000</v>
      </c>
      <c r="D27" s="15" t="s">
        <v>23</v>
      </c>
      <c r="E27" s="12">
        <v>6</v>
      </c>
      <c r="F27" s="13">
        <v>13.424318765220505</v>
      </c>
      <c r="G27" s="13">
        <v>6.723905166666666E-2</v>
      </c>
      <c r="H27" s="13">
        <v>1.8143357185</v>
      </c>
      <c r="I27" s="13">
        <v>5.6608219929999999</v>
      </c>
      <c r="J27" s="13">
        <v>0.31851920516666671</v>
      </c>
      <c r="K27" s="14" t="s">
        <v>15</v>
      </c>
    </row>
    <row r="28" spans="1:11">
      <c r="A28" s="8">
        <v>8</v>
      </c>
      <c r="B28" s="9">
        <v>36692</v>
      </c>
      <c r="C28" s="12">
        <v>2000</v>
      </c>
      <c r="D28" s="15" t="s">
        <v>23</v>
      </c>
      <c r="E28" s="12">
        <v>6</v>
      </c>
      <c r="F28" s="13">
        <v>1.1666711014926385</v>
      </c>
      <c r="G28" s="13">
        <v>0</v>
      </c>
      <c r="H28" s="13">
        <v>0</v>
      </c>
      <c r="I28" s="13">
        <v>0.19910586150000001</v>
      </c>
      <c r="J28" s="13">
        <v>0</v>
      </c>
      <c r="K28" s="14" t="s">
        <v>15</v>
      </c>
    </row>
    <row r="29" spans="1:11">
      <c r="A29" s="8">
        <v>15</v>
      </c>
      <c r="B29" s="9">
        <v>36690</v>
      </c>
      <c r="C29" s="12">
        <v>2000</v>
      </c>
      <c r="D29" s="15" t="s">
        <v>23</v>
      </c>
      <c r="E29" s="12">
        <v>6</v>
      </c>
      <c r="F29" s="13">
        <v>11.750560627847415</v>
      </c>
      <c r="G29" s="13">
        <v>8.3240182666666662E-2</v>
      </c>
      <c r="H29" s="13">
        <v>1.8980156769999998</v>
      </c>
      <c r="I29" s="13">
        <v>5.2775857116666671</v>
      </c>
      <c r="J29" s="13">
        <v>0.14712603533333332</v>
      </c>
      <c r="K29" s="14" t="s">
        <v>15</v>
      </c>
    </row>
    <row r="30" spans="1:11">
      <c r="A30" s="8">
        <v>6</v>
      </c>
      <c r="B30" s="9">
        <v>36718</v>
      </c>
      <c r="C30" s="12">
        <v>2000</v>
      </c>
      <c r="D30" s="15" t="s">
        <v>24</v>
      </c>
      <c r="E30" s="12">
        <v>7</v>
      </c>
      <c r="F30" s="13">
        <v>7.6221527313395994</v>
      </c>
      <c r="G30" s="13">
        <v>9.5779926666666668E-2</v>
      </c>
      <c r="H30" s="13">
        <v>5.9741162000000007E-2</v>
      </c>
      <c r="I30" s="13">
        <v>1.6186786639999999</v>
      </c>
      <c r="J30" s="13">
        <v>0.62659155899999996</v>
      </c>
      <c r="K30" s="14" t="s">
        <v>15</v>
      </c>
    </row>
    <row r="31" spans="1:11">
      <c r="A31" s="8">
        <v>8</v>
      </c>
      <c r="B31" s="9">
        <v>36719</v>
      </c>
      <c r="C31" s="12">
        <v>2000</v>
      </c>
      <c r="D31" s="15" t="s">
        <v>24</v>
      </c>
      <c r="E31" s="12">
        <v>7</v>
      </c>
      <c r="F31" s="13">
        <v>1.0363606903029337</v>
      </c>
      <c r="G31" s="13">
        <v>5.7954068166666664E-2</v>
      </c>
      <c r="H31" s="13">
        <v>0</v>
      </c>
      <c r="I31" s="13">
        <v>9.9984896500000017E-2</v>
      </c>
      <c r="J31" s="13">
        <v>1.7252736166666668E-2</v>
      </c>
      <c r="K31" s="14" t="s">
        <v>15</v>
      </c>
    </row>
    <row r="32" spans="1:11">
      <c r="A32" s="8">
        <v>15</v>
      </c>
      <c r="B32" s="9">
        <v>36718</v>
      </c>
      <c r="C32" s="12">
        <v>2000</v>
      </c>
      <c r="D32" s="15" t="s">
        <v>24</v>
      </c>
      <c r="E32" s="12">
        <v>7</v>
      </c>
      <c r="F32" s="13">
        <v>7.445195757866248</v>
      </c>
      <c r="G32" s="13">
        <v>0.1653693416666667</v>
      </c>
      <c r="H32" s="13">
        <v>7.7695966999999991E-2</v>
      </c>
      <c r="I32" s="13">
        <v>1.9796614495000002</v>
      </c>
      <c r="J32" s="13">
        <v>0.4343788036666667</v>
      </c>
      <c r="K32" s="14" t="s">
        <v>15</v>
      </c>
    </row>
    <row r="33" spans="1:11">
      <c r="A33" s="8">
        <v>6</v>
      </c>
      <c r="B33" s="9">
        <v>36753</v>
      </c>
      <c r="C33" s="12">
        <v>2000</v>
      </c>
      <c r="D33" s="15" t="s">
        <v>25</v>
      </c>
      <c r="E33" s="12">
        <v>8</v>
      </c>
      <c r="F33" s="13">
        <v>12.145540664255593</v>
      </c>
      <c r="G33" s="13">
        <v>0.2813131213333333</v>
      </c>
      <c r="H33" s="13">
        <v>2.8212222499999998E-2</v>
      </c>
      <c r="I33" s="13">
        <v>2.2165540666666668</v>
      </c>
      <c r="J33" s="13">
        <v>1.1538234475000002</v>
      </c>
      <c r="K33" s="14" t="s">
        <v>15</v>
      </c>
    </row>
    <row r="34" spans="1:11">
      <c r="A34" s="8">
        <v>8</v>
      </c>
      <c r="B34" s="9">
        <v>36755</v>
      </c>
      <c r="C34" s="12">
        <v>2000</v>
      </c>
      <c r="D34" s="15" t="s">
        <v>25</v>
      </c>
      <c r="E34" s="12">
        <v>8</v>
      </c>
      <c r="F34" s="13">
        <v>1.4275565005543536</v>
      </c>
      <c r="G34" s="13">
        <v>0</v>
      </c>
      <c r="H34" s="13">
        <v>0</v>
      </c>
      <c r="I34" s="13">
        <v>0.38125440716666664</v>
      </c>
      <c r="J34" s="13">
        <v>1.3608310166666669E-2</v>
      </c>
      <c r="K34" s="14" t="s">
        <v>15</v>
      </c>
    </row>
    <row r="35" spans="1:11">
      <c r="A35" s="8">
        <v>15</v>
      </c>
      <c r="B35" s="9">
        <v>36753</v>
      </c>
      <c r="C35" s="12">
        <v>2000</v>
      </c>
      <c r="D35" s="15" t="s">
        <v>25</v>
      </c>
      <c r="E35" s="12">
        <v>8</v>
      </c>
      <c r="F35" s="13">
        <v>16.704231616920122</v>
      </c>
      <c r="G35" s="13">
        <v>0.19273199483333334</v>
      </c>
      <c r="H35" s="13">
        <v>0</v>
      </c>
      <c r="I35" s="13">
        <v>2.0732825433333333</v>
      </c>
      <c r="J35" s="13">
        <v>1.6519695373333332</v>
      </c>
      <c r="K35" s="14" t="s">
        <v>15</v>
      </c>
    </row>
    <row r="36" spans="1:11">
      <c r="A36" s="8">
        <v>6</v>
      </c>
      <c r="B36" s="9">
        <v>36781</v>
      </c>
      <c r="C36" s="12">
        <v>2000</v>
      </c>
      <c r="D36" s="15" t="s">
        <v>26</v>
      </c>
      <c r="E36" s="12">
        <v>9</v>
      </c>
      <c r="F36" s="13">
        <v>5.2565427098916953</v>
      </c>
      <c r="G36" s="13">
        <v>0.15664878083333333</v>
      </c>
      <c r="H36" s="13">
        <v>2.5369142500000001E-2</v>
      </c>
      <c r="I36" s="13">
        <v>1.1844637148333335</v>
      </c>
      <c r="J36" s="13">
        <v>0.37598108083333331</v>
      </c>
      <c r="K36" s="14" t="s">
        <v>15</v>
      </c>
    </row>
    <row r="37" spans="1:11">
      <c r="A37" s="8">
        <v>8</v>
      </c>
      <c r="B37" s="9">
        <v>36783</v>
      </c>
      <c r="C37" s="12">
        <v>2000</v>
      </c>
      <c r="D37" s="15" t="s">
        <v>26</v>
      </c>
      <c r="E37" s="12">
        <v>9</v>
      </c>
      <c r="F37" s="13">
        <v>1.9202883328733895</v>
      </c>
      <c r="G37" s="13">
        <v>0</v>
      </c>
      <c r="H37" s="13">
        <v>0</v>
      </c>
      <c r="I37" s="13">
        <v>0.39850095816666664</v>
      </c>
      <c r="J37" s="13">
        <v>2.3726404166666666E-2</v>
      </c>
      <c r="K37" s="14" t="s">
        <v>15</v>
      </c>
    </row>
    <row r="38" spans="1:11">
      <c r="A38" s="8">
        <v>15</v>
      </c>
      <c r="B38" s="9">
        <v>36781</v>
      </c>
      <c r="C38" s="12">
        <v>2000</v>
      </c>
      <c r="D38" s="15" t="s">
        <v>26</v>
      </c>
      <c r="E38" s="12">
        <v>9</v>
      </c>
      <c r="F38" s="13">
        <v>3.4888421874924349</v>
      </c>
      <c r="G38" s="13">
        <v>0.12090103349999999</v>
      </c>
      <c r="H38" s="13">
        <v>0</v>
      </c>
      <c r="I38" s="13">
        <v>0.76015939450000003</v>
      </c>
      <c r="J38" s="13">
        <v>0.29434883183333332</v>
      </c>
      <c r="K38" s="14" t="s">
        <v>15</v>
      </c>
    </row>
    <row r="39" spans="1:11">
      <c r="A39" s="8">
        <v>6</v>
      </c>
      <c r="B39" s="9">
        <v>36817</v>
      </c>
      <c r="C39" s="12">
        <v>2000</v>
      </c>
      <c r="D39" s="15" t="s">
        <v>14</v>
      </c>
      <c r="E39" s="12">
        <v>10</v>
      </c>
      <c r="F39" s="14">
        <v>3.4158372305855664</v>
      </c>
      <c r="G39" s="14">
        <v>8.5125505333333323E-2</v>
      </c>
      <c r="H39" s="14">
        <v>0</v>
      </c>
      <c r="I39" s="14">
        <v>0.31296293366666672</v>
      </c>
      <c r="J39" s="14">
        <v>2.1628269833333335E-2</v>
      </c>
      <c r="K39" s="14" t="s">
        <v>15</v>
      </c>
    </row>
    <row r="40" spans="1:11">
      <c r="A40" s="8">
        <v>8</v>
      </c>
      <c r="B40" s="9">
        <v>36815</v>
      </c>
      <c r="C40" s="12">
        <v>2000</v>
      </c>
      <c r="D40" s="15" t="s">
        <v>14</v>
      </c>
      <c r="E40" s="12">
        <v>10</v>
      </c>
      <c r="F40" s="14">
        <v>0.74574838611404204</v>
      </c>
      <c r="G40" s="14">
        <v>0</v>
      </c>
      <c r="H40" s="14">
        <v>0</v>
      </c>
      <c r="I40" s="14">
        <v>8.4663819333333321E-2</v>
      </c>
      <c r="J40" s="14">
        <v>0</v>
      </c>
      <c r="K40" s="14" t="s">
        <v>15</v>
      </c>
    </row>
    <row r="41" spans="1:11">
      <c r="A41" s="8">
        <v>15</v>
      </c>
      <c r="B41" s="9">
        <v>36817</v>
      </c>
      <c r="C41" s="12">
        <v>2000</v>
      </c>
      <c r="D41" s="15" t="s">
        <v>14</v>
      </c>
      <c r="E41" s="12">
        <v>10</v>
      </c>
      <c r="F41" s="14">
        <v>1.4058698228589261</v>
      </c>
      <c r="G41" s="14">
        <v>1.1763138666666666E-2</v>
      </c>
      <c r="H41" s="14">
        <v>0</v>
      </c>
      <c r="I41" s="14">
        <v>0.17209964166666666</v>
      </c>
      <c r="J41" s="14">
        <v>8.1944337833333332E-3</v>
      </c>
      <c r="K41" s="14" t="s">
        <v>15</v>
      </c>
    </row>
    <row r="42" spans="1:11">
      <c r="A42" s="8">
        <v>6</v>
      </c>
      <c r="B42" s="9">
        <v>36845</v>
      </c>
      <c r="C42" s="12">
        <v>2000</v>
      </c>
      <c r="D42" s="15" t="s">
        <v>16</v>
      </c>
      <c r="E42" s="12">
        <v>11</v>
      </c>
      <c r="F42" s="14">
        <v>3.0933376734382509</v>
      </c>
      <c r="G42" s="14">
        <v>0.34038041466666669</v>
      </c>
      <c r="H42" s="14">
        <v>0</v>
      </c>
      <c r="I42" s="14">
        <v>0.42752280849999996</v>
      </c>
      <c r="J42" s="14">
        <v>1.0428505500000001E-2</v>
      </c>
      <c r="K42" s="14" t="s">
        <v>15</v>
      </c>
    </row>
    <row r="43" spans="1:11">
      <c r="A43" s="8">
        <v>8</v>
      </c>
      <c r="B43" s="9">
        <v>36846</v>
      </c>
      <c r="C43" s="12">
        <v>2000</v>
      </c>
      <c r="D43" s="15" t="s">
        <v>16</v>
      </c>
      <c r="E43" s="12">
        <v>11</v>
      </c>
      <c r="F43" s="14">
        <v>0.53539094207744464</v>
      </c>
      <c r="G43" s="14">
        <v>4.7607227833333328E-2</v>
      </c>
      <c r="H43" s="14">
        <v>0</v>
      </c>
      <c r="I43" s="14">
        <v>7.153501683333334E-2</v>
      </c>
      <c r="J43" s="14">
        <v>0</v>
      </c>
      <c r="K43" s="14" t="s">
        <v>15</v>
      </c>
    </row>
    <row r="44" spans="1:11">
      <c r="A44" s="8">
        <v>15</v>
      </c>
      <c r="B44" s="9">
        <v>36845</v>
      </c>
      <c r="C44" s="12">
        <v>2000</v>
      </c>
      <c r="D44" s="15" t="s">
        <v>16</v>
      </c>
      <c r="E44" s="12">
        <v>11</v>
      </c>
      <c r="F44" s="14">
        <v>1.4195202317793862</v>
      </c>
      <c r="G44" s="14">
        <v>0.130005494</v>
      </c>
      <c r="H44" s="14">
        <v>0</v>
      </c>
      <c r="I44" s="14">
        <v>0.26097534983333337</v>
      </c>
      <c r="J44" s="14">
        <v>0</v>
      </c>
      <c r="K44" s="14" t="s">
        <v>15</v>
      </c>
    </row>
    <row r="45" spans="1:11">
      <c r="A45" s="8">
        <v>6</v>
      </c>
      <c r="B45" s="9">
        <v>36871</v>
      </c>
      <c r="C45" s="12">
        <v>2000</v>
      </c>
      <c r="D45" s="15" t="s">
        <v>17</v>
      </c>
      <c r="E45" s="12">
        <v>12</v>
      </c>
      <c r="F45" s="14">
        <v>2.1850567255155466</v>
      </c>
      <c r="G45" s="14">
        <v>0.18687191633333333</v>
      </c>
      <c r="H45" s="14">
        <v>0</v>
      </c>
      <c r="I45" s="14">
        <v>0.17106546083333335</v>
      </c>
      <c r="J45" s="14">
        <v>5.0969966666666667E-3</v>
      </c>
      <c r="K45" s="14" t="s">
        <v>15</v>
      </c>
    </row>
    <row r="46" spans="1:11">
      <c r="A46" s="8">
        <v>8</v>
      </c>
      <c r="B46" s="9">
        <v>36873</v>
      </c>
      <c r="C46" s="12">
        <v>2000</v>
      </c>
      <c r="D46" s="15" t="s">
        <v>17</v>
      </c>
      <c r="E46" s="12">
        <v>12</v>
      </c>
      <c r="F46" s="14">
        <v>2.077736344384836</v>
      </c>
      <c r="G46" s="14">
        <v>9.1301341833333327E-2</v>
      </c>
      <c r="H46" s="14">
        <v>0</v>
      </c>
      <c r="I46" s="14">
        <v>0.5350471086666666</v>
      </c>
      <c r="J46" s="14">
        <v>1.3774680666666667E-2</v>
      </c>
      <c r="K46" s="14" t="s">
        <v>15</v>
      </c>
    </row>
    <row r="47" spans="1:11">
      <c r="A47" s="8">
        <v>15</v>
      </c>
      <c r="B47" s="9">
        <v>36871</v>
      </c>
      <c r="C47" s="12">
        <v>2000</v>
      </c>
      <c r="D47" s="15" t="s">
        <v>17</v>
      </c>
      <c r="E47" s="12">
        <v>12</v>
      </c>
      <c r="F47" s="16">
        <v>4.0582539529803396</v>
      </c>
    </row>
    <row r="48" spans="1:11">
      <c r="A48" s="8">
        <v>6</v>
      </c>
      <c r="B48" s="9">
        <v>36901</v>
      </c>
      <c r="C48" s="12">
        <v>2001</v>
      </c>
      <c r="D48" s="15" t="s">
        <v>18</v>
      </c>
      <c r="E48" s="12">
        <v>1</v>
      </c>
      <c r="F48" s="14">
        <v>2.7547221587334612</v>
      </c>
      <c r="G48" s="14">
        <v>0.23899976716666665</v>
      </c>
      <c r="H48" s="14">
        <v>0</v>
      </c>
      <c r="I48" s="14">
        <v>0.65235760050000013</v>
      </c>
      <c r="J48" s="14">
        <v>3.9431800333333329E-2</v>
      </c>
      <c r="K48" s="14" t="s">
        <v>15</v>
      </c>
    </row>
    <row r="49" spans="1:11">
      <c r="A49" s="8">
        <v>8</v>
      </c>
      <c r="B49" s="9">
        <v>36902</v>
      </c>
      <c r="C49" s="12">
        <v>2001</v>
      </c>
      <c r="D49" s="15" t="s">
        <v>18</v>
      </c>
      <c r="E49" s="12">
        <v>1</v>
      </c>
      <c r="F49" s="14">
        <v>2.4730812884833537</v>
      </c>
      <c r="G49" s="14">
        <v>6.7604186166666663E-2</v>
      </c>
      <c r="H49" s="14">
        <v>0</v>
      </c>
      <c r="I49" s="14">
        <v>0.71212465633333333</v>
      </c>
      <c r="J49" s="14">
        <v>1.8109119666666666E-2</v>
      </c>
      <c r="K49" s="14" t="s">
        <v>15</v>
      </c>
    </row>
    <row r="50" spans="1:11">
      <c r="A50" s="8">
        <v>15</v>
      </c>
      <c r="B50" s="9">
        <v>36901</v>
      </c>
      <c r="C50" s="12">
        <v>2001</v>
      </c>
      <c r="D50" s="15" t="s">
        <v>18</v>
      </c>
      <c r="E50" s="12">
        <v>1</v>
      </c>
      <c r="F50" s="14">
        <v>3.6258114287200369</v>
      </c>
      <c r="G50" s="14">
        <v>0.40016707433333332</v>
      </c>
      <c r="H50" s="14">
        <v>3.55998275E-2</v>
      </c>
      <c r="I50" s="14">
        <v>0.72502974450000002</v>
      </c>
      <c r="J50" s="14">
        <v>3.5982049833333335E-2</v>
      </c>
      <c r="K50" s="14" t="s">
        <v>15</v>
      </c>
    </row>
    <row r="51" spans="1:11">
      <c r="A51" s="12">
        <v>6</v>
      </c>
      <c r="B51" s="9">
        <v>36928</v>
      </c>
      <c r="C51" s="12">
        <v>2001</v>
      </c>
      <c r="D51" s="11" t="s">
        <v>19</v>
      </c>
      <c r="E51" s="12">
        <v>2</v>
      </c>
      <c r="F51" s="14">
        <v>2.3890516644127744</v>
      </c>
      <c r="G51" s="14">
        <v>0.22911262099999999</v>
      </c>
      <c r="H51" s="14">
        <v>2.4353726833333332E-2</v>
      </c>
      <c r="I51" s="14">
        <v>0.3875091831666666</v>
      </c>
      <c r="J51" s="14">
        <v>2.9747611499999996E-2</v>
      </c>
      <c r="K51" s="14" t="s">
        <v>15</v>
      </c>
    </row>
    <row r="52" spans="1:11">
      <c r="A52" s="12">
        <v>8</v>
      </c>
      <c r="B52" s="9">
        <v>36929</v>
      </c>
      <c r="C52" s="12">
        <v>2001</v>
      </c>
      <c r="D52" s="11" t="s">
        <v>19</v>
      </c>
      <c r="E52" s="12">
        <v>2</v>
      </c>
      <c r="F52" s="14">
        <v>1.3636171179404875</v>
      </c>
      <c r="G52" s="14">
        <v>5.6799119333333328E-2</v>
      </c>
      <c r="H52" s="14">
        <v>0</v>
      </c>
      <c r="I52" s="14">
        <v>0.37175451533333331</v>
      </c>
      <c r="J52" s="14">
        <v>2.1724506833333334E-2</v>
      </c>
      <c r="K52" s="14" t="s">
        <v>15</v>
      </c>
    </row>
    <row r="53" spans="1:11">
      <c r="A53" s="12">
        <v>15</v>
      </c>
      <c r="B53" s="9">
        <v>36928</v>
      </c>
      <c r="C53" s="12">
        <v>2001</v>
      </c>
      <c r="D53" s="11" t="s">
        <v>19</v>
      </c>
      <c r="E53" s="12">
        <v>2</v>
      </c>
      <c r="F53" s="14">
        <v>2.701629826425525</v>
      </c>
      <c r="G53" s="14">
        <v>0.17924025933333337</v>
      </c>
      <c r="H53" s="14">
        <v>2.0205576666666666E-2</v>
      </c>
      <c r="I53" s="14">
        <v>0.8946008061666666</v>
      </c>
      <c r="J53" s="14">
        <v>2.8939032E-2</v>
      </c>
      <c r="K53" s="14" t="s">
        <v>15</v>
      </c>
    </row>
    <row r="54" spans="1:11">
      <c r="A54" s="8">
        <v>6</v>
      </c>
      <c r="B54" s="9">
        <v>36965</v>
      </c>
      <c r="C54" s="12">
        <v>2001</v>
      </c>
      <c r="D54" s="11" t="s">
        <v>20</v>
      </c>
      <c r="E54" s="12">
        <v>3</v>
      </c>
      <c r="F54" s="14">
        <v>2.9077453926478527</v>
      </c>
      <c r="G54" s="14">
        <v>0</v>
      </c>
      <c r="H54" s="14">
        <v>2.6463078333333331E-2</v>
      </c>
      <c r="I54" s="14">
        <v>0.64670687416666661</v>
      </c>
      <c r="J54" s="14">
        <v>0</v>
      </c>
      <c r="K54" s="14" t="s">
        <v>15</v>
      </c>
    </row>
    <row r="55" spans="1:11">
      <c r="A55" s="8">
        <v>8</v>
      </c>
      <c r="B55" s="9">
        <v>36962</v>
      </c>
      <c r="C55" s="12">
        <v>2001</v>
      </c>
      <c r="D55" s="11" t="s">
        <v>20</v>
      </c>
      <c r="E55" s="12">
        <v>3</v>
      </c>
      <c r="F55" s="14">
        <v>2.191786585873297</v>
      </c>
      <c r="G55" s="14">
        <v>3.0358056000000001E-2</v>
      </c>
      <c r="H55" s="14">
        <v>3.6429059166666666E-2</v>
      </c>
      <c r="I55" s="14">
        <v>0.80983299216666671</v>
      </c>
      <c r="J55" s="14">
        <v>5.8847143333333331E-2</v>
      </c>
      <c r="K55" s="14" t="s">
        <v>15</v>
      </c>
    </row>
    <row r="56" spans="1:11">
      <c r="A56" s="8">
        <v>15</v>
      </c>
      <c r="B56" s="9">
        <v>36964</v>
      </c>
      <c r="C56" s="12">
        <v>2001</v>
      </c>
      <c r="D56" s="11" t="s">
        <v>20</v>
      </c>
      <c r="E56" s="12">
        <v>3</v>
      </c>
      <c r="F56" s="14">
        <v>2.4905588595304975</v>
      </c>
      <c r="G56" s="14">
        <v>0</v>
      </c>
      <c r="H56" s="14">
        <v>3.2383331166666661E-2</v>
      </c>
      <c r="I56" s="14">
        <v>0.6404291396666667</v>
      </c>
      <c r="J56" s="14">
        <v>3.1447169499999997E-2</v>
      </c>
      <c r="K56" s="14" t="s">
        <v>15</v>
      </c>
    </row>
    <row r="57" spans="1:11">
      <c r="A57" s="8">
        <v>6</v>
      </c>
      <c r="B57" s="9">
        <v>37000</v>
      </c>
      <c r="C57" s="12">
        <v>2001</v>
      </c>
      <c r="D57" s="15" t="s">
        <v>21</v>
      </c>
      <c r="E57" s="12">
        <v>4</v>
      </c>
      <c r="F57" s="14">
        <v>4.814884497431553</v>
      </c>
      <c r="G57" s="14">
        <v>3.3507878333333331E-2</v>
      </c>
      <c r="H57" s="14">
        <v>0</v>
      </c>
      <c r="I57" s="14">
        <v>1.8293932446666668</v>
      </c>
      <c r="J57" s="14">
        <v>3.2302714333333336E-2</v>
      </c>
      <c r="K57" s="14" t="s">
        <v>15</v>
      </c>
    </row>
    <row r="58" spans="1:11">
      <c r="A58" s="8">
        <v>8</v>
      </c>
      <c r="B58" s="9">
        <v>36998</v>
      </c>
      <c r="C58" s="12">
        <v>2001</v>
      </c>
      <c r="D58" s="15" t="s">
        <v>21</v>
      </c>
      <c r="E58" s="12">
        <v>4</v>
      </c>
      <c r="F58" s="14">
        <v>0.60571313771529633</v>
      </c>
      <c r="G58" s="14">
        <v>0</v>
      </c>
      <c r="H58" s="14">
        <v>0</v>
      </c>
      <c r="I58" s="14">
        <v>0.10904752850000002</v>
      </c>
      <c r="J58" s="14">
        <v>0</v>
      </c>
      <c r="K58" s="14" t="s">
        <v>15</v>
      </c>
    </row>
    <row r="59" spans="1:11">
      <c r="A59" s="8">
        <v>15</v>
      </c>
      <c r="B59" s="9">
        <v>36997</v>
      </c>
      <c r="C59" s="12">
        <v>2001</v>
      </c>
      <c r="D59" s="15" t="s">
        <v>21</v>
      </c>
      <c r="E59" s="12">
        <v>4</v>
      </c>
      <c r="F59" s="14">
        <v>3.859447166535396</v>
      </c>
      <c r="G59" s="14">
        <v>4.0014568833333326E-2</v>
      </c>
      <c r="H59" s="14">
        <v>2.4801679666666666E-2</v>
      </c>
      <c r="I59" s="14">
        <v>2.0028922016666666</v>
      </c>
      <c r="J59" s="14">
        <v>4.9688588833333339E-2</v>
      </c>
      <c r="K59" s="14" t="s">
        <v>15</v>
      </c>
    </row>
    <row r="60" spans="1:11">
      <c r="A60" s="8">
        <v>6</v>
      </c>
      <c r="B60" s="9">
        <v>37026</v>
      </c>
      <c r="C60" s="12">
        <v>2001</v>
      </c>
      <c r="D60" s="15" t="s">
        <v>22</v>
      </c>
      <c r="E60" s="12">
        <v>5</v>
      </c>
      <c r="F60" s="14">
        <v>6.205030488723108</v>
      </c>
      <c r="G60" s="14">
        <v>0.18255582316666666</v>
      </c>
      <c r="H60" s="14">
        <v>1.0673403505000001</v>
      </c>
      <c r="I60" s="14">
        <v>2.432378433666667</v>
      </c>
      <c r="J60" s="14">
        <v>9.3394548999999979E-2</v>
      </c>
      <c r="K60" s="14" t="s">
        <v>15</v>
      </c>
    </row>
    <row r="61" spans="1:11">
      <c r="A61" s="8">
        <v>8</v>
      </c>
      <c r="B61" s="9">
        <v>37025</v>
      </c>
      <c r="C61" s="12">
        <v>2001</v>
      </c>
      <c r="D61" s="15" t="s">
        <v>22</v>
      </c>
      <c r="E61" s="12">
        <v>5</v>
      </c>
      <c r="F61" s="14">
        <v>0.86197970184224748</v>
      </c>
      <c r="G61" s="14">
        <v>1.9473211000000001E-2</v>
      </c>
      <c r="H61" s="14">
        <v>1.8322350666666664E-2</v>
      </c>
      <c r="I61" s="14">
        <v>0.14531766033333335</v>
      </c>
      <c r="J61" s="14">
        <v>2.3162086333333335E-2</v>
      </c>
      <c r="K61" s="14" t="s">
        <v>15</v>
      </c>
    </row>
    <row r="62" spans="1:11">
      <c r="A62" s="8">
        <v>15</v>
      </c>
      <c r="B62" s="9">
        <v>37026</v>
      </c>
      <c r="C62" s="12">
        <v>2001</v>
      </c>
      <c r="D62" s="15" t="s">
        <v>22</v>
      </c>
      <c r="E62" s="12">
        <v>5</v>
      </c>
      <c r="F62" s="14">
        <v>3.5794526957542616</v>
      </c>
      <c r="G62" s="14">
        <v>0.14204885216666666</v>
      </c>
      <c r="H62" s="14">
        <v>0.67914283166666667</v>
      </c>
      <c r="I62" s="14">
        <v>1.2700344473333331</v>
      </c>
      <c r="J62" s="14">
        <v>9.0210236499999999E-2</v>
      </c>
      <c r="K62" s="14" t="s">
        <v>15</v>
      </c>
    </row>
    <row r="63" spans="1:11">
      <c r="A63" s="8">
        <v>6</v>
      </c>
      <c r="B63" s="9">
        <v>37055</v>
      </c>
      <c r="C63" s="12">
        <v>2001</v>
      </c>
      <c r="D63" s="15" t="s">
        <v>23</v>
      </c>
      <c r="E63" s="12">
        <v>6</v>
      </c>
      <c r="F63" s="14">
        <v>8.4036698540666652</v>
      </c>
      <c r="G63" s="14">
        <v>8.5453528833333334E-2</v>
      </c>
      <c r="H63" s="14">
        <v>2.0982673668333329</v>
      </c>
      <c r="I63" s="14">
        <v>2.8457924576666667</v>
      </c>
      <c r="J63" s="14">
        <v>0.34684129299999994</v>
      </c>
      <c r="K63" s="14" t="s">
        <v>15</v>
      </c>
    </row>
    <row r="64" spans="1:11">
      <c r="A64" s="8">
        <v>8</v>
      </c>
      <c r="B64" s="9">
        <v>37054</v>
      </c>
      <c r="C64" s="12">
        <v>2001</v>
      </c>
      <c r="D64" s="15" t="s">
        <v>23</v>
      </c>
      <c r="E64" s="12">
        <v>6</v>
      </c>
      <c r="F64" s="14">
        <v>1.188037214238655</v>
      </c>
      <c r="G64" s="14">
        <v>1.7660223333333332E-2</v>
      </c>
      <c r="H64" s="14">
        <v>0</v>
      </c>
      <c r="I64" s="14">
        <v>7.1635342333333324E-2</v>
      </c>
      <c r="J64" s="14">
        <v>0</v>
      </c>
      <c r="K64" s="14" t="s">
        <v>15</v>
      </c>
    </row>
    <row r="65" spans="1:11">
      <c r="A65" s="8">
        <v>15</v>
      </c>
      <c r="B65" s="9">
        <v>37055</v>
      </c>
      <c r="C65" s="12">
        <v>2001</v>
      </c>
      <c r="D65" s="15" t="s">
        <v>23</v>
      </c>
      <c r="E65" s="12">
        <v>6</v>
      </c>
      <c r="F65" s="14">
        <v>8.4755321996998116</v>
      </c>
      <c r="G65" s="14">
        <v>6.9837660333333329E-2</v>
      </c>
      <c r="H65" s="14">
        <v>2.1621143263333331</v>
      </c>
      <c r="I65" s="14">
        <v>2.5393860103333332</v>
      </c>
      <c r="J65" s="14">
        <v>0.67165825583333327</v>
      </c>
      <c r="K65" s="14" t="s">
        <v>15</v>
      </c>
    </row>
    <row r="66" spans="1:11">
      <c r="A66" s="8">
        <v>6</v>
      </c>
      <c r="B66" s="9">
        <v>37092</v>
      </c>
      <c r="C66" s="12">
        <v>2001</v>
      </c>
      <c r="D66" s="15" t="s">
        <v>24</v>
      </c>
      <c r="E66" s="12">
        <v>7</v>
      </c>
      <c r="F66" s="14">
        <v>7.6810494233998599</v>
      </c>
      <c r="G66" s="14">
        <v>0.14524228516666668</v>
      </c>
      <c r="H66" s="14">
        <v>3.9213432499999999E-2</v>
      </c>
      <c r="I66" s="14">
        <v>1.0852984053333332</v>
      </c>
      <c r="J66" s="14">
        <v>0.80699274266666676</v>
      </c>
      <c r="K66" s="14" t="s">
        <v>15</v>
      </c>
    </row>
    <row r="67" spans="1:11">
      <c r="A67" s="8">
        <v>8</v>
      </c>
      <c r="B67" s="9">
        <v>37090</v>
      </c>
      <c r="C67" s="12">
        <v>2001</v>
      </c>
      <c r="D67" s="15" t="s">
        <v>24</v>
      </c>
      <c r="E67" s="12">
        <v>7</v>
      </c>
      <c r="F67" s="14">
        <v>1.0569016834841709</v>
      </c>
      <c r="G67" s="14">
        <v>4.9993234500000004E-2</v>
      </c>
      <c r="H67" s="14">
        <v>0</v>
      </c>
      <c r="I67" s="14">
        <v>0.14662430299999998</v>
      </c>
      <c r="J67" s="14">
        <v>1.2997760833333333E-2</v>
      </c>
      <c r="K67" s="14" t="s">
        <v>15</v>
      </c>
    </row>
    <row r="68" spans="1:11">
      <c r="A68" s="8">
        <v>15</v>
      </c>
      <c r="B68" s="9">
        <v>37092</v>
      </c>
      <c r="C68" s="12">
        <v>2001</v>
      </c>
      <c r="D68" s="15" t="s">
        <v>24</v>
      </c>
      <c r="E68" s="12">
        <v>7</v>
      </c>
      <c r="F68" s="14">
        <v>2.4321721252965971</v>
      </c>
      <c r="G68" s="14">
        <v>8.0701014500000015E-2</v>
      </c>
      <c r="H68" s="14">
        <v>1.9855642999999999E-2</v>
      </c>
      <c r="I68" s="14">
        <v>0.386620511</v>
      </c>
      <c r="J68" s="14">
        <v>0.54032798300000007</v>
      </c>
      <c r="K68" s="14" t="s">
        <v>15</v>
      </c>
    </row>
    <row r="69" spans="1:11">
      <c r="A69" s="8">
        <v>6</v>
      </c>
      <c r="B69" s="9">
        <v>37118</v>
      </c>
      <c r="C69" s="12">
        <v>2001</v>
      </c>
      <c r="D69" s="15" t="s">
        <v>25</v>
      </c>
      <c r="E69" s="12">
        <v>8</v>
      </c>
      <c r="F69" s="14">
        <v>2.9668356791150874</v>
      </c>
      <c r="G69" s="14">
        <v>0</v>
      </c>
      <c r="H69" s="14">
        <v>0</v>
      </c>
      <c r="I69" s="14">
        <v>0.4979255205</v>
      </c>
      <c r="J69" s="14">
        <v>0.70965646033333329</v>
      </c>
      <c r="K69" s="14" t="s">
        <v>15</v>
      </c>
    </row>
    <row r="70" spans="1:11">
      <c r="A70" s="8">
        <v>8</v>
      </c>
      <c r="B70" s="9">
        <v>37117</v>
      </c>
      <c r="C70" s="12">
        <v>2001</v>
      </c>
      <c r="D70" s="15" t="s">
        <v>25</v>
      </c>
      <c r="E70" s="12">
        <v>8</v>
      </c>
      <c r="F70" s="14">
        <v>0.75939941819857038</v>
      </c>
      <c r="G70" s="14">
        <v>2.7964501333333332E-2</v>
      </c>
      <c r="H70" s="14">
        <v>0</v>
      </c>
      <c r="I70" s="14">
        <v>7.2448324833333327E-2</v>
      </c>
      <c r="J70" s="14">
        <v>0</v>
      </c>
      <c r="K70" s="14" t="s">
        <v>15</v>
      </c>
    </row>
    <row r="71" spans="1:11">
      <c r="A71" s="8">
        <v>15</v>
      </c>
      <c r="B71" s="9">
        <v>37118</v>
      </c>
      <c r="C71" s="12">
        <v>2001</v>
      </c>
      <c r="D71" s="15" t="s">
        <v>25</v>
      </c>
      <c r="E71" s="12">
        <v>8</v>
      </c>
      <c r="F71" s="14">
        <v>5.5862372930010453</v>
      </c>
      <c r="G71" s="14">
        <v>0</v>
      </c>
      <c r="H71" s="14">
        <v>0</v>
      </c>
      <c r="I71" s="14">
        <v>1.5699339944999999</v>
      </c>
      <c r="J71" s="14">
        <v>0.26576455583333325</v>
      </c>
      <c r="K71" s="14" t="s">
        <v>15</v>
      </c>
    </row>
    <row r="72" spans="1:11">
      <c r="A72" s="8">
        <v>6</v>
      </c>
      <c r="B72" s="9">
        <v>37152</v>
      </c>
      <c r="C72" s="12">
        <v>2001</v>
      </c>
      <c r="D72" s="15" t="s">
        <v>26</v>
      </c>
      <c r="E72" s="12">
        <v>9</v>
      </c>
      <c r="F72" s="14">
        <v>6.3473835958746339</v>
      </c>
      <c r="G72" s="14">
        <v>0</v>
      </c>
      <c r="H72" s="14">
        <v>0</v>
      </c>
      <c r="I72" s="14">
        <v>1.6761167424999999</v>
      </c>
      <c r="J72" s="14">
        <v>0.17096649816666665</v>
      </c>
      <c r="K72" s="14" t="s">
        <v>15</v>
      </c>
    </row>
    <row r="73" spans="1:11">
      <c r="A73" s="8">
        <v>8</v>
      </c>
      <c r="B73" s="9">
        <v>37145</v>
      </c>
      <c r="C73" s="12">
        <v>2001</v>
      </c>
      <c r="D73" s="15" t="s">
        <v>26</v>
      </c>
      <c r="E73" s="12">
        <v>9</v>
      </c>
      <c r="F73" s="14">
        <v>3.1412798663020811</v>
      </c>
      <c r="G73" s="14">
        <v>3.6515861166666663E-2</v>
      </c>
      <c r="H73" s="14">
        <v>0</v>
      </c>
      <c r="I73" s="14">
        <v>0.20849442033333332</v>
      </c>
      <c r="J73" s="14">
        <v>4.026239483333334E-2</v>
      </c>
      <c r="K73" s="14" t="s">
        <v>15</v>
      </c>
    </row>
    <row r="74" spans="1:11">
      <c r="A74" s="8">
        <v>15</v>
      </c>
      <c r="B74" s="9">
        <v>37145</v>
      </c>
      <c r="C74" s="12">
        <v>2001</v>
      </c>
      <c r="D74" s="15" t="s">
        <v>26</v>
      </c>
      <c r="E74" s="12">
        <v>9</v>
      </c>
      <c r="F74" s="14">
        <v>3.0149514231719947</v>
      </c>
      <c r="G74" s="14">
        <v>2.9576942833333331E-2</v>
      </c>
      <c r="H74" s="14">
        <v>2.5951386833333333E-2</v>
      </c>
      <c r="I74" s="14">
        <v>0.52306319099999998</v>
      </c>
      <c r="J74" s="14">
        <v>0.14796187149999998</v>
      </c>
      <c r="K74" s="14" t="s">
        <v>15</v>
      </c>
    </row>
    <row r="75" spans="1:11">
      <c r="A75" s="8">
        <v>6</v>
      </c>
      <c r="B75" s="9">
        <v>37180</v>
      </c>
      <c r="C75" s="12">
        <v>2001</v>
      </c>
      <c r="D75" s="15" t="s">
        <v>14</v>
      </c>
      <c r="E75" s="12">
        <v>10</v>
      </c>
      <c r="F75" s="13">
        <v>1.0548604323549744</v>
      </c>
      <c r="G75" s="13">
        <v>1.0504989314444536E-2</v>
      </c>
      <c r="H75" s="17">
        <v>0</v>
      </c>
      <c r="I75" s="13">
        <v>9.3142629673298657E-2</v>
      </c>
      <c r="J75" s="13">
        <v>1.0048022541589258E-2</v>
      </c>
      <c r="K75" s="14" t="s">
        <v>27</v>
      </c>
    </row>
    <row r="76" spans="1:11">
      <c r="A76" s="8">
        <v>8</v>
      </c>
      <c r="B76" s="9">
        <v>37182</v>
      </c>
      <c r="C76" s="12">
        <v>2001</v>
      </c>
      <c r="D76" s="15" t="s">
        <v>14</v>
      </c>
      <c r="E76" s="12">
        <v>10</v>
      </c>
      <c r="F76" s="13">
        <v>0.34843414570771769</v>
      </c>
      <c r="G76" s="13">
        <v>0</v>
      </c>
      <c r="H76" s="17">
        <v>0</v>
      </c>
      <c r="I76" s="13">
        <v>5.3769445360710141E-2</v>
      </c>
      <c r="J76" s="13">
        <v>0</v>
      </c>
      <c r="K76" s="14" t="s">
        <v>27</v>
      </c>
    </row>
    <row r="77" spans="1:11">
      <c r="A77" s="8">
        <v>15</v>
      </c>
      <c r="B77" s="9">
        <v>37180</v>
      </c>
      <c r="C77" s="12">
        <v>2001</v>
      </c>
      <c r="D77" s="15" t="s">
        <v>14</v>
      </c>
      <c r="E77" s="12">
        <v>10</v>
      </c>
      <c r="F77" s="13">
        <v>0.65471596515874708</v>
      </c>
      <c r="G77" s="13">
        <v>0</v>
      </c>
      <c r="H77" s="17">
        <v>0</v>
      </c>
      <c r="I77" s="13">
        <v>6.5474439951816843E-2</v>
      </c>
      <c r="J77" s="13">
        <v>7.3458369834457724E-3</v>
      </c>
      <c r="K77" s="14" t="s">
        <v>27</v>
      </c>
    </row>
    <row r="78" spans="1:11">
      <c r="A78" s="8">
        <v>6</v>
      </c>
      <c r="B78" s="9">
        <v>37201</v>
      </c>
      <c r="C78" s="12">
        <v>2001</v>
      </c>
      <c r="D78" s="15" t="s">
        <v>16</v>
      </c>
      <c r="E78" s="12">
        <v>11</v>
      </c>
      <c r="F78" s="13">
        <v>1.5054241934185941</v>
      </c>
      <c r="G78" s="13">
        <v>9.5725066152988064E-3</v>
      </c>
      <c r="H78" s="17">
        <v>9.0687883461464357E-3</v>
      </c>
      <c r="I78" s="13">
        <v>0.41026282776830753</v>
      </c>
      <c r="J78" s="13">
        <v>2.9287663637416507E-2</v>
      </c>
      <c r="K78" s="14" t="s">
        <v>27</v>
      </c>
    </row>
    <row r="79" spans="1:11">
      <c r="A79" s="8">
        <v>8</v>
      </c>
      <c r="B79" s="9">
        <v>37202</v>
      </c>
      <c r="C79" s="12">
        <v>2001</v>
      </c>
      <c r="D79" s="15" t="s">
        <v>16</v>
      </c>
      <c r="E79" s="12">
        <v>11</v>
      </c>
      <c r="F79" s="13">
        <v>0.39829726707135099</v>
      </c>
      <c r="G79" s="13">
        <v>0</v>
      </c>
      <c r="H79" s="17">
        <v>0</v>
      </c>
      <c r="I79" s="13">
        <v>6.3796608848175312E-2</v>
      </c>
      <c r="J79" s="13">
        <v>0</v>
      </c>
      <c r="K79" s="14" t="s">
        <v>27</v>
      </c>
    </row>
    <row r="80" spans="1:11">
      <c r="A80" s="8">
        <v>15</v>
      </c>
      <c r="B80" s="9">
        <v>37201</v>
      </c>
      <c r="C80" s="12">
        <v>2001</v>
      </c>
      <c r="D80" s="15" t="s">
        <v>16</v>
      </c>
      <c r="E80" s="12">
        <v>11</v>
      </c>
      <c r="F80" s="13">
        <v>1.0344293256584844</v>
      </c>
      <c r="G80" s="13">
        <v>0</v>
      </c>
      <c r="H80" s="17">
        <v>0</v>
      </c>
      <c r="I80" s="13">
        <v>0.26077977908962741</v>
      </c>
      <c r="J80" s="13">
        <v>1.4687816461760818E-2</v>
      </c>
      <c r="K80" s="14" t="s">
        <v>27</v>
      </c>
    </row>
    <row r="81" spans="1:11">
      <c r="A81" s="8">
        <v>6</v>
      </c>
      <c r="B81" s="9">
        <v>37229</v>
      </c>
      <c r="C81" s="12">
        <v>2001</v>
      </c>
      <c r="D81" s="15" t="s">
        <v>17</v>
      </c>
      <c r="E81" s="12">
        <v>12</v>
      </c>
      <c r="F81" s="13">
        <v>1.5010388464070443</v>
      </c>
      <c r="G81" s="13">
        <v>0</v>
      </c>
      <c r="H81" s="17">
        <v>0</v>
      </c>
      <c r="I81" s="13">
        <v>0.4045568229436971</v>
      </c>
      <c r="J81" s="13">
        <v>8.4840371946834376E-3</v>
      </c>
      <c r="K81" s="14" t="s">
        <v>27</v>
      </c>
    </row>
    <row r="82" spans="1:11">
      <c r="A82" s="8">
        <v>8</v>
      </c>
      <c r="B82" s="9">
        <v>37230</v>
      </c>
      <c r="C82" s="12">
        <v>2001</v>
      </c>
      <c r="D82" s="15" t="s">
        <v>17</v>
      </c>
      <c r="E82" s="12">
        <v>12</v>
      </c>
      <c r="F82" s="13">
        <v>1.2760475538116831</v>
      </c>
      <c r="G82" s="13">
        <v>1.3619190353603674E-2</v>
      </c>
      <c r="H82" s="17">
        <v>0</v>
      </c>
      <c r="I82" s="13">
        <v>0.25956183761721729</v>
      </c>
      <c r="J82" s="13">
        <v>0</v>
      </c>
      <c r="K82" s="14" t="s">
        <v>27</v>
      </c>
    </row>
    <row r="83" spans="1:11">
      <c r="A83" s="8">
        <v>15</v>
      </c>
      <c r="B83" s="9">
        <v>37229</v>
      </c>
      <c r="C83" s="12">
        <v>2001</v>
      </c>
      <c r="D83" s="15" t="s">
        <v>17</v>
      </c>
      <c r="E83" s="12">
        <v>12</v>
      </c>
      <c r="F83" s="18">
        <v>2.2357222942910799</v>
      </c>
    </row>
    <row r="84" spans="1:11">
      <c r="A84" s="8">
        <v>6</v>
      </c>
      <c r="B84" s="9">
        <v>37271</v>
      </c>
      <c r="C84" s="12">
        <v>2002</v>
      </c>
      <c r="D84" s="15" t="s">
        <v>18</v>
      </c>
      <c r="E84" s="12">
        <v>1</v>
      </c>
      <c r="F84" s="13">
        <v>4.9784751047341471</v>
      </c>
      <c r="G84" s="13">
        <v>8.8394926725446257E-2</v>
      </c>
      <c r="H84" s="17">
        <v>1.6105364624729387E-2</v>
      </c>
      <c r="I84" s="13">
        <v>1.4927060997083461</v>
      </c>
      <c r="J84" s="13">
        <v>1.832988954156882E-2</v>
      </c>
      <c r="K84" s="14" t="s">
        <v>27</v>
      </c>
    </row>
    <row r="85" spans="1:11">
      <c r="A85" s="8">
        <v>8</v>
      </c>
      <c r="B85" s="9">
        <v>37272</v>
      </c>
      <c r="C85" s="12">
        <v>2002</v>
      </c>
      <c r="D85" s="15" t="s">
        <v>18</v>
      </c>
      <c r="E85" s="12">
        <v>1</v>
      </c>
      <c r="F85" s="13">
        <v>3.5602663218995922</v>
      </c>
      <c r="G85" s="13">
        <v>6.3157163779390221E-2</v>
      </c>
      <c r="H85" s="17">
        <v>0</v>
      </c>
      <c r="I85" s="13">
        <v>0.99087058903711889</v>
      </c>
      <c r="J85" s="13">
        <v>9.8623138931128226E-3</v>
      </c>
      <c r="K85" s="14" t="s">
        <v>27</v>
      </c>
    </row>
    <row r="86" spans="1:11">
      <c r="A86" s="8">
        <v>15</v>
      </c>
      <c r="B86" s="9">
        <v>37271</v>
      </c>
      <c r="C86" s="12">
        <v>2002</v>
      </c>
      <c r="D86" s="15" t="s">
        <v>18</v>
      </c>
      <c r="E86" s="12">
        <v>1</v>
      </c>
      <c r="F86" s="13">
        <v>2.5369912431490143</v>
      </c>
      <c r="G86" s="13">
        <v>0.15538824487587197</v>
      </c>
      <c r="H86" s="17">
        <v>0</v>
      </c>
      <c r="I86" s="13">
        <v>0.56478119829489482</v>
      </c>
      <c r="J86" s="13">
        <v>1.6652760407531438E-2</v>
      </c>
      <c r="K86" s="14" t="s">
        <v>27</v>
      </c>
    </row>
    <row r="87" spans="1:11">
      <c r="A87" s="8">
        <v>6</v>
      </c>
      <c r="B87" s="9">
        <v>37306</v>
      </c>
      <c r="C87" s="12">
        <v>2002</v>
      </c>
      <c r="D87" s="11" t="s">
        <v>19</v>
      </c>
      <c r="E87" s="12">
        <v>2</v>
      </c>
      <c r="F87" s="13">
        <v>1.6053943714545269</v>
      </c>
      <c r="G87" s="13">
        <v>8.3315549835615371E-2</v>
      </c>
      <c r="H87" s="17">
        <v>3.00298051739065E-2</v>
      </c>
      <c r="I87" s="13">
        <v>0.43707810302178207</v>
      </c>
      <c r="J87" s="13">
        <v>6.3835885942277862E-2</v>
      </c>
      <c r="K87" s="14" t="s">
        <v>27</v>
      </c>
    </row>
    <row r="88" spans="1:11">
      <c r="A88" s="8">
        <v>8</v>
      </c>
      <c r="B88" s="9">
        <v>37301</v>
      </c>
      <c r="C88" s="12">
        <v>2002</v>
      </c>
      <c r="D88" s="11" t="s">
        <v>19</v>
      </c>
      <c r="E88" s="12">
        <v>2</v>
      </c>
      <c r="F88" s="13">
        <v>1.4736650359067733</v>
      </c>
      <c r="G88" s="13">
        <v>4.9293370590404596E-2</v>
      </c>
      <c r="H88" s="17">
        <v>0</v>
      </c>
      <c r="I88" s="13">
        <v>0.29000962261915542</v>
      </c>
      <c r="J88" s="13">
        <v>1.0785420954684875E-2</v>
      </c>
      <c r="K88" s="14" t="s">
        <v>27</v>
      </c>
    </row>
    <row r="89" spans="1:11">
      <c r="A89" s="8">
        <v>15</v>
      </c>
      <c r="B89" s="9">
        <v>37306</v>
      </c>
      <c r="C89" s="12">
        <v>2002</v>
      </c>
      <c r="D89" s="11" t="s">
        <v>19</v>
      </c>
      <c r="E89" s="12">
        <v>2</v>
      </c>
      <c r="F89" s="13">
        <v>1.5899224695832257</v>
      </c>
      <c r="G89" s="13">
        <v>5.1883323147341738E-2</v>
      </c>
      <c r="H89" s="17">
        <v>2.8082540103980733E-2</v>
      </c>
      <c r="I89" s="13">
        <v>0.52256716674159787</v>
      </c>
      <c r="J89" s="13">
        <v>5.2213186606694606E-2</v>
      </c>
      <c r="K89" s="14" t="s">
        <v>27</v>
      </c>
    </row>
    <row r="90" spans="1:11">
      <c r="A90" s="8">
        <v>6</v>
      </c>
      <c r="B90" s="19">
        <v>37334</v>
      </c>
      <c r="C90" s="12">
        <v>2002</v>
      </c>
      <c r="D90" s="11" t="s">
        <v>20</v>
      </c>
      <c r="E90" s="12">
        <v>3</v>
      </c>
      <c r="F90" s="13">
        <v>4.1112805086380826</v>
      </c>
      <c r="G90" s="13">
        <v>1.9948755515504752E-2</v>
      </c>
      <c r="H90" s="17">
        <v>0.10998059335576731</v>
      </c>
      <c r="I90" s="13">
        <v>1.2410996177256839</v>
      </c>
      <c r="J90" s="13">
        <v>2.8043175897414931E-2</v>
      </c>
      <c r="K90" s="14" t="s">
        <v>27</v>
      </c>
    </row>
    <row r="91" spans="1:11">
      <c r="A91" s="8">
        <v>8</v>
      </c>
      <c r="B91" s="19">
        <v>37336</v>
      </c>
      <c r="C91" s="12">
        <v>2002</v>
      </c>
      <c r="D91" s="11" t="s">
        <v>20</v>
      </c>
      <c r="E91" s="12">
        <v>3</v>
      </c>
      <c r="F91" s="13">
        <v>0.87544326855861954</v>
      </c>
      <c r="G91" s="13">
        <v>2.1725418142472211E-2</v>
      </c>
      <c r="H91" s="17">
        <v>0</v>
      </c>
      <c r="I91" s="13">
        <v>0.15272473933159567</v>
      </c>
      <c r="J91" s="13">
        <v>1.0726004187655427E-2</v>
      </c>
      <c r="K91" s="14" t="s">
        <v>27</v>
      </c>
    </row>
    <row r="92" spans="1:11">
      <c r="A92" s="8">
        <v>15</v>
      </c>
      <c r="B92" s="19">
        <v>37336</v>
      </c>
      <c r="C92" s="12">
        <v>2002</v>
      </c>
      <c r="D92" s="11" t="s">
        <v>20</v>
      </c>
      <c r="E92" s="12">
        <v>3</v>
      </c>
      <c r="F92" s="13">
        <v>4.1493642988653514</v>
      </c>
      <c r="G92" s="13">
        <v>9.814844573237172E-2</v>
      </c>
      <c r="H92" s="17">
        <v>5.8204975849879236E-2</v>
      </c>
      <c r="I92" s="13">
        <v>1.3417242996872409</v>
      </c>
      <c r="J92" s="13">
        <v>1.9875270490674932E-2</v>
      </c>
      <c r="K92" s="14" t="s">
        <v>27</v>
      </c>
    </row>
    <row r="93" spans="1:11">
      <c r="A93" s="8">
        <v>6</v>
      </c>
      <c r="B93" s="19">
        <v>37362</v>
      </c>
      <c r="C93" s="12">
        <v>2002</v>
      </c>
      <c r="D93" s="15" t="s">
        <v>21</v>
      </c>
      <c r="E93" s="12">
        <v>4</v>
      </c>
      <c r="F93" s="13">
        <v>0.99281640135308447</v>
      </c>
      <c r="G93" s="13">
        <v>0.12241887884382784</v>
      </c>
      <c r="H93" s="17">
        <v>0</v>
      </c>
      <c r="I93" s="13">
        <v>0.13676541682642598</v>
      </c>
      <c r="J93" s="13">
        <v>1.9488125954656862E-2</v>
      </c>
      <c r="K93" s="14" t="s">
        <v>27</v>
      </c>
    </row>
    <row r="94" spans="1:11">
      <c r="A94" s="8">
        <v>8</v>
      </c>
      <c r="B94" s="19">
        <v>37363</v>
      </c>
      <c r="C94" s="12">
        <v>2002</v>
      </c>
      <c r="D94" s="15" t="s">
        <v>21</v>
      </c>
      <c r="E94" s="12">
        <v>4</v>
      </c>
      <c r="F94" s="13">
        <v>1.0573415593632474</v>
      </c>
      <c r="G94" s="13">
        <v>0</v>
      </c>
      <c r="H94" s="17">
        <v>0</v>
      </c>
      <c r="I94" s="13">
        <v>9.0708546401513282E-2</v>
      </c>
      <c r="J94" s="13">
        <v>0</v>
      </c>
      <c r="K94" s="14" t="s">
        <v>27</v>
      </c>
    </row>
    <row r="95" spans="1:11">
      <c r="A95" s="8">
        <v>15</v>
      </c>
      <c r="B95" s="19">
        <v>37362</v>
      </c>
      <c r="C95" s="12">
        <v>2002</v>
      </c>
      <c r="D95" s="15" t="s">
        <v>21</v>
      </c>
      <c r="E95" s="12">
        <v>4</v>
      </c>
      <c r="F95" s="13">
        <v>0.76346537495358346</v>
      </c>
      <c r="G95" s="13">
        <v>3.7193648736330361E-2</v>
      </c>
      <c r="H95" s="17">
        <v>0</v>
      </c>
      <c r="I95" s="13">
        <v>8.2649570043783427E-2</v>
      </c>
      <c r="J95" s="13">
        <v>2.5214778322776583E-2</v>
      </c>
      <c r="K95" s="14" t="s">
        <v>27</v>
      </c>
    </row>
    <row r="96" spans="1:11">
      <c r="A96" s="8">
        <v>6</v>
      </c>
      <c r="B96" s="19">
        <v>37392</v>
      </c>
      <c r="C96" s="12">
        <v>2002</v>
      </c>
      <c r="D96" s="15" t="s">
        <v>22</v>
      </c>
      <c r="E96" s="12">
        <v>5</v>
      </c>
      <c r="F96" s="13">
        <v>9.0420884745467927</v>
      </c>
      <c r="G96" s="20"/>
      <c r="H96" s="13">
        <v>0.59433118805405216</v>
      </c>
      <c r="I96" s="20"/>
      <c r="J96" s="20"/>
      <c r="K96" s="14" t="s">
        <v>27</v>
      </c>
    </row>
    <row r="97" spans="1:11">
      <c r="A97" s="8">
        <v>8</v>
      </c>
      <c r="B97" s="19">
        <v>37392</v>
      </c>
      <c r="C97" s="12">
        <v>2002</v>
      </c>
      <c r="D97" s="15" t="s">
        <v>22</v>
      </c>
      <c r="E97" s="12">
        <v>5</v>
      </c>
      <c r="F97" s="13">
        <v>1.8410703540065909</v>
      </c>
      <c r="G97" s="20"/>
      <c r="H97" s="13">
        <v>2.2472994265484963E-2</v>
      </c>
      <c r="I97" s="20"/>
      <c r="J97" s="20"/>
      <c r="K97" s="14" t="s">
        <v>27</v>
      </c>
    </row>
    <row r="98" spans="1:11">
      <c r="A98" s="8">
        <v>15</v>
      </c>
      <c r="B98" s="19">
        <v>37392</v>
      </c>
      <c r="C98" s="12">
        <v>2002</v>
      </c>
      <c r="D98" s="15" t="s">
        <v>22</v>
      </c>
      <c r="E98" s="12">
        <v>5</v>
      </c>
      <c r="F98" s="13">
        <v>4.1235192731701682</v>
      </c>
      <c r="G98" s="20"/>
      <c r="H98" s="13">
        <v>0.4714938168563067</v>
      </c>
      <c r="I98" s="20"/>
      <c r="J98" s="20"/>
      <c r="K98" s="14" t="s">
        <v>27</v>
      </c>
    </row>
    <row r="99" spans="1:11">
      <c r="A99" s="8">
        <v>6</v>
      </c>
      <c r="B99" s="19">
        <v>37419</v>
      </c>
      <c r="C99" s="12">
        <v>2002</v>
      </c>
      <c r="D99" s="15" t="s">
        <v>23</v>
      </c>
      <c r="E99" s="12">
        <v>6</v>
      </c>
      <c r="F99" s="13">
        <v>5.8245031015438551</v>
      </c>
      <c r="G99" s="20"/>
      <c r="H99" s="13">
        <v>1.3270092217578711</v>
      </c>
      <c r="I99" s="20"/>
      <c r="J99" s="20"/>
      <c r="K99" s="14" t="s">
        <v>27</v>
      </c>
    </row>
    <row r="100" spans="1:11">
      <c r="A100" s="8">
        <v>8</v>
      </c>
      <c r="B100" s="19">
        <v>37420</v>
      </c>
      <c r="C100" s="12">
        <v>2002</v>
      </c>
      <c r="D100" s="15" t="s">
        <v>23</v>
      </c>
      <c r="E100" s="12">
        <v>6</v>
      </c>
      <c r="F100" s="13">
        <v>3.0164005743077511</v>
      </c>
      <c r="G100" s="20"/>
      <c r="H100" s="13">
        <v>3.0306591174791588E-2</v>
      </c>
      <c r="I100" s="20"/>
      <c r="J100" s="20"/>
      <c r="K100" s="14" t="s">
        <v>27</v>
      </c>
    </row>
    <row r="101" spans="1:11">
      <c r="A101" s="8">
        <v>15</v>
      </c>
      <c r="B101" s="19">
        <v>37419</v>
      </c>
      <c r="C101" s="12">
        <v>2002</v>
      </c>
      <c r="D101" s="15" t="s">
        <v>23</v>
      </c>
      <c r="E101" s="12">
        <v>6</v>
      </c>
      <c r="F101" s="13">
        <v>7.0253142956519987</v>
      </c>
      <c r="G101" s="20"/>
      <c r="H101" s="13">
        <v>1.654473049390786</v>
      </c>
      <c r="I101" s="20"/>
      <c r="J101" s="20"/>
      <c r="K101" s="14" t="s">
        <v>27</v>
      </c>
    </row>
    <row r="102" spans="1:11">
      <c r="A102" s="8">
        <v>6</v>
      </c>
      <c r="B102" s="19">
        <v>37454</v>
      </c>
      <c r="C102" s="12">
        <v>2002</v>
      </c>
      <c r="D102" s="15" t="s">
        <v>24</v>
      </c>
      <c r="E102" s="12">
        <v>7</v>
      </c>
      <c r="F102" s="13">
        <v>7.4154465513396506</v>
      </c>
      <c r="G102" s="20"/>
      <c r="H102" s="13">
        <v>0</v>
      </c>
      <c r="I102" s="20"/>
      <c r="J102" s="20"/>
      <c r="K102" s="14" t="s">
        <v>27</v>
      </c>
    </row>
    <row r="103" spans="1:11">
      <c r="A103" s="8">
        <v>8</v>
      </c>
      <c r="B103" s="19">
        <v>37453</v>
      </c>
      <c r="C103" s="12">
        <v>2002</v>
      </c>
      <c r="D103" s="15" t="s">
        <v>24</v>
      </c>
      <c r="E103" s="12">
        <v>7</v>
      </c>
      <c r="F103" s="13">
        <v>4.2360423075201492</v>
      </c>
      <c r="G103" s="20"/>
      <c r="H103" s="13">
        <v>0</v>
      </c>
      <c r="I103" s="20"/>
      <c r="J103" s="20"/>
      <c r="K103" s="14" t="s">
        <v>27</v>
      </c>
    </row>
    <row r="104" spans="1:11">
      <c r="A104" s="8">
        <v>15</v>
      </c>
      <c r="B104" s="19">
        <v>37454</v>
      </c>
      <c r="C104" s="12">
        <v>2002</v>
      </c>
      <c r="D104" s="15" t="s">
        <v>24</v>
      </c>
      <c r="E104" s="12">
        <v>7</v>
      </c>
      <c r="F104" s="13">
        <v>4.989614026242152</v>
      </c>
      <c r="G104" s="20"/>
      <c r="H104" s="13">
        <v>0</v>
      </c>
      <c r="I104" s="20"/>
      <c r="J104" s="20"/>
      <c r="K104" s="14" t="s">
        <v>27</v>
      </c>
    </row>
    <row r="105" spans="1:11">
      <c r="A105" s="8">
        <v>6</v>
      </c>
      <c r="B105" s="19">
        <v>37482</v>
      </c>
      <c r="C105" s="12">
        <v>2002</v>
      </c>
      <c r="D105" s="15" t="s">
        <v>25</v>
      </c>
      <c r="E105" s="12">
        <v>8</v>
      </c>
      <c r="F105" s="13">
        <v>10.708924147704391</v>
      </c>
      <c r="G105" s="20"/>
      <c r="H105" s="13">
        <v>9.5802610827205731E-2</v>
      </c>
      <c r="I105" s="20"/>
      <c r="J105" s="20"/>
      <c r="K105" s="14" t="s">
        <v>27</v>
      </c>
    </row>
    <row r="106" spans="1:11">
      <c r="A106" s="8">
        <v>8</v>
      </c>
      <c r="B106" s="19">
        <v>37481</v>
      </c>
      <c r="C106" s="12">
        <v>2002</v>
      </c>
      <c r="D106" s="15" t="s">
        <v>25</v>
      </c>
      <c r="E106" s="12">
        <v>8</v>
      </c>
      <c r="F106" s="13">
        <v>2.3487286694991387</v>
      </c>
      <c r="G106" s="20"/>
      <c r="H106" s="13">
        <v>0</v>
      </c>
      <c r="I106" s="20"/>
      <c r="J106" s="20"/>
      <c r="K106" s="14" t="s">
        <v>27</v>
      </c>
    </row>
    <row r="107" spans="1:11">
      <c r="A107" s="8">
        <v>15</v>
      </c>
      <c r="B107" s="19">
        <v>37482</v>
      </c>
      <c r="C107" s="12">
        <v>2002</v>
      </c>
      <c r="D107" s="15" t="s">
        <v>25</v>
      </c>
      <c r="E107" s="12">
        <v>8</v>
      </c>
      <c r="F107" s="13">
        <v>5.7195566962697306</v>
      </c>
      <c r="G107" s="20"/>
      <c r="H107" s="13">
        <v>3.8755551011680406E-2</v>
      </c>
      <c r="I107" s="20"/>
      <c r="J107" s="20"/>
      <c r="K107" s="14" t="s">
        <v>27</v>
      </c>
    </row>
    <row r="108" spans="1:11">
      <c r="A108" s="8">
        <v>6</v>
      </c>
      <c r="B108" s="19">
        <v>37517</v>
      </c>
      <c r="C108" s="12">
        <v>2002</v>
      </c>
      <c r="D108" s="15" t="s">
        <v>26</v>
      </c>
      <c r="E108" s="12">
        <v>9</v>
      </c>
      <c r="F108" s="13">
        <v>5.2143008682160099</v>
      </c>
      <c r="G108" s="20"/>
      <c r="H108" s="13">
        <v>0</v>
      </c>
      <c r="I108" s="20"/>
      <c r="J108" s="20"/>
      <c r="K108" s="14" t="s">
        <v>27</v>
      </c>
    </row>
    <row r="109" spans="1:11">
      <c r="A109" s="8">
        <v>8</v>
      </c>
      <c r="B109" s="19">
        <v>37518</v>
      </c>
      <c r="C109" s="12">
        <v>2002</v>
      </c>
      <c r="D109" s="15" t="s">
        <v>26</v>
      </c>
      <c r="E109" s="12">
        <v>9</v>
      </c>
      <c r="F109" s="13">
        <v>3.011770944896718</v>
      </c>
      <c r="G109" s="20"/>
      <c r="H109" s="13">
        <v>0</v>
      </c>
      <c r="I109" s="20"/>
      <c r="J109" s="20"/>
      <c r="K109" s="14" t="s">
        <v>27</v>
      </c>
    </row>
    <row r="110" spans="1:11">
      <c r="A110" s="8">
        <v>15</v>
      </c>
      <c r="B110" s="19">
        <v>37517</v>
      </c>
      <c r="C110" s="12">
        <v>2002</v>
      </c>
      <c r="D110" s="15" t="s">
        <v>26</v>
      </c>
      <c r="E110" s="12">
        <v>9</v>
      </c>
      <c r="F110" s="13">
        <v>5.9564108169403305</v>
      </c>
      <c r="G110" s="20"/>
      <c r="H110" s="13">
        <v>0</v>
      </c>
      <c r="I110" s="20"/>
      <c r="J110" s="20"/>
      <c r="K110" s="14" t="s">
        <v>27</v>
      </c>
    </row>
    <row r="111" spans="1:11">
      <c r="A111" s="8">
        <v>6</v>
      </c>
      <c r="B111" s="19">
        <v>37544</v>
      </c>
      <c r="C111" s="12">
        <v>2002</v>
      </c>
      <c r="D111" s="15" t="s">
        <v>14</v>
      </c>
      <c r="E111" s="12">
        <v>10</v>
      </c>
      <c r="F111" s="14">
        <v>3.4876385864598265</v>
      </c>
      <c r="G111" s="14">
        <v>9.7419772962904883E-2</v>
      </c>
      <c r="H111" s="14">
        <v>0</v>
      </c>
      <c r="I111" s="14">
        <v>0.68776736310345432</v>
      </c>
      <c r="J111" s="14">
        <v>4.2561841620149324E-2</v>
      </c>
      <c r="K111" s="14">
        <v>0</v>
      </c>
    </row>
    <row r="112" spans="1:11">
      <c r="A112" s="8">
        <v>8</v>
      </c>
      <c r="B112" s="19">
        <v>37546</v>
      </c>
      <c r="C112" s="12">
        <v>2002</v>
      </c>
      <c r="D112" s="15" t="s">
        <v>14</v>
      </c>
      <c r="E112" s="12">
        <v>10</v>
      </c>
      <c r="F112" s="14">
        <v>4.8207283497322235</v>
      </c>
      <c r="G112" s="14">
        <v>3.462368377248079E-2</v>
      </c>
      <c r="H112" s="14">
        <v>0</v>
      </c>
      <c r="I112" s="14">
        <v>1.263136296996151</v>
      </c>
      <c r="J112" s="14">
        <v>6.5488022810806346E-2</v>
      </c>
      <c r="K112" s="14">
        <v>0</v>
      </c>
    </row>
    <row r="113" spans="1:11">
      <c r="A113" s="8">
        <v>15</v>
      </c>
      <c r="B113" s="19">
        <v>37546</v>
      </c>
      <c r="C113" s="12">
        <v>2002</v>
      </c>
      <c r="D113" s="15" t="s">
        <v>14</v>
      </c>
      <c r="E113" s="12">
        <v>10</v>
      </c>
      <c r="F113" s="14">
        <v>6.0661447194553739</v>
      </c>
      <c r="G113" s="14">
        <v>5.2998688696699985E-2</v>
      </c>
      <c r="H113" s="14">
        <v>0</v>
      </c>
      <c r="I113" s="14">
        <v>1.33928890075524</v>
      </c>
      <c r="J113" s="14">
        <v>0.67447140151391494</v>
      </c>
      <c r="K113" s="14">
        <v>0</v>
      </c>
    </row>
    <row r="114" spans="1:11">
      <c r="A114" s="8">
        <v>6</v>
      </c>
      <c r="B114" s="19">
        <v>37575</v>
      </c>
      <c r="C114" s="12">
        <v>2002</v>
      </c>
      <c r="D114" s="15" t="s">
        <v>16</v>
      </c>
      <c r="E114" s="12">
        <v>11</v>
      </c>
      <c r="F114" s="14">
        <v>2.4170835161500972</v>
      </c>
      <c r="G114" s="14">
        <v>6.0742124900726731E-2</v>
      </c>
      <c r="H114" s="14">
        <v>0</v>
      </c>
      <c r="I114" s="14">
        <v>0.53351485829977352</v>
      </c>
      <c r="J114" s="14">
        <v>1.2713746715556402E-2</v>
      </c>
      <c r="K114" s="14">
        <v>0</v>
      </c>
    </row>
    <row r="115" spans="1:11">
      <c r="A115" s="8">
        <v>8</v>
      </c>
      <c r="B115" s="19">
        <v>37574</v>
      </c>
      <c r="C115" s="12">
        <v>2002</v>
      </c>
      <c r="D115" s="15" t="s">
        <v>16</v>
      </c>
      <c r="E115" s="12">
        <v>11</v>
      </c>
      <c r="F115" s="14">
        <v>1.7779877071740167</v>
      </c>
      <c r="G115" s="14">
        <v>2.4371890600194453E-2</v>
      </c>
      <c r="H115" s="14">
        <v>0</v>
      </c>
      <c r="I115" s="14">
        <v>0.41431194271644167</v>
      </c>
      <c r="J115" s="14">
        <v>6.1802847686377414E-3</v>
      </c>
      <c r="K115" s="14">
        <v>0</v>
      </c>
    </row>
    <row r="116" spans="1:11">
      <c r="A116" s="8">
        <v>15</v>
      </c>
      <c r="B116" s="19">
        <v>37574</v>
      </c>
      <c r="C116" s="12">
        <v>2002</v>
      </c>
      <c r="D116" s="15" t="s">
        <v>16</v>
      </c>
      <c r="E116" s="12">
        <v>11</v>
      </c>
      <c r="F116" s="14">
        <v>3.5337504144745715</v>
      </c>
      <c r="G116" s="14">
        <v>3.3737181163482066E-2</v>
      </c>
      <c r="H116" s="14">
        <v>0</v>
      </c>
      <c r="I116" s="14">
        <v>1.0558907804703421</v>
      </c>
      <c r="J116" s="14">
        <v>2.96247096336721E-2</v>
      </c>
      <c r="K116" s="14">
        <v>0</v>
      </c>
    </row>
    <row r="117" spans="1:11">
      <c r="A117" s="8">
        <v>6</v>
      </c>
      <c r="B117" s="19">
        <v>37609</v>
      </c>
      <c r="C117" s="12">
        <v>2002</v>
      </c>
      <c r="D117" s="15" t="s">
        <v>17</v>
      </c>
      <c r="E117" s="12">
        <v>12</v>
      </c>
      <c r="F117" s="14">
        <v>4.7745902695010765</v>
      </c>
      <c r="G117" s="14">
        <v>0.13664678478344155</v>
      </c>
      <c r="H117" s="14">
        <v>0</v>
      </c>
      <c r="I117" s="14">
        <v>0.51184586955554046</v>
      </c>
      <c r="J117" s="14">
        <v>1.6358295915753315E-2</v>
      </c>
      <c r="K117" s="14">
        <v>0</v>
      </c>
    </row>
    <row r="118" spans="1:11">
      <c r="A118" s="8">
        <v>8</v>
      </c>
      <c r="B118" s="19">
        <v>37608</v>
      </c>
      <c r="C118" s="12">
        <v>2002</v>
      </c>
      <c r="D118" s="15" t="s">
        <v>17</v>
      </c>
      <c r="E118" s="12">
        <v>12</v>
      </c>
      <c r="F118" s="14">
        <v>2.646531702604749</v>
      </c>
      <c r="G118" s="14">
        <v>0.22001320305370364</v>
      </c>
      <c r="H118" s="14">
        <v>0</v>
      </c>
      <c r="I118" s="14">
        <v>0.54365626370647935</v>
      </c>
      <c r="J118" s="14">
        <v>1.4026161164302744E-2</v>
      </c>
      <c r="K118" s="14">
        <v>0</v>
      </c>
    </row>
    <row r="119" spans="1:11">
      <c r="A119" s="8">
        <v>15</v>
      </c>
      <c r="B119" s="19">
        <v>37608</v>
      </c>
      <c r="C119" s="12">
        <v>2002</v>
      </c>
      <c r="D119" s="15" t="s">
        <v>17</v>
      </c>
      <c r="E119" s="12">
        <v>12</v>
      </c>
      <c r="F119" s="14">
        <v>4.5121651879294271</v>
      </c>
      <c r="G119" s="14">
        <v>0.17159543464309648</v>
      </c>
      <c r="H119" s="14">
        <v>0</v>
      </c>
      <c r="I119" s="14">
        <v>1.1451412579147424</v>
      </c>
      <c r="J119" s="14">
        <v>3.2580444995829766E-2</v>
      </c>
      <c r="K119" s="14">
        <v>0</v>
      </c>
    </row>
    <row r="120" spans="1:11">
      <c r="A120" s="8">
        <v>6</v>
      </c>
      <c r="B120" s="19">
        <v>37635</v>
      </c>
      <c r="C120" s="12">
        <v>2003</v>
      </c>
      <c r="D120" s="15" t="s">
        <v>18</v>
      </c>
      <c r="E120" s="12">
        <v>1</v>
      </c>
      <c r="F120" s="14">
        <v>5.1538707761866194</v>
      </c>
      <c r="G120" s="14">
        <v>0.2029944548773355</v>
      </c>
      <c r="H120" s="14">
        <v>0</v>
      </c>
      <c r="I120" s="14">
        <v>1.6231865590035011</v>
      </c>
      <c r="J120" s="14">
        <v>4.8542039681697874E-2</v>
      </c>
      <c r="K120" s="14">
        <v>0</v>
      </c>
    </row>
    <row r="121" spans="1:11">
      <c r="A121" s="8">
        <v>8</v>
      </c>
      <c r="B121" s="19">
        <v>37636</v>
      </c>
      <c r="C121" s="12">
        <v>2003</v>
      </c>
      <c r="D121" s="15" t="s">
        <v>18</v>
      </c>
      <c r="E121" s="12">
        <v>1</v>
      </c>
      <c r="F121" s="14">
        <v>2.1530136083186076</v>
      </c>
      <c r="G121" s="14">
        <v>7.8701166030848854E-2</v>
      </c>
      <c r="H121" s="14">
        <v>0</v>
      </c>
      <c r="I121" s="14">
        <v>0.49817786980468631</v>
      </c>
      <c r="J121" s="14">
        <v>4.3893133997819467E-2</v>
      </c>
      <c r="K121" s="14">
        <v>0</v>
      </c>
    </row>
    <row r="122" spans="1:11">
      <c r="A122" s="8">
        <v>15</v>
      </c>
      <c r="B122" s="19">
        <v>37636</v>
      </c>
      <c r="C122" s="12">
        <v>2003</v>
      </c>
      <c r="D122" s="15" t="s">
        <v>18</v>
      </c>
      <c r="E122" s="12">
        <v>1</v>
      </c>
      <c r="F122" s="14">
        <v>4.7636943444502151</v>
      </c>
      <c r="G122" s="14">
        <v>0.22988214091569165</v>
      </c>
      <c r="H122" s="14">
        <v>1.1168898372871447E-2</v>
      </c>
      <c r="I122" s="14">
        <v>1.563570716039016</v>
      </c>
      <c r="J122" s="14">
        <v>6.1032527918125482E-2</v>
      </c>
      <c r="K122" s="14">
        <v>0</v>
      </c>
    </row>
    <row r="123" spans="1:11">
      <c r="A123" s="8">
        <v>6</v>
      </c>
      <c r="B123" s="19">
        <v>37665</v>
      </c>
      <c r="C123" s="12">
        <v>2003</v>
      </c>
      <c r="D123" s="11" t="s">
        <v>19</v>
      </c>
      <c r="E123" s="12">
        <v>2</v>
      </c>
      <c r="F123" s="14">
        <v>3.6944615935683589</v>
      </c>
      <c r="G123" s="14">
        <v>0.14969873845887599</v>
      </c>
      <c r="H123" s="14">
        <v>0</v>
      </c>
      <c r="I123" s="14">
        <v>1.1587280992200391</v>
      </c>
      <c r="J123" s="14">
        <v>3.6183429835177874E-2</v>
      </c>
      <c r="K123" s="14">
        <v>0</v>
      </c>
    </row>
    <row r="124" spans="1:11">
      <c r="A124" s="8">
        <v>8</v>
      </c>
      <c r="B124" s="19">
        <v>37663</v>
      </c>
      <c r="C124" s="12">
        <v>2003</v>
      </c>
      <c r="D124" s="11" t="s">
        <v>19</v>
      </c>
      <c r="E124" s="12">
        <v>2</v>
      </c>
      <c r="F124" s="14">
        <v>3.3425827597701399</v>
      </c>
      <c r="G124" s="14">
        <v>0.28764928087516678</v>
      </c>
      <c r="H124" s="14">
        <v>0</v>
      </c>
      <c r="I124" s="14">
        <v>0.951975814278893</v>
      </c>
      <c r="J124" s="14">
        <v>2.8661083581785572E-2</v>
      </c>
      <c r="K124" s="14">
        <v>0</v>
      </c>
    </row>
    <row r="125" spans="1:11">
      <c r="A125" s="8">
        <v>15</v>
      </c>
      <c r="B125" s="19">
        <v>37663</v>
      </c>
      <c r="C125" s="12">
        <v>2003</v>
      </c>
      <c r="D125" s="11" t="s">
        <v>19</v>
      </c>
      <c r="E125" s="12">
        <v>2</v>
      </c>
      <c r="F125" s="14">
        <v>2.7941432541620128</v>
      </c>
      <c r="G125" s="14">
        <v>0</v>
      </c>
      <c r="H125" s="14">
        <v>0</v>
      </c>
      <c r="I125" s="14">
        <v>1.1281186676527211</v>
      </c>
      <c r="J125" s="14">
        <v>3.9898648431643827E-2</v>
      </c>
      <c r="K125" s="14">
        <v>0</v>
      </c>
    </row>
    <row r="126" spans="1:11">
      <c r="A126" s="8">
        <v>6</v>
      </c>
      <c r="B126" s="19">
        <v>37692</v>
      </c>
      <c r="C126" s="12">
        <v>2003</v>
      </c>
      <c r="D126" s="11" t="s">
        <v>20</v>
      </c>
      <c r="E126" s="12">
        <v>3</v>
      </c>
      <c r="F126" s="14">
        <v>3.3938838345986131</v>
      </c>
      <c r="G126" s="14">
        <v>9.0386819361328877E-2</v>
      </c>
      <c r="H126" s="14">
        <v>0</v>
      </c>
      <c r="I126" s="14">
        <v>1.1323586908227299</v>
      </c>
      <c r="J126" s="14">
        <v>4.5305957620170256E-2</v>
      </c>
      <c r="K126" s="14">
        <v>0</v>
      </c>
    </row>
    <row r="127" spans="1:11">
      <c r="A127" s="8">
        <v>8</v>
      </c>
      <c r="B127" s="19">
        <v>37691</v>
      </c>
      <c r="C127" s="12">
        <v>2003</v>
      </c>
      <c r="D127" s="11" t="s">
        <v>20</v>
      </c>
      <c r="E127" s="12">
        <v>3</v>
      </c>
      <c r="F127" s="14">
        <v>3.998385502802964</v>
      </c>
      <c r="G127" s="14">
        <v>0.12176185383292011</v>
      </c>
      <c r="H127" s="14">
        <v>0</v>
      </c>
      <c r="I127" s="14">
        <v>1.2242504525806115</v>
      </c>
      <c r="J127" s="14">
        <v>3.7979964325939905E-2</v>
      </c>
      <c r="K127" s="14">
        <v>0</v>
      </c>
    </row>
    <row r="128" spans="1:11">
      <c r="A128" s="8">
        <v>15</v>
      </c>
      <c r="B128" s="19">
        <v>37692</v>
      </c>
      <c r="C128" s="12">
        <v>2003</v>
      </c>
      <c r="D128" s="11" t="s">
        <v>20</v>
      </c>
      <c r="E128" s="12">
        <v>3</v>
      </c>
      <c r="F128" s="14">
        <v>3.2421167864607598</v>
      </c>
      <c r="G128" s="14">
        <v>0.18731189332038212</v>
      </c>
      <c r="H128" s="14">
        <v>0</v>
      </c>
      <c r="I128" s="14">
        <v>0.99971207401521767</v>
      </c>
      <c r="J128" s="14">
        <v>4.8979947772029526E-2</v>
      </c>
      <c r="K128" s="14">
        <v>0</v>
      </c>
    </row>
    <row r="129" spans="1:11">
      <c r="A129" s="8">
        <v>6</v>
      </c>
      <c r="B129" s="19">
        <v>37726</v>
      </c>
      <c r="C129" s="12">
        <v>2003</v>
      </c>
      <c r="D129" s="11" t="s">
        <v>21</v>
      </c>
      <c r="E129" s="12">
        <v>4</v>
      </c>
      <c r="F129" s="14">
        <v>3.1432069936804568</v>
      </c>
      <c r="G129" s="14">
        <v>0</v>
      </c>
      <c r="H129" s="14">
        <v>3.4671125688650974E-2</v>
      </c>
      <c r="I129" s="14">
        <v>1.2303122437755196</v>
      </c>
      <c r="J129" s="14">
        <v>2.8337486076726016E-2</v>
      </c>
      <c r="K129" s="14">
        <v>0</v>
      </c>
    </row>
    <row r="130" spans="1:11">
      <c r="A130" s="8">
        <v>8</v>
      </c>
      <c r="B130" s="19">
        <v>37727</v>
      </c>
      <c r="C130" s="12">
        <v>2003</v>
      </c>
      <c r="D130" s="11" t="s">
        <v>21</v>
      </c>
      <c r="E130" s="12">
        <v>4</v>
      </c>
      <c r="F130" s="14">
        <v>9.9080791706866496</v>
      </c>
      <c r="G130" s="14">
        <v>0</v>
      </c>
      <c r="H130" s="14">
        <v>0</v>
      </c>
      <c r="I130" s="14">
        <v>4.3769452453769864</v>
      </c>
      <c r="J130" s="14">
        <v>4.022290979004646E-2</v>
      </c>
      <c r="K130" s="14">
        <v>0</v>
      </c>
    </row>
    <row r="131" spans="1:11">
      <c r="A131" s="8">
        <v>15</v>
      </c>
      <c r="B131" s="19">
        <v>37726</v>
      </c>
      <c r="C131" s="12">
        <v>2003</v>
      </c>
      <c r="D131" s="11" t="s">
        <v>21</v>
      </c>
      <c r="E131" s="12">
        <v>4</v>
      </c>
      <c r="F131" s="14">
        <v>4.1651057618615326</v>
      </c>
      <c r="G131" s="14">
        <v>0</v>
      </c>
      <c r="H131" s="14">
        <v>5.0422568150336355E-2</v>
      </c>
      <c r="I131" s="14">
        <v>1.7053956448481182</v>
      </c>
      <c r="J131" s="14">
        <v>3.6570877935328608E-2</v>
      </c>
      <c r="K131" s="14">
        <v>0</v>
      </c>
    </row>
    <row r="132" spans="1:11">
      <c r="A132" s="8">
        <v>6</v>
      </c>
      <c r="B132" s="19">
        <v>37761</v>
      </c>
      <c r="C132" s="12">
        <v>2003</v>
      </c>
      <c r="D132" s="11" t="s">
        <v>22</v>
      </c>
      <c r="E132" s="12">
        <v>5</v>
      </c>
      <c r="F132" s="14">
        <v>5.4586740063889092</v>
      </c>
      <c r="G132" s="14">
        <v>0.13418926056698605</v>
      </c>
      <c r="H132" s="14">
        <v>0.69140840343638132</v>
      </c>
      <c r="I132" s="14">
        <v>2.6504927285346418</v>
      </c>
      <c r="J132" s="14">
        <v>7.8927769310777857E-2</v>
      </c>
      <c r="K132" s="14">
        <v>0</v>
      </c>
    </row>
    <row r="133" spans="1:11">
      <c r="A133" s="8">
        <v>8</v>
      </c>
      <c r="B133" s="19">
        <v>37756</v>
      </c>
      <c r="C133" s="12">
        <v>2003</v>
      </c>
      <c r="D133" s="11" t="s">
        <v>22</v>
      </c>
      <c r="E133" s="12">
        <v>5</v>
      </c>
      <c r="F133" s="14">
        <v>3.0452778185032008</v>
      </c>
      <c r="G133" s="14">
        <v>3.8225234221114908E-2</v>
      </c>
      <c r="H133" s="14">
        <v>7.1414325932904921E-2</v>
      </c>
      <c r="I133" s="14">
        <v>0.62024159145996383</v>
      </c>
      <c r="J133" s="14">
        <v>2.3009101580477614E-2</v>
      </c>
      <c r="K133" s="14">
        <v>0</v>
      </c>
    </row>
    <row r="134" spans="1:11">
      <c r="A134" s="8">
        <v>15</v>
      </c>
      <c r="B134" s="19">
        <v>37761</v>
      </c>
      <c r="C134" s="12">
        <v>2003</v>
      </c>
      <c r="D134" s="11" t="s">
        <v>22</v>
      </c>
      <c r="E134" s="12">
        <v>5</v>
      </c>
      <c r="F134" s="14">
        <v>9.4575942407553839</v>
      </c>
      <c r="G134" s="14">
        <v>0.14344485646468436</v>
      </c>
      <c r="H134" s="14">
        <v>1.2883052112802944</v>
      </c>
      <c r="I134" s="14">
        <v>4.4829972160990765</v>
      </c>
      <c r="J134" s="14">
        <v>0.27278909410962393</v>
      </c>
      <c r="K134" s="14">
        <v>0</v>
      </c>
    </row>
    <row r="135" spans="1:11">
      <c r="A135" s="8">
        <v>6</v>
      </c>
      <c r="B135" s="19">
        <v>37792</v>
      </c>
      <c r="C135" s="12">
        <v>2003</v>
      </c>
      <c r="D135" s="11" t="s">
        <v>23</v>
      </c>
      <c r="E135" s="12">
        <v>6</v>
      </c>
      <c r="F135" s="14">
        <v>15.832712659534909</v>
      </c>
      <c r="G135" s="14">
        <v>0.10998071171719419</v>
      </c>
      <c r="H135" s="14">
        <v>4.2476138600843552</v>
      </c>
      <c r="I135" s="14">
        <v>8.6877020550394572</v>
      </c>
      <c r="J135" s="14">
        <v>0.28148091836680644</v>
      </c>
      <c r="K135" s="14">
        <v>0</v>
      </c>
    </row>
    <row r="136" spans="1:11">
      <c r="A136" s="8">
        <v>8</v>
      </c>
      <c r="B136" s="19">
        <v>37790</v>
      </c>
      <c r="C136" s="12">
        <v>2003</v>
      </c>
      <c r="D136" s="11" t="s">
        <v>23</v>
      </c>
      <c r="E136" s="12">
        <v>6</v>
      </c>
      <c r="F136" s="14">
        <v>15.114857572639529</v>
      </c>
      <c r="G136" s="14">
        <v>7.5321799588705066E-2</v>
      </c>
      <c r="H136" s="14">
        <v>1.624242679869309</v>
      </c>
      <c r="I136" s="14">
        <v>5.8303912362610735</v>
      </c>
      <c r="J136" s="14">
        <v>0.24028128321068007</v>
      </c>
      <c r="K136" s="14">
        <v>0</v>
      </c>
    </row>
    <row r="137" spans="1:11">
      <c r="A137" s="8">
        <v>15</v>
      </c>
      <c r="B137" s="19">
        <v>37790</v>
      </c>
      <c r="C137" s="12">
        <v>2003</v>
      </c>
      <c r="D137" s="11" t="s">
        <v>23</v>
      </c>
      <c r="E137" s="12">
        <v>6</v>
      </c>
      <c r="F137" s="14">
        <v>11.282353868849933</v>
      </c>
      <c r="G137" s="14">
        <v>7.9434435346211585E-2</v>
      </c>
      <c r="H137" s="14">
        <v>1.3585161126734686</v>
      </c>
      <c r="I137" s="14">
        <v>4.5497954958604456</v>
      </c>
      <c r="J137" s="14">
        <v>0.47741950510494841</v>
      </c>
      <c r="K137" s="14">
        <v>0</v>
      </c>
    </row>
    <row r="138" spans="1:11">
      <c r="A138" s="8">
        <v>6</v>
      </c>
      <c r="B138" s="19">
        <v>37819</v>
      </c>
      <c r="C138" s="12">
        <v>2003</v>
      </c>
      <c r="D138" s="15" t="s">
        <v>24</v>
      </c>
      <c r="E138" s="12">
        <v>7</v>
      </c>
      <c r="F138" s="14">
        <v>15.953109210142616</v>
      </c>
      <c r="G138" s="14">
        <v>5.5777137346694705E-2</v>
      </c>
      <c r="H138" s="14">
        <v>0</v>
      </c>
      <c r="I138" s="14">
        <v>2.225299762314044</v>
      </c>
      <c r="J138" s="14">
        <v>1.9258609510432749</v>
      </c>
      <c r="K138" s="14">
        <v>0</v>
      </c>
    </row>
    <row r="139" spans="1:11">
      <c r="A139" s="8">
        <v>8</v>
      </c>
      <c r="B139" s="19">
        <v>37818</v>
      </c>
      <c r="C139" s="12">
        <v>2003</v>
      </c>
      <c r="D139" s="15" t="s">
        <v>24</v>
      </c>
      <c r="E139" s="12">
        <v>7</v>
      </c>
      <c r="F139" s="14">
        <v>7.9433931678976784</v>
      </c>
      <c r="G139" s="14">
        <v>2.0565202801260171E-2</v>
      </c>
      <c r="H139" s="14">
        <v>0</v>
      </c>
      <c r="I139" s="14">
        <v>0.78864239769782851</v>
      </c>
      <c r="J139" s="14">
        <v>0.53823029027130842</v>
      </c>
      <c r="K139" s="14">
        <v>0</v>
      </c>
    </row>
    <row r="140" spans="1:11">
      <c r="A140" s="8">
        <v>15</v>
      </c>
      <c r="B140" s="19">
        <v>37819</v>
      </c>
      <c r="C140" s="12">
        <v>2003</v>
      </c>
      <c r="D140" s="15" t="s">
        <v>24</v>
      </c>
      <c r="E140" s="12">
        <v>7</v>
      </c>
      <c r="F140" s="14">
        <v>12.777910973708968</v>
      </c>
      <c r="G140" s="14">
        <v>4.420522750840352E-2</v>
      </c>
      <c r="H140" s="14">
        <v>0</v>
      </c>
      <c r="I140" s="14">
        <v>1.1371478490698572</v>
      </c>
      <c r="J140" s="14">
        <v>1.7717492559686869</v>
      </c>
      <c r="K140" s="14">
        <v>0</v>
      </c>
    </row>
    <row r="141" spans="1:11">
      <c r="A141" s="8">
        <v>6</v>
      </c>
      <c r="B141" s="19">
        <v>37847</v>
      </c>
      <c r="C141" s="12">
        <v>2003</v>
      </c>
      <c r="D141" s="15" t="s">
        <v>25</v>
      </c>
      <c r="E141" s="12">
        <v>8</v>
      </c>
      <c r="F141" s="14">
        <v>14.195668450441072</v>
      </c>
      <c r="G141" s="14">
        <v>0.12057870768559623</v>
      </c>
      <c r="H141" s="14">
        <v>0</v>
      </c>
      <c r="I141" s="14">
        <v>1.3584058105362848</v>
      </c>
      <c r="J141" s="14">
        <v>2.2244142603157493</v>
      </c>
      <c r="K141" s="14">
        <v>0</v>
      </c>
    </row>
    <row r="142" spans="1:11">
      <c r="A142" s="8">
        <v>8</v>
      </c>
      <c r="B142" s="19">
        <v>37846</v>
      </c>
      <c r="C142" s="12">
        <v>2003</v>
      </c>
      <c r="D142" s="15" t="s">
        <v>25</v>
      </c>
      <c r="E142" s="12">
        <v>8</v>
      </c>
      <c r="F142" s="14">
        <v>4.7116439297159216</v>
      </c>
      <c r="G142" s="14">
        <v>3.6404874713350799E-2</v>
      </c>
      <c r="H142" s="14">
        <v>0</v>
      </c>
      <c r="I142" s="14">
        <v>1.1788650425031488</v>
      </c>
      <c r="J142" s="14">
        <v>3.766203457047123E-2</v>
      </c>
      <c r="K142" s="14">
        <v>0</v>
      </c>
    </row>
    <row r="143" spans="1:11">
      <c r="A143" s="8">
        <v>15</v>
      </c>
      <c r="B143" s="19">
        <v>37847</v>
      </c>
      <c r="C143" s="12">
        <v>2003</v>
      </c>
      <c r="D143" s="15" t="s">
        <v>25</v>
      </c>
      <c r="E143" s="12">
        <v>8</v>
      </c>
      <c r="F143" s="14">
        <v>5.9788124531664577</v>
      </c>
      <c r="G143" s="14">
        <v>1.5069663284827702E-2</v>
      </c>
      <c r="H143" s="14">
        <v>0</v>
      </c>
      <c r="I143" s="14">
        <v>0.47024617610141722</v>
      </c>
      <c r="J143" s="14">
        <v>1.4398977099188743</v>
      </c>
      <c r="K143" s="14">
        <v>0</v>
      </c>
    </row>
    <row r="144" spans="1:11">
      <c r="A144" s="8">
        <v>6</v>
      </c>
      <c r="B144" s="19">
        <v>37888</v>
      </c>
      <c r="C144" s="12">
        <v>2003</v>
      </c>
      <c r="D144" s="15" t="s">
        <v>26</v>
      </c>
      <c r="E144" s="12">
        <v>9</v>
      </c>
      <c r="F144" s="14">
        <v>10.450080753489985</v>
      </c>
      <c r="G144" s="14">
        <v>5.766878208106116E-2</v>
      </c>
      <c r="H144" s="14">
        <v>0</v>
      </c>
      <c r="I144" s="14">
        <v>2.6915481720547132</v>
      </c>
      <c r="J144" s="14">
        <v>0.84642112584330642</v>
      </c>
      <c r="K144" s="14">
        <v>0</v>
      </c>
    </row>
    <row r="145" spans="1:11">
      <c r="A145" s="8">
        <v>8</v>
      </c>
      <c r="B145" s="19">
        <v>37886</v>
      </c>
      <c r="C145" s="12">
        <v>2003</v>
      </c>
      <c r="D145" s="15" t="s">
        <v>26</v>
      </c>
      <c r="E145" s="12">
        <v>9</v>
      </c>
      <c r="F145" s="14">
        <v>15.420783565527255</v>
      </c>
      <c r="G145" s="14">
        <v>0.13589314955345033</v>
      </c>
      <c r="H145" s="14">
        <v>0</v>
      </c>
      <c r="I145" s="14">
        <v>3.3411310533993541</v>
      </c>
      <c r="J145" s="14">
        <v>0.41090439620067959</v>
      </c>
      <c r="K145" s="14">
        <v>0</v>
      </c>
    </row>
    <row r="146" spans="1:11">
      <c r="A146" s="8">
        <v>15</v>
      </c>
      <c r="B146" s="19">
        <v>37886</v>
      </c>
      <c r="C146" s="12">
        <v>2003</v>
      </c>
      <c r="D146" s="15" t="s">
        <v>26</v>
      </c>
      <c r="E146" s="12">
        <v>9</v>
      </c>
      <c r="F146" s="14">
        <v>11.004315055400102</v>
      </c>
      <c r="G146" s="14">
        <v>6.5551149379353357E-2</v>
      </c>
      <c r="H146" s="14">
        <v>0</v>
      </c>
      <c r="I146" s="14">
        <v>3.1281354257287761</v>
      </c>
      <c r="J146" s="14">
        <v>0.62572498486043049</v>
      </c>
      <c r="K146" s="14">
        <v>0</v>
      </c>
    </row>
    <row r="147" spans="1:11">
      <c r="A147" s="8">
        <v>6</v>
      </c>
      <c r="B147" s="19">
        <v>37910</v>
      </c>
      <c r="C147" s="12">
        <v>2003</v>
      </c>
      <c r="D147" s="15" t="s">
        <v>14</v>
      </c>
      <c r="E147" s="12">
        <v>10</v>
      </c>
      <c r="F147" s="13">
        <v>6.7571000000000003</v>
      </c>
      <c r="G147" s="14">
        <v>0.15074232559065689</v>
      </c>
      <c r="H147" s="14">
        <v>0</v>
      </c>
      <c r="I147" s="14">
        <v>2.1358282426397728</v>
      </c>
      <c r="J147" s="14">
        <v>4.0424420374513576E-2</v>
      </c>
      <c r="K147" s="14">
        <v>0</v>
      </c>
    </row>
    <row r="148" spans="1:11">
      <c r="A148" s="8">
        <v>8</v>
      </c>
      <c r="B148" s="19">
        <v>37910</v>
      </c>
      <c r="C148" s="12">
        <v>2003</v>
      </c>
      <c r="D148" s="15" t="s">
        <v>14</v>
      </c>
      <c r="E148" s="12">
        <v>10</v>
      </c>
      <c r="F148" s="13">
        <v>5.6172000000000004</v>
      </c>
      <c r="G148" s="14">
        <v>3.4029758143508768E-2</v>
      </c>
      <c r="H148" s="14">
        <v>0</v>
      </c>
      <c r="I148" s="14">
        <v>1.6292816820469056</v>
      </c>
      <c r="J148" s="14">
        <v>3.9161642851071217E-2</v>
      </c>
      <c r="K148" s="14">
        <v>0</v>
      </c>
    </row>
    <row r="149" spans="1:11">
      <c r="A149" s="8">
        <v>15</v>
      </c>
      <c r="B149" s="19">
        <v>37910</v>
      </c>
      <c r="C149" s="12">
        <v>2003</v>
      </c>
      <c r="D149" s="15" t="s">
        <v>14</v>
      </c>
      <c r="E149" s="12">
        <v>10</v>
      </c>
      <c r="F149" s="13">
        <v>6.9024999999999999</v>
      </c>
      <c r="G149" s="14">
        <v>2.3633298848406762E-2</v>
      </c>
      <c r="H149" s="14">
        <v>0</v>
      </c>
      <c r="I149" s="14">
        <v>2.233148710705652</v>
      </c>
      <c r="J149" s="14">
        <v>0.1477211860782755</v>
      </c>
      <c r="K149" s="14">
        <v>0</v>
      </c>
    </row>
    <row r="150" spans="1:11">
      <c r="A150" s="8">
        <v>6</v>
      </c>
      <c r="B150" s="19">
        <v>37943</v>
      </c>
      <c r="C150" s="12">
        <v>2003</v>
      </c>
      <c r="D150" s="15" t="s">
        <v>16</v>
      </c>
      <c r="E150" s="12">
        <v>11</v>
      </c>
      <c r="F150" s="13">
        <v>2.3603999999999998</v>
      </c>
      <c r="G150" s="14">
        <v>9.6589699001964957E-2</v>
      </c>
      <c r="H150" s="14">
        <v>0</v>
      </c>
      <c r="I150" s="14">
        <v>0.39092925364320907</v>
      </c>
      <c r="J150" s="14">
        <v>3.0627846273024714E-2</v>
      </c>
      <c r="K150" s="14">
        <v>0</v>
      </c>
    </row>
    <row r="151" spans="1:11">
      <c r="A151" s="8">
        <v>8</v>
      </c>
      <c r="B151" s="19">
        <v>37942</v>
      </c>
      <c r="C151" s="12">
        <v>2003</v>
      </c>
      <c r="D151" s="15" t="s">
        <v>16</v>
      </c>
      <c r="E151" s="12">
        <v>11</v>
      </c>
      <c r="F151" s="13">
        <v>2.4371</v>
      </c>
      <c r="G151" s="14">
        <v>3.4289268419596806E-2</v>
      </c>
      <c r="H151" s="14">
        <v>0</v>
      </c>
      <c r="I151" s="14">
        <v>0.65445986936801592</v>
      </c>
      <c r="J151" s="14">
        <v>1.8901305820154982E-2</v>
      </c>
      <c r="K151" s="14">
        <v>0</v>
      </c>
    </row>
    <row r="152" spans="1:11">
      <c r="A152" s="8">
        <v>15</v>
      </c>
      <c r="B152" s="19">
        <v>37942</v>
      </c>
      <c r="C152" s="12">
        <v>2003</v>
      </c>
      <c r="D152" s="15" t="s">
        <v>16</v>
      </c>
      <c r="E152" s="12">
        <v>11</v>
      </c>
      <c r="F152" s="13">
        <v>2.0104000000000002</v>
      </c>
      <c r="G152" s="14">
        <v>4.5268524504972742E-2</v>
      </c>
      <c r="H152" s="14">
        <v>0</v>
      </c>
      <c r="I152" s="14">
        <v>0.37187444202893233</v>
      </c>
      <c r="J152" s="14">
        <v>2.1852511438740788E-2</v>
      </c>
      <c r="K152" s="14">
        <v>0</v>
      </c>
    </row>
    <row r="153" spans="1:11">
      <c r="A153" s="8">
        <v>6</v>
      </c>
      <c r="B153" s="19">
        <v>37973</v>
      </c>
      <c r="C153" s="12">
        <v>2003</v>
      </c>
      <c r="D153" s="15" t="s">
        <v>17</v>
      </c>
      <c r="E153" s="12">
        <v>12</v>
      </c>
      <c r="F153" s="13">
        <v>7.0891999999999999</v>
      </c>
      <c r="G153" s="14">
        <v>0.11659065356612389</v>
      </c>
      <c r="H153" s="14">
        <v>0</v>
      </c>
      <c r="I153" s="14">
        <v>2.0144463785441604</v>
      </c>
      <c r="J153" s="14">
        <v>7.1477347693988821E-2</v>
      </c>
      <c r="K153" s="14">
        <v>0</v>
      </c>
    </row>
    <row r="154" spans="1:11">
      <c r="A154" s="8">
        <v>8</v>
      </c>
      <c r="B154" s="19">
        <v>37971</v>
      </c>
      <c r="C154" s="12">
        <v>2003</v>
      </c>
      <c r="D154" s="15" t="s">
        <v>17</v>
      </c>
      <c r="E154" s="12">
        <v>12</v>
      </c>
      <c r="F154" s="13">
        <v>4.7662000000000004</v>
      </c>
      <c r="G154" s="14">
        <v>0.20351935691929296</v>
      </c>
      <c r="H154" s="14">
        <v>0</v>
      </c>
      <c r="I154" s="14">
        <v>1.0849965308291862</v>
      </c>
      <c r="J154" s="14">
        <v>3.8001821290813725E-2</v>
      </c>
      <c r="K154" s="14">
        <v>0</v>
      </c>
    </row>
    <row r="155" spans="1:11">
      <c r="A155" s="8">
        <v>15</v>
      </c>
      <c r="B155" s="19">
        <v>37971</v>
      </c>
      <c r="C155" s="12">
        <v>2003</v>
      </c>
      <c r="D155" s="15" t="s">
        <v>17</v>
      </c>
      <c r="E155" s="12">
        <v>12</v>
      </c>
      <c r="F155" s="13">
        <v>5.1734</v>
      </c>
      <c r="G155" s="14">
        <v>0.15699974289691448</v>
      </c>
      <c r="H155" s="14">
        <v>0</v>
      </c>
      <c r="I155" s="14">
        <v>1.1795446148014337</v>
      </c>
      <c r="J155" s="14">
        <v>4.1034955939978357E-2</v>
      </c>
      <c r="K155" s="14">
        <v>0</v>
      </c>
    </row>
    <row r="156" spans="1:11">
      <c r="A156" s="8">
        <v>6</v>
      </c>
      <c r="B156" s="19">
        <v>37999</v>
      </c>
      <c r="C156" s="12">
        <v>2004</v>
      </c>
      <c r="D156" s="15" t="s">
        <v>18</v>
      </c>
      <c r="E156" s="12">
        <v>1</v>
      </c>
      <c r="F156" s="13">
        <v>4.9983000000000004</v>
      </c>
      <c r="G156" s="13">
        <v>2.3705288729781778E-2</v>
      </c>
      <c r="H156" s="13">
        <v>0</v>
      </c>
      <c r="I156" s="13">
        <v>1.9247098266209064</v>
      </c>
      <c r="J156" s="13">
        <v>2.8103955243482588E-2</v>
      </c>
      <c r="K156" s="13">
        <v>0</v>
      </c>
    </row>
    <row r="157" spans="1:11">
      <c r="A157" s="8">
        <v>8</v>
      </c>
      <c r="C157" s="12">
        <v>2004</v>
      </c>
      <c r="D157" s="15" t="s">
        <v>18</v>
      </c>
      <c r="E157" s="12">
        <v>1</v>
      </c>
      <c r="F157" s="13"/>
    </row>
    <row r="158" spans="1:11">
      <c r="A158" s="8">
        <v>15</v>
      </c>
      <c r="C158" s="12">
        <v>2004</v>
      </c>
      <c r="D158" s="15" t="s">
        <v>18</v>
      </c>
      <c r="E158" s="12">
        <v>1</v>
      </c>
      <c r="F158" s="13"/>
    </row>
    <row r="159" spans="1:11">
      <c r="A159" s="8">
        <v>6</v>
      </c>
      <c r="B159" s="19">
        <v>38027</v>
      </c>
      <c r="C159" s="12">
        <v>2004</v>
      </c>
      <c r="D159" s="11" t="s">
        <v>19</v>
      </c>
      <c r="E159" s="12">
        <v>2</v>
      </c>
      <c r="F159" s="13">
        <v>5.3985000000000003</v>
      </c>
      <c r="G159" s="13">
        <v>2.5562505112357751E-2</v>
      </c>
      <c r="H159" s="13">
        <v>0</v>
      </c>
      <c r="I159" s="13">
        <v>1.8227440805126356</v>
      </c>
      <c r="J159" s="13">
        <v>4.1080273567025788E-2</v>
      </c>
      <c r="K159" s="13">
        <v>0</v>
      </c>
    </row>
    <row r="160" spans="1:11">
      <c r="A160" s="8">
        <v>8</v>
      </c>
      <c r="B160" s="19">
        <v>38026</v>
      </c>
      <c r="C160" s="12">
        <v>2004</v>
      </c>
      <c r="D160" s="11" t="s">
        <v>19</v>
      </c>
      <c r="E160" s="12">
        <v>2</v>
      </c>
      <c r="F160" s="13">
        <v>9.5776000000000003</v>
      </c>
      <c r="G160" s="13">
        <v>4.8833508378514627E-2</v>
      </c>
      <c r="H160" s="13">
        <v>0</v>
      </c>
      <c r="I160" s="13">
        <v>2.821836789394514</v>
      </c>
      <c r="J160" s="13">
        <v>5.3840809296802711E-2</v>
      </c>
      <c r="K160" s="13">
        <v>0</v>
      </c>
    </row>
    <row r="161" spans="1:11">
      <c r="A161" s="8">
        <v>15</v>
      </c>
      <c r="B161" s="19">
        <v>38026</v>
      </c>
      <c r="C161" s="12">
        <v>2004</v>
      </c>
      <c r="D161" s="11" t="s">
        <v>19</v>
      </c>
      <c r="E161" s="12">
        <v>2</v>
      </c>
      <c r="F161" s="13">
        <v>7.0206999999999997</v>
      </c>
      <c r="G161" s="13">
        <v>5.129571512182679E-2</v>
      </c>
      <c r="H161" s="13">
        <v>0</v>
      </c>
      <c r="I161" s="13">
        <v>2.1154093417333262</v>
      </c>
      <c r="J161" s="13">
        <v>4.8034347387898114E-2</v>
      </c>
      <c r="K161" s="13">
        <v>0</v>
      </c>
    </row>
    <row r="162" spans="1:11">
      <c r="A162" s="8">
        <v>6</v>
      </c>
      <c r="B162" s="19">
        <v>38063</v>
      </c>
      <c r="C162" s="12">
        <v>2004</v>
      </c>
      <c r="D162" s="11" t="s">
        <v>20</v>
      </c>
      <c r="E162" s="12">
        <v>3</v>
      </c>
      <c r="F162" s="13">
        <v>8.1742000000000008</v>
      </c>
      <c r="G162" s="13">
        <v>3.6350838994029543E-2</v>
      </c>
      <c r="H162" s="13">
        <v>0</v>
      </c>
      <c r="I162" s="13">
        <v>3.6224635193110415</v>
      </c>
      <c r="J162" s="13">
        <v>4.3755540987836211E-2</v>
      </c>
      <c r="K162" s="13">
        <v>0</v>
      </c>
    </row>
    <row r="163" spans="1:11">
      <c r="A163" s="8">
        <v>8</v>
      </c>
      <c r="B163" s="19">
        <v>38061</v>
      </c>
      <c r="C163" s="12">
        <v>2004</v>
      </c>
      <c r="D163" s="11" t="s">
        <v>20</v>
      </c>
      <c r="E163" s="12">
        <v>3</v>
      </c>
      <c r="F163" s="13">
        <v>6.0446999999999997</v>
      </c>
      <c r="G163" s="13">
        <v>4.7048889605369466E-2</v>
      </c>
      <c r="H163" s="13">
        <v>0</v>
      </c>
      <c r="I163" s="13">
        <v>2.5215772576040103</v>
      </c>
      <c r="J163" s="13">
        <v>3.0852133818707148E-2</v>
      </c>
      <c r="K163" s="13">
        <v>0</v>
      </c>
    </row>
    <row r="164" spans="1:11">
      <c r="A164" s="8">
        <v>15</v>
      </c>
      <c r="B164" s="19">
        <v>38063</v>
      </c>
      <c r="C164" s="12">
        <v>2004</v>
      </c>
      <c r="D164" s="11" t="s">
        <v>20</v>
      </c>
      <c r="E164" s="12">
        <v>3</v>
      </c>
      <c r="F164" s="13">
        <v>3.8525999999999998</v>
      </c>
      <c r="G164" s="13">
        <v>4.5483131028612817E-2</v>
      </c>
      <c r="H164" s="13">
        <v>0</v>
      </c>
      <c r="I164" s="13">
        <v>1.2473748946072514</v>
      </c>
      <c r="J164" s="13">
        <v>4.1912317736254485E-2</v>
      </c>
      <c r="K164" s="13">
        <v>0</v>
      </c>
    </row>
    <row r="165" spans="1:11">
      <c r="A165" s="8">
        <v>6</v>
      </c>
      <c r="B165" s="19">
        <v>38094</v>
      </c>
      <c r="C165" s="12">
        <v>2004</v>
      </c>
      <c r="D165" s="11" t="s">
        <v>21</v>
      </c>
      <c r="E165" s="12">
        <v>4</v>
      </c>
      <c r="F165" s="13">
        <v>4.3901000000000003</v>
      </c>
      <c r="G165" s="21">
        <v>4.832454614319473E-2</v>
      </c>
      <c r="H165" s="21">
        <v>0</v>
      </c>
      <c r="I165" s="21">
        <v>1.9586465823040173</v>
      </c>
      <c r="J165" s="21">
        <v>5.3123293560136009E-2</v>
      </c>
      <c r="K165" s="21">
        <v>0</v>
      </c>
    </row>
    <row r="166" spans="1:11">
      <c r="A166" s="8">
        <v>8</v>
      </c>
      <c r="B166" s="19">
        <v>38093</v>
      </c>
      <c r="C166" s="12">
        <v>2004</v>
      </c>
      <c r="D166" s="11" t="s">
        <v>21</v>
      </c>
      <c r="E166" s="12">
        <v>4</v>
      </c>
      <c r="F166" s="13">
        <v>1.3182</v>
      </c>
      <c r="G166" s="21">
        <v>4.1365764345315005E-2</v>
      </c>
      <c r="H166" s="21">
        <v>0</v>
      </c>
      <c r="I166" s="21">
        <v>0.27923797003972478</v>
      </c>
      <c r="J166" s="21">
        <v>5.7468091585649445E-2</v>
      </c>
      <c r="K166" s="21">
        <v>0</v>
      </c>
    </row>
    <row r="167" spans="1:11">
      <c r="A167" s="8">
        <v>15</v>
      </c>
      <c r="B167" s="19">
        <v>38094</v>
      </c>
      <c r="C167" s="12">
        <v>2004</v>
      </c>
      <c r="D167" s="11" t="s">
        <v>21</v>
      </c>
      <c r="E167" s="12">
        <v>4</v>
      </c>
      <c r="F167" s="13">
        <v>3.8311000000000002</v>
      </c>
      <c r="G167" s="21">
        <v>5.0748897450360833E-2</v>
      </c>
      <c r="H167" s="21">
        <v>2.8756492701264073E-2</v>
      </c>
      <c r="I167" s="21">
        <v>1.7613477776316779</v>
      </c>
      <c r="J167" s="21">
        <v>4.5963847463636201E-2</v>
      </c>
      <c r="K167" s="21">
        <v>0</v>
      </c>
    </row>
    <row r="168" spans="1:11">
      <c r="A168" s="8">
        <v>6</v>
      </c>
      <c r="B168" s="19">
        <v>38118</v>
      </c>
      <c r="C168" s="12">
        <v>2004</v>
      </c>
      <c r="D168" s="11" t="s">
        <v>22</v>
      </c>
      <c r="E168" s="12">
        <v>5</v>
      </c>
      <c r="F168" s="13">
        <v>2.6059999999999999</v>
      </c>
      <c r="G168" s="21">
        <v>6.2185671607849137E-2</v>
      </c>
      <c r="H168" s="21">
        <v>0.23505349734292985</v>
      </c>
      <c r="I168" s="21">
        <v>0.86239617269574753</v>
      </c>
      <c r="J168" s="21">
        <v>0.1896166146680629</v>
      </c>
      <c r="K168" s="21">
        <v>0</v>
      </c>
    </row>
    <row r="169" spans="1:11">
      <c r="A169" s="8">
        <v>8</v>
      </c>
      <c r="B169" s="19">
        <v>38117</v>
      </c>
      <c r="C169" s="12">
        <v>2004</v>
      </c>
      <c r="D169" s="11" t="s">
        <v>22</v>
      </c>
      <c r="E169" s="12">
        <v>5</v>
      </c>
      <c r="F169" s="13">
        <v>2.4889000000000001</v>
      </c>
      <c r="G169" s="21">
        <v>2.87435873084817E-2</v>
      </c>
      <c r="H169" s="21">
        <v>2.1339810146295574E-2</v>
      </c>
      <c r="I169" s="21">
        <v>0.4829875467579165</v>
      </c>
      <c r="J169" s="21">
        <v>3.8775222027608788E-2</v>
      </c>
      <c r="K169" s="21">
        <v>0</v>
      </c>
    </row>
    <row r="170" spans="1:11">
      <c r="A170" s="8">
        <v>15</v>
      </c>
      <c r="B170" s="19">
        <v>38118</v>
      </c>
      <c r="C170" s="12">
        <v>2004</v>
      </c>
      <c r="D170" s="11" t="s">
        <v>22</v>
      </c>
      <c r="E170" s="12">
        <v>5</v>
      </c>
      <c r="F170" s="13">
        <v>2.1602999999999999</v>
      </c>
      <c r="G170" s="21">
        <v>3.6061987258029594E-2</v>
      </c>
      <c r="H170" s="21">
        <v>0.22328287278196732</v>
      </c>
      <c r="I170" s="21">
        <v>0.58792327403574829</v>
      </c>
      <c r="J170" s="21">
        <v>0.13654257517253945</v>
      </c>
      <c r="K170" s="21">
        <v>0</v>
      </c>
    </row>
    <row r="171" spans="1:11">
      <c r="A171" s="8">
        <v>6</v>
      </c>
      <c r="B171" s="19">
        <v>38153</v>
      </c>
      <c r="C171" s="12">
        <v>2004</v>
      </c>
      <c r="D171" s="11" t="s">
        <v>23</v>
      </c>
      <c r="E171" s="12">
        <v>6</v>
      </c>
      <c r="F171" s="13">
        <v>13.8576</v>
      </c>
      <c r="G171" s="21">
        <v>8.9307986542880857E-2</v>
      </c>
      <c r="H171" s="21">
        <v>1.7129619032390335</v>
      </c>
      <c r="I171" s="21">
        <v>4.0922159605172705</v>
      </c>
      <c r="J171" s="21">
        <v>0.77399943751929978</v>
      </c>
      <c r="K171" s="21">
        <v>0</v>
      </c>
    </row>
    <row r="172" spans="1:11">
      <c r="A172" s="8">
        <v>8</v>
      </c>
      <c r="B172" s="19">
        <v>38160</v>
      </c>
      <c r="C172" s="12">
        <v>2004</v>
      </c>
      <c r="D172" s="11" t="s">
        <v>23</v>
      </c>
      <c r="E172" s="12">
        <v>6</v>
      </c>
      <c r="F172" s="13">
        <v>2.9472</v>
      </c>
      <c r="G172" s="21">
        <v>2.789325430530918E-2</v>
      </c>
      <c r="H172" s="21">
        <v>0</v>
      </c>
      <c r="I172" s="21">
        <v>0.9235934696548237</v>
      </c>
      <c r="J172" s="21">
        <v>2.1540694739961057E-2</v>
      </c>
      <c r="K172" s="21">
        <v>0</v>
      </c>
    </row>
    <row r="173" spans="1:11">
      <c r="A173" s="8">
        <v>15</v>
      </c>
      <c r="B173" s="19">
        <v>38155</v>
      </c>
      <c r="C173" s="12">
        <v>2004</v>
      </c>
      <c r="D173" s="11" t="s">
        <v>23</v>
      </c>
      <c r="E173" s="12">
        <v>6</v>
      </c>
      <c r="F173" s="13">
        <v>4.3376000000000001</v>
      </c>
      <c r="G173" s="21">
        <v>3.2981587872184782E-2</v>
      </c>
      <c r="H173" s="21">
        <v>0.11523522764287641</v>
      </c>
      <c r="I173" s="21">
        <v>0.62055947543889101</v>
      </c>
      <c r="J173" s="21">
        <v>0.41455044398767116</v>
      </c>
      <c r="K173" s="21">
        <v>0</v>
      </c>
    </row>
    <row r="174" spans="1:11">
      <c r="A174" s="8">
        <v>6</v>
      </c>
      <c r="B174" s="19">
        <v>38181</v>
      </c>
      <c r="C174" s="12">
        <v>2004</v>
      </c>
      <c r="D174" s="15" t="s">
        <v>24</v>
      </c>
      <c r="E174" s="12">
        <v>7</v>
      </c>
      <c r="F174" s="13">
        <v>11.0219</v>
      </c>
      <c r="G174" s="21">
        <v>9.5268548212266393E-2</v>
      </c>
      <c r="H174" s="21">
        <v>0</v>
      </c>
      <c r="I174" s="21">
        <v>0.93916996182169721</v>
      </c>
      <c r="J174" s="21">
        <v>1.383534482477788</v>
      </c>
      <c r="K174" s="21">
        <v>0</v>
      </c>
    </row>
    <row r="175" spans="1:11">
      <c r="A175" s="8">
        <v>8</v>
      </c>
      <c r="B175" s="19">
        <v>38182</v>
      </c>
      <c r="C175" s="12">
        <v>2004</v>
      </c>
      <c r="D175" s="15" t="s">
        <v>24</v>
      </c>
      <c r="E175" s="12">
        <v>7</v>
      </c>
      <c r="F175" s="13">
        <v>2.2934000000000001</v>
      </c>
      <c r="G175" s="21">
        <v>3.7516348116585413E-2</v>
      </c>
      <c r="H175" s="21">
        <v>0</v>
      </c>
      <c r="I175" s="21">
        <v>0.5209663676306957</v>
      </c>
      <c r="J175" s="21">
        <v>2.4472552703339871E-2</v>
      </c>
      <c r="K175" s="21">
        <v>0</v>
      </c>
    </row>
    <row r="176" spans="1:11">
      <c r="A176" s="8">
        <v>15</v>
      </c>
      <c r="B176" s="19">
        <v>38182</v>
      </c>
      <c r="C176" s="12">
        <v>2004</v>
      </c>
      <c r="D176" s="15" t="s">
        <v>24</v>
      </c>
      <c r="E176" s="12">
        <v>7</v>
      </c>
      <c r="F176" s="13">
        <v>4.0551000000000004</v>
      </c>
      <c r="G176" s="21">
        <v>9.1966473972393936E-2</v>
      </c>
      <c r="H176" s="21">
        <v>0</v>
      </c>
      <c r="I176" s="21">
        <v>0.23188662547043823</v>
      </c>
      <c r="J176" s="21">
        <v>0.59854148525957673</v>
      </c>
      <c r="K176" s="21">
        <v>0</v>
      </c>
    </row>
    <row r="177" spans="1:11">
      <c r="A177" s="8">
        <v>6</v>
      </c>
      <c r="B177" s="19">
        <v>38217</v>
      </c>
      <c r="C177" s="12">
        <v>2004</v>
      </c>
      <c r="D177" s="15" t="s">
        <v>25</v>
      </c>
      <c r="E177" s="12">
        <v>8</v>
      </c>
      <c r="F177" s="13">
        <v>15.412599999999999</v>
      </c>
      <c r="G177" s="20"/>
      <c r="H177" s="20"/>
      <c r="I177" s="20"/>
      <c r="J177" s="20"/>
      <c r="K177" s="20"/>
    </row>
    <row r="178" spans="1:11">
      <c r="A178" s="8">
        <v>8</v>
      </c>
      <c r="B178" s="19">
        <v>38218</v>
      </c>
      <c r="C178" s="12">
        <v>2004</v>
      </c>
      <c r="D178" s="15" t="s">
        <v>25</v>
      </c>
      <c r="E178" s="12">
        <v>8</v>
      </c>
      <c r="F178" s="13">
        <v>3.7090000000000001</v>
      </c>
      <c r="G178" s="20"/>
      <c r="H178" s="20"/>
      <c r="I178" s="20"/>
      <c r="J178" s="20"/>
      <c r="K178" s="20"/>
    </row>
    <row r="179" spans="1:11">
      <c r="A179" s="8">
        <v>15</v>
      </c>
      <c r="B179" s="19">
        <v>38218</v>
      </c>
      <c r="C179" s="12">
        <v>2004</v>
      </c>
      <c r="D179" s="15" t="s">
        <v>25</v>
      </c>
      <c r="E179" s="12">
        <v>8</v>
      </c>
      <c r="F179" s="13">
        <v>3.0560999999999998</v>
      </c>
      <c r="G179" s="20"/>
      <c r="H179" s="20"/>
      <c r="I179" s="20"/>
      <c r="J179" s="20"/>
      <c r="K179" s="20"/>
    </row>
    <row r="180" spans="1:11">
      <c r="A180" s="8">
        <v>6</v>
      </c>
      <c r="B180" s="19">
        <v>38244</v>
      </c>
      <c r="C180" s="12">
        <v>2004</v>
      </c>
      <c r="D180" s="15" t="s">
        <v>26</v>
      </c>
      <c r="E180" s="12">
        <v>9</v>
      </c>
      <c r="F180" s="13">
        <v>9.4573999999999998</v>
      </c>
      <c r="G180" s="21">
        <v>3.7531441586562596E-2</v>
      </c>
      <c r="H180" s="21">
        <v>0</v>
      </c>
      <c r="I180" s="21">
        <v>2.6142454733109468</v>
      </c>
      <c r="J180" s="21">
        <v>0.52264106620423934</v>
      </c>
      <c r="K180" s="21">
        <v>0</v>
      </c>
    </row>
    <row r="181" spans="1:11">
      <c r="A181" s="8">
        <v>8</v>
      </c>
      <c r="B181" s="19">
        <v>38246</v>
      </c>
      <c r="C181" s="12">
        <v>2004</v>
      </c>
      <c r="D181" s="15" t="s">
        <v>26</v>
      </c>
      <c r="E181" s="12">
        <v>9</v>
      </c>
      <c r="F181" s="13">
        <v>1.6736</v>
      </c>
      <c r="G181" s="21">
        <v>0</v>
      </c>
      <c r="H181" s="21">
        <v>0</v>
      </c>
      <c r="I181" s="21">
        <v>0.3830990435278705</v>
      </c>
      <c r="J181" s="21">
        <v>3.6530730398316315E-2</v>
      </c>
      <c r="K181" s="21">
        <v>0</v>
      </c>
    </row>
    <row r="182" spans="1:11">
      <c r="A182" s="8">
        <v>15</v>
      </c>
      <c r="B182" s="19">
        <v>38246</v>
      </c>
      <c r="C182" s="12">
        <v>2004</v>
      </c>
      <c r="D182" s="15" t="s">
        <v>26</v>
      </c>
      <c r="E182" s="12">
        <v>9</v>
      </c>
      <c r="F182" s="13">
        <v>2.9839000000000002</v>
      </c>
      <c r="G182" s="21">
        <v>5.7558629914860229E-2</v>
      </c>
      <c r="H182" s="21">
        <v>0</v>
      </c>
      <c r="I182" s="21">
        <v>0.83321118792634608</v>
      </c>
      <c r="J182" s="21">
        <v>0.20182827734025394</v>
      </c>
      <c r="K182" s="21">
        <v>0</v>
      </c>
    </row>
    <row r="183" spans="1:11">
      <c r="A183" s="8">
        <v>6</v>
      </c>
      <c r="B183" s="19">
        <v>38273</v>
      </c>
      <c r="C183" s="12">
        <v>2004</v>
      </c>
      <c r="D183" s="15" t="s">
        <v>14</v>
      </c>
      <c r="E183" s="12">
        <v>10</v>
      </c>
      <c r="F183" s="14">
        <v>8.5496300000000005</v>
      </c>
      <c r="G183" s="14">
        <v>4.5937291099812594E-2</v>
      </c>
      <c r="H183" s="14">
        <v>0</v>
      </c>
      <c r="I183" s="14">
        <v>2.7082167142909488</v>
      </c>
      <c r="J183" s="14">
        <v>0.30373179492856295</v>
      </c>
      <c r="K183" s="14">
        <v>0</v>
      </c>
    </row>
    <row r="184" spans="1:11">
      <c r="A184" s="8">
        <v>8</v>
      </c>
      <c r="B184" s="19">
        <v>38274</v>
      </c>
      <c r="C184" s="12">
        <v>2004</v>
      </c>
      <c r="D184" s="15" t="s">
        <v>14</v>
      </c>
      <c r="E184" s="12">
        <v>10</v>
      </c>
      <c r="F184" s="14">
        <v>1.54593</v>
      </c>
      <c r="G184" s="14">
        <v>0</v>
      </c>
      <c r="H184" s="14">
        <v>0</v>
      </c>
      <c r="I184" s="14">
        <v>0.16184923556408656</v>
      </c>
      <c r="J184" s="14">
        <v>7.0958206206480712E-3</v>
      </c>
      <c r="K184" s="14">
        <v>0</v>
      </c>
    </row>
    <row r="185" spans="1:11">
      <c r="A185" s="8">
        <v>15</v>
      </c>
      <c r="B185" s="19">
        <v>38273</v>
      </c>
      <c r="C185" s="12">
        <v>2004</v>
      </c>
      <c r="D185" s="15" t="s">
        <v>14</v>
      </c>
      <c r="E185" s="12">
        <v>10</v>
      </c>
      <c r="F185" s="14">
        <v>1.51335</v>
      </c>
      <c r="G185" s="14">
        <v>0</v>
      </c>
      <c r="H185" s="14">
        <v>0</v>
      </c>
      <c r="I185" s="14">
        <v>0.28434658272719388</v>
      </c>
      <c r="J185" s="14">
        <v>4.5453761436060863E-2</v>
      </c>
      <c r="K185" s="14">
        <v>0</v>
      </c>
    </row>
    <row r="186" spans="1:11">
      <c r="A186" s="8">
        <v>6</v>
      </c>
      <c r="B186" s="19">
        <v>38307</v>
      </c>
      <c r="C186" s="12">
        <v>2004</v>
      </c>
      <c r="D186" s="15" t="s">
        <v>16</v>
      </c>
      <c r="E186" s="12">
        <v>11</v>
      </c>
      <c r="F186" s="14">
        <v>1.90208</v>
      </c>
      <c r="G186" s="14">
        <v>2.2233765101530027E-2</v>
      </c>
      <c r="H186" s="14">
        <v>0</v>
      </c>
      <c r="I186" s="14">
        <v>0.48830136426248655</v>
      </c>
      <c r="J186" s="14">
        <v>2.5623494989009298E-2</v>
      </c>
      <c r="K186" s="14">
        <v>0</v>
      </c>
    </row>
    <row r="187" spans="1:11">
      <c r="A187" s="8">
        <v>8</v>
      </c>
      <c r="B187" s="19">
        <v>38309</v>
      </c>
      <c r="C187" s="12">
        <v>2004</v>
      </c>
      <c r="D187" s="15" t="s">
        <v>16</v>
      </c>
      <c r="E187" s="12">
        <v>11</v>
      </c>
      <c r="F187" s="14">
        <v>1.50061</v>
      </c>
      <c r="G187" s="14">
        <v>0.11474327438897751</v>
      </c>
      <c r="H187" s="14">
        <v>0</v>
      </c>
      <c r="I187" s="14">
        <v>0.17764507836701413</v>
      </c>
      <c r="J187" s="14">
        <v>1.4022026203371301E-2</v>
      </c>
      <c r="K187" s="14">
        <v>0</v>
      </c>
    </row>
    <row r="188" spans="1:11">
      <c r="A188" s="8">
        <v>15</v>
      </c>
      <c r="B188" s="19">
        <v>38307</v>
      </c>
      <c r="C188" s="12">
        <v>2004</v>
      </c>
      <c r="D188" s="15" t="s">
        <v>16</v>
      </c>
      <c r="E188" s="12">
        <v>11</v>
      </c>
      <c r="F188" s="14">
        <v>1.69478</v>
      </c>
      <c r="G188" s="14">
        <v>0</v>
      </c>
      <c r="H188" s="14">
        <v>0</v>
      </c>
      <c r="I188" s="14">
        <v>0.28076262196027868</v>
      </c>
      <c r="J188" s="14">
        <v>1.6773497024880943E-2</v>
      </c>
      <c r="K188" s="14">
        <v>0</v>
      </c>
    </row>
    <row r="189" spans="1:11">
      <c r="A189" s="8">
        <v>6</v>
      </c>
      <c r="B189" s="19">
        <v>38337</v>
      </c>
      <c r="C189" s="12">
        <v>2004</v>
      </c>
      <c r="D189" s="15" t="s">
        <v>17</v>
      </c>
      <c r="E189" s="12">
        <v>12</v>
      </c>
      <c r="F189" s="14">
        <v>3.1585000000000001</v>
      </c>
      <c r="G189" s="14">
        <v>0.12992584351676961</v>
      </c>
      <c r="H189" s="14">
        <v>0</v>
      </c>
      <c r="I189" s="14">
        <v>0.64054476115280679</v>
      </c>
      <c r="J189" s="14">
        <v>4.568020741387558E-2</v>
      </c>
      <c r="K189" s="14">
        <v>0</v>
      </c>
    </row>
    <row r="190" spans="1:11">
      <c r="A190" s="8">
        <v>8</v>
      </c>
      <c r="B190" s="19">
        <v>38337</v>
      </c>
      <c r="C190" s="12">
        <v>2004</v>
      </c>
      <c r="D190" s="15" t="s">
        <v>17</v>
      </c>
      <c r="E190" s="12">
        <v>12</v>
      </c>
      <c r="F190" s="14">
        <v>2.3885800000000001</v>
      </c>
      <c r="G190" s="14">
        <v>4.2377036510456427E-2</v>
      </c>
      <c r="H190" s="14">
        <v>0</v>
      </c>
      <c r="I190" s="14">
        <v>0.58057764149196611</v>
      </c>
      <c r="J190" s="14">
        <v>7.5598375387956494E-3</v>
      </c>
      <c r="K190" s="14">
        <v>0</v>
      </c>
    </row>
    <row r="191" spans="1:11">
      <c r="A191" s="8">
        <v>15</v>
      </c>
      <c r="B191" s="19">
        <v>38337</v>
      </c>
      <c r="C191" s="12">
        <v>2004</v>
      </c>
      <c r="D191" s="15" t="s">
        <v>17</v>
      </c>
      <c r="E191" s="12">
        <v>12</v>
      </c>
      <c r="F191" s="14">
        <v>2.2125400000000002</v>
      </c>
      <c r="G191" s="14">
        <v>0.11281433255123044</v>
      </c>
      <c r="H191" s="14">
        <v>0</v>
      </c>
      <c r="I191" s="14">
        <v>0.35409929407336244</v>
      </c>
      <c r="J191" s="14">
        <v>2.8245626315026692E-2</v>
      </c>
      <c r="K191" s="14">
        <v>0</v>
      </c>
    </row>
    <row r="192" spans="1:11">
      <c r="A192" s="8">
        <v>6</v>
      </c>
      <c r="B192" s="22">
        <v>38363</v>
      </c>
      <c r="C192" s="12">
        <v>2005</v>
      </c>
      <c r="D192" s="15" t="s">
        <v>18</v>
      </c>
      <c r="E192" s="12">
        <v>1</v>
      </c>
      <c r="F192" s="14">
        <v>3.3628</v>
      </c>
      <c r="G192" s="14">
        <v>0.1277586888926954</v>
      </c>
      <c r="H192" s="14">
        <v>2.6195761501576743E-2</v>
      </c>
      <c r="I192" s="14">
        <v>0.8757627511111824</v>
      </c>
      <c r="J192" s="14">
        <v>1.7405030816151738E-2</v>
      </c>
      <c r="K192" s="14">
        <v>0</v>
      </c>
    </row>
    <row r="193" spans="1:11">
      <c r="A193" s="8">
        <v>8</v>
      </c>
      <c r="B193" s="22">
        <v>38364</v>
      </c>
      <c r="C193" s="12">
        <v>2005</v>
      </c>
      <c r="D193" s="15" t="s">
        <v>18</v>
      </c>
      <c r="E193" s="12">
        <v>1</v>
      </c>
      <c r="F193" s="14">
        <v>1.08186</v>
      </c>
      <c r="G193" s="14">
        <v>2.1592743897644338E-2</v>
      </c>
      <c r="H193" s="14">
        <v>0</v>
      </c>
      <c r="I193" s="14">
        <v>0.26343249791027068</v>
      </c>
      <c r="J193" s="14">
        <v>4.7527175271589225E-3</v>
      </c>
      <c r="K193" s="14">
        <v>0</v>
      </c>
    </row>
    <row r="194" spans="1:11">
      <c r="A194" s="8">
        <v>15</v>
      </c>
      <c r="B194" s="22">
        <v>38363</v>
      </c>
      <c r="C194" s="12">
        <v>2005</v>
      </c>
      <c r="D194" s="15" t="s">
        <v>18</v>
      </c>
      <c r="E194" s="12">
        <v>1</v>
      </c>
      <c r="F194" s="14">
        <v>3.7126399999999999</v>
      </c>
      <c r="G194" s="14">
        <v>0.15962374229067555</v>
      </c>
      <c r="H194" s="14">
        <v>3.2853708339525466E-2</v>
      </c>
      <c r="I194" s="14">
        <v>0.94453408512830606</v>
      </c>
      <c r="J194" s="14">
        <v>2.0506782537323152E-2</v>
      </c>
      <c r="K194" s="14">
        <v>0</v>
      </c>
    </row>
    <row r="195" spans="1:11">
      <c r="A195" s="8">
        <v>6</v>
      </c>
      <c r="B195" s="22">
        <v>38399</v>
      </c>
      <c r="C195" s="12">
        <v>2005</v>
      </c>
      <c r="D195" s="11" t="s">
        <v>19</v>
      </c>
      <c r="E195" s="12">
        <v>2</v>
      </c>
      <c r="F195" s="14">
        <v>3.0975199999999998</v>
      </c>
      <c r="G195" s="14">
        <v>0.15424366842698936</v>
      </c>
      <c r="H195" s="14">
        <v>0</v>
      </c>
      <c r="I195" s="14">
        <v>0.69531465448971064</v>
      </c>
      <c r="J195" s="14">
        <v>4.3515744209258751E-2</v>
      </c>
      <c r="K195" s="14">
        <v>0</v>
      </c>
    </row>
    <row r="196" spans="1:11">
      <c r="A196" s="8">
        <v>8</v>
      </c>
      <c r="B196" s="22">
        <v>38398</v>
      </c>
      <c r="C196" s="12">
        <v>2005</v>
      </c>
      <c r="D196" s="11" t="s">
        <v>19</v>
      </c>
      <c r="E196" s="12">
        <v>2</v>
      </c>
      <c r="F196" s="14">
        <v>3.34823</v>
      </c>
      <c r="G196" s="14">
        <v>5.1946531720490678E-2</v>
      </c>
      <c r="H196" s="14">
        <v>0</v>
      </c>
      <c r="I196" s="14">
        <v>0.8570286059322868</v>
      </c>
      <c r="J196" s="14">
        <v>2.8639184406994537E-2</v>
      </c>
      <c r="K196" s="14">
        <v>0</v>
      </c>
    </row>
    <row r="197" spans="1:11">
      <c r="A197" s="8">
        <v>15</v>
      </c>
      <c r="B197" s="22">
        <v>38398</v>
      </c>
      <c r="C197" s="12">
        <v>2005</v>
      </c>
      <c r="D197" s="11" t="s">
        <v>19</v>
      </c>
      <c r="E197" s="12">
        <v>2</v>
      </c>
      <c r="F197" s="14">
        <v>2.5410400000000002</v>
      </c>
      <c r="G197" s="14">
        <v>0.12864940373908346</v>
      </c>
      <c r="H197" s="14">
        <v>0</v>
      </c>
      <c r="I197" s="14">
        <v>0.55073771323992704</v>
      </c>
      <c r="J197" s="14">
        <v>4.4782444488295721E-2</v>
      </c>
      <c r="K197" s="14">
        <v>0</v>
      </c>
    </row>
    <row r="198" spans="1:11">
      <c r="A198" s="8">
        <v>6</v>
      </c>
      <c r="B198" s="22">
        <v>38428</v>
      </c>
      <c r="C198" s="12">
        <v>2005</v>
      </c>
      <c r="D198" s="11" t="s">
        <v>20</v>
      </c>
      <c r="E198" s="12">
        <v>3</v>
      </c>
      <c r="F198" s="14">
        <v>1.57328</v>
      </c>
      <c r="G198" s="14">
        <v>9.8319189714546479E-2</v>
      </c>
      <c r="H198" s="14">
        <v>0</v>
      </c>
      <c r="I198" s="14">
        <v>0.3432031160447338</v>
      </c>
      <c r="J198" s="14">
        <v>1.0755055531601863E-2</v>
      </c>
      <c r="K198" s="14">
        <v>0</v>
      </c>
    </row>
    <row r="199" spans="1:11">
      <c r="A199" s="8">
        <v>8</v>
      </c>
      <c r="B199" s="22">
        <v>38427</v>
      </c>
      <c r="C199" s="12">
        <v>2005</v>
      </c>
      <c r="D199" s="11" t="s">
        <v>20</v>
      </c>
      <c r="E199" s="12">
        <v>3</v>
      </c>
      <c r="F199" s="14">
        <v>1.8873200000000001</v>
      </c>
      <c r="G199" s="14">
        <v>0.18477726718185938</v>
      </c>
      <c r="H199" s="14">
        <v>0</v>
      </c>
      <c r="I199" s="14">
        <v>0.40979858708316558</v>
      </c>
      <c r="J199" s="14">
        <v>1.0210272070147786E-2</v>
      </c>
      <c r="K199" s="14">
        <v>0</v>
      </c>
    </row>
    <row r="200" spans="1:11">
      <c r="A200" s="8">
        <v>15</v>
      </c>
      <c r="B200" s="22">
        <v>38427</v>
      </c>
      <c r="C200" s="12">
        <v>2005</v>
      </c>
      <c r="D200" s="11" t="s">
        <v>20</v>
      </c>
      <c r="E200" s="12">
        <v>3</v>
      </c>
      <c r="F200" s="14">
        <v>1.9217599999999999</v>
      </c>
      <c r="G200" s="14">
        <v>8.1930459479328505E-2</v>
      </c>
      <c r="H200" s="14">
        <v>0</v>
      </c>
      <c r="I200" s="14">
        <v>0.41932724824685258</v>
      </c>
      <c r="J200" s="14">
        <v>1.580162839232005E-2</v>
      </c>
      <c r="K200" s="14">
        <v>0</v>
      </c>
    </row>
    <row r="201" spans="1:11">
      <c r="A201" s="8">
        <v>6</v>
      </c>
      <c r="B201" s="22">
        <v>38469</v>
      </c>
      <c r="C201" s="12">
        <v>2005</v>
      </c>
      <c r="D201" s="11" t="s">
        <v>21</v>
      </c>
      <c r="E201" s="12">
        <v>4</v>
      </c>
      <c r="F201" s="14">
        <v>4.1978900000000001</v>
      </c>
      <c r="G201" s="14">
        <v>1.9205493050153719E-2</v>
      </c>
      <c r="H201" s="14">
        <v>7.0529201873961903E-2</v>
      </c>
      <c r="I201" s="14">
        <v>1.9776967917084602</v>
      </c>
      <c r="J201" s="14">
        <v>4.5410394122357048E-2</v>
      </c>
      <c r="K201" s="14">
        <v>0</v>
      </c>
    </row>
    <row r="202" spans="1:11">
      <c r="A202" s="8">
        <v>8</v>
      </c>
      <c r="B202" s="22">
        <v>38470</v>
      </c>
      <c r="C202" s="12">
        <v>2005</v>
      </c>
      <c r="D202" s="11" t="s">
        <v>21</v>
      </c>
      <c r="E202" s="12">
        <v>4</v>
      </c>
      <c r="F202" s="14">
        <v>1.4016</v>
      </c>
      <c r="G202" s="14">
        <v>3.868425291059871E-2</v>
      </c>
      <c r="H202" s="14">
        <v>0</v>
      </c>
      <c r="I202" s="14">
        <v>0.31496672450858831</v>
      </c>
      <c r="J202" s="14">
        <v>1.3948572982867334E-2</v>
      </c>
      <c r="K202" s="14">
        <v>0</v>
      </c>
    </row>
    <row r="203" spans="1:11">
      <c r="A203" s="8">
        <v>15</v>
      </c>
      <c r="B203" s="22">
        <v>38469</v>
      </c>
      <c r="C203" s="12">
        <v>2005</v>
      </c>
      <c r="D203" s="11" t="s">
        <v>21</v>
      </c>
      <c r="E203" s="12">
        <v>4</v>
      </c>
      <c r="F203" s="14">
        <v>3.1296499999999998</v>
      </c>
      <c r="G203" s="14">
        <v>1.6841838225620163E-2</v>
      </c>
      <c r="H203" s="14">
        <v>8.146888766439575E-2</v>
      </c>
      <c r="I203" s="14">
        <v>1.5318957626163592</v>
      </c>
      <c r="J203" s="14">
        <v>2.8113394128505238E-2</v>
      </c>
      <c r="K203" s="14">
        <v>0</v>
      </c>
    </row>
    <row r="204" spans="1:11">
      <c r="A204" s="8">
        <v>6</v>
      </c>
      <c r="B204" s="22">
        <v>38490</v>
      </c>
      <c r="C204" s="12">
        <v>2005</v>
      </c>
      <c r="D204" s="11" t="s">
        <v>22</v>
      </c>
      <c r="E204" s="12">
        <v>5</v>
      </c>
      <c r="F204" s="14">
        <v>6.09511</v>
      </c>
      <c r="G204" s="14">
        <v>1.9733906529526602E-2</v>
      </c>
      <c r="H204" s="14">
        <v>0.91180602260068544</v>
      </c>
      <c r="I204" s="14">
        <v>2.882361694145966</v>
      </c>
      <c r="J204" s="14">
        <v>8.532753418701261E-2</v>
      </c>
      <c r="K204" s="14">
        <v>0</v>
      </c>
    </row>
    <row r="205" spans="1:11">
      <c r="A205" s="8">
        <v>8</v>
      </c>
      <c r="B205" s="22">
        <v>38488</v>
      </c>
      <c r="C205" s="12">
        <v>2005</v>
      </c>
      <c r="D205" s="11" t="s">
        <v>22</v>
      </c>
      <c r="E205" s="12">
        <v>5</v>
      </c>
      <c r="F205" s="14">
        <v>1.2165699999999999</v>
      </c>
      <c r="G205" s="14">
        <v>4.6432587920318652E-2</v>
      </c>
      <c r="H205" s="14">
        <v>0</v>
      </c>
      <c r="I205" s="14">
        <v>0.19561877027022687</v>
      </c>
      <c r="J205" s="14">
        <v>1.6143768416427548E-2</v>
      </c>
      <c r="K205" s="14">
        <v>0</v>
      </c>
    </row>
    <row r="206" spans="1:11">
      <c r="A206" s="8">
        <v>15</v>
      </c>
      <c r="B206" s="22">
        <v>38488</v>
      </c>
      <c r="C206" s="12">
        <v>2005</v>
      </c>
      <c r="D206" s="11" t="s">
        <v>22</v>
      </c>
      <c r="E206" s="12">
        <v>5</v>
      </c>
      <c r="F206" s="14">
        <v>1.8910100000000001</v>
      </c>
      <c r="G206" s="14">
        <v>6.0543147408615688E-2</v>
      </c>
      <c r="H206" s="14">
        <v>0</v>
      </c>
      <c r="I206" s="14">
        <v>0.46106872860805154</v>
      </c>
      <c r="J206" s="14">
        <v>3.602627323653685E-2</v>
      </c>
      <c r="K206" s="14">
        <v>0</v>
      </c>
    </row>
    <row r="207" spans="1:11">
      <c r="A207" s="8">
        <v>6</v>
      </c>
      <c r="B207" s="22">
        <v>38518</v>
      </c>
      <c r="C207" s="12">
        <v>2005</v>
      </c>
      <c r="D207" s="11" t="s">
        <v>23</v>
      </c>
      <c r="E207" s="12">
        <v>6</v>
      </c>
      <c r="F207" s="14">
        <v>8.4142499999999991</v>
      </c>
      <c r="G207" s="14">
        <v>8.8643401633748092E-2</v>
      </c>
      <c r="H207" s="14">
        <v>0.33629356342151895</v>
      </c>
      <c r="I207" s="14">
        <v>1.4741227795496608</v>
      </c>
      <c r="J207" s="14">
        <v>0.14539404281754165</v>
      </c>
      <c r="K207" s="14">
        <v>2.8865638469578601E-2</v>
      </c>
    </row>
    <row r="208" spans="1:11">
      <c r="A208" s="8">
        <v>8</v>
      </c>
      <c r="B208" s="22">
        <v>38525</v>
      </c>
      <c r="C208" s="12">
        <v>2005</v>
      </c>
      <c r="D208" s="11" t="s">
        <v>23</v>
      </c>
      <c r="E208" s="12">
        <v>6</v>
      </c>
      <c r="F208" s="14">
        <v>3.2334000000000001</v>
      </c>
      <c r="G208" s="14">
        <v>3.0799479953354122E-2</v>
      </c>
      <c r="H208" s="14">
        <v>0</v>
      </c>
      <c r="I208" s="14">
        <v>0.81349506007282557</v>
      </c>
      <c r="J208" s="14">
        <v>6.5102534145358687E-2</v>
      </c>
      <c r="K208" s="14">
        <v>0</v>
      </c>
    </row>
    <row r="209" spans="1:11">
      <c r="A209" s="8">
        <v>15</v>
      </c>
      <c r="B209" s="22">
        <v>38525</v>
      </c>
      <c r="C209" s="12">
        <v>2005</v>
      </c>
      <c r="D209" s="11" t="s">
        <v>23</v>
      </c>
      <c r="E209" s="12">
        <v>6</v>
      </c>
      <c r="F209" s="14">
        <v>5.8687399999999998</v>
      </c>
      <c r="G209" s="14">
        <v>5.1106383660899951E-2</v>
      </c>
      <c r="H209" s="14">
        <v>6.0271630523868275E-2</v>
      </c>
      <c r="I209" s="14">
        <v>1.2781770722864736</v>
      </c>
      <c r="J209" s="14">
        <v>0.5701205122957097</v>
      </c>
      <c r="K209" s="14">
        <v>0</v>
      </c>
    </row>
    <row r="210" spans="1:11">
      <c r="A210" s="8">
        <v>6</v>
      </c>
      <c r="B210" s="22">
        <v>38547</v>
      </c>
      <c r="C210" s="12">
        <v>2005</v>
      </c>
      <c r="D210" s="15" t="s">
        <v>24</v>
      </c>
      <c r="E210" s="12">
        <v>7</v>
      </c>
      <c r="F210" s="14">
        <v>9.1883400000000002</v>
      </c>
      <c r="G210" s="14">
        <v>0</v>
      </c>
      <c r="H210" s="14">
        <v>2.0745594874828119E-2</v>
      </c>
      <c r="I210" s="14">
        <v>1.5103255876139645</v>
      </c>
      <c r="J210" s="14">
        <v>1.1952094956802013</v>
      </c>
      <c r="K210" s="14">
        <v>0</v>
      </c>
    </row>
    <row r="211" spans="1:11">
      <c r="A211" s="8">
        <v>8</v>
      </c>
      <c r="B211" s="22">
        <v>38546</v>
      </c>
      <c r="C211" s="12">
        <v>2005</v>
      </c>
      <c r="D211" s="15" t="s">
        <v>24</v>
      </c>
      <c r="E211" s="12">
        <v>7</v>
      </c>
      <c r="F211" s="14">
        <v>6.8234500000000002</v>
      </c>
      <c r="G211" s="14">
        <v>0.22398926748276479</v>
      </c>
      <c r="H211" s="14">
        <v>0</v>
      </c>
      <c r="I211" s="14">
        <v>1.3478209380882993</v>
      </c>
      <c r="J211" s="14">
        <v>8.3841461891660918E-2</v>
      </c>
      <c r="K211" s="14">
        <v>0</v>
      </c>
    </row>
    <row r="212" spans="1:11">
      <c r="A212" s="8">
        <v>15</v>
      </c>
      <c r="B212" s="22">
        <v>38546</v>
      </c>
      <c r="C212" s="12">
        <v>2005</v>
      </c>
      <c r="D212" s="15" t="s">
        <v>24</v>
      </c>
      <c r="E212" s="12">
        <v>7</v>
      </c>
      <c r="F212" s="14">
        <v>6.5940000000000003</v>
      </c>
      <c r="G212" s="14">
        <v>8.1678241124154005E-2</v>
      </c>
      <c r="H212" s="14">
        <v>0</v>
      </c>
      <c r="I212" s="14">
        <v>0.86828323754374181</v>
      </c>
      <c r="J212" s="14">
        <v>1.6562899544123075</v>
      </c>
      <c r="K212" s="14">
        <v>0</v>
      </c>
    </row>
    <row r="213" spans="1:11">
      <c r="A213" s="8">
        <v>6</v>
      </c>
      <c r="B213" s="22">
        <v>38587</v>
      </c>
      <c r="C213" s="12">
        <v>2005</v>
      </c>
      <c r="D213" s="15" t="s">
        <v>25</v>
      </c>
      <c r="E213" s="12">
        <v>8</v>
      </c>
      <c r="F213" s="14">
        <v>10.99231</v>
      </c>
      <c r="G213" s="14">
        <v>0.60173292313488025</v>
      </c>
      <c r="H213" s="14">
        <v>0</v>
      </c>
      <c r="I213" s="14">
        <v>1.8401485337826042</v>
      </c>
      <c r="J213" s="14">
        <v>1.4566681935065244</v>
      </c>
      <c r="K213" s="14">
        <v>0</v>
      </c>
    </row>
    <row r="214" spans="1:11">
      <c r="A214" s="8">
        <v>8</v>
      </c>
      <c r="B214" s="22">
        <v>38587</v>
      </c>
      <c r="C214" s="12">
        <v>2005</v>
      </c>
      <c r="D214" s="15" t="s">
        <v>25</v>
      </c>
      <c r="E214" s="12">
        <v>8</v>
      </c>
      <c r="F214" s="14">
        <v>14.17001</v>
      </c>
      <c r="G214" s="14">
        <v>8.0201922087827671E-2</v>
      </c>
      <c r="H214" s="14">
        <v>0</v>
      </c>
      <c r="I214" s="14">
        <v>3.9987197838434696</v>
      </c>
      <c r="J214" s="14">
        <v>0.50005374550592474</v>
      </c>
      <c r="K214" s="14">
        <v>0</v>
      </c>
    </row>
    <row r="215" spans="1:11">
      <c r="A215" s="8">
        <v>15</v>
      </c>
      <c r="B215" s="22">
        <v>38587</v>
      </c>
      <c r="C215" s="12">
        <v>2005</v>
      </c>
      <c r="D215" s="15" t="s">
        <v>25</v>
      </c>
      <c r="E215" s="12">
        <v>8</v>
      </c>
      <c r="F215" s="14">
        <v>6.8003099999999996</v>
      </c>
      <c r="G215" s="14">
        <v>0.1147946506801357</v>
      </c>
      <c r="H215" s="14">
        <v>0</v>
      </c>
      <c r="I215" s="14">
        <v>1.7388751621715719</v>
      </c>
      <c r="J215" s="14">
        <v>0.50856905371325678</v>
      </c>
      <c r="K215" s="14">
        <v>0</v>
      </c>
    </row>
    <row r="216" spans="1:11">
      <c r="A216" s="8">
        <v>6</v>
      </c>
      <c r="B216" s="22">
        <v>38608</v>
      </c>
      <c r="C216" s="12">
        <v>2005</v>
      </c>
      <c r="D216" s="15" t="s">
        <v>26</v>
      </c>
      <c r="E216" s="12">
        <v>9</v>
      </c>
      <c r="F216" s="14">
        <v>6.3655600000000003</v>
      </c>
      <c r="G216" s="14">
        <v>4.2090178730071877E-2</v>
      </c>
      <c r="H216" s="14">
        <v>0</v>
      </c>
      <c r="I216" s="14">
        <v>1.6728158400312214</v>
      </c>
      <c r="J216" s="14">
        <v>0.62658324406109644</v>
      </c>
      <c r="K216" s="14">
        <v>0</v>
      </c>
    </row>
    <row r="217" spans="1:11">
      <c r="A217" s="8">
        <v>8</v>
      </c>
      <c r="B217" s="22">
        <v>38609</v>
      </c>
      <c r="C217" s="12">
        <v>2005</v>
      </c>
      <c r="D217" s="15" t="s">
        <v>26</v>
      </c>
      <c r="E217" s="12">
        <v>9</v>
      </c>
      <c r="F217" s="14">
        <v>21.48677</v>
      </c>
      <c r="G217" s="14">
        <v>9.8819929831887074E-2</v>
      </c>
      <c r="H217" s="14">
        <v>0</v>
      </c>
      <c r="I217" s="14">
        <v>6.490350490553765</v>
      </c>
      <c r="J217" s="14">
        <v>0.30245862444202321</v>
      </c>
      <c r="K217" s="14">
        <v>0</v>
      </c>
    </row>
    <row r="218" spans="1:11">
      <c r="A218" s="8">
        <v>15</v>
      </c>
      <c r="B218" s="22">
        <v>38609</v>
      </c>
      <c r="C218" s="12">
        <v>2005</v>
      </c>
      <c r="D218" s="15" t="s">
        <v>26</v>
      </c>
      <c r="E218" s="12">
        <v>9</v>
      </c>
      <c r="F218" s="14">
        <v>7.8046199999999999</v>
      </c>
      <c r="G218" s="14">
        <v>5.8628224743520488E-2</v>
      </c>
      <c r="H218" s="14">
        <v>0</v>
      </c>
      <c r="I218" s="14">
        <v>1.7586461901358286</v>
      </c>
      <c r="J218" s="14">
        <v>0.84152385633623017</v>
      </c>
      <c r="K218" s="14">
        <v>0</v>
      </c>
    </row>
    <row r="219" spans="1:11">
      <c r="A219" s="8">
        <v>6</v>
      </c>
      <c r="B219" s="22">
        <v>38636</v>
      </c>
      <c r="C219" s="12">
        <v>2005</v>
      </c>
      <c r="D219" s="15" t="s">
        <v>14</v>
      </c>
      <c r="E219" s="12">
        <v>10</v>
      </c>
      <c r="F219" s="14">
        <v>7.0763999999999996</v>
      </c>
      <c r="G219" s="14">
        <v>1E-4</v>
      </c>
      <c r="H219" s="14">
        <v>1E-4</v>
      </c>
      <c r="I219" s="14">
        <v>3.0167000000000002</v>
      </c>
      <c r="J219" s="14">
        <v>8.8300000000000003E-2</v>
      </c>
      <c r="K219" s="14">
        <v>1E-4</v>
      </c>
    </row>
    <row r="220" spans="1:11">
      <c r="A220" s="8">
        <v>8</v>
      </c>
      <c r="B220" s="22">
        <v>38642</v>
      </c>
      <c r="C220" s="12">
        <v>2005</v>
      </c>
      <c r="D220" s="15" t="s">
        <v>14</v>
      </c>
      <c r="E220" s="12">
        <v>10</v>
      </c>
      <c r="F220" s="14">
        <v>6.02</v>
      </c>
      <c r="G220" s="14">
        <v>1E-4</v>
      </c>
      <c r="H220" s="14">
        <v>1E-4</v>
      </c>
      <c r="I220" s="14">
        <v>1.9277</v>
      </c>
      <c r="J220" s="14">
        <v>9.5399999999999999E-2</v>
      </c>
      <c r="K220" s="14">
        <v>1E-4</v>
      </c>
    </row>
    <row r="221" spans="1:11">
      <c r="A221" s="8">
        <v>15</v>
      </c>
      <c r="B221" s="22">
        <v>38637</v>
      </c>
      <c r="C221" s="12">
        <v>2005</v>
      </c>
      <c r="D221" s="15" t="s">
        <v>14</v>
      </c>
      <c r="E221" s="12">
        <v>10</v>
      </c>
      <c r="F221" s="14">
        <v>8.5502000000000002</v>
      </c>
      <c r="G221" s="14">
        <v>1E-4</v>
      </c>
      <c r="H221" s="14">
        <v>1E-4</v>
      </c>
      <c r="I221" s="14">
        <v>3.1316000000000002</v>
      </c>
      <c r="J221" s="14">
        <v>0.223</v>
      </c>
      <c r="K221" s="14">
        <v>1E-4</v>
      </c>
    </row>
    <row r="222" spans="1:11">
      <c r="A222" s="8">
        <v>6</v>
      </c>
      <c r="B222" s="22">
        <v>38671</v>
      </c>
      <c r="C222" s="12">
        <v>2005</v>
      </c>
      <c r="D222" s="15" t="s">
        <v>16</v>
      </c>
      <c r="E222" s="12">
        <v>11</v>
      </c>
      <c r="F222" s="14">
        <v>4.6013000000000002</v>
      </c>
      <c r="G222" s="14">
        <v>1E-4</v>
      </c>
      <c r="H222" s="14">
        <v>4.2099999999999999E-2</v>
      </c>
      <c r="I222" s="14">
        <v>1.3718999999999999</v>
      </c>
      <c r="J222" s="14">
        <v>1.7399999999999999E-2</v>
      </c>
      <c r="K222" s="14">
        <v>1E-4</v>
      </c>
    </row>
    <row r="223" spans="1:11">
      <c r="A223" s="8">
        <v>8</v>
      </c>
      <c r="B223" s="22">
        <v>38670</v>
      </c>
      <c r="C223" s="12">
        <v>2005</v>
      </c>
      <c r="D223" s="15" t="s">
        <v>16</v>
      </c>
      <c r="E223" s="12">
        <v>11</v>
      </c>
      <c r="F223" s="14">
        <v>1.0083</v>
      </c>
      <c r="G223" s="14">
        <v>1E-4</v>
      </c>
      <c r="H223" s="14">
        <v>1E-4</v>
      </c>
      <c r="I223" s="14">
        <v>0.2135</v>
      </c>
      <c r="J223" s="14">
        <v>4.5999999999999999E-3</v>
      </c>
      <c r="K223" s="14">
        <v>1E-4</v>
      </c>
    </row>
    <row r="224" spans="1:11">
      <c r="A224" s="8">
        <v>15</v>
      </c>
      <c r="B224" s="22">
        <v>38670</v>
      </c>
      <c r="C224" s="12">
        <v>2005</v>
      </c>
      <c r="D224" s="15" t="s">
        <v>16</v>
      </c>
      <c r="E224" s="12">
        <v>11</v>
      </c>
      <c r="F224" s="14">
        <v>2.6530999999999998</v>
      </c>
      <c r="G224" s="14">
        <v>1E-4</v>
      </c>
      <c r="H224" s="14">
        <v>1.5699999999999999E-2</v>
      </c>
      <c r="I224" s="14">
        <v>0.73670000000000002</v>
      </c>
      <c r="J224" s="14">
        <v>8.3999999999999995E-3</v>
      </c>
      <c r="K224" s="14">
        <v>1E-4</v>
      </c>
    </row>
    <row r="225" spans="1:11">
      <c r="A225" s="8">
        <v>6</v>
      </c>
      <c r="B225" s="22">
        <v>38707</v>
      </c>
      <c r="C225" s="12">
        <v>2005</v>
      </c>
      <c r="D225" s="15" t="s">
        <v>17</v>
      </c>
      <c r="E225" s="12">
        <v>12</v>
      </c>
      <c r="F225" s="14">
        <v>6.2308000000000003</v>
      </c>
      <c r="G225" s="14">
        <v>3.5999999999999997E-2</v>
      </c>
      <c r="H225" s="14">
        <v>1E-4</v>
      </c>
      <c r="I225" s="14">
        <v>1.5968</v>
      </c>
      <c r="J225" s="14">
        <v>3.5799999999999998E-2</v>
      </c>
      <c r="K225" s="14">
        <v>1E-4</v>
      </c>
    </row>
    <row r="226" spans="1:11">
      <c r="A226" s="8">
        <v>8</v>
      </c>
      <c r="B226" s="22">
        <v>38706</v>
      </c>
      <c r="C226" s="12">
        <v>2005</v>
      </c>
      <c r="D226" s="15" t="s">
        <v>17</v>
      </c>
      <c r="E226" s="12">
        <v>12</v>
      </c>
      <c r="F226" s="14">
        <v>2.7450999999999999</v>
      </c>
      <c r="G226" s="14">
        <v>2.4E-2</v>
      </c>
      <c r="H226" s="14">
        <v>1E-4</v>
      </c>
      <c r="I226" s="14">
        <v>0.68820000000000003</v>
      </c>
      <c r="J226" s="14">
        <v>8.0000000000000002E-3</v>
      </c>
      <c r="K226" s="14">
        <v>1E-4</v>
      </c>
    </row>
    <row r="227" spans="1:11">
      <c r="A227" s="8">
        <v>15</v>
      </c>
      <c r="B227" s="22">
        <v>38706</v>
      </c>
      <c r="C227" s="12">
        <v>2005</v>
      </c>
      <c r="D227" s="15" t="s">
        <v>17</v>
      </c>
      <c r="E227" s="12">
        <v>12</v>
      </c>
      <c r="F227" s="14">
        <v>7.9623999999999997</v>
      </c>
      <c r="G227" s="14">
        <v>2.8799999999999999E-2</v>
      </c>
      <c r="H227" s="14">
        <v>1E-4</v>
      </c>
      <c r="I227" s="14">
        <v>2.1614</v>
      </c>
      <c r="J227" s="14">
        <v>3.7900000000000003E-2</v>
      </c>
      <c r="K227" s="14">
        <v>1E-4</v>
      </c>
    </row>
    <row r="228" spans="1:11">
      <c r="A228" s="12">
        <v>6</v>
      </c>
      <c r="B228" s="22">
        <v>38734</v>
      </c>
      <c r="C228" s="12">
        <v>2006</v>
      </c>
      <c r="D228" s="11" t="s">
        <v>18</v>
      </c>
      <c r="E228" s="12">
        <v>1</v>
      </c>
      <c r="F228" s="14">
        <v>4.1159999999999997</v>
      </c>
      <c r="G228" s="14">
        <v>0.12620000000000001</v>
      </c>
      <c r="H228" s="14">
        <v>1E-4</v>
      </c>
      <c r="I228" s="14">
        <v>1.2539</v>
      </c>
      <c r="J228" s="14">
        <v>3.9699999999999999E-2</v>
      </c>
      <c r="K228" s="14">
        <v>1E-4</v>
      </c>
    </row>
    <row r="229" spans="1:11">
      <c r="A229" s="12">
        <v>8</v>
      </c>
      <c r="B229" s="22">
        <v>38740</v>
      </c>
      <c r="C229" s="12">
        <v>2006</v>
      </c>
      <c r="D229" s="11" t="s">
        <v>18</v>
      </c>
      <c r="E229" s="12">
        <v>1</v>
      </c>
      <c r="F229" s="14">
        <v>3.9529999999999998</v>
      </c>
      <c r="G229" s="14">
        <v>0.14749999999999999</v>
      </c>
      <c r="H229" s="14">
        <v>1E-4</v>
      </c>
      <c r="I229" s="14">
        <v>0.97970000000000002</v>
      </c>
      <c r="J229" s="14">
        <v>2.6200000000000001E-2</v>
      </c>
      <c r="K229" s="14">
        <v>1E-4</v>
      </c>
    </row>
    <row r="230" spans="1:11">
      <c r="A230" s="12">
        <v>15</v>
      </c>
      <c r="B230" s="22">
        <v>38737</v>
      </c>
      <c r="C230" s="12">
        <v>2006</v>
      </c>
      <c r="D230" s="11" t="s">
        <v>18</v>
      </c>
      <c r="E230" s="12">
        <v>1</v>
      </c>
      <c r="F230" s="14">
        <v>3.8660999999999999</v>
      </c>
      <c r="G230" s="14">
        <v>0.12429999999999999</v>
      </c>
      <c r="H230" s="14">
        <v>1E-4</v>
      </c>
      <c r="I230" s="14">
        <v>0.9083</v>
      </c>
      <c r="J230" s="14">
        <v>3.2399999999999998E-2</v>
      </c>
      <c r="K230" s="14">
        <v>1E-4</v>
      </c>
    </row>
    <row r="231" spans="1:11">
      <c r="A231" s="12">
        <v>6</v>
      </c>
      <c r="B231" s="22">
        <v>38762</v>
      </c>
      <c r="C231" s="15">
        <v>2006</v>
      </c>
      <c r="D231" s="11" t="s">
        <v>28</v>
      </c>
      <c r="E231" s="15">
        <v>2</v>
      </c>
      <c r="F231" s="14">
        <v>7.2595999999999998</v>
      </c>
      <c r="G231" s="14">
        <v>3.0599999999999999E-2</v>
      </c>
      <c r="H231" s="14">
        <v>6.2700000000000006E-2</v>
      </c>
      <c r="I231" s="14">
        <v>2.2505000000000002</v>
      </c>
      <c r="J231" s="14">
        <v>5.5599999999999997E-2</v>
      </c>
      <c r="K231" s="14">
        <v>1E-4</v>
      </c>
    </row>
    <row r="232" spans="1:11">
      <c r="A232" s="12">
        <v>8</v>
      </c>
      <c r="B232" s="22">
        <v>38763</v>
      </c>
      <c r="C232" s="15">
        <v>2006</v>
      </c>
      <c r="D232" s="11" t="s">
        <v>28</v>
      </c>
      <c r="E232" s="15">
        <v>2</v>
      </c>
      <c r="F232" s="14">
        <v>2.5998999999999999</v>
      </c>
      <c r="G232" s="14">
        <v>5.5100000000000003E-2</v>
      </c>
      <c r="H232" s="14">
        <v>1E-4</v>
      </c>
      <c r="I232" s="14">
        <v>0.77929999999999999</v>
      </c>
      <c r="J232" s="14">
        <v>2.7900000000000001E-2</v>
      </c>
      <c r="K232" s="14">
        <v>1E-4</v>
      </c>
    </row>
    <row r="233" spans="1:11">
      <c r="A233" s="12">
        <v>15</v>
      </c>
      <c r="B233" s="22">
        <v>38763</v>
      </c>
      <c r="C233" s="15">
        <v>2006</v>
      </c>
      <c r="D233" s="11" t="s">
        <v>28</v>
      </c>
      <c r="E233" s="15">
        <v>2</v>
      </c>
      <c r="F233" s="14">
        <v>4.6071</v>
      </c>
      <c r="G233" s="14">
        <v>3.2000000000000001E-2</v>
      </c>
      <c r="H233" s="14">
        <v>1E-4</v>
      </c>
      <c r="I233" s="14">
        <v>1.4321999999999999</v>
      </c>
      <c r="J233" s="14">
        <v>4.4900000000000002E-2</v>
      </c>
      <c r="K233" s="14">
        <v>1E-4</v>
      </c>
    </row>
    <row r="234" spans="1:11">
      <c r="A234" s="12">
        <v>6</v>
      </c>
      <c r="B234" s="22">
        <v>38789</v>
      </c>
      <c r="C234" s="12">
        <v>2006</v>
      </c>
      <c r="D234" s="11" t="s">
        <v>29</v>
      </c>
      <c r="E234" s="15">
        <v>3</v>
      </c>
      <c r="F234" s="14">
        <v>4.0525000000000002</v>
      </c>
      <c r="G234" s="14">
        <v>1E-4</v>
      </c>
      <c r="H234" s="14">
        <v>8.5800000000000001E-2</v>
      </c>
      <c r="I234" s="14">
        <v>1.4258</v>
      </c>
      <c r="J234" s="14">
        <v>2.1700000000000001E-2</v>
      </c>
      <c r="K234" s="14">
        <v>1E-4</v>
      </c>
    </row>
    <row r="235" spans="1:11">
      <c r="A235" s="12">
        <v>8</v>
      </c>
      <c r="B235" s="22">
        <v>38792</v>
      </c>
      <c r="C235" s="12">
        <v>2006</v>
      </c>
      <c r="D235" s="11" t="s">
        <v>29</v>
      </c>
      <c r="E235" s="15">
        <v>3</v>
      </c>
      <c r="F235" s="14">
        <v>3.1962999999999999</v>
      </c>
      <c r="G235" s="14">
        <v>2.69E-2</v>
      </c>
      <c r="H235" s="14">
        <v>1E-4</v>
      </c>
      <c r="I235" s="14">
        <v>1.1153</v>
      </c>
      <c r="J235" s="14">
        <v>1.8200000000000001E-2</v>
      </c>
      <c r="K235" s="14">
        <v>1E-4</v>
      </c>
    </row>
    <row r="236" spans="1:11">
      <c r="A236" s="12">
        <v>15</v>
      </c>
      <c r="B236" s="22">
        <v>38792</v>
      </c>
      <c r="C236" s="12">
        <v>2006</v>
      </c>
      <c r="D236" s="11" t="s">
        <v>29</v>
      </c>
      <c r="E236" s="15">
        <v>3</v>
      </c>
      <c r="F236" s="14">
        <v>4.2167000000000003</v>
      </c>
      <c r="G236" s="14">
        <v>1E-4</v>
      </c>
      <c r="H236" s="14">
        <v>5.5399999999999998E-2</v>
      </c>
      <c r="I236" s="14">
        <v>1.4429000000000001</v>
      </c>
      <c r="J236" s="14">
        <v>2.1299999999999999E-2</v>
      </c>
      <c r="K236" s="14">
        <v>1E-4</v>
      </c>
    </row>
    <row r="237" spans="1:11">
      <c r="A237" s="12">
        <v>6</v>
      </c>
      <c r="B237" s="9">
        <v>38825</v>
      </c>
      <c r="C237" s="12">
        <v>2006</v>
      </c>
      <c r="D237" s="11" t="s">
        <v>30</v>
      </c>
      <c r="E237" s="12">
        <v>4</v>
      </c>
      <c r="F237" s="14">
        <v>4.0721999999999996</v>
      </c>
      <c r="G237" s="14">
        <v>8.6E-3</v>
      </c>
      <c r="H237" s="14">
        <v>0.38629999999999998</v>
      </c>
      <c r="I237" s="14">
        <v>1.9837</v>
      </c>
      <c r="J237" s="14">
        <v>9.5299999999999996E-2</v>
      </c>
      <c r="K237" s="14">
        <v>1E-4</v>
      </c>
    </row>
    <row r="238" spans="1:11">
      <c r="A238" s="12">
        <v>8</v>
      </c>
      <c r="B238" s="9">
        <v>38826</v>
      </c>
      <c r="C238" s="12">
        <v>2006</v>
      </c>
      <c r="D238" s="11" t="s">
        <v>30</v>
      </c>
      <c r="E238" s="12">
        <v>4</v>
      </c>
      <c r="F238" s="14">
        <v>0.61629999999999996</v>
      </c>
      <c r="G238" s="14">
        <v>1.1599999999999999E-2</v>
      </c>
      <c r="H238" s="14">
        <v>1E-4</v>
      </c>
      <c r="I238" s="14">
        <v>8.5000000000000006E-2</v>
      </c>
      <c r="J238" s="14">
        <v>8.0000000000000002E-3</v>
      </c>
      <c r="K238" s="14">
        <v>1E-4</v>
      </c>
    </row>
    <row r="239" spans="1:11">
      <c r="A239" s="12">
        <v>15</v>
      </c>
      <c r="B239" s="9">
        <v>38826</v>
      </c>
      <c r="C239" s="12">
        <v>2006</v>
      </c>
      <c r="D239" s="11" t="s">
        <v>30</v>
      </c>
      <c r="E239" s="12">
        <v>4</v>
      </c>
      <c r="F239" s="14">
        <v>3.2526000000000002</v>
      </c>
      <c r="G239" s="14">
        <v>3.3799999999999997E-2</v>
      </c>
      <c r="H239" s="14">
        <v>0.44719999999999999</v>
      </c>
      <c r="I239" s="14">
        <v>1.3798999999999999</v>
      </c>
      <c r="J239" s="14">
        <v>6.0600000000000001E-2</v>
      </c>
      <c r="K239" s="14">
        <v>1E-4</v>
      </c>
    </row>
    <row r="240" spans="1:11">
      <c r="A240" s="12">
        <v>6</v>
      </c>
      <c r="B240" s="9">
        <v>38852</v>
      </c>
      <c r="C240" s="12">
        <v>2006</v>
      </c>
      <c r="D240" s="11" t="s">
        <v>31</v>
      </c>
      <c r="E240" s="12">
        <v>5</v>
      </c>
      <c r="F240" s="14">
        <v>5.1787999999999998</v>
      </c>
      <c r="G240" s="14">
        <v>4.9299999999999997E-2</v>
      </c>
      <c r="H240" s="14">
        <v>0.58630000000000004</v>
      </c>
      <c r="I240" s="14">
        <v>2.1124999999999998</v>
      </c>
      <c r="J240" s="14">
        <v>0.1966</v>
      </c>
      <c r="K240" s="14">
        <v>1E-4</v>
      </c>
    </row>
    <row r="241" spans="1:11">
      <c r="A241" s="12">
        <v>8</v>
      </c>
      <c r="B241" s="9">
        <v>38853</v>
      </c>
      <c r="C241" s="12">
        <v>2006</v>
      </c>
      <c r="D241" s="11" t="s">
        <v>31</v>
      </c>
      <c r="E241" s="12">
        <v>5</v>
      </c>
      <c r="F241" s="14">
        <v>8.0970999999999993</v>
      </c>
      <c r="G241" s="14">
        <v>2.2499999999999999E-2</v>
      </c>
      <c r="H241" s="14">
        <v>1.0871</v>
      </c>
      <c r="I241" s="14">
        <v>3.5886999999999998</v>
      </c>
      <c r="J241" s="14">
        <v>0.2019</v>
      </c>
      <c r="K241" s="14">
        <v>1E-4</v>
      </c>
    </row>
    <row r="242" spans="1:11">
      <c r="A242" s="12">
        <v>15</v>
      </c>
      <c r="B242" s="9">
        <v>38853</v>
      </c>
      <c r="C242" s="12">
        <v>2006</v>
      </c>
      <c r="D242" s="11" t="s">
        <v>31</v>
      </c>
      <c r="E242" s="12">
        <v>5</v>
      </c>
      <c r="F242" s="14">
        <v>5.1483999999999996</v>
      </c>
      <c r="G242" s="14">
        <v>2.5999999999999999E-2</v>
      </c>
      <c r="H242" s="14">
        <v>0.81230000000000002</v>
      </c>
      <c r="I242" s="14">
        <v>2.0773999999999999</v>
      </c>
      <c r="J242" s="14">
        <v>0.1968</v>
      </c>
      <c r="K242" s="14">
        <v>1E-4</v>
      </c>
    </row>
    <row r="243" spans="1:11">
      <c r="A243" s="12">
        <v>6</v>
      </c>
      <c r="B243" s="9">
        <v>38883</v>
      </c>
      <c r="C243" s="12">
        <v>2006</v>
      </c>
      <c r="D243" s="11" t="s">
        <v>32</v>
      </c>
      <c r="E243" s="12">
        <v>6</v>
      </c>
      <c r="F243" s="14">
        <v>18.313400000000001</v>
      </c>
      <c r="G243" s="14">
        <v>0.14269999999999999</v>
      </c>
      <c r="H243" s="14">
        <v>1.3349</v>
      </c>
      <c r="I243" s="14">
        <v>7.1950000000000003</v>
      </c>
      <c r="J243" s="14">
        <v>0.47249999999999998</v>
      </c>
      <c r="K243" s="14">
        <v>1E-4</v>
      </c>
    </row>
    <row r="244" spans="1:11">
      <c r="A244" s="12">
        <v>8</v>
      </c>
      <c r="B244" s="9">
        <v>38884</v>
      </c>
      <c r="C244" s="12">
        <v>2006</v>
      </c>
      <c r="D244" s="11" t="s">
        <v>32</v>
      </c>
      <c r="E244" s="12">
        <v>6</v>
      </c>
      <c r="F244" s="14">
        <v>6.8802000000000003</v>
      </c>
      <c r="G244" s="14">
        <v>2.8899999999999999E-2</v>
      </c>
      <c r="H244" s="14">
        <v>0.23680000000000001</v>
      </c>
      <c r="I244" s="14">
        <v>2.1678999999999999</v>
      </c>
      <c r="J244" s="14">
        <v>0.14610000000000001</v>
      </c>
      <c r="K244" s="14">
        <v>1E-4</v>
      </c>
    </row>
    <row r="245" spans="1:11">
      <c r="A245" s="12">
        <v>15</v>
      </c>
      <c r="B245" s="9">
        <v>38884</v>
      </c>
      <c r="C245" s="12">
        <v>2006</v>
      </c>
      <c r="D245" s="11" t="s">
        <v>32</v>
      </c>
      <c r="E245" s="12">
        <v>6</v>
      </c>
      <c r="F245" s="14">
        <v>13.961499999999999</v>
      </c>
      <c r="G245" s="14">
        <v>8.2199999999999995E-2</v>
      </c>
      <c r="H245" s="14">
        <v>1.3380000000000001</v>
      </c>
      <c r="I245" s="14">
        <v>5.5434000000000001</v>
      </c>
      <c r="J245" s="14">
        <v>0.46560000000000001</v>
      </c>
      <c r="K245" s="14">
        <v>1E-4</v>
      </c>
    </row>
    <row r="246" spans="1:11">
      <c r="A246" s="12">
        <v>6</v>
      </c>
      <c r="B246" s="9">
        <v>38916</v>
      </c>
      <c r="C246" s="12">
        <v>2006</v>
      </c>
      <c r="D246" s="11" t="s">
        <v>33</v>
      </c>
      <c r="E246" s="12">
        <v>7</v>
      </c>
      <c r="F246" s="14">
        <v>11.2727</v>
      </c>
      <c r="G246" s="14">
        <v>0.1656</v>
      </c>
      <c r="H246" s="14">
        <v>1E-4</v>
      </c>
      <c r="I246" s="14">
        <v>1.0936999999999999</v>
      </c>
      <c r="J246" s="14">
        <v>1.3785000000000001</v>
      </c>
      <c r="K246" s="14">
        <v>1E-4</v>
      </c>
    </row>
    <row r="247" spans="1:11">
      <c r="A247" s="12">
        <v>8</v>
      </c>
      <c r="B247" s="9">
        <v>38915</v>
      </c>
      <c r="C247" s="12">
        <v>2006</v>
      </c>
      <c r="D247" s="11" t="s">
        <v>33</v>
      </c>
      <c r="E247" s="12">
        <v>7</v>
      </c>
      <c r="F247" s="14">
        <v>8.0587999999999997</v>
      </c>
      <c r="G247" s="14">
        <v>0.12989999999999999</v>
      </c>
      <c r="H247" s="14">
        <v>1E-4</v>
      </c>
      <c r="I247" s="14">
        <v>1.0764</v>
      </c>
      <c r="J247" s="14">
        <v>0.16539999999999999</v>
      </c>
      <c r="K247" s="14">
        <v>1E-4</v>
      </c>
    </row>
    <row r="248" spans="1:11">
      <c r="A248" s="12">
        <v>15</v>
      </c>
      <c r="B248" s="9">
        <v>38915</v>
      </c>
      <c r="C248" s="12">
        <v>2006</v>
      </c>
      <c r="D248" s="11" t="s">
        <v>33</v>
      </c>
      <c r="E248" s="12">
        <v>7</v>
      </c>
      <c r="F248" s="14">
        <v>6.4635999999999996</v>
      </c>
      <c r="G248" s="14">
        <v>5.7099999999999998E-2</v>
      </c>
      <c r="H248" s="14">
        <v>1E-4</v>
      </c>
      <c r="I248" s="14">
        <v>0.68200000000000005</v>
      </c>
      <c r="J248" s="14">
        <v>0.71579999999999999</v>
      </c>
      <c r="K248" s="14">
        <v>1E-4</v>
      </c>
    </row>
    <row r="249" spans="1:11">
      <c r="A249" s="12">
        <v>6</v>
      </c>
      <c r="B249" s="9">
        <v>38953</v>
      </c>
      <c r="C249" s="12">
        <v>2006</v>
      </c>
      <c r="D249" s="11" t="s">
        <v>34</v>
      </c>
      <c r="E249" s="12">
        <v>8</v>
      </c>
      <c r="F249" s="14">
        <v>8.9014000000000006</v>
      </c>
      <c r="G249" s="14">
        <v>5.57E-2</v>
      </c>
      <c r="H249" s="14">
        <v>1E-4</v>
      </c>
      <c r="I249" s="14">
        <v>3.3713000000000002</v>
      </c>
      <c r="J249" s="14">
        <v>0.40050000000000002</v>
      </c>
      <c r="K249" s="14">
        <v>1E-4</v>
      </c>
    </row>
    <row r="250" spans="1:11">
      <c r="A250" s="12">
        <v>8</v>
      </c>
      <c r="B250" s="9">
        <v>38952</v>
      </c>
      <c r="C250" s="12">
        <v>2006</v>
      </c>
      <c r="D250" s="11" t="s">
        <v>34</v>
      </c>
      <c r="E250" s="12">
        <v>8</v>
      </c>
      <c r="F250" s="14">
        <v>6.9972000000000003</v>
      </c>
      <c r="G250" s="14">
        <v>2.8400000000000002E-2</v>
      </c>
      <c r="H250" s="14">
        <v>1E-4</v>
      </c>
      <c r="I250" s="14">
        <v>1.8351</v>
      </c>
      <c r="J250" s="14">
        <v>7.46E-2</v>
      </c>
      <c r="K250" s="14">
        <v>1E-4</v>
      </c>
    </row>
    <row r="251" spans="1:11">
      <c r="A251" s="12">
        <v>15</v>
      </c>
      <c r="B251" s="9">
        <v>38952</v>
      </c>
      <c r="C251" s="12">
        <v>2006</v>
      </c>
      <c r="D251" s="11" t="s">
        <v>34</v>
      </c>
      <c r="E251" s="12">
        <v>8</v>
      </c>
      <c r="F251" s="14">
        <v>7.4080000000000004</v>
      </c>
      <c r="G251" s="14">
        <v>4.3900000000000002E-2</v>
      </c>
      <c r="H251" s="14">
        <v>1E-4</v>
      </c>
      <c r="I251" s="14">
        <v>1.4823999999999999</v>
      </c>
      <c r="J251" s="14">
        <v>1.2624</v>
      </c>
      <c r="K251" s="14">
        <v>1E-4</v>
      </c>
    </row>
    <row r="252" spans="1:11">
      <c r="A252" s="12">
        <v>6</v>
      </c>
      <c r="B252" s="9">
        <v>38972</v>
      </c>
      <c r="C252" s="12">
        <v>2006</v>
      </c>
      <c r="D252" s="11" t="s">
        <v>35</v>
      </c>
      <c r="E252" s="12">
        <v>9</v>
      </c>
      <c r="F252" s="14">
        <v>12.767300000000001</v>
      </c>
      <c r="G252" s="14">
        <v>0.1047</v>
      </c>
      <c r="H252" s="14">
        <v>1E-4</v>
      </c>
      <c r="I252" s="14">
        <v>3.9758</v>
      </c>
      <c r="J252" s="14">
        <v>0.92810000000000004</v>
      </c>
      <c r="K252" s="14">
        <v>1E-4</v>
      </c>
    </row>
    <row r="253" spans="1:11">
      <c r="A253" s="12">
        <v>8</v>
      </c>
      <c r="B253" s="9">
        <v>38975</v>
      </c>
      <c r="C253" s="12">
        <v>2006</v>
      </c>
      <c r="D253" s="11" t="s">
        <v>35</v>
      </c>
      <c r="E253" s="12">
        <v>9</v>
      </c>
      <c r="F253" s="14">
        <v>8.2116000000000007</v>
      </c>
      <c r="G253" s="14">
        <v>0.1575</v>
      </c>
      <c r="H253" s="14">
        <v>1E-4</v>
      </c>
      <c r="I253" s="14">
        <v>2.4681000000000002</v>
      </c>
      <c r="J253" s="14">
        <v>0.1062</v>
      </c>
      <c r="K253" s="14">
        <v>1E-4</v>
      </c>
    </row>
    <row r="254" spans="1:11">
      <c r="A254" s="12">
        <v>15</v>
      </c>
      <c r="B254" s="9">
        <v>38975</v>
      </c>
      <c r="C254" s="12">
        <v>2006</v>
      </c>
      <c r="D254" s="11" t="s">
        <v>35</v>
      </c>
      <c r="E254" s="12">
        <v>9</v>
      </c>
      <c r="F254" s="14">
        <v>6.4158999999999997</v>
      </c>
      <c r="G254" s="14">
        <v>8.7800000000000003E-2</v>
      </c>
      <c r="H254" s="14">
        <v>1E-4</v>
      </c>
      <c r="I254" s="14">
        <v>2.1070000000000002</v>
      </c>
      <c r="J254" s="14">
        <v>0.1731</v>
      </c>
      <c r="K254" s="14">
        <v>1E-4</v>
      </c>
    </row>
    <row r="255" spans="1:11">
      <c r="A255" s="12">
        <v>6</v>
      </c>
      <c r="B255" s="9">
        <v>39008</v>
      </c>
      <c r="C255" s="12">
        <v>2006</v>
      </c>
      <c r="D255" s="11" t="s">
        <v>36</v>
      </c>
      <c r="E255" s="12">
        <v>10</v>
      </c>
      <c r="F255" s="14">
        <v>9.7240000000000002</v>
      </c>
      <c r="G255" s="14">
        <v>7.9000000000000001E-2</v>
      </c>
      <c r="H255" s="14">
        <v>0.502</v>
      </c>
      <c r="I255" s="14">
        <v>4.2249999999999996</v>
      </c>
      <c r="J255" s="14">
        <v>0.48399999999999999</v>
      </c>
      <c r="K255" s="14">
        <v>9.9989999999999996E-4</v>
      </c>
    </row>
    <row r="256" spans="1:11">
      <c r="A256" s="12">
        <v>8</v>
      </c>
      <c r="B256" s="9">
        <v>39006</v>
      </c>
      <c r="C256" s="12">
        <v>2006</v>
      </c>
      <c r="D256" s="11" t="s">
        <v>36</v>
      </c>
      <c r="E256" s="12">
        <v>10</v>
      </c>
      <c r="F256" s="14">
        <v>3.0350000000000001</v>
      </c>
      <c r="G256" s="14">
        <v>4.2000000000000003E-2</v>
      </c>
      <c r="H256" s="14">
        <v>1.9E-2</v>
      </c>
      <c r="I256" s="14">
        <v>0.59399999999999997</v>
      </c>
      <c r="J256" s="14">
        <v>0.29599999999999999</v>
      </c>
      <c r="K256" s="14">
        <v>9.9989999999999996E-4</v>
      </c>
    </row>
    <row r="257" spans="1:11">
      <c r="A257" s="12">
        <v>15</v>
      </c>
      <c r="B257" s="9">
        <v>39006</v>
      </c>
      <c r="C257" s="12">
        <v>2006</v>
      </c>
      <c r="D257" s="11" t="s">
        <v>36</v>
      </c>
      <c r="E257" s="12">
        <v>10</v>
      </c>
      <c r="F257" s="14">
        <v>8.3379999999999992</v>
      </c>
      <c r="G257" s="14">
        <v>0.03</v>
      </c>
      <c r="H257" s="14">
        <v>0.54600000000000004</v>
      </c>
      <c r="I257" s="14">
        <v>3.86</v>
      </c>
      <c r="J257" s="14">
        <v>0.47499999999999998</v>
      </c>
      <c r="K257" s="14">
        <v>9.9989999999999996E-4</v>
      </c>
    </row>
    <row r="258" spans="1:11">
      <c r="A258" s="12">
        <v>6</v>
      </c>
      <c r="B258" s="9">
        <v>39035</v>
      </c>
      <c r="C258" s="12">
        <v>2006</v>
      </c>
      <c r="D258" s="11" t="s">
        <v>37</v>
      </c>
      <c r="E258" s="12">
        <v>11</v>
      </c>
      <c r="F258" s="14">
        <v>11.513999999999999</v>
      </c>
      <c r="G258" s="14">
        <v>9.9989999999999996E-4</v>
      </c>
      <c r="H258" s="14">
        <v>0.42599999999999999</v>
      </c>
      <c r="I258" s="14">
        <v>6.0190000000000001</v>
      </c>
      <c r="J258" s="14">
        <v>0.13300000000000001</v>
      </c>
      <c r="K258" s="14">
        <v>9.9989999999999996E-4</v>
      </c>
    </row>
    <row r="259" spans="1:11">
      <c r="A259" s="12">
        <v>8</v>
      </c>
      <c r="B259" s="9">
        <v>39041</v>
      </c>
      <c r="C259" s="12">
        <v>2006</v>
      </c>
      <c r="D259" s="11" t="s">
        <v>37</v>
      </c>
      <c r="E259" s="12">
        <v>11</v>
      </c>
      <c r="F259" s="14">
        <v>1.508</v>
      </c>
      <c r="G259" s="14">
        <v>3.7999999999999999E-2</v>
      </c>
      <c r="H259" s="14">
        <v>9.9989999999999996E-4</v>
      </c>
      <c r="I259" s="14">
        <v>0.16500000000000001</v>
      </c>
      <c r="J259" s="14">
        <v>8.9999999999999993E-3</v>
      </c>
      <c r="K259" s="14">
        <v>9.9989999999999996E-4</v>
      </c>
    </row>
    <row r="260" spans="1:11">
      <c r="A260" s="12">
        <v>15</v>
      </c>
      <c r="B260" s="9">
        <v>39041</v>
      </c>
      <c r="C260" s="12">
        <v>2006</v>
      </c>
      <c r="D260" s="11" t="s">
        <v>37</v>
      </c>
      <c r="E260" s="12">
        <v>11</v>
      </c>
      <c r="F260" s="14">
        <v>5.242</v>
      </c>
      <c r="G260" s="14">
        <v>6.7000000000000004E-2</v>
      </c>
      <c r="H260" s="14">
        <v>9.9989999999999996E-4</v>
      </c>
      <c r="I260" s="14">
        <v>1.601</v>
      </c>
      <c r="J260" s="14">
        <v>9.9000000000000005E-2</v>
      </c>
      <c r="K260" s="14">
        <v>9.9989999999999996E-4</v>
      </c>
    </row>
    <row r="261" spans="1:11">
      <c r="A261" s="12">
        <v>6</v>
      </c>
      <c r="B261" s="22">
        <v>39063</v>
      </c>
      <c r="C261" s="15">
        <v>2006</v>
      </c>
      <c r="D261" s="11" t="s">
        <v>38</v>
      </c>
      <c r="E261" s="15">
        <v>12</v>
      </c>
      <c r="F261" s="14">
        <v>7.4880000000000004</v>
      </c>
      <c r="G261" s="14">
        <v>0.20100000000000001</v>
      </c>
      <c r="H261" s="14">
        <v>0.52100000000000002</v>
      </c>
      <c r="I261" s="14">
        <v>2.8029999999999999</v>
      </c>
      <c r="J261" s="14">
        <v>0.151</v>
      </c>
      <c r="K261" s="14">
        <v>9.9989999999999996E-4</v>
      </c>
    </row>
    <row r="262" spans="1:11">
      <c r="A262" s="12">
        <v>8</v>
      </c>
      <c r="B262" s="22">
        <v>39062</v>
      </c>
      <c r="C262" s="15">
        <v>2006</v>
      </c>
      <c r="D262" s="11" t="s">
        <v>38</v>
      </c>
      <c r="E262" s="15">
        <v>12</v>
      </c>
      <c r="F262" s="14">
        <v>3.0649999999999999</v>
      </c>
      <c r="G262" s="14">
        <v>0.27900000000000003</v>
      </c>
      <c r="H262" s="14">
        <v>4.8000000000000001E-2</v>
      </c>
      <c r="I262" s="14">
        <v>0.61299999999999999</v>
      </c>
      <c r="J262" s="14">
        <v>2.5000000000000001E-2</v>
      </c>
      <c r="K262" s="14">
        <v>9.9989999999999996E-4</v>
      </c>
    </row>
    <row r="263" spans="1:11">
      <c r="A263" s="12">
        <v>15</v>
      </c>
      <c r="B263" s="22">
        <v>39062</v>
      </c>
      <c r="C263" s="15">
        <v>2006</v>
      </c>
      <c r="D263" s="11" t="s">
        <v>38</v>
      </c>
      <c r="E263" s="15">
        <v>12</v>
      </c>
      <c r="F263" s="14">
        <v>6.2370000000000001</v>
      </c>
      <c r="G263" s="14">
        <v>0.35499999999999998</v>
      </c>
      <c r="H263" s="14">
        <v>0.27900000000000003</v>
      </c>
      <c r="I263" s="14">
        <v>2.0379999999999998</v>
      </c>
      <c r="J263" s="14">
        <v>0.1</v>
      </c>
      <c r="K263" s="14">
        <v>9.9989999999999996E-4</v>
      </c>
    </row>
    <row r="264" spans="1:11">
      <c r="A264" s="15">
        <v>6</v>
      </c>
      <c r="B264" s="22">
        <v>39100</v>
      </c>
      <c r="C264" s="15">
        <v>2007</v>
      </c>
      <c r="D264" s="11" t="s">
        <v>39</v>
      </c>
      <c r="E264" s="15">
        <v>1</v>
      </c>
      <c r="F264" s="14">
        <v>17.344999999999999</v>
      </c>
      <c r="G264" s="14">
        <v>0.13100000000000001</v>
      </c>
      <c r="H264" s="14">
        <v>0.437</v>
      </c>
      <c r="I264" s="14">
        <v>7.6349999999999998</v>
      </c>
      <c r="J264" s="14">
        <v>0.48599999999999999</v>
      </c>
      <c r="K264" s="14">
        <v>9.9989999999999996E-4</v>
      </c>
    </row>
    <row r="265" spans="1:11">
      <c r="A265" s="15">
        <v>8</v>
      </c>
      <c r="B265" s="22">
        <v>39100</v>
      </c>
      <c r="C265" s="15">
        <v>2007</v>
      </c>
      <c r="D265" s="11" t="s">
        <v>39</v>
      </c>
      <c r="E265" s="15">
        <v>1</v>
      </c>
      <c r="F265" s="14">
        <v>1.1359999999999999</v>
      </c>
      <c r="G265" s="14">
        <v>6.5000000000000002E-2</v>
      </c>
      <c r="H265" s="14">
        <v>9.9989999999999996E-4</v>
      </c>
      <c r="I265" s="14">
        <v>9.9989999999999996E-4</v>
      </c>
      <c r="J265" s="14">
        <v>8.9999999999999993E-3</v>
      </c>
      <c r="K265" s="14">
        <v>9.9989999999999996E-4</v>
      </c>
    </row>
    <row r="266" spans="1:11">
      <c r="A266" s="15">
        <v>15</v>
      </c>
      <c r="B266" s="22">
        <v>39100</v>
      </c>
      <c r="C266" s="15">
        <v>2007</v>
      </c>
      <c r="D266" s="11" t="s">
        <v>39</v>
      </c>
      <c r="E266" s="15">
        <v>1</v>
      </c>
      <c r="F266" s="14">
        <v>5.3250000000000002</v>
      </c>
      <c r="G266" s="14">
        <v>0.19400000000000001</v>
      </c>
      <c r="H266" s="14">
        <v>9.9989999999999996E-4</v>
      </c>
      <c r="I266" s="14">
        <v>1.5329999999999999</v>
      </c>
      <c r="J266" s="14">
        <v>4.4999999999999998E-2</v>
      </c>
      <c r="K266" s="14">
        <v>9.9989999999999996E-4</v>
      </c>
    </row>
    <row r="267" spans="1:11">
      <c r="A267" s="15">
        <v>6</v>
      </c>
      <c r="B267" s="22">
        <v>39134</v>
      </c>
      <c r="C267" s="15">
        <v>2007</v>
      </c>
      <c r="D267" s="11" t="s">
        <v>28</v>
      </c>
      <c r="E267" s="15">
        <v>2</v>
      </c>
      <c r="F267" s="14">
        <v>4.9550000000000001</v>
      </c>
      <c r="G267" s="14">
        <v>0.08</v>
      </c>
      <c r="H267" s="14">
        <v>9.9989999999999996E-4</v>
      </c>
      <c r="I267" s="14">
        <v>1.337</v>
      </c>
      <c r="J267" s="14">
        <v>4.7E-2</v>
      </c>
      <c r="K267" s="14">
        <v>9.9989999999999996E-4</v>
      </c>
    </row>
    <row r="268" spans="1:11">
      <c r="A268" s="15">
        <v>8</v>
      </c>
      <c r="B268" s="22">
        <v>39135</v>
      </c>
      <c r="C268" s="15">
        <v>2007</v>
      </c>
      <c r="D268" s="11" t="s">
        <v>28</v>
      </c>
      <c r="E268" s="15">
        <v>2</v>
      </c>
      <c r="F268" s="14">
        <v>3.0470000000000002</v>
      </c>
      <c r="G268" s="14">
        <v>3.2000000000000001E-2</v>
      </c>
      <c r="H268" s="14">
        <v>9.9989999999999996E-4</v>
      </c>
      <c r="I268" s="14">
        <v>0.91900000000000004</v>
      </c>
      <c r="J268" s="14">
        <v>1.4E-2</v>
      </c>
      <c r="K268" s="14">
        <v>9.9989999999999996E-4</v>
      </c>
    </row>
    <row r="269" spans="1:11">
      <c r="A269" s="15">
        <v>15</v>
      </c>
      <c r="B269" s="22">
        <v>39135</v>
      </c>
      <c r="C269" s="15">
        <v>2007</v>
      </c>
      <c r="D269" s="11" t="s">
        <v>28</v>
      </c>
      <c r="E269" s="15">
        <v>2</v>
      </c>
      <c r="F269" s="14">
        <v>3.0609999999999999</v>
      </c>
      <c r="G269" s="14">
        <v>4.7E-2</v>
      </c>
      <c r="H269" s="14">
        <v>3.2000000000000001E-2</v>
      </c>
      <c r="I269" s="14">
        <v>0.80300000000000005</v>
      </c>
      <c r="J269" s="14">
        <v>2.9000000000000001E-2</v>
      </c>
      <c r="K269" s="14">
        <v>9.9989999999999996E-4</v>
      </c>
    </row>
    <row r="270" spans="1:11">
      <c r="A270" s="15">
        <v>6</v>
      </c>
      <c r="B270" s="22">
        <v>39154</v>
      </c>
      <c r="C270" s="15">
        <v>2007</v>
      </c>
      <c r="D270" s="11" t="s">
        <v>29</v>
      </c>
      <c r="E270" s="15">
        <v>3</v>
      </c>
      <c r="F270" s="14">
        <v>2.3919999999999999</v>
      </c>
      <c r="G270" s="14">
        <v>4.1000000000000002E-2</v>
      </c>
      <c r="H270" s="14">
        <v>3.7999999999999999E-2</v>
      </c>
      <c r="I270" s="14">
        <v>0.79600000000000004</v>
      </c>
      <c r="J270" s="14">
        <v>1.7999999999999999E-2</v>
      </c>
      <c r="K270" s="14">
        <v>9.9989999999999996E-4</v>
      </c>
    </row>
    <row r="271" spans="1:11">
      <c r="A271" s="15">
        <v>8</v>
      </c>
      <c r="B271" s="22">
        <v>39153</v>
      </c>
      <c r="C271" s="15">
        <v>2007</v>
      </c>
      <c r="D271" s="11" t="s">
        <v>29</v>
      </c>
      <c r="E271" s="15">
        <v>3</v>
      </c>
      <c r="F271" s="14">
        <v>1.5880000000000001</v>
      </c>
      <c r="G271" s="14">
        <v>0.02</v>
      </c>
      <c r="H271" s="14">
        <v>0.02</v>
      </c>
      <c r="I271" s="14">
        <v>0.502</v>
      </c>
      <c r="J271" s="14">
        <v>0.03</v>
      </c>
      <c r="K271" s="14">
        <v>9.9989999999999996E-4</v>
      </c>
    </row>
    <row r="272" spans="1:11">
      <c r="A272" s="15">
        <v>15</v>
      </c>
      <c r="B272" s="22">
        <v>39153</v>
      </c>
      <c r="C272" s="15">
        <v>2007</v>
      </c>
      <c r="D272" s="11" t="s">
        <v>29</v>
      </c>
      <c r="E272" s="15">
        <v>3</v>
      </c>
      <c r="F272" s="14">
        <v>1.9370000000000001</v>
      </c>
      <c r="G272" s="14">
        <v>5.8000000000000003E-2</v>
      </c>
      <c r="H272" s="14">
        <v>7.3999999999999996E-2</v>
      </c>
      <c r="I272" s="14">
        <v>0.754</v>
      </c>
      <c r="J272" s="14">
        <v>2.8000000000000001E-2</v>
      </c>
      <c r="K272" s="14">
        <v>9.9989999999999996E-4</v>
      </c>
    </row>
    <row r="273" spans="1:11">
      <c r="A273" s="15">
        <v>6</v>
      </c>
      <c r="B273" s="22">
        <v>39190</v>
      </c>
      <c r="C273" s="15">
        <v>2007</v>
      </c>
      <c r="D273" s="11" t="s">
        <v>30</v>
      </c>
      <c r="E273" s="15">
        <v>4</v>
      </c>
      <c r="F273" s="14">
        <v>5.9420000000000002</v>
      </c>
      <c r="G273" s="14">
        <v>7.3999999999999996E-2</v>
      </c>
      <c r="H273" s="14">
        <v>9.9989999999999996E-4</v>
      </c>
      <c r="I273" s="14">
        <v>2.7189999999999999</v>
      </c>
      <c r="J273" s="14">
        <v>3.5999999999999997E-2</v>
      </c>
      <c r="K273" s="14">
        <v>9.9989999999999996E-4</v>
      </c>
    </row>
    <row r="274" spans="1:11">
      <c r="A274" s="15">
        <v>8</v>
      </c>
      <c r="B274" s="22">
        <v>39191</v>
      </c>
      <c r="C274" s="15">
        <v>2007</v>
      </c>
      <c r="D274" s="11" t="s">
        <v>30</v>
      </c>
      <c r="E274" s="15">
        <v>4</v>
      </c>
      <c r="F274" s="14">
        <v>2.1269999999999998</v>
      </c>
      <c r="G274" s="14">
        <v>3.6999999999999998E-2</v>
      </c>
      <c r="H274" s="14">
        <v>9.9989999999999996E-4</v>
      </c>
      <c r="I274" s="14">
        <v>0.61</v>
      </c>
      <c r="J274" s="14">
        <v>8.0000000000000002E-3</v>
      </c>
      <c r="K274" s="14">
        <v>9.9989999999999996E-4</v>
      </c>
    </row>
    <row r="275" spans="1:11">
      <c r="A275" s="15">
        <v>15</v>
      </c>
      <c r="B275" s="22">
        <v>39191</v>
      </c>
      <c r="C275" s="15">
        <v>2007</v>
      </c>
      <c r="D275" s="11" t="s">
        <v>30</v>
      </c>
      <c r="E275" s="15">
        <v>4</v>
      </c>
      <c r="F275" s="14">
        <v>4.8029999999999999</v>
      </c>
      <c r="G275" s="14">
        <v>8.5000000000000006E-2</v>
      </c>
      <c r="H275" s="14">
        <v>3.5000000000000003E-2</v>
      </c>
      <c r="I275" s="14">
        <v>1.8280000000000001</v>
      </c>
      <c r="J275" s="14">
        <v>0.02</v>
      </c>
      <c r="K275" s="14">
        <v>9.9989999999999996E-4</v>
      </c>
    </row>
    <row r="276" spans="1:11">
      <c r="A276" s="15">
        <v>6</v>
      </c>
      <c r="B276" s="22">
        <v>39217</v>
      </c>
      <c r="C276" s="15">
        <v>2007</v>
      </c>
      <c r="D276" s="11" t="s">
        <v>31</v>
      </c>
      <c r="E276" s="15">
        <v>5</v>
      </c>
      <c r="F276" s="14">
        <v>9.2240000000000002</v>
      </c>
      <c r="G276" s="14">
        <v>0.17299999999999999</v>
      </c>
      <c r="H276" s="14">
        <v>1.74</v>
      </c>
      <c r="I276" s="14">
        <v>3.351</v>
      </c>
      <c r="J276" s="14">
        <v>0.16800000000000001</v>
      </c>
      <c r="K276" s="14">
        <v>1.7000000000000001E-2</v>
      </c>
    </row>
    <row r="277" spans="1:11">
      <c r="A277" s="15">
        <v>8</v>
      </c>
      <c r="B277" s="22">
        <v>39216</v>
      </c>
      <c r="C277" s="15">
        <v>2007</v>
      </c>
      <c r="D277" s="11" t="s">
        <v>31</v>
      </c>
      <c r="E277" s="15">
        <v>5</v>
      </c>
      <c r="F277" s="14">
        <v>17.225000000000001</v>
      </c>
      <c r="G277" s="14">
        <v>3.4000000000000002E-2</v>
      </c>
      <c r="H277" s="14">
        <v>2.0859999999999999</v>
      </c>
      <c r="I277" s="14">
        <v>9.141</v>
      </c>
      <c r="J277" s="14">
        <v>0.19900000000000001</v>
      </c>
      <c r="K277" s="14">
        <v>9.9989999999999996E-4</v>
      </c>
    </row>
    <row r="278" spans="1:11">
      <c r="A278" s="15">
        <v>15</v>
      </c>
      <c r="B278" s="22">
        <v>39216</v>
      </c>
      <c r="C278" s="15">
        <v>2007</v>
      </c>
      <c r="D278" s="11" t="s">
        <v>31</v>
      </c>
      <c r="E278" s="15">
        <v>5</v>
      </c>
      <c r="F278" s="14">
        <v>9.6329999999999991</v>
      </c>
      <c r="G278" s="14">
        <v>6.3E-2</v>
      </c>
      <c r="H278" s="14">
        <v>1.5389999999999999</v>
      </c>
      <c r="I278" s="14">
        <v>4.2359999999999998</v>
      </c>
      <c r="J278" s="14">
        <v>0.17499999999999999</v>
      </c>
      <c r="K278" s="14">
        <v>9.9989999999999996E-4</v>
      </c>
    </row>
    <row r="279" spans="1:11">
      <c r="A279" s="15">
        <v>6</v>
      </c>
      <c r="B279" s="22">
        <v>39246</v>
      </c>
      <c r="C279" s="15">
        <v>2007</v>
      </c>
      <c r="D279" s="11" t="s">
        <v>32</v>
      </c>
      <c r="E279" s="15">
        <v>6</v>
      </c>
      <c r="F279" s="14">
        <v>24.803000000000001</v>
      </c>
      <c r="G279" s="14">
        <v>6.0999999999999999E-2</v>
      </c>
      <c r="H279" s="14">
        <v>6.4279999999999999</v>
      </c>
      <c r="I279" s="14">
        <v>7.9210000000000003</v>
      </c>
      <c r="J279" s="14">
        <v>0.34100000000000003</v>
      </c>
      <c r="K279" s="14">
        <v>9.9989999999999996E-4</v>
      </c>
    </row>
    <row r="280" spans="1:11">
      <c r="A280" s="15">
        <v>8</v>
      </c>
      <c r="B280" s="22">
        <v>39248</v>
      </c>
      <c r="C280" s="15">
        <v>2007</v>
      </c>
      <c r="D280" s="11" t="s">
        <v>32</v>
      </c>
      <c r="E280" s="15">
        <v>6</v>
      </c>
      <c r="F280" s="14">
        <v>12.871</v>
      </c>
      <c r="G280" s="14">
        <v>0.16800000000000001</v>
      </c>
      <c r="H280" s="14">
        <v>0.93600000000000005</v>
      </c>
      <c r="I280" s="14">
        <v>4.6159999999999997</v>
      </c>
      <c r="J280" s="14">
        <v>0.20799999999999999</v>
      </c>
      <c r="K280" s="14">
        <v>9.9989999999999996E-4</v>
      </c>
    </row>
    <row r="281" spans="1:11">
      <c r="A281" s="15">
        <v>15</v>
      </c>
      <c r="B281" s="22">
        <v>39248</v>
      </c>
      <c r="C281" s="15">
        <v>2007</v>
      </c>
      <c r="D281" s="11" t="s">
        <v>32</v>
      </c>
      <c r="E281" s="15">
        <v>6</v>
      </c>
      <c r="F281" s="14">
        <v>18.126999999999999</v>
      </c>
      <c r="G281" s="14">
        <v>0.125</v>
      </c>
      <c r="H281" s="14">
        <v>3.0190000000000001</v>
      </c>
      <c r="I281" s="14">
        <v>6.6719999999999997</v>
      </c>
      <c r="J281" s="14">
        <v>0.218</v>
      </c>
      <c r="K281" s="14">
        <v>1.2999999999999999E-2</v>
      </c>
    </row>
    <row r="282" spans="1:11">
      <c r="A282" s="15">
        <v>6</v>
      </c>
      <c r="B282" s="22">
        <v>39280</v>
      </c>
      <c r="C282" s="15">
        <v>2007</v>
      </c>
      <c r="D282" s="11" t="s">
        <v>33</v>
      </c>
      <c r="E282" s="15">
        <v>7</v>
      </c>
      <c r="F282" s="14">
        <v>13.331</v>
      </c>
      <c r="G282" s="14">
        <v>0.156</v>
      </c>
      <c r="H282" s="14">
        <v>2.3E-2</v>
      </c>
      <c r="I282" s="14">
        <v>1.0920000000000001</v>
      </c>
      <c r="J282" s="14">
        <v>1.8049999999999999</v>
      </c>
      <c r="K282" s="14">
        <v>9.9989999999999996E-4</v>
      </c>
    </row>
    <row r="283" spans="1:11">
      <c r="A283" s="15">
        <v>8</v>
      </c>
      <c r="B283" s="22">
        <v>39279</v>
      </c>
      <c r="C283" s="15">
        <v>2007</v>
      </c>
      <c r="D283" s="11" t="s">
        <v>33</v>
      </c>
      <c r="E283" s="15">
        <v>7</v>
      </c>
      <c r="F283" s="14">
        <v>6.2880000000000003</v>
      </c>
      <c r="G283" s="14">
        <v>9.2999999999999999E-2</v>
      </c>
      <c r="H283" s="14">
        <v>9.9989999999999996E-4</v>
      </c>
      <c r="I283" s="14">
        <v>1.3819999999999999</v>
      </c>
      <c r="J283" s="14">
        <v>4.5999999999999999E-2</v>
      </c>
      <c r="K283" s="14">
        <v>9.9989999999999996E-4</v>
      </c>
    </row>
    <row r="284" spans="1:11">
      <c r="A284" s="15">
        <v>15</v>
      </c>
      <c r="B284" s="22">
        <v>39279</v>
      </c>
      <c r="C284" s="15">
        <v>2007</v>
      </c>
      <c r="D284" s="11" t="s">
        <v>33</v>
      </c>
      <c r="E284" s="15">
        <v>7</v>
      </c>
      <c r="F284" s="14">
        <v>4.6980000000000004</v>
      </c>
      <c r="G284" s="14">
        <v>3.3000000000000002E-2</v>
      </c>
      <c r="H284" s="14">
        <v>9.9989999999999996E-4</v>
      </c>
      <c r="I284" s="14">
        <v>1.2709999999999999</v>
      </c>
      <c r="J284" s="14">
        <v>0.20899999999999999</v>
      </c>
      <c r="K284" s="14">
        <v>9.9989999999999996E-4</v>
      </c>
    </row>
    <row r="285" spans="1:11">
      <c r="A285" s="15">
        <v>6</v>
      </c>
      <c r="B285" s="22">
        <v>39308</v>
      </c>
      <c r="C285" s="15">
        <v>2007</v>
      </c>
      <c r="D285" s="11" t="s">
        <v>34</v>
      </c>
      <c r="E285" s="15">
        <v>8</v>
      </c>
      <c r="F285" s="14">
        <v>15.651999999999999</v>
      </c>
      <c r="G285" s="14">
        <v>0.111</v>
      </c>
      <c r="H285" s="14">
        <v>9.9989999999999996E-4</v>
      </c>
      <c r="I285" s="14">
        <v>1.524</v>
      </c>
      <c r="J285" s="14">
        <v>2.359</v>
      </c>
      <c r="K285" s="14">
        <v>9.9989999999999996E-4</v>
      </c>
    </row>
    <row r="286" spans="1:11">
      <c r="A286" s="15">
        <v>8</v>
      </c>
      <c r="B286" s="22">
        <v>39308</v>
      </c>
      <c r="C286" s="15">
        <v>2007</v>
      </c>
      <c r="D286" s="11" t="s">
        <v>34</v>
      </c>
      <c r="E286" s="15">
        <v>8</v>
      </c>
      <c r="F286" s="14">
        <v>10.67</v>
      </c>
      <c r="G286" s="14">
        <v>9.9989999999999996E-4</v>
      </c>
      <c r="H286" s="14">
        <v>9.9999000000000008E-4</v>
      </c>
      <c r="I286" s="14">
        <v>3.1709999999999998</v>
      </c>
      <c r="J286" s="14">
        <v>0.17799999999999999</v>
      </c>
      <c r="K286" s="14">
        <v>9.9989999999999996E-4</v>
      </c>
    </row>
    <row r="287" spans="1:11">
      <c r="A287" s="15">
        <v>15</v>
      </c>
      <c r="B287" s="22">
        <v>39308</v>
      </c>
      <c r="C287" s="15">
        <v>2007</v>
      </c>
      <c r="D287" s="11" t="s">
        <v>34</v>
      </c>
      <c r="E287" s="15">
        <v>8</v>
      </c>
      <c r="F287" s="14">
        <v>9.2789999999999999</v>
      </c>
      <c r="G287" s="14">
        <v>2.7E-2</v>
      </c>
      <c r="H287" s="14">
        <v>9.9999000000000008E-4</v>
      </c>
      <c r="I287" s="14">
        <v>0.83599999999999997</v>
      </c>
      <c r="J287" s="14">
        <v>1.653</v>
      </c>
      <c r="K287" s="14">
        <v>9.9989999999999996E-4</v>
      </c>
    </row>
    <row r="288" spans="1:11">
      <c r="A288" s="15">
        <v>6</v>
      </c>
      <c r="B288" s="22">
        <v>39336</v>
      </c>
      <c r="C288" s="15">
        <v>2007</v>
      </c>
      <c r="D288" s="11" t="s">
        <v>40</v>
      </c>
      <c r="E288" s="15">
        <v>9</v>
      </c>
      <c r="F288" s="14">
        <v>12.808</v>
      </c>
      <c r="G288" s="14">
        <v>0.52800000000000002</v>
      </c>
      <c r="H288" s="14">
        <v>9.9989999999999996E-4</v>
      </c>
      <c r="I288" s="14">
        <v>1.018</v>
      </c>
      <c r="J288" s="14">
        <v>2.0089999999999999</v>
      </c>
      <c r="K288" s="14">
        <v>9.9989999999999996E-4</v>
      </c>
    </row>
    <row r="289" spans="1:11">
      <c r="A289" s="15">
        <v>8</v>
      </c>
      <c r="B289" s="22">
        <v>39335</v>
      </c>
      <c r="C289" s="15">
        <v>2007</v>
      </c>
      <c r="D289" s="11" t="s">
        <v>40</v>
      </c>
      <c r="E289" s="15">
        <v>9</v>
      </c>
      <c r="F289" s="14">
        <v>5.8520000000000003</v>
      </c>
      <c r="G289" s="14">
        <v>9.9989999999999996E-4</v>
      </c>
      <c r="H289" s="14">
        <v>9.9989999999999996E-4</v>
      </c>
      <c r="I289" s="14">
        <v>1.738</v>
      </c>
      <c r="J289" s="14">
        <v>6.3E-2</v>
      </c>
      <c r="K289" s="14">
        <v>9.9989999999999996E-4</v>
      </c>
    </row>
    <row r="290" spans="1:11">
      <c r="A290" s="15">
        <v>15</v>
      </c>
      <c r="B290" s="22">
        <v>39335</v>
      </c>
      <c r="C290" s="15">
        <v>2007</v>
      </c>
      <c r="D290" s="11" t="s">
        <v>40</v>
      </c>
      <c r="E290" s="15">
        <v>9</v>
      </c>
      <c r="F290" s="14">
        <v>8.2789999999999999</v>
      </c>
      <c r="G290" s="14">
        <v>0.752</v>
      </c>
      <c r="H290" s="14">
        <v>9.9989999999999996E-4</v>
      </c>
      <c r="I290" s="14">
        <v>0.623</v>
      </c>
      <c r="J290" s="14">
        <v>1.1559999999999999</v>
      </c>
      <c r="K290" s="14">
        <v>9.9989999999999996E-4</v>
      </c>
    </row>
    <row r="291" spans="1:11">
      <c r="A291" s="15">
        <v>6</v>
      </c>
      <c r="B291" s="22">
        <v>39370</v>
      </c>
      <c r="C291" s="15">
        <v>2007</v>
      </c>
      <c r="D291" s="11" t="s">
        <v>36</v>
      </c>
      <c r="E291" s="15">
        <v>10</v>
      </c>
      <c r="F291" s="14">
        <v>7.6589999999999998</v>
      </c>
      <c r="G291" s="14">
        <v>9.9989999999999996E-4</v>
      </c>
      <c r="H291" s="14">
        <v>4.2999999999999997E-2</v>
      </c>
      <c r="I291" s="14">
        <v>1.3560000000000001</v>
      </c>
      <c r="J291" s="14">
        <v>1.6639999999999999</v>
      </c>
      <c r="K291" s="14">
        <v>9.9989999999999996E-4</v>
      </c>
    </row>
    <row r="292" spans="1:11">
      <c r="A292" s="15">
        <v>8</v>
      </c>
      <c r="B292" s="22">
        <v>39370</v>
      </c>
      <c r="C292" s="15">
        <v>2007</v>
      </c>
      <c r="D292" s="11" t="s">
        <v>36</v>
      </c>
      <c r="E292" s="15">
        <v>10</v>
      </c>
      <c r="F292" s="14">
        <v>1.9419999999999999</v>
      </c>
      <c r="G292" s="14">
        <v>9.9989999999999996E-4</v>
      </c>
      <c r="H292" s="14">
        <v>9.9989999999999996E-4</v>
      </c>
      <c r="I292" s="14">
        <v>0.27500000000000002</v>
      </c>
      <c r="J292" s="14">
        <v>1.2E-2</v>
      </c>
      <c r="K292" s="14">
        <v>9.9989999999999996E-4</v>
      </c>
    </row>
    <row r="293" spans="1:11">
      <c r="A293" s="15">
        <v>15</v>
      </c>
      <c r="B293" s="22">
        <v>39370</v>
      </c>
      <c r="C293" s="15">
        <v>2007</v>
      </c>
      <c r="D293" s="11" t="s">
        <v>36</v>
      </c>
      <c r="E293" s="15">
        <v>10</v>
      </c>
      <c r="F293" s="14">
        <v>6.4880000000000004</v>
      </c>
      <c r="G293" s="14">
        <v>9.9989999999999996E-4</v>
      </c>
      <c r="H293" s="14">
        <v>9.9989999999999996E-4</v>
      </c>
      <c r="I293" s="14">
        <v>2.1659999999999999</v>
      </c>
      <c r="J293" s="14">
        <v>0.41199999999999998</v>
      </c>
      <c r="K293" s="14">
        <v>9.9989999999999996E-4</v>
      </c>
    </row>
    <row r="294" spans="1:11">
      <c r="A294" s="15">
        <v>6</v>
      </c>
      <c r="B294" s="22">
        <v>39400</v>
      </c>
      <c r="C294" s="15">
        <v>2007</v>
      </c>
      <c r="D294" s="11" t="s">
        <v>37</v>
      </c>
      <c r="E294" s="15">
        <v>11</v>
      </c>
      <c r="F294" s="14">
        <v>4.7519999999999998</v>
      </c>
      <c r="G294" s="14">
        <v>2.7E-2</v>
      </c>
      <c r="H294" s="14">
        <v>0.14899999999999999</v>
      </c>
      <c r="I294" s="14">
        <v>0.90800000000000003</v>
      </c>
      <c r="J294" s="14">
        <v>6.4000000000000001E-2</v>
      </c>
      <c r="K294" s="14">
        <v>9.9989999999999996E-4</v>
      </c>
    </row>
    <row r="295" spans="1:11">
      <c r="A295" s="15">
        <v>8</v>
      </c>
      <c r="B295" s="22">
        <v>39400</v>
      </c>
      <c r="C295" s="15">
        <v>2007</v>
      </c>
      <c r="D295" s="11" t="s">
        <v>37</v>
      </c>
      <c r="E295" s="15">
        <v>11</v>
      </c>
      <c r="F295" s="14">
        <v>0.77700000000000002</v>
      </c>
      <c r="G295" s="14">
        <v>0.01</v>
      </c>
      <c r="H295" s="14">
        <v>9.9989999999999996E-4</v>
      </c>
      <c r="I295" s="14">
        <v>0.13200000000000001</v>
      </c>
      <c r="J295" s="14">
        <v>3.0000000000000001E-3</v>
      </c>
      <c r="K295" s="14">
        <v>9.9989999999999996E-4</v>
      </c>
    </row>
    <row r="296" spans="1:11">
      <c r="A296" s="15">
        <v>15</v>
      </c>
      <c r="B296" s="22">
        <v>39400</v>
      </c>
      <c r="C296" s="15">
        <v>2007</v>
      </c>
      <c r="D296" s="11" t="s">
        <v>37</v>
      </c>
      <c r="E296" s="15">
        <v>11</v>
      </c>
      <c r="F296" s="14">
        <v>5.4020000000000001</v>
      </c>
      <c r="G296" s="14">
        <v>0.06</v>
      </c>
      <c r="H296" s="14">
        <v>9.9989999999999996E-4</v>
      </c>
      <c r="I296" s="14">
        <v>0.53500000000000003</v>
      </c>
      <c r="J296" s="14">
        <v>2.1999999999999999E-2</v>
      </c>
      <c r="K296" s="14">
        <v>9.9989999999999996E-4</v>
      </c>
    </row>
    <row r="297" spans="1:11">
      <c r="A297" s="15">
        <v>6</v>
      </c>
      <c r="B297" s="22">
        <v>39427</v>
      </c>
      <c r="C297" s="15">
        <v>2007</v>
      </c>
      <c r="D297" s="11" t="s">
        <v>38</v>
      </c>
      <c r="E297" s="15">
        <v>12</v>
      </c>
      <c r="F297" s="14">
        <v>2.9740000000000002</v>
      </c>
      <c r="G297" s="14">
        <v>2.4E-2</v>
      </c>
      <c r="H297" s="14">
        <v>9.9989999999999996E-4</v>
      </c>
      <c r="I297" s="14">
        <v>0.91100000000000003</v>
      </c>
      <c r="J297" s="14">
        <v>0.02</v>
      </c>
      <c r="K297" s="14">
        <v>9.9989999999999996E-4</v>
      </c>
    </row>
    <row r="298" spans="1:11">
      <c r="A298" s="15">
        <v>8</v>
      </c>
      <c r="B298" s="22">
        <v>39434</v>
      </c>
      <c r="C298" s="15">
        <v>2007</v>
      </c>
      <c r="D298" s="11" t="s">
        <v>38</v>
      </c>
      <c r="E298" s="15">
        <v>12</v>
      </c>
      <c r="F298" s="14">
        <v>5.484</v>
      </c>
      <c r="G298" s="14">
        <v>8.4000000000000005E-2</v>
      </c>
      <c r="H298" s="14">
        <v>9.9989999999999996E-4</v>
      </c>
      <c r="I298" s="14">
        <v>1.7</v>
      </c>
      <c r="J298" s="14">
        <v>1.2999999999999999E-2</v>
      </c>
      <c r="K298" s="14">
        <v>9.9989999999999996E-4</v>
      </c>
    </row>
    <row r="299" spans="1:11">
      <c r="A299" s="15">
        <v>15</v>
      </c>
      <c r="B299" s="22">
        <v>39434</v>
      </c>
      <c r="C299" s="15">
        <v>2007</v>
      </c>
      <c r="D299" s="11" t="s">
        <v>38</v>
      </c>
      <c r="E299" s="15">
        <v>12</v>
      </c>
      <c r="F299" s="14">
        <v>8.7189999999999994</v>
      </c>
      <c r="G299" s="14">
        <v>0.318</v>
      </c>
      <c r="H299" s="14">
        <v>9.9989999999999996E-4</v>
      </c>
      <c r="I299" s="14">
        <v>2.7570000000000001</v>
      </c>
      <c r="J299" s="14">
        <v>6.4000000000000001E-2</v>
      </c>
      <c r="K299" s="14">
        <v>9.9989999999999996E-4</v>
      </c>
    </row>
    <row r="300" spans="1:11">
      <c r="A300" s="15">
        <v>6</v>
      </c>
      <c r="B300" s="22">
        <v>39462</v>
      </c>
      <c r="C300" s="15">
        <v>2008</v>
      </c>
      <c r="D300" s="11" t="s">
        <v>39</v>
      </c>
      <c r="E300" s="15">
        <v>1</v>
      </c>
      <c r="F300" s="23">
        <v>4.6150000000000002</v>
      </c>
      <c r="G300" s="23">
        <v>0.14299999999999999</v>
      </c>
      <c r="H300" s="23">
        <v>9.9989999999999996E-4</v>
      </c>
      <c r="I300" s="23">
        <v>0.84899999999999998</v>
      </c>
      <c r="J300" s="23">
        <v>8.7999999999999995E-2</v>
      </c>
      <c r="K300" s="23">
        <v>9.9989999999999996E-4</v>
      </c>
    </row>
    <row r="301" spans="1:11">
      <c r="A301" s="15">
        <v>8</v>
      </c>
      <c r="B301" s="22">
        <v>39463</v>
      </c>
      <c r="C301" s="15">
        <v>2008</v>
      </c>
      <c r="D301" s="11" t="s">
        <v>39</v>
      </c>
      <c r="E301" s="15">
        <v>1</v>
      </c>
      <c r="F301" s="23">
        <v>1.212</v>
      </c>
      <c r="G301" s="23">
        <v>0.04</v>
      </c>
      <c r="H301" s="23">
        <v>9.9989999999999996E-4</v>
      </c>
      <c r="I301" s="23">
        <v>0.33</v>
      </c>
      <c r="J301" s="23">
        <v>0.01</v>
      </c>
      <c r="K301" s="23">
        <v>9.9989999999999996E-4</v>
      </c>
    </row>
    <row r="302" spans="1:11">
      <c r="A302" s="15">
        <v>15</v>
      </c>
      <c r="B302" s="22">
        <v>39463</v>
      </c>
      <c r="C302" s="15">
        <v>2008</v>
      </c>
      <c r="D302" s="11" t="s">
        <v>39</v>
      </c>
      <c r="E302" s="15">
        <v>1</v>
      </c>
      <c r="F302" s="23">
        <v>5.5389999999999997</v>
      </c>
      <c r="G302" s="23">
        <v>0.183</v>
      </c>
      <c r="H302" s="23">
        <v>9.9989999999999996E-4</v>
      </c>
      <c r="I302" s="23">
        <v>1.4410000000000001</v>
      </c>
      <c r="J302" s="23">
        <v>0.106</v>
      </c>
      <c r="K302" s="23">
        <v>9.9989999999999996E-4</v>
      </c>
    </row>
    <row r="303" spans="1:11">
      <c r="A303" s="15">
        <v>6</v>
      </c>
      <c r="B303" s="22">
        <v>39490</v>
      </c>
      <c r="C303" s="15">
        <v>2008</v>
      </c>
      <c r="D303" s="11" t="s">
        <v>28</v>
      </c>
      <c r="E303" s="15">
        <v>2</v>
      </c>
      <c r="F303" s="23">
        <v>3.996</v>
      </c>
      <c r="G303" s="23">
        <v>9.4E-2</v>
      </c>
      <c r="H303" s="23">
        <v>9.7000000000000003E-2</v>
      </c>
      <c r="I303" s="23">
        <v>1.121</v>
      </c>
      <c r="J303" s="23">
        <v>0.11</v>
      </c>
      <c r="K303" s="23">
        <v>9.9989999999999996E-4</v>
      </c>
    </row>
    <row r="304" spans="1:11">
      <c r="A304" s="15">
        <v>8</v>
      </c>
      <c r="B304" s="22">
        <v>39493</v>
      </c>
      <c r="C304" s="15">
        <v>2008</v>
      </c>
      <c r="D304" s="11" t="s">
        <v>28</v>
      </c>
      <c r="E304" s="15">
        <v>2</v>
      </c>
      <c r="F304" s="23">
        <v>1.27</v>
      </c>
      <c r="G304" s="23">
        <v>6.6000000000000003E-2</v>
      </c>
      <c r="H304" s="23">
        <v>9.9989999999999996E-4</v>
      </c>
      <c r="I304" s="23">
        <v>0.25600000000000001</v>
      </c>
      <c r="J304" s="23">
        <v>1.0999999999999999E-2</v>
      </c>
      <c r="K304" s="23">
        <v>9.9989999999999996E-4</v>
      </c>
    </row>
    <row r="305" spans="1:11">
      <c r="A305" s="15">
        <v>15</v>
      </c>
      <c r="B305" s="22">
        <v>39493</v>
      </c>
      <c r="C305" s="15">
        <v>2008</v>
      </c>
      <c r="D305" s="11" t="s">
        <v>28</v>
      </c>
      <c r="E305" s="15">
        <v>2</v>
      </c>
      <c r="F305" s="23">
        <v>4.3520000000000003</v>
      </c>
      <c r="G305" s="23">
        <v>0.161</v>
      </c>
      <c r="H305" s="23">
        <v>9.9989999999999996E-4</v>
      </c>
      <c r="I305" s="23">
        <v>1.3</v>
      </c>
      <c r="J305" s="23">
        <v>3.4000000000000002E-2</v>
      </c>
      <c r="K305" s="23">
        <v>9.9989999999999996E-4</v>
      </c>
    </row>
    <row r="306" spans="1:11">
      <c r="A306" s="15">
        <v>6</v>
      </c>
      <c r="B306" s="22">
        <v>39517</v>
      </c>
      <c r="C306" s="15">
        <v>2008</v>
      </c>
      <c r="D306" s="11" t="s">
        <v>29</v>
      </c>
      <c r="E306" s="15">
        <v>3</v>
      </c>
      <c r="F306" s="24">
        <v>2.3260000000000001</v>
      </c>
      <c r="G306" s="23">
        <v>4.2999999999999997E-2</v>
      </c>
      <c r="H306" s="23">
        <v>2.7E-2</v>
      </c>
      <c r="I306" s="23">
        <v>0.61199999999999999</v>
      </c>
      <c r="J306" s="23">
        <v>6.0999999999999999E-2</v>
      </c>
      <c r="K306" s="23">
        <v>9.9989999999999996E-4</v>
      </c>
    </row>
    <row r="307" spans="1:11">
      <c r="A307" s="15">
        <v>8</v>
      </c>
      <c r="B307" s="22">
        <v>39517</v>
      </c>
      <c r="C307" s="15">
        <v>2008</v>
      </c>
      <c r="D307" s="11" t="s">
        <v>29</v>
      </c>
      <c r="E307" s="15">
        <v>3</v>
      </c>
      <c r="F307" s="24">
        <v>1.3839999999999999</v>
      </c>
      <c r="G307" s="23">
        <v>4.7E-2</v>
      </c>
      <c r="H307" s="23">
        <v>9.9989999999999996E-4</v>
      </c>
      <c r="I307" s="23">
        <v>0.30199999999999999</v>
      </c>
      <c r="J307" s="23">
        <v>1.4E-2</v>
      </c>
      <c r="K307" s="23">
        <v>9.9989999999999996E-4</v>
      </c>
    </row>
    <row r="308" spans="1:11">
      <c r="A308" s="15">
        <v>15</v>
      </c>
      <c r="B308" s="22">
        <v>39517</v>
      </c>
      <c r="C308" s="15">
        <v>2008</v>
      </c>
      <c r="D308" s="11" t="s">
        <v>29</v>
      </c>
      <c r="E308" s="15">
        <v>3</v>
      </c>
      <c r="F308" s="24">
        <v>2.589</v>
      </c>
      <c r="G308" s="23">
        <v>5.2999999999999999E-2</v>
      </c>
      <c r="H308" s="23">
        <v>9.9989999999999996E-4</v>
      </c>
      <c r="I308" s="23">
        <v>0.59299999999999997</v>
      </c>
      <c r="J308" s="23">
        <v>2.9000000000000001E-2</v>
      </c>
      <c r="K308" s="23">
        <v>9.9989999999999996E-4</v>
      </c>
    </row>
    <row r="309" spans="1:11">
      <c r="A309" s="15">
        <v>6</v>
      </c>
      <c r="B309" s="22">
        <v>39553</v>
      </c>
      <c r="C309" s="15">
        <v>2008</v>
      </c>
      <c r="D309" s="11" t="s">
        <v>30</v>
      </c>
      <c r="E309" s="15">
        <v>4</v>
      </c>
      <c r="F309" s="24">
        <v>3.3140000000000001</v>
      </c>
      <c r="G309" s="23">
        <v>1.4E-2</v>
      </c>
      <c r="H309" s="23">
        <v>0.255</v>
      </c>
      <c r="I309" s="23">
        <v>1.528</v>
      </c>
      <c r="J309" s="23">
        <v>6.6000000000000003E-2</v>
      </c>
      <c r="K309" s="23">
        <v>9.9989999999999996E-4</v>
      </c>
    </row>
    <row r="310" spans="1:11">
      <c r="A310" s="15">
        <v>8</v>
      </c>
      <c r="B310" s="22">
        <v>39552</v>
      </c>
      <c r="C310" s="15">
        <v>2008</v>
      </c>
      <c r="D310" s="11" t="s">
        <v>30</v>
      </c>
      <c r="E310" s="15">
        <v>4</v>
      </c>
      <c r="F310" s="24">
        <v>1.2050000000000001</v>
      </c>
      <c r="G310" s="23">
        <v>2.7E-2</v>
      </c>
      <c r="H310" s="23">
        <v>9.9989999999999996E-4</v>
      </c>
      <c r="I310" s="23">
        <v>0.20200000000000001</v>
      </c>
      <c r="J310" s="23">
        <v>7.0000000000000001E-3</v>
      </c>
      <c r="K310" s="23">
        <v>9.9989999999999996E-4</v>
      </c>
    </row>
    <row r="311" spans="1:11">
      <c r="A311" s="15">
        <v>15</v>
      </c>
      <c r="B311" s="22">
        <v>39552</v>
      </c>
      <c r="C311" s="15">
        <v>2008</v>
      </c>
      <c r="D311" s="11" t="s">
        <v>30</v>
      </c>
      <c r="E311" s="15">
        <v>4</v>
      </c>
      <c r="F311" s="24">
        <v>4.49</v>
      </c>
      <c r="G311" s="23">
        <v>1.4999999999999999E-2</v>
      </c>
      <c r="H311" s="23">
        <v>0.254</v>
      </c>
      <c r="I311" s="23">
        <v>2.3069999999999999</v>
      </c>
      <c r="J311" s="23">
        <v>2.8000000000000001E-2</v>
      </c>
      <c r="K311" s="23">
        <v>9.9989999999999996E-4</v>
      </c>
    </row>
    <row r="312" spans="1:11">
      <c r="A312" s="15">
        <v>6</v>
      </c>
      <c r="B312" s="22">
        <v>39582</v>
      </c>
      <c r="C312" s="15">
        <v>2008</v>
      </c>
      <c r="D312" s="11" t="s">
        <v>31</v>
      </c>
      <c r="E312" s="15">
        <v>5</v>
      </c>
      <c r="F312" s="24">
        <v>2.105</v>
      </c>
      <c r="G312" s="23">
        <v>8.1000000000000003E-2</v>
      </c>
      <c r="H312" s="23">
        <v>5.8000000000000003E-2</v>
      </c>
      <c r="I312" s="23">
        <v>0.63700000000000001</v>
      </c>
      <c r="J312" s="23">
        <v>2.8000000000000001E-2</v>
      </c>
      <c r="K312" s="23">
        <v>9.9989999999999996E-4</v>
      </c>
    </row>
    <row r="313" spans="1:11">
      <c r="A313" s="15">
        <v>8</v>
      </c>
      <c r="B313" s="22">
        <v>39583</v>
      </c>
      <c r="C313" s="15">
        <v>2008</v>
      </c>
      <c r="D313" s="11" t="s">
        <v>31</v>
      </c>
      <c r="E313" s="15">
        <v>5</v>
      </c>
      <c r="F313" s="24">
        <v>2.3159999999999998</v>
      </c>
      <c r="G313" s="23">
        <v>5.6000000000000001E-2</v>
      </c>
      <c r="H313" s="23">
        <v>5.6000000000000001E-2</v>
      </c>
      <c r="I313" s="23">
        <v>0.73699999999999999</v>
      </c>
      <c r="J313" s="23">
        <v>0.04</v>
      </c>
      <c r="K313" s="23">
        <v>9.9989999999999996E-4</v>
      </c>
    </row>
    <row r="314" spans="1:11">
      <c r="A314" s="15">
        <v>15</v>
      </c>
      <c r="B314" s="22">
        <v>39583</v>
      </c>
      <c r="C314" s="15">
        <v>2008</v>
      </c>
      <c r="D314" s="11" t="s">
        <v>31</v>
      </c>
      <c r="E314" s="15">
        <v>5</v>
      </c>
      <c r="F314" s="24">
        <v>7.4509999999999996</v>
      </c>
      <c r="G314" s="23">
        <v>5.8999999999999997E-2</v>
      </c>
      <c r="H314" s="23">
        <v>0.625</v>
      </c>
      <c r="I314" s="23">
        <v>3.044</v>
      </c>
      <c r="J314" s="23">
        <v>0.17699999999999999</v>
      </c>
      <c r="K314" s="23">
        <v>9.9989999999999996E-4</v>
      </c>
    </row>
    <row r="315" spans="1:11">
      <c r="A315" s="15">
        <v>6</v>
      </c>
      <c r="B315" s="22">
        <v>39616</v>
      </c>
      <c r="C315" s="15">
        <v>2008</v>
      </c>
      <c r="D315" s="11" t="s">
        <v>32</v>
      </c>
      <c r="E315" s="15">
        <v>6</v>
      </c>
      <c r="F315" s="24">
        <v>7.9009999999999998</v>
      </c>
      <c r="G315" s="23">
        <v>0.04</v>
      </c>
      <c r="H315" s="23">
        <v>9.9989999999999996E-4</v>
      </c>
      <c r="I315" s="23">
        <v>2.069</v>
      </c>
      <c r="J315" s="23">
        <v>0.64800000000000002</v>
      </c>
      <c r="K315" s="23">
        <v>9.9989999999999996E-4</v>
      </c>
    </row>
    <row r="316" spans="1:11">
      <c r="A316" s="15">
        <v>8</v>
      </c>
      <c r="B316" s="22">
        <v>39617</v>
      </c>
      <c r="C316" s="15">
        <v>2008</v>
      </c>
      <c r="D316" s="11" t="s">
        <v>32</v>
      </c>
      <c r="E316" s="15">
        <v>6</v>
      </c>
      <c r="F316" s="24">
        <v>2.8180000000000001</v>
      </c>
      <c r="G316" s="23">
        <v>2.8000000000000001E-2</v>
      </c>
      <c r="H316" s="23">
        <v>9.9989999999999996E-4</v>
      </c>
      <c r="I316" s="23">
        <v>0.52500000000000002</v>
      </c>
      <c r="J316" s="23">
        <v>8.9999999999999993E-3</v>
      </c>
      <c r="K316" s="23">
        <v>9.9989999999999996E-4</v>
      </c>
    </row>
    <row r="317" spans="1:11">
      <c r="A317" s="15">
        <v>15</v>
      </c>
      <c r="B317" s="22">
        <v>39617</v>
      </c>
      <c r="C317" s="15">
        <v>2008</v>
      </c>
      <c r="D317" s="11" t="s">
        <v>32</v>
      </c>
      <c r="E317" s="15">
        <v>6</v>
      </c>
      <c r="F317" s="24">
        <v>4.1379999999999999</v>
      </c>
      <c r="G317" s="23">
        <v>3.9E-2</v>
      </c>
      <c r="H317" s="23">
        <v>9.9989999999999996E-4</v>
      </c>
      <c r="I317" s="23">
        <v>0.83</v>
      </c>
      <c r="J317" s="23">
        <v>0.39400000000000002</v>
      </c>
      <c r="K317" s="23">
        <v>9.9989999999999996E-4</v>
      </c>
    </row>
    <row r="318" spans="1:11">
      <c r="A318" s="15">
        <v>6</v>
      </c>
      <c r="B318" s="22">
        <v>39644</v>
      </c>
      <c r="C318" s="15">
        <v>2008</v>
      </c>
      <c r="D318" s="11" t="s">
        <v>33</v>
      </c>
      <c r="E318" s="15">
        <v>7</v>
      </c>
      <c r="F318" s="24">
        <v>6.5490000000000004</v>
      </c>
      <c r="G318" s="23">
        <v>0.26900000000000002</v>
      </c>
      <c r="H318" s="23">
        <v>3.9E-2</v>
      </c>
      <c r="I318" s="23">
        <v>1.234</v>
      </c>
      <c r="J318" s="23">
        <v>1.1579999999999999</v>
      </c>
      <c r="K318" s="23">
        <v>9.9989999999999996E-4</v>
      </c>
    </row>
    <row r="319" spans="1:11">
      <c r="A319" s="15">
        <v>8</v>
      </c>
      <c r="B319" s="22">
        <v>39645</v>
      </c>
      <c r="C319" s="15">
        <v>2008</v>
      </c>
      <c r="D319" s="11" t="s">
        <v>33</v>
      </c>
      <c r="E319" s="15">
        <v>7</v>
      </c>
      <c r="F319" s="24">
        <v>3.5419999999999998</v>
      </c>
      <c r="G319" s="23">
        <v>0.189</v>
      </c>
      <c r="H319" s="23">
        <v>9.9989999999999996E-4</v>
      </c>
      <c r="I319" s="23">
        <v>0.68400000000000005</v>
      </c>
      <c r="J319" s="23">
        <v>1.7999999999999999E-2</v>
      </c>
      <c r="K319" s="23">
        <v>9.9989999999999996E-4</v>
      </c>
    </row>
    <row r="320" spans="1:11">
      <c r="A320" s="15">
        <v>15</v>
      </c>
      <c r="B320" s="22">
        <v>39645</v>
      </c>
      <c r="C320" s="15">
        <v>2008</v>
      </c>
      <c r="D320" s="11" t="s">
        <v>33</v>
      </c>
      <c r="E320" s="15">
        <v>7</v>
      </c>
      <c r="F320" s="24">
        <v>4.4009999999999998</v>
      </c>
      <c r="G320" s="23">
        <v>9.4E-2</v>
      </c>
      <c r="H320" s="23">
        <v>3.2000000000000001E-2</v>
      </c>
      <c r="I320" s="23">
        <v>1.4019999999999999</v>
      </c>
      <c r="J320" s="23">
        <v>0.30099999999999999</v>
      </c>
      <c r="K320" s="23">
        <v>9.9989999999999996E-4</v>
      </c>
    </row>
    <row r="321" spans="1:11">
      <c r="A321" s="15">
        <v>6</v>
      </c>
      <c r="B321" s="22">
        <v>39672</v>
      </c>
      <c r="C321" s="15">
        <v>2008</v>
      </c>
      <c r="D321" s="11" t="s">
        <v>34</v>
      </c>
      <c r="E321" s="15">
        <v>8</v>
      </c>
      <c r="F321" s="24">
        <v>6.8209999999999997</v>
      </c>
      <c r="G321" s="23">
        <v>0.51800000000000002</v>
      </c>
      <c r="H321" s="23">
        <v>9.9989999999999996E-4</v>
      </c>
      <c r="I321" s="23">
        <v>0.52400000000000002</v>
      </c>
      <c r="J321" s="23">
        <v>1.6379999999999999</v>
      </c>
      <c r="K321" s="23">
        <v>9.9989999999999996E-4</v>
      </c>
    </row>
    <row r="322" spans="1:11">
      <c r="A322" s="15">
        <v>8</v>
      </c>
      <c r="B322" s="22">
        <v>39672</v>
      </c>
      <c r="C322" s="15">
        <v>2008</v>
      </c>
      <c r="D322" s="11" t="s">
        <v>34</v>
      </c>
      <c r="E322" s="15">
        <v>8</v>
      </c>
      <c r="F322" s="24">
        <v>7.8410000000000002</v>
      </c>
      <c r="G322" s="23">
        <v>0.998</v>
      </c>
      <c r="H322" s="23">
        <v>9.9989999999999996E-4</v>
      </c>
      <c r="I322" s="23">
        <v>1.599</v>
      </c>
      <c r="J322" s="23">
        <v>1.7000000000000001E-2</v>
      </c>
      <c r="K322" s="23">
        <v>9.9989999999999996E-4</v>
      </c>
    </row>
    <row r="323" spans="1:11">
      <c r="A323" s="15">
        <v>15</v>
      </c>
      <c r="B323" s="22">
        <v>39672</v>
      </c>
      <c r="C323" s="15">
        <v>2008</v>
      </c>
      <c r="D323" s="11" t="s">
        <v>34</v>
      </c>
      <c r="E323" s="15">
        <v>8</v>
      </c>
      <c r="F323" s="24">
        <v>4.0529999999999999</v>
      </c>
      <c r="G323" s="23">
        <v>1.0760000000000001</v>
      </c>
      <c r="H323" s="23">
        <v>9.9989999999999996E-4</v>
      </c>
      <c r="I323" s="23">
        <v>0.45100000000000001</v>
      </c>
      <c r="J323" s="23">
        <v>6.9000000000000006E-2</v>
      </c>
      <c r="K323" s="23">
        <v>9.9989999999999996E-4</v>
      </c>
    </row>
    <row r="324" spans="1:11">
      <c r="A324" s="15">
        <v>6</v>
      </c>
      <c r="B324" s="22">
        <v>39709</v>
      </c>
      <c r="C324" s="15">
        <v>2008</v>
      </c>
      <c r="D324" s="11" t="s">
        <v>40</v>
      </c>
      <c r="E324" s="15">
        <v>9</v>
      </c>
      <c r="F324" s="23">
        <v>18.856000000000002</v>
      </c>
      <c r="G324" s="23">
        <v>1.7999999999999999E-2</v>
      </c>
      <c r="H324" s="23">
        <v>2.1429999999999998</v>
      </c>
      <c r="I324" s="23">
        <v>7.125</v>
      </c>
      <c r="J324" s="23">
        <v>1.276</v>
      </c>
      <c r="K324" s="23">
        <v>9.9989999999999996E-4</v>
      </c>
    </row>
    <row r="325" spans="1:11">
      <c r="A325" s="15">
        <v>8</v>
      </c>
      <c r="B325" s="22">
        <v>39709</v>
      </c>
      <c r="C325" s="15">
        <v>2008</v>
      </c>
      <c r="D325" s="11" t="s">
        <v>40</v>
      </c>
      <c r="E325" s="15">
        <v>9</v>
      </c>
      <c r="F325" s="23">
        <v>4.0910000000000002</v>
      </c>
      <c r="G325" s="23">
        <v>0.02</v>
      </c>
      <c r="H325" s="23">
        <v>0.13200000000000001</v>
      </c>
      <c r="I325" s="23">
        <v>1.6579999999999999</v>
      </c>
      <c r="J325" s="23">
        <v>6.8000000000000005E-2</v>
      </c>
      <c r="K325" s="23">
        <v>9.9989999999999996E-4</v>
      </c>
    </row>
    <row r="326" spans="1:11">
      <c r="A326" s="15">
        <v>15</v>
      </c>
      <c r="B326" s="22">
        <v>39709</v>
      </c>
      <c r="C326" s="15">
        <v>2008</v>
      </c>
      <c r="D326" s="11" t="s">
        <v>40</v>
      </c>
      <c r="E326" s="15">
        <v>9</v>
      </c>
      <c r="F326" s="23">
        <v>9.84</v>
      </c>
      <c r="G326" s="23">
        <v>9.8000000000000004E-2</v>
      </c>
      <c r="H326" s="23">
        <v>9.9989999999999996E-4</v>
      </c>
      <c r="I326" s="23">
        <v>3.669</v>
      </c>
      <c r="J326" s="23">
        <v>0.1</v>
      </c>
      <c r="K326" s="23">
        <v>9.9989999999999996E-4</v>
      </c>
    </row>
    <row r="327" spans="1:11">
      <c r="A327" s="15">
        <v>6</v>
      </c>
      <c r="B327" s="22">
        <v>39737</v>
      </c>
      <c r="C327" s="15">
        <v>2008</v>
      </c>
      <c r="D327" s="11" t="s">
        <v>36</v>
      </c>
      <c r="E327" s="15">
        <v>10</v>
      </c>
      <c r="F327" s="23">
        <v>8.9269999999999996</v>
      </c>
      <c r="G327" s="23">
        <v>2.7E-2</v>
      </c>
      <c r="H327" s="23">
        <v>0.86399999999999999</v>
      </c>
      <c r="I327" s="23">
        <v>3.32</v>
      </c>
      <c r="J327" s="23">
        <v>0.68400000000000005</v>
      </c>
      <c r="K327" s="23">
        <v>9.9989999999999996E-4</v>
      </c>
    </row>
    <row r="328" spans="1:11">
      <c r="A328" s="15">
        <v>8</v>
      </c>
      <c r="B328" s="22">
        <v>39735</v>
      </c>
      <c r="C328" s="15">
        <v>2008</v>
      </c>
      <c r="D328" s="11" t="s">
        <v>36</v>
      </c>
      <c r="E328" s="15">
        <v>10</v>
      </c>
      <c r="F328" s="23">
        <v>10.298</v>
      </c>
      <c r="G328" s="23">
        <v>1.2999999999999999E-2</v>
      </c>
      <c r="H328" s="23">
        <v>1.2150000000000001</v>
      </c>
      <c r="I328" s="23">
        <v>4.141</v>
      </c>
      <c r="J328" s="23">
        <v>0.71</v>
      </c>
      <c r="K328" s="23">
        <v>9.9989999999999996E-4</v>
      </c>
    </row>
    <row r="329" spans="1:11">
      <c r="A329" s="15">
        <v>15</v>
      </c>
      <c r="B329" s="22">
        <v>39735</v>
      </c>
      <c r="C329" s="15">
        <v>2008</v>
      </c>
      <c r="D329" s="11" t="s">
        <v>36</v>
      </c>
      <c r="E329" s="15">
        <v>10</v>
      </c>
      <c r="F329" s="23">
        <v>2.0609999999999999</v>
      </c>
      <c r="G329" s="23">
        <v>9.9989999999999996E-4</v>
      </c>
      <c r="H329" s="23">
        <v>9.9989999999999996E-4</v>
      </c>
      <c r="I329" s="23">
        <v>0.78400000000000003</v>
      </c>
      <c r="J329" s="23">
        <v>1.2E-2</v>
      </c>
      <c r="K329" s="23">
        <v>9.9989999999999996E-4</v>
      </c>
    </row>
    <row r="330" spans="1:11">
      <c r="A330" s="15">
        <v>6</v>
      </c>
      <c r="B330" s="22">
        <v>39763</v>
      </c>
      <c r="C330" s="15">
        <v>2008</v>
      </c>
      <c r="D330" s="11" t="s">
        <v>37</v>
      </c>
      <c r="E330" s="15">
        <v>11</v>
      </c>
      <c r="F330" s="23">
        <v>2.73</v>
      </c>
      <c r="G330" s="23">
        <v>1.4999999999999999E-2</v>
      </c>
      <c r="H330" s="23">
        <v>9.9989999999999996E-4</v>
      </c>
      <c r="I330" s="23">
        <v>0.82</v>
      </c>
      <c r="J330" s="23">
        <v>2.5000000000000001E-2</v>
      </c>
      <c r="K330" s="23">
        <v>9.9989999999999996E-4</v>
      </c>
    </row>
    <row r="331" spans="1:11">
      <c r="A331" s="15">
        <v>8</v>
      </c>
      <c r="B331" s="22">
        <v>39769</v>
      </c>
      <c r="C331" s="15">
        <v>2008</v>
      </c>
      <c r="D331" s="11" t="s">
        <v>37</v>
      </c>
      <c r="E331" s="15">
        <v>11</v>
      </c>
      <c r="F331" s="23">
        <v>0.91900000000000004</v>
      </c>
      <c r="G331" s="23">
        <v>9.9989999999999996E-4</v>
      </c>
      <c r="H331" s="23">
        <v>8.0000000000000002E-3</v>
      </c>
      <c r="I331" s="23">
        <v>0.223</v>
      </c>
      <c r="J331" s="23">
        <v>5.0000000000000001E-3</v>
      </c>
      <c r="K331" s="23">
        <v>9.9989999999999996E-4</v>
      </c>
    </row>
    <row r="332" spans="1:11">
      <c r="A332" s="15">
        <v>15</v>
      </c>
      <c r="B332" s="22">
        <v>39769</v>
      </c>
      <c r="C332" s="15">
        <v>2008</v>
      </c>
      <c r="D332" s="11" t="s">
        <v>37</v>
      </c>
      <c r="E332" s="15">
        <v>11</v>
      </c>
      <c r="F332" s="23">
        <v>3.798</v>
      </c>
      <c r="G332" s="23">
        <v>3.3000000000000002E-2</v>
      </c>
      <c r="H332" s="23">
        <v>0.05</v>
      </c>
      <c r="I332" s="23">
        <v>1.2450000000000001</v>
      </c>
      <c r="J332" s="23">
        <v>2.3E-2</v>
      </c>
      <c r="K332" s="23">
        <v>9.9989999999999996E-4</v>
      </c>
    </row>
    <row r="333" spans="1:11">
      <c r="A333" s="15">
        <v>6</v>
      </c>
      <c r="B333" s="22">
        <v>39797</v>
      </c>
      <c r="C333" s="15">
        <v>2008</v>
      </c>
      <c r="D333" s="11" t="s">
        <v>38</v>
      </c>
      <c r="E333" s="15">
        <v>12</v>
      </c>
      <c r="F333" s="23">
        <v>3.5739999999999998</v>
      </c>
      <c r="G333" s="23">
        <v>0.111</v>
      </c>
      <c r="H333" s="23">
        <v>9.9989999999999996E-4</v>
      </c>
      <c r="I333" s="23">
        <v>0.95699999999999996</v>
      </c>
      <c r="J333" s="23">
        <v>0.02</v>
      </c>
      <c r="K333" s="23">
        <v>9.9989999999999996E-4</v>
      </c>
    </row>
    <row r="334" spans="1:11">
      <c r="A334" s="15">
        <v>8</v>
      </c>
      <c r="B334" s="22">
        <v>39797</v>
      </c>
      <c r="C334" s="15">
        <v>2008</v>
      </c>
      <c r="D334" s="11" t="s">
        <v>38</v>
      </c>
      <c r="E334" s="15">
        <v>12</v>
      </c>
      <c r="F334" s="23">
        <v>0.628</v>
      </c>
      <c r="G334" s="23">
        <v>2.5999999999999999E-2</v>
      </c>
      <c r="H334" s="23">
        <v>9.9989999999999996E-4</v>
      </c>
      <c r="I334" s="23">
        <v>0.16</v>
      </c>
      <c r="J334" s="23">
        <v>9.9989999999999996E-4</v>
      </c>
      <c r="K334" s="23">
        <v>9.9989999999999996E-4</v>
      </c>
    </row>
    <row r="335" spans="1:11">
      <c r="A335" s="15">
        <v>15</v>
      </c>
      <c r="B335" s="22">
        <v>39797</v>
      </c>
      <c r="C335" s="15">
        <v>2008</v>
      </c>
      <c r="D335" s="11" t="s">
        <v>38</v>
      </c>
      <c r="E335" s="15">
        <v>12</v>
      </c>
      <c r="F335" s="23">
        <v>2.6560000000000001</v>
      </c>
      <c r="G335" s="23">
        <v>9.5000000000000001E-2</v>
      </c>
      <c r="H335" s="23">
        <v>9.9989999999999996E-4</v>
      </c>
      <c r="I335" s="23">
        <v>0.56799999999999995</v>
      </c>
      <c r="J335" s="23">
        <v>8.0000000000000002E-3</v>
      </c>
      <c r="K335" s="23">
        <v>9.9989999999999996E-4</v>
      </c>
    </row>
    <row r="336" spans="1:11">
      <c r="A336" s="15">
        <v>6</v>
      </c>
      <c r="B336" s="22">
        <v>39825</v>
      </c>
      <c r="C336" s="15">
        <v>2009</v>
      </c>
      <c r="D336" s="11" t="s">
        <v>39</v>
      </c>
      <c r="E336" s="12">
        <v>1</v>
      </c>
      <c r="F336" s="23">
        <v>5.0339999999999998</v>
      </c>
      <c r="G336" s="23">
        <v>0.11</v>
      </c>
      <c r="H336" s="23">
        <v>9.9989999999999996E-4</v>
      </c>
      <c r="I336" s="23">
        <v>1.3440000000000001</v>
      </c>
      <c r="J336" s="23">
        <v>4.4999999999999998E-2</v>
      </c>
      <c r="K336" s="23">
        <v>9.9989999999999996E-4</v>
      </c>
    </row>
    <row r="337" spans="1:11">
      <c r="A337" s="15">
        <v>8</v>
      </c>
      <c r="B337" s="22">
        <v>39826</v>
      </c>
      <c r="C337" s="15">
        <v>2009</v>
      </c>
      <c r="D337" s="11" t="s">
        <v>39</v>
      </c>
      <c r="E337" s="12">
        <v>1</v>
      </c>
      <c r="F337" s="23">
        <v>1.4219999999999999</v>
      </c>
      <c r="G337" s="23">
        <v>2.1000000000000001E-2</v>
      </c>
      <c r="H337" s="23">
        <v>9.9989999999999996E-4</v>
      </c>
      <c r="I337" s="23">
        <v>0.39200000000000002</v>
      </c>
      <c r="J337" s="23">
        <v>5.0000000000000001E-3</v>
      </c>
      <c r="K337" s="23">
        <v>9.9989999999999996E-4</v>
      </c>
    </row>
    <row r="338" spans="1:11">
      <c r="A338" s="15">
        <v>15</v>
      </c>
      <c r="B338" s="22">
        <v>39826</v>
      </c>
      <c r="C338" s="15">
        <v>2009</v>
      </c>
      <c r="D338" s="11" t="s">
        <v>39</v>
      </c>
      <c r="E338" s="12">
        <v>1</v>
      </c>
      <c r="F338" s="23">
        <v>3.698</v>
      </c>
      <c r="G338" s="23">
        <v>9.6000000000000002E-2</v>
      </c>
      <c r="H338" s="23">
        <v>9.9989999999999996E-4</v>
      </c>
      <c r="I338" s="23">
        <v>0.94299999999999995</v>
      </c>
      <c r="J338" s="23">
        <v>8.9999999999999993E-3</v>
      </c>
      <c r="K338" s="23">
        <v>9.9989999999999996E-4</v>
      </c>
    </row>
    <row r="339" spans="1:11">
      <c r="A339" s="12">
        <v>6</v>
      </c>
      <c r="B339" s="22">
        <v>39854</v>
      </c>
      <c r="C339" s="15">
        <v>2009</v>
      </c>
      <c r="D339" s="11" t="s">
        <v>28</v>
      </c>
      <c r="E339" s="12">
        <v>2</v>
      </c>
      <c r="F339" s="23">
        <v>3.08</v>
      </c>
      <c r="G339" s="23">
        <v>3.7999999999999999E-2</v>
      </c>
      <c r="H339" s="23">
        <v>1.7999999999999999E-2</v>
      </c>
      <c r="I339" s="23">
        <v>0.92400000000000004</v>
      </c>
      <c r="J339" s="23">
        <v>1.9E-2</v>
      </c>
      <c r="K339" s="23">
        <v>9.9989999999999996E-4</v>
      </c>
    </row>
    <row r="340" spans="1:11">
      <c r="A340" s="12">
        <v>8</v>
      </c>
      <c r="B340" s="22">
        <v>39855</v>
      </c>
      <c r="C340" s="15">
        <v>2009</v>
      </c>
      <c r="D340" s="11" t="s">
        <v>28</v>
      </c>
      <c r="E340" s="12">
        <v>2</v>
      </c>
      <c r="F340" s="23">
        <v>2.1640000000000001</v>
      </c>
      <c r="G340" s="23">
        <v>1.2E-2</v>
      </c>
      <c r="H340" s="23">
        <v>9.9989999999999996E-4</v>
      </c>
      <c r="I340" s="23">
        <v>0.79800000000000004</v>
      </c>
      <c r="J340" s="23">
        <v>1.4999999999999999E-2</v>
      </c>
      <c r="K340" s="23">
        <v>9.9989999999999996E-4</v>
      </c>
    </row>
    <row r="341" spans="1:11">
      <c r="A341" s="12">
        <v>15</v>
      </c>
      <c r="B341" s="22">
        <v>39855</v>
      </c>
      <c r="C341" s="15">
        <v>2009</v>
      </c>
      <c r="D341" s="11" t="s">
        <v>28</v>
      </c>
      <c r="E341" s="12">
        <v>2</v>
      </c>
      <c r="F341" s="23">
        <v>2.4750000000000001</v>
      </c>
      <c r="G341" s="23">
        <v>3.6999999999999998E-2</v>
      </c>
      <c r="H341" s="23">
        <v>1E-3</v>
      </c>
      <c r="I341" s="23">
        <v>0.84899999999999998</v>
      </c>
      <c r="J341" s="23">
        <v>1.7999999999999999E-2</v>
      </c>
      <c r="K341" s="23">
        <v>9.9989999999999996E-4</v>
      </c>
    </row>
    <row r="342" spans="1:11">
      <c r="A342" s="12">
        <v>6</v>
      </c>
      <c r="B342" s="22">
        <v>39890</v>
      </c>
      <c r="C342" s="15">
        <v>2009</v>
      </c>
      <c r="D342" s="11" t="s">
        <v>29</v>
      </c>
      <c r="E342" s="12">
        <v>3</v>
      </c>
      <c r="F342" s="23">
        <v>5.8040000000000003</v>
      </c>
      <c r="G342" s="25">
        <v>9.9989999999999996E-4</v>
      </c>
      <c r="H342" s="25">
        <v>1E-3</v>
      </c>
      <c r="I342" s="25">
        <v>2.5910000000000002</v>
      </c>
      <c r="J342" s="25">
        <v>3.3000000000000002E-2</v>
      </c>
      <c r="K342" s="25">
        <v>9.9989999999999996E-4</v>
      </c>
    </row>
    <row r="343" spans="1:11">
      <c r="A343" s="12">
        <v>8</v>
      </c>
      <c r="B343" s="22">
        <v>39888</v>
      </c>
      <c r="C343" s="15">
        <v>2009</v>
      </c>
      <c r="D343" s="11" t="s">
        <v>29</v>
      </c>
      <c r="E343" s="12">
        <v>3</v>
      </c>
      <c r="F343" s="23">
        <v>1.9910000000000001</v>
      </c>
      <c r="G343" s="25">
        <v>4.1000000000000002E-2</v>
      </c>
      <c r="H343" s="25">
        <v>9.9989999999999996E-4</v>
      </c>
      <c r="I343" s="25">
        <v>0.65400000000000003</v>
      </c>
      <c r="J343" s="25">
        <v>1.4999999999999999E-2</v>
      </c>
      <c r="K343" s="25">
        <v>9.9989999999999996E-4</v>
      </c>
    </row>
    <row r="344" spans="1:11">
      <c r="A344" s="12">
        <v>15</v>
      </c>
      <c r="B344" s="22">
        <v>39888</v>
      </c>
      <c r="C344" s="15">
        <v>2009</v>
      </c>
      <c r="D344" s="11" t="s">
        <v>29</v>
      </c>
      <c r="E344" s="12">
        <v>3</v>
      </c>
      <c r="F344" s="23">
        <v>3.77</v>
      </c>
      <c r="G344" s="25">
        <v>2.5000000000000001E-2</v>
      </c>
      <c r="H344" s="25">
        <v>1E-3</v>
      </c>
      <c r="I344" s="25">
        <v>1.5780000000000001</v>
      </c>
      <c r="J344" s="25">
        <v>2.1999999999999999E-2</v>
      </c>
      <c r="K344" s="25">
        <v>9.9989999999999996E-4</v>
      </c>
    </row>
    <row r="345" spans="1:11">
      <c r="A345" s="12">
        <v>6</v>
      </c>
      <c r="B345" s="22">
        <v>39920</v>
      </c>
      <c r="C345" s="15">
        <v>2009</v>
      </c>
      <c r="D345" s="11" t="s">
        <v>30</v>
      </c>
      <c r="E345" s="12">
        <v>4</v>
      </c>
      <c r="F345" s="23">
        <v>1.2190000000000001</v>
      </c>
      <c r="G345" s="25">
        <v>6.0000000000000001E-3</v>
      </c>
      <c r="H345" s="25">
        <v>9.9989999999999996E-4</v>
      </c>
      <c r="I345" s="25">
        <v>0.192</v>
      </c>
      <c r="J345" s="25">
        <v>2.3E-2</v>
      </c>
      <c r="K345" s="25">
        <v>9.9989999999999996E-4</v>
      </c>
    </row>
    <row r="346" spans="1:11">
      <c r="A346" s="12">
        <v>8</v>
      </c>
      <c r="B346" s="22">
        <v>39916</v>
      </c>
      <c r="C346" s="15">
        <v>2009</v>
      </c>
      <c r="D346" s="11" t="s">
        <v>30</v>
      </c>
      <c r="E346" s="12">
        <v>4</v>
      </c>
      <c r="F346" s="23">
        <v>0.41199999999999998</v>
      </c>
      <c r="G346" s="25">
        <v>1.7000000000000001E-2</v>
      </c>
      <c r="H346" s="25">
        <v>9.9989999999999996E-4</v>
      </c>
      <c r="I346" s="25">
        <v>5.3999999999999999E-2</v>
      </c>
      <c r="J346" s="25">
        <v>8.9999999999999993E-3</v>
      </c>
      <c r="K346" s="25">
        <v>9.9989999999999996E-4</v>
      </c>
    </row>
    <row r="347" spans="1:11">
      <c r="A347" s="12">
        <v>15</v>
      </c>
      <c r="B347" s="22">
        <v>39916</v>
      </c>
      <c r="C347" s="15">
        <v>2009</v>
      </c>
      <c r="D347" s="11" t="s">
        <v>30</v>
      </c>
      <c r="E347" s="12">
        <v>4</v>
      </c>
      <c r="F347" s="23">
        <v>1.7949999999999999</v>
      </c>
      <c r="G347" s="25">
        <v>2.1000000000000001E-2</v>
      </c>
      <c r="H347" s="25">
        <v>9.9989999999999996E-4</v>
      </c>
      <c r="I347" s="25">
        <v>0.193</v>
      </c>
      <c r="J347" s="25">
        <v>2.5999999999999999E-2</v>
      </c>
      <c r="K347" s="25">
        <v>9.9989999999999996E-4</v>
      </c>
    </row>
    <row r="348" spans="1:11">
      <c r="A348" s="12">
        <v>6</v>
      </c>
      <c r="B348" s="22">
        <v>39945</v>
      </c>
      <c r="C348" s="15">
        <v>2009</v>
      </c>
      <c r="D348" s="11" t="s">
        <v>31</v>
      </c>
      <c r="E348" s="12">
        <v>5</v>
      </c>
      <c r="F348" s="23">
        <v>8.4529999999999994</v>
      </c>
      <c r="G348" s="25">
        <v>2.7E-2</v>
      </c>
      <c r="H348" s="25">
        <v>1.502</v>
      </c>
      <c r="I348" s="25">
        <v>3.5009999999999999</v>
      </c>
      <c r="J348" s="25">
        <v>0.14899999999999999</v>
      </c>
      <c r="K348" s="25">
        <v>9.9989999999999996E-4</v>
      </c>
    </row>
    <row r="349" spans="1:11">
      <c r="A349" s="12">
        <v>8</v>
      </c>
      <c r="B349" s="22">
        <v>39946</v>
      </c>
      <c r="C349" s="15">
        <v>2009</v>
      </c>
      <c r="D349" s="11" t="s">
        <v>31</v>
      </c>
      <c r="E349" s="12">
        <v>5</v>
      </c>
      <c r="F349" s="23">
        <v>0.33900000000000002</v>
      </c>
      <c r="G349" s="25">
        <v>9.9989999999999996E-4</v>
      </c>
      <c r="H349" s="25">
        <v>9.9989999999999996E-4</v>
      </c>
      <c r="I349" s="25">
        <v>3.4000000000000002E-2</v>
      </c>
      <c r="J349" s="25">
        <v>9.9989999999999996E-4</v>
      </c>
      <c r="K349" s="25">
        <v>9.9989999999999996E-4</v>
      </c>
    </row>
    <row r="350" spans="1:11">
      <c r="A350" s="12">
        <v>15</v>
      </c>
      <c r="B350" s="22">
        <v>39946</v>
      </c>
      <c r="C350" s="15">
        <v>2009</v>
      </c>
      <c r="D350" s="11" t="s">
        <v>31</v>
      </c>
      <c r="E350" s="12">
        <v>5</v>
      </c>
      <c r="F350" s="23">
        <v>7.6669999999999998</v>
      </c>
      <c r="G350" s="25">
        <v>4.3999999999999997E-2</v>
      </c>
      <c r="H350" s="25">
        <v>1.1679999999999999</v>
      </c>
      <c r="I350" s="25">
        <v>3.2650000000000001</v>
      </c>
      <c r="J350" s="25">
        <v>0.16400000000000001</v>
      </c>
      <c r="K350" s="25">
        <v>9.9989999999999996E-4</v>
      </c>
    </row>
    <row r="351" spans="1:11">
      <c r="A351" s="15">
        <v>6</v>
      </c>
      <c r="B351" s="22">
        <v>39980</v>
      </c>
      <c r="C351" s="15">
        <v>2009</v>
      </c>
      <c r="D351" s="11" t="s">
        <v>32</v>
      </c>
      <c r="E351" s="12">
        <v>6</v>
      </c>
      <c r="F351" s="23">
        <v>15.779</v>
      </c>
      <c r="G351" s="25">
        <v>9.0999999999999998E-2</v>
      </c>
      <c r="H351" s="25">
        <v>3.258</v>
      </c>
      <c r="I351" s="25">
        <v>5.782</v>
      </c>
      <c r="J351" s="25">
        <v>0.246</v>
      </c>
      <c r="K351" s="25">
        <v>1E-3</v>
      </c>
    </row>
    <row r="352" spans="1:11">
      <c r="A352" s="15">
        <v>8</v>
      </c>
      <c r="B352" s="22">
        <v>39983</v>
      </c>
      <c r="C352" s="15">
        <v>2009</v>
      </c>
      <c r="D352" s="11" t="s">
        <v>32</v>
      </c>
      <c r="E352" s="12">
        <v>6</v>
      </c>
      <c r="F352" s="23">
        <v>2.0019999999999998</v>
      </c>
      <c r="G352" s="25">
        <v>5.8999999999999997E-2</v>
      </c>
      <c r="H352" s="25">
        <v>1E-3</v>
      </c>
      <c r="I352" s="25">
        <v>0.308</v>
      </c>
      <c r="J352" s="25">
        <v>1.4999999999999999E-2</v>
      </c>
      <c r="K352" s="25">
        <v>9.9989999999999996E-4</v>
      </c>
    </row>
    <row r="353" spans="1:11">
      <c r="A353" s="15">
        <v>15</v>
      </c>
      <c r="B353" s="22">
        <v>39983</v>
      </c>
      <c r="C353" s="15">
        <v>2009</v>
      </c>
      <c r="D353" s="11" t="s">
        <v>32</v>
      </c>
      <c r="E353" s="12">
        <v>6</v>
      </c>
      <c r="F353" s="23">
        <v>8.2710000000000008</v>
      </c>
      <c r="G353" s="25">
        <v>0.14399999999999999</v>
      </c>
      <c r="H353" s="25">
        <v>0.39700000000000002</v>
      </c>
      <c r="I353" s="25">
        <v>2.641</v>
      </c>
      <c r="J353" s="25">
        <v>0.61299999999999999</v>
      </c>
      <c r="K353" s="25">
        <v>1E-3</v>
      </c>
    </row>
    <row r="354" spans="1:11">
      <c r="A354" s="15">
        <v>6</v>
      </c>
      <c r="B354" s="22">
        <v>40007</v>
      </c>
      <c r="C354" s="15">
        <v>2009</v>
      </c>
      <c r="D354" s="11" t="s">
        <v>33</v>
      </c>
      <c r="E354" s="12">
        <v>7</v>
      </c>
      <c r="F354" s="23">
        <v>9.7100000000000009</v>
      </c>
      <c r="G354" s="25">
        <v>0.123</v>
      </c>
      <c r="H354" s="25">
        <v>0.17299999999999999</v>
      </c>
      <c r="I354" s="25">
        <v>2.665</v>
      </c>
      <c r="J354" s="25">
        <v>1.454</v>
      </c>
      <c r="K354" s="25">
        <v>1E-3</v>
      </c>
    </row>
    <row r="355" spans="1:11">
      <c r="A355" s="15">
        <v>8</v>
      </c>
      <c r="B355" s="22">
        <v>40007</v>
      </c>
      <c r="C355" s="15">
        <v>2009</v>
      </c>
      <c r="D355" s="11" t="s">
        <v>33</v>
      </c>
      <c r="E355" s="12">
        <v>7</v>
      </c>
      <c r="F355" s="23">
        <v>1.663</v>
      </c>
      <c r="G355" s="25">
        <v>8.3000000000000004E-2</v>
      </c>
      <c r="H355" s="25">
        <v>9.9989999999999996E-4</v>
      </c>
      <c r="I355" s="25">
        <v>0.13300000000000001</v>
      </c>
      <c r="J355" s="25">
        <v>1.4999999999999999E-2</v>
      </c>
      <c r="K355" s="25">
        <v>9.9989999999999996E-4</v>
      </c>
    </row>
    <row r="356" spans="1:11">
      <c r="A356" s="15">
        <v>15</v>
      </c>
      <c r="B356" s="22">
        <v>40007</v>
      </c>
      <c r="C356" s="15">
        <v>2009</v>
      </c>
      <c r="D356" s="11" t="s">
        <v>33</v>
      </c>
      <c r="E356" s="12">
        <v>7</v>
      </c>
      <c r="F356" s="23">
        <v>12.875999999999999</v>
      </c>
      <c r="G356" s="25">
        <v>0.18099999999999999</v>
      </c>
      <c r="H356" s="25">
        <v>0.44700000000000001</v>
      </c>
      <c r="I356" s="25">
        <v>3.9950000000000001</v>
      </c>
      <c r="J356" s="25">
        <v>1.4670000000000001</v>
      </c>
      <c r="K356" s="25">
        <v>1E-3</v>
      </c>
    </row>
    <row r="357" spans="1:11">
      <c r="A357" s="15">
        <v>6</v>
      </c>
      <c r="B357" s="22">
        <v>40043</v>
      </c>
      <c r="C357" s="15">
        <v>2009</v>
      </c>
      <c r="D357" s="11" t="s">
        <v>34</v>
      </c>
      <c r="E357" s="12">
        <v>8</v>
      </c>
      <c r="F357" s="23">
        <v>8.4060000000000006</v>
      </c>
      <c r="G357" s="25">
        <v>0.13200000000000001</v>
      </c>
      <c r="H357" s="25">
        <v>1E-3</v>
      </c>
      <c r="I357" s="25">
        <v>1.0189999999999999</v>
      </c>
      <c r="J357" s="25">
        <v>1.5780000000000001</v>
      </c>
      <c r="K357" s="25">
        <v>1E-3</v>
      </c>
    </row>
    <row r="358" spans="1:11">
      <c r="A358" s="15">
        <v>8</v>
      </c>
      <c r="B358" s="22">
        <v>40042</v>
      </c>
      <c r="C358" s="15">
        <v>2009</v>
      </c>
      <c r="D358" s="11" t="s">
        <v>34</v>
      </c>
      <c r="E358" s="12">
        <v>8</v>
      </c>
      <c r="F358" s="23">
        <v>3.9969999999999999</v>
      </c>
      <c r="G358" s="25">
        <v>5.2999999999999999E-2</v>
      </c>
      <c r="H358" s="25">
        <v>1E-3</v>
      </c>
      <c r="I358" s="25">
        <v>1.022</v>
      </c>
      <c r="J358" s="25">
        <v>6.2E-2</v>
      </c>
      <c r="K358" s="25">
        <v>9.9989999999999996E-4</v>
      </c>
    </row>
    <row r="359" spans="1:11">
      <c r="A359" s="15">
        <v>15</v>
      </c>
      <c r="B359" s="22">
        <v>40042</v>
      </c>
      <c r="C359" s="15">
        <v>2009</v>
      </c>
      <c r="D359" s="11" t="s">
        <v>34</v>
      </c>
      <c r="E359" s="12">
        <v>8</v>
      </c>
      <c r="F359" s="23">
        <v>4.3540000000000001</v>
      </c>
      <c r="G359" s="25">
        <v>0.12</v>
      </c>
      <c r="H359" s="25">
        <v>9.9989999999999996E-4</v>
      </c>
      <c r="I359" s="25">
        <v>0.63100000000000001</v>
      </c>
      <c r="J359" s="25">
        <v>0.97599999999999998</v>
      </c>
      <c r="K359" s="25">
        <v>9.9989999999999996E-4</v>
      </c>
    </row>
    <row r="360" spans="1:11">
      <c r="A360" s="15">
        <v>6</v>
      </c>
      <c r="B360" s="22">
        <v>40070</v>
      </c>
      <c r="C360" s="15">
        <v>2009</v>
      </c>
      <c r="D360" s="11" t="s">
        <v>40</v>
      </c>
      <c r="E360" s="12">
        <v>9</v>
      </c>
      <c r="F360" s="23">
        <v>15.342000000000001</v>
      </c>
      <c r="G360" s="25">
        <v>0.42499999999999999</v>
      </c>
      <c r="H360" s="25">
        <v>1E-3</v>
      </c>
      <c r="I360" s="25">
        <v>3.8159999999999998</v>
      </c>
      <c r="J360" s="25">
        <v>0.51700000000000002</v>
      </c>
      <c r="K360" s="25">
        <v>9.9989999999999996E-4</v>
      </c>
    </row>
    <row r="361" spans="1:11">
      <c r="A361" s="15">
        <v>8</v>
      </c>
      <c r="B361" s="22">
        <v>40071</v>
      </c>
      <c r="C361" s="15">
        <v>2009</v>
      </c>
      <c r="D361" s="11" t="s">
        <v>40</v>
      </c>
      <c r="E361" s="12">
        <v>9</v>
      </c>
      <c r="F361" s="23">
        <v>3.0209999999999999</v>
      </c>
      <c r="G361" s="25">
        <v>1.4999999999999999E-2</v>
      </c>
      <c r="H361" s="25">
        <v>1E-3</v>
      </c>
      <c r="I361" s="25">
        <v>0.58399999999999996</v>
      </c>
      <c r="J361" s="25">
        <v>3.2000000000000001E-2</v>
      </c>
      <c r="K361" s="25">
        <v>9.9989999999999996E-4</v>
      </c>
    </row>
    <row r="362" spans="1:11">
      <c r="A362" s="15">
        <v>15</v>
      </c>
      <c r="B362" s="22">
        <v>40071</v>
      </c>
      <c r="C362" s="15">
        <v>2009</v>
      </c>
      <c r="D362" s="11" t="s">
        <v>40</v>
      </c>
      <c r="E362" s="12">
        <v>9</v>
      </c>
      <c r="F362" s="23">
        <v>5.6849999999999996</v>
      </c>
      <c r="G362" s="25">
        <v>6.0999999999999999E-2</v>
      </c>
      <c r="H362" s="25">
        <v>1E-3</v>
      </c>
      <c r="I362" s="25">
        <v>1.2270000000000001</v>
      </c>
      <c r="J362" s="25">
        <v>0.41099999999999998</v>
      </c>
      <c r="K362" s="25">
        <v>9.9989999999999996E-4</v>
      </c>
    </row>
    <row r="363" spans="1:11">
      <c r="A363" s="15">
        <v>6</v>
      </c>
      <c r="B363" s="22">
        <v>40099</v>
      </c>
      <c r="C363" s="15">
        <v>2009</v>
      </c>
      <c r="D363" s="11" t="s">
        <v>36</v>
      </c>
      <c r="E363" s="12">
        <v>10</v>
      </c>
      <c r="F363" s="23">
        <v>7.2110000000000003</v>
      </c>
      <c r="G363" s="25">
        <v>2.8000000000000001E-2</v>
      </c>
      <c r="H363" s="25">
        <v>0.11899999999999999</v>
      </c>
      <c r="I363" s="25">
        <v>4.6539999999999999</v>
      </c>
      <c r="J363" s="25">
        <v>0.97099999999999997</v>
      </c>
      <c r="K363" s="25">
        <v>9.9989999999999996E-4</v>
      </c>
    </row>
    <row r="364" spans="1:11">
      <c r="A364" s="15">
        <v>8</v>
      </c>
      <c r="B364" s="22">
        <v>40100</v>
      </c>
      <c r="C364" s="15">
        <v>2009</v>
      </c>
      <c r="D364" s="11" t="s">
        <v>36</v>
      </c>
      <c r="E364" s="12">
        <v>10</v>
      </c>
      <c r="F364" s="23">
        <v>1.18</v>
      </c>
      <c r="G364" s="25">
        <v>1.2999999999999999E-2</v>
      </c>
      <c r="H364" s="25">
        <v>1E-3</v>
      </c>
      <c r="I364" s="25">
        <v>0.309</v>
      </c>
      <c r="J364" s="25">
        <v>8.9999999999999993E-3</v>
      </c>
      <c r="K364" s="25">
        <v>9.9989999999999996E-4</v>
      </c>
    </row>
    <row r="365" spans="1:11">
      <c r="A365" s="15">
        <v>15</v>
      </c>
      <c r="B365" s="22">
        <v>40100</v>
      </c>
      <c r="C365" s="15">
        <v>2009</v>
      </c>
      <c r="D365" s="11" t="s">
        <v>36</v>
      </c>
      <c r="E365" s="12">
        <v>10</v>
      </c>
      <c r="F365" s="23">
        <v>5.5419999999999998</v>
      </c>
      <c r="G365" s="25">
        <v>8.2000000000000003E-2</v>
      </c>
      <c r="H365" s="25">
        <v>9.9989999999999996E-4</v>
      </c>
      <c r="I365" s="25">
        <v>1.643</v>
      </c>
      <c r="J365" s="25">
        <v>8.5000000000000006E-2</v>
      </c>
      <c r="K365" s="25">
        <v>9.9989999999999996E-4</v>
      </c>
    </row>
    <row r="366" spans="1:11">
      <c r="A366" s="15">
        <v>6</v>
      </c>
      <c r="B366" s="22">
        <v>40133</v>
      </c>
      <c r="C366" s="15">
        <v>2009</v>
      </c>
      <c r="D366" s="11" t="s">
        <v>37</v>
      </c>
      <c r="E366" s="12">
        <v>11</v>
      </c>
      <c r="F366" s="23">
        <v>3.5150000000000001</v>
      </c>
      <c r="G366" s="25">
        <v>3.9E-2</v>
      </c>
      <c r="H366" s="25">
        <v>9.9989999999999996E-4</v>
      </c>
      <c r="I366" s="25">
        <v>0.82099999999999995</v>
      </c>
      <c r="J366" s="25">
        <v>3.7999999999999999E-2</v>
      </c>
      <c r="K366" s="25">
        <v>9.9989999999999996E-4</v>
      </c>
    </row>
    <row r="367" spans="1:11">
      <c r="A367" s="15">
        <v>8</v>
      </c>
      <c r="B367" s="22">
        <v>40133</v>
      </c>
      <c r="C367" s="15">
        <v>2009</v>
      </c>
      <c r="D367" s="11" t="s">
        <v>37</v>
      </c>
      <c r="E367" s="12">
        <v>11</v>
      </c>
      <c r="F367" s="23">
        <v>2.919</v>
      </c>
      <c r="G367" s="25">
        <v>0.113</v>
      </c>
      <c r="H367" s="25">
        <v>1E-3</v>
      </c>
      <c r="I367" s="25">
        <v>0.80100000000000005</v>
      </c>
      <c r="J367" s="25">
        <v>4.1000000000000002E-2</v>
      </c>
      <c r="K367" s="25">
        <v>9.9989999999999996E-4</v>
      </c>
    </row>
    <row r="368" spans="1:11">
      <c r="A368" s="15">
        <v>15</v>
      </c>
      <c r="B368" s="22">
        <v>40133</v>
      </c>
      <c r="C368" s="15">
        <v>2009</v>
      </c>
      <c r="D368" s="11" t="s">
        <v>37</v>
      </c>
      <c r="E368" s="12">
        <v>11</v>
      </c>
      <c r="F368" s="23">
        <v>3.758</v>
      </c>
      <c r="G368" s="25">
        <v>7.0999999999999994E-2</v>
      </c>
      <c r="H368" s="25">
        <v>1E-3</v>
      </c>
      <c r="I368" s="25">
        <v>1.129</v>
      </c>
      <c r="J368" s="25">
        <v>4.1000000000000002E-2</v>
      </c>
      <c r="K368" s="25">
        <v>9.9989999999999996E-4</v>
      </c>
    </row>
    <row r="369" spans="1:11">
      <c r="A369" s="15">
        <v>6</v>
      </c>
      <c r="B369" s="22">
        <v>40161</v>
      </c>
      <c r="C369" s="15">
        <v>2009</v>
      </c>
      <c r="D369" s="11" t="s">
        <v>38</v>
      </c>
      <c r="E369" s="12">
        <v>12</v>
      </c>
      <c r="F369" s="23">
        <v>2.84</v>
      </c>
      <c r="G369" s="25">
        <v>0.15</v>
      </c>
      <c r="H369" s="25">
        <v>0.02</v>
      </c>
      <c r="I369" s="25">
        <v>0.45800000000000002</v>
      </c>
      <c r="J369" s="25">
        <v>2.1000000000000001E-2</v>
      </c>
      <c r="K369" s="25">
        <v>9.9989999999999996E-4</v>
      </c>
    </row>
    <row r="370" spans="1:11">
      <c r="A370" s="15">
        <v>8</v>
      </c>
      <c r="B370" s="22">
        <v>40161</v>
      </c>
      <c r="C370" s="15">
        <v>2009</v>
      </c>
      <c r="D370" s="11" t="s">
        <v>38</v>
      </c>
      <c r="E370" s="12">
        <v>12</v>
      </c>
      <c r="F370" s="23">
        <v>2.5099999999999998</v>
      </c>
      <c r="G370" s="25">
        <v>4.8000000000000001E-2</v>
      </c>
      <c r="H370" s="25">
        <v>9.9989999999999996E-4</v>
      </c>
      <c r="I370" s="25">
        <v>0.63800000000000001</v>
      </c>
      <c r="J370" s="25">
        <v>1.0999999999999999E-2</v>
      </c>
      <c r="K370" s="25">
        <v>9.9989999999999996E-4</v>
      </c>
    </row>
    <row r="371" spans="1:11">
      <c r="A371" s="15">
        <v>15</v>
      </c>
      <c r="B371" s="22">
        <v>40161</v>
      </c>
      <c r="C371" s="15">
        <v>2009</v>
      </c>
      <c r="D371" s="11" t="s">
        <v>38</v>
      </c>
      <c r="E371" s="12">
        <v>12</v>
      </c>
      <c r="F371" s="23">
        <v>1.82</v>
      </c>
      <c r="G371" s="25">
        <v>7.0000000000000007E-2</v>
      </c>
      <c r="H371" s="25">
        <v>9.9989999999999996E-4</v>
      </c>
      <c r="I371" s="25">
        <v>0.31900000000000001</v>
      </c>
      <c r="J371" s="25">
        <v>8.9999999999999993E-3</v>
      </c>
      <c r="K371" s="25">
        <v>9.9989999999999996E-4</v>
      </c>
    </row>
    <row r="372" spans="1:11">
      <c r="A372" s="15">
        <v>6</v>
      </c>
      <c r="B372" s="19">
        <v>40197</v>
      </c>
      <c r="C372" s="15">
        <v>2010</v>
      </c>
      <c r="D372" s="11" t="s">
        <v>39</v>
      </c>
      <c r="E372" s="15">
        <v>1</v>
      </c>
      <c r="F372" s="26">
        <v>4.9989999999999997</v>
      </c>
      <c r="G372" s="18">
        <v>8.9699249999999994E-2</v>
      </c>
      <c r="H372" s="18">
        <v>0</v>
      </c>
      <c r="I372" s="18">
        <v>1.9752213749999998</v>
      </c>
      <c r="J372" s="18">
        <v>2.1874625000000002E-2</v>
      </c>
      <c r="K372" s="18">
        <v>0</v>
      </c>
    </row>
    <row r="373" spans="1:11">
      <c r="A373" s="15">
        <v>8</v>
      </c>
      <c r="B373" s="19">
        <v>40197</v>
      </c>
      <c r="C373" s="15">
        <v>2010</v>
      </c>
      <c r="D373" s="11" t="s">
        <v>39</v>
      </c>
      <c r="E373" s="15">
        <v>1</v>
      </c>
      <c r="F373" s="26">
        <v>5.9050000000000002</v>
      </c>
      <c r="G373" s="18">
        <v>0.11726499999999999</v>
      </c>
      <c r="H373" s="18">
        <v>0</v>
      </c>
      <c r="I373" s="18">
        <v>2.4125623749999998</v>
      </c>
      <c r="J373" s="18">
        <v>1.5281125E-2</v>
      </c>
      <c r="K373" s="18">
        <v>0</v>
      </c>
    </row>
    <row r="374" spans="1:11">
      <c r="A374" s="15">
        <v>15</v>
      </c>
      <c r="B374" s="19">
        <v>40197</v>
      </c>
      <c r="C374" s="15">
        <v>2010</v>
      </c>
      <c r="D374" s="11" t="s">
        <v>39</v>
      </c>
      <c r="E374" s="15">
        <v>1</v>
      </c>
      <c r="F374" s="26">
        <v>4.7960000000000003</v>
      </c>
      <c r="G374" s="18">
        <v>0.172687375</v>
      </c>
      <c r="H374" s="18">
        <v>0</v>
      </c>
      <c r="I374" s="18">
        <v>1.8365761249999999</v>
      </c>
      <c r="J374" s="18">
        <v>2.3786000000000002E-2</v>
      </c>
      <c r="K374" s="18">
        <v>0</v>
      </c>
    </row>
    <row r="375" spans="1:11">
      <c r="A375" s="15">
        <v>6</v>
      </c>
      <c r="B375" s="19">
        <v>40225</v>
      </c>
      <c r="C375" s="15">
        <v>2010</v>
      </c>
      <c r="D375" s="11" t="s">
        <v>28</v>
      </c>
      <c r="E375" s="15">
        <v>2</v>
      </c>
      <c r="F375" s="26">
        <v>12.962999999999999</v>
      </c>
      <c r="G375" s="18">
        <v>0.40162474999999997</v>
      </c>
      <c r="H375" s="18">
        <v>0</v>
      </c>
      <c r="I375" s="18">
        <v>5.6583409999999992</v>
      </c>
      <c r="J375" s="18">
        <v>7.0670750000000004E-2</v>
      </c>
      <c r="K375" s="18">
        <v>0</v>
      </c>
    </row>
    <row r="376" spans="1:11">
      <c r="A376" s="15">
        <v>8</v>
      </c>
      <c r="B376" s="19">
        <v>40225</v>
      </c>
      <c r="C376" s="15">
        <v>2010</v>
      </c>
      <c r="D376" s="11" t="s">
        <v>28</v>
      </c>
      <c r="E376" s="15">
        <v>2</v>
      </c>
      <c r="F376" s="26">
        <v>6.0780000000000003</v>
      </c>
      <c r="G376" s="18">
        <v>1.2885874999999998E-2</v>
      </c>
      <c r="H376" s="18">
        <v>0</v>
      </c>
      <c r="I376" s="18">
        <v>1.420873625</v>
      </c>
      <c r="J376" s="18">
        <v>0.17010137499999997</v>
      </c>
      <c r="K376" s="18">
        <v>0</v>
      </c>
    </row>
    <row r="377" spans="1:11">
      <c r="A377" s="15">
        <v>15</v>
      </c>
      <c r="B377" s="19">
        <v>40225</v>
      </c>
      <c r="C377" s="15">
        <v>2010</v>
      </c>
      <c r="D377" s="11" t="s">
        <v>28</v>
      </c>
      <c r="E377" s="15">
        <v>2</v>
      </c>
      <c r="F377" s="26">
        <v>6.5510000000000002</v>
      </c>
      <c r="G377" s="18">
        <v>3.4054999999999995E-2</v>
      </c>
      <c r="H377" s="18">
        <v>0</v>
      </c>
      <c r="I377" s="18">
        <v>1.2893794999999997</v>
      </c>
      <c r="J377" s="18">
        <v>4.7679625000000003E-2</v>
      </c>
      <c r="K377" s="18">
        <v>0</v>
      </c>
    </row>
    <row r="378" spans="1:11">
      <c r="A378" s="15">
        <v>6</v>
      </c>
      <c r="B378" s="19">
        <v>40254</v>
      </c>
      <c r="C378" s="15">
        <v>2010</v>
      </c>
      <c r="D378" s="11" t="s">
        <v>29</v>
      </c>
      <c r="E378" s="15">
        <v>3</v>
      </c>
      <c r="F378" s="26">
        <v>6.1379999999999999</v>
      </c>
      <c r="G378" s="18">
        <v>0</v>
      </c>
      <c r="H378" s="18">
        <v>0</v>
      </c>
      <c r="I378" s="18">
        <v>2.5625428749999997</v>
      </c>
      <c r="J378" s="18">
        <v>5.5063624999999984E-2</v>
      </c>
      <c r="K378" s="18">
        <v>0</v>
      </c>
    </row>
    <row r="379" spans="1:11">
      <c r="A379" s="15">
        <v>8</v>
      </c>
      <c r="B379" s="19">
        <v>40255</v>
      </c>
      <c r="C379" s="15">
        <v>2010</v>
      </c>
      <c r="D379" s="11" t="s">
        <v>29</v>
      </c>
      <c r="E379" s="15">
        <v>3</v>
      </c>
      <c r="F379" s="26">
        <v>6.1959999999999997</v>
      </c>
      <c r="G379" s="18">
        <v>6.8309499999999995E-2</v>
      </c>
      <c r="H379" s="18">
        <v>0</v>
      </c>
      <c r="I379" s="18">
        <v>2.6467047499999996</v>
      </c>
      <c r="J379" s="18">
        <v>7.8760374999999994E-2</v>
      </c>
      <c r="K379" s="18">
        <v>0</v>
      </c>
    </row>
    <row r="380" spans="1:11">
      <c r="A380" s="15">
        <v>15</v>
      </c>
      <c r="B380" s="19">
        <v>40255</v>
      </c>
      <c r="C380" s="15">
        <v>2010</v>
      </c>
      <c r="D380" s="11" t="s">
        <v>29</v>
      </c>
      <c r="E380" s="15">
        <v>3</v>
      </c>
      <c r="F380" s="26">
        <v>6.1070000000000002</v>
      </c>
      <c r="G380" s="18">
        <v>2.5503999999999999E-2</v>
      </c>
      <c r="H380" s="18">
        <v>0</v>
      </c>
      <c r="I380" s="18">
        <v>2.5867329999999997</v>
      </c>
      <c r="J380" s="18">
        <v>8.5736499999999993E-2</v>
      </c>
      <c r="K380" s="18">
        <v>0</v>
      </c>
    </row>
    <row r="381" spans="1:11">
      <c r="A381" s="15">
        <v>6</v>
      </c>
      <c r="B381" s="19">
        <v>40280</v>
      </c>
      <c r="C381" s="15">
        <v>2010</v>
      </c>
      <c r="D381" s="11" t="s">
        <v>30</v>
      </c>
      <c r="E381" s="15">
        <v>4</v>
      </c>
      <c r="F381" s="26">
        <v>2.9020000000000001</v>
      </c>
      <c r="G381" s="18">
        <v>0</v>
      </c>
      <c r="H381" s="18">
        <v>0</v>
      </c>
      <c r="I381" s="18">
        <v>1.0030531250000001</v>
      </c>
      <c r="J381" s="18">
        <v>3.3315749999999998E-2</v>
      </c>
      <c r="K381" s="18">
        <v>0</v>
      </c>
    </row>
    <row r="382" spans="1:11">
      <c r="A382" s="15">
        <v>8</v>
      </c>
      <c r="B382" s="19">
        <v>40281</v>
      </c>
      <c r="C382" s="15">
        <v>2010</v>
      </c>
      <c r="D382" s="11" t="s">
        <v>30</v>
      </c>
      <c r="E382" s="15">
        <v>4</v>
      </c>
      <c r="F382" s="26">
        <v>0.80500000000000005</v>
      </c>
      <c r="G382" s="18">
        <v>2.9824375000000004E-2</v>
      </c>
      <c r="H382" s="18">
        <v>0</v>
      </c>
      <c r="I382" s="18">
        <v>0.15340712499999998</v>
      </c>
      <c r="J382" s="18">
        <v>6.3816250000000001E-3</v>
      </c>
      <c r="K382" s="18">
        <v>0</v>
      </c>
    </row>
    <row r="383" spans="1:11">
      <c r="A383" s="15">
        <v>15</v>
      </c>
      <c r="B383" s="19">
        <v>40281</v>
      </c>
      <c r="C383" s="15">
        <v>2010</v>
      </c>
      <c r="D383" s="11" t="s">
        <v>30</v>
      </c>
      <c r="E383" s="15">
        <v>4</v>
      </c>
      <c r="F383" s="26">
        <v>1.873</v>
      </c>
      <c r="G383" s="18">
        <v>0.14003712500000001</v>
      </c>
      <c r="H383" s="18">
        <v>0</v>
      </c>
      <c r="I383" s="18">
        <v>0.43758524999999993</v>
      </c>
      <c r="J383" s="18">
        <v>1.3408500000000002E-2</v>
      </c>
      <c r="K383" s="18">
        <v>0</v>
      </c>
    </row>
    <row r="384" spans="1:11">
      <c r="A384" s="15">
        <v>6</v>
      </c>
      <c r="B384" s="22">
        <v>40315</v>
      </c>
      <c r="C384" s="15">
        <v>2010</v>
      </c>
      <c r="D384" s="11" t="s">
        <v>31</v>
      </c>
      <c r="E384" s="15">
        <v>5</v>
      </c>
      <c r="F384" s="27">
        <v>6.8540000000000001</v>
      </c>
      <c r="G384" s="18">
        <v>0.11470087499999998</v>
      </c>
      <c r="H384" s="18">
        <v>0.81112087499999985</v>
      </c>
      <c r="I384" s="18">
        <v>3.84321175</v>
      </c>
      <c r="J384" s="18">
        <v>0.23109987499999998</v>
      </c>
      <c r="K384" s="18">
        <v>4.4747874999999999E-2</v>
      </c>
    </row>
    <row r="385" spans="1:12">
      <c r="A385" s="15">
        <v>8</v>
      </c>
      <c r="B385" s="22">
        <v>40317</v>
      </c>
      <c r="C385" s="15">
        <v>2010</v>
      </c>
      <c r="D385" s="11" t="s">
        <v>31</v>
      </c>
      <c r="E385" s="15">
        <v>5</v>
      </c>
      <c r="F385" s="27">
        <v>1.6919999999999999</v>
      </c>
      <c r="G385" s="18">
        <v>1.661325E-2</v>
      </c>
      <c r="H385" s="18">
        <v>0</v>
      </c>
      <c r="I385" s="18">
        <v>0.55132612499999989</v>
      </c>
      <c r="J385" s="18">
        <v>2.2913999999999997E-2</v>
      </c>
      <c r="K385" s="18">
        <v>0</v>
      </c>
    </row>
    <row r="386" spans="1:12">
      <c r="A386" s="15">
        <v>15</v>
      </c>
      <c r="B386" s="22">
        <v>40317</v>
      </c>
      <c r="C386" s="15">
        <v>2010</v>
      </c>
      <c r="D386" s="11" t="s">
        <v>31</v>
      </c>
      <c r="E386" s="15">
        <v>5</v>
      </c>
      <c r="F386" s="27">
        <v>4.1239999999999997</v>
      </c>
      <c r="G386" s="18">
        <v>1.7090500000000002E-2</v>
      </c>
      <c r="H386" s="18">
        <v>0.52261687499999987</v>
      </c>
      <c r="I386" s="18">
        <v>2.1057296249999999</v>
      </c>
      <c r="J386" s="18">
        <v>0.41578087499999988</v>
      </c>
      <c r="K386" s="18">
        <v>0</v>
      </c>
    </row>
    <row r="387" spans="1:12">
      <c r="A387" s="15">
        <v>6</v>
      </c>
      <c r="B387" s="22">
        <v>40344</v>
      </c>
      <c r="C387" s="15">
        <v>2010</v>
      </c>
      <c r="D387" s="11" t="s">
        <v>32</v>
      </c>
      <c r="E387" s="15">
        <v>6</v>
      </c>
      <c r="F387" s="27">
        <v>9.5589999999999993</v>
      </c>
      <c r="G387" s="18">
        <v>0.172917875</v>
      </c>
      <c r="H387" s="18">
        <v>0</v>
      </c>
      <c r="I387" s="18">
        <v>2.0582235</v>
      </c>
      <c r="J387" s="18">
        <v>1.2212901249999997</v>
      </c>
      <c r="K387" s="18">
        <v>0</v>
      </c>
    </row>
    <row r="388" spans="1:12">
      <c r="A388" s="15">
        <v>8</v>
      </c>
      <c r="B388" s="22">
        <v>40345</v>
      </c>
      <c r="C388" s="15">
        <v>2010</v>
      </c>
      <c r="D388" s="11" t="s">
        <v>32</v>
      </c>
      <c r="E388" s="15">
        <v>6</v>
      </c>
      <c r="F388" s="27">
        <v>4.774</v>
      </c>
      <c r="G388" s="18">
        <v>0.17781674999999997</v>
      </c>
      <c r="H388" s="18">
        <v>0</v>
      </c>
      <c r="I388" s="18">
        <v>1.3392356249999999</v>
      </c>
      <c r="J388" s="18">
        <v>8.3474999999999994E-2</v>
      </c>
      <c r="K388" s="18">
        <v>0</v>
      </c>
    </row>
    <row r="389" spans="1:12">
      <c r="A389" s="15">
        <v>15</v>
      </c>
      <c r="B389" s="22">
        <v>40345</v>
      </c>
      <c r="C389" s="15">
        <v>2010</v>
      </c>
      <c r="D389" s="11" t="s">
        <v>32</v>
      </c>
      <c r="E389" s="15">
        <v>6</v>
      </c>
      <c r="F389" s="27">
        <v>3.863</v>
      </c>
      <c r="G389" s="18">
        <v>8.1293500000000005E-2</v>
      </c>
      <c r="H389" s="18">
        <v>7.1072499999999997E-2</v>
      </c>
      <c r="I389" s="18">
        <v>0.90657987500000015</v>
      </c>
      <c r="J389" s="18">
        <v>0.91202050000000012</v>
      </c>
      <c r="K389" s="18">
        <v>0</v>
      </c>
    </row>
    <row r="390" spans="1:12">
      <c r="A390" s="15">
        <v>6</v>
      </c>
      <c r="B390" s="22">
        <v>40374</v>
      </c>
      <c r="C390" s="15">
        <v>2010</v>
      </c>
      <c r="D390" s="11" t="s">
        <v>33</v>
      </c>
      <c r="E390" s="15">
        <v>7</v>
      </c>
      <c r="F390" s="27">
        <v>7.5309999999999997</v>
      </c>
      <c r="G390" s="18">
        <v>0.12337099999999999</v>
      </c>
      <c r="H390" s="18">
        <v>2.6966624999999998E-2</v>
      </c>
      <c r="I390" s="18">
        <v>0.98062062499999991</v>
      </c>
      <c r="J390" s="18">
        <v>1.8868426250000001</v>
      </c>
      <c r="K390" s="18">
        <v>0</v>
      </c>
    </row>
    <row r="391" spans="1:12">
      <c r="A391" s="15">
        <v>8</v>
      </c>
      <c r="B391" s="22">
        <v>40374</v>
      </c>
      <c r="C391" s="15">
        <v>2010</v>
      </c>
      <c r="D391" s="11" t="s">
        <v>33</v>
      </c>
      <c r="E391" s="15">
        <v>7</v>
      </c>
      <c r="F391" s="27">
        <v>5.3780000000000001</v>
      </c>
      <c r="G391" s="18">
        <v>0.28138974999999999</v>
      </c>
      <c r="H391" s="18">
        <v>0</v>
      </c>
      <c r="I391" s="18">
        <v>1.9705622499999997</v>
      </c>
      <c r="J391" s="18">
        <v>9.4454125E-2</v>
      </c>
      <c r="K391" s="18">
        <v>0</v>
      </c>
    </row>
    <row r="392" spans="1:12">
      <c r="A392" s="15">
        <v>15</v>
      </c>
      <c r="B392" s="22">
        <v>40374</v>
      </c>
      <c r="C392" s="15">
        <v>2010</v>
      </c>
      <c r="D392" s="11" t="s">
        <v>33</v>
      </c>
      <c r="E392" s="15">
        <v>7</v>
      </c>
      <c r="F392" s="27">
        <v>5.258</v>
      </c>
      <c r="G392" s="18">
        <v>0.20745437500000002</v>
      </c>
      <c r="H392" s="18">
        <v>2.6513999999999999E-2</v>
      </c>
      <c r="I392" s="18">
        <v>1.6579238750000003</v>
      </c>
      <c r="J392" s="18">
        <v>0.72480949999999988</v>
      </c>
      <c r="K392" s="18">
        <v>0</v>
      </c>
    </row>
    <row r="393" spans="1:12">
      <c r="A393" s="15">
        <v>6</v>
      </c>
      <c r="B393" s="22">
        <v>40407</v>
      </c>
      <c r="C393" s="15">
        <v>2010</v>
      </c>
      <c r="D393" s="11" t="s">
        <v>34</v>
      </c>
      <c r="E393" s="15">
        <v>8</v>
      </c>
      <c r="F393" s="27">
        <v>6.5019999999999998</v>
      </c>
      <c r="G393" s="18">
        <v>0.29048337499999999</v>
      </c>
      <c r="H393" s="18">
        <v>0</v>
      </c>
      <c r="I393" s="18">
        <v>1.7452052499999997</v>
      </c>
      <c r="J393" s="18">
        <v>1.2353462500000001</v>
      </c>
      <c r="K393" s="18">
        <v>0</v>
      </c>
    </row>
    <row r="394" spans="1:12">
      <c r="A394" s="15">
        <v>8</v>
      </c>
      <c r="B394" s="22">
        <v>40409</v>
      </c>
      <c r="C394" s="15">
        <v>2010</v>
      </c>
      <c r="D394" s="11" t="s">
        <v>34</v>
      </c>
      <c r="E394" s="15">
        <v>8</v>
      </c>
      <c r="F394" s="27">
        <v>6.0250000000000004</v>
      </c>
      <c r="G394" s="18">
        <v>0.45027587499999994</v>
      </c>
      <c r="H394" s="18">
        <v>0</v>
      </c>
      <c r="I394" s="18">
        <v>2.0735653749999998</v>
      </c>
      <c r="J394" s="18">
        <v>8.6458624999999997E-2</v>
      </c>
      <c r="K394" s="18">
        <v>0</v>
      </c>
    </row>
    <row r="395" spans="1:12">
      <c r="A395" s="15">
        <v>8</v>
      </c>
      <c r="B395" s="22">
        <v>40409</v>
      </c>
      <c r="C395" s="15">
        <v>2010</v>
      </c>
      <c r="D395" s="11" t="s">
        <v>34</v>
      </c>
      <c r="E395" s="15">
        <v>8</v>
      </c>
      <c r="F395" s="27">
        <v>6.0250000000000004</v>
      </c>
      <c r="G395" s="18">
        <v>0.56767699999999999</v>
      </c>
      <c r="H395" s="18">
        <v>0</v>
      </c>
      <c r="I395" s="18">
        <v>2.2019431250000001</v>
      </c>
      <c r="J395" s="18">
        <v>8.7501499999999996E-2</v>
      </c>
      <c r="K395" s="18">
        <v>0</v>
      </c>
      <c r="L395" t="s">
        <v>41</v>
      </c>
    </row>
    <row r="396" spans="1:12">
      <c r="A396" s="15">
        <v>15</v>
      </c>
      <c r="B396" s="22">
        <v>40409</v>
      </c>
      <c r="C396" s="15">
        <v>2010</v>
      </c>
      <c r="D396" s="11" t="s">
        <v>34</v>
      </c>
      <c r="E396" s="15">
        <v>8</v>
      </c>
      <c r="F396" s="27">
        <v>7.1319999999999997</v>
      </c>
      <c r="G396" s="18">
        <v>0.11062099999999998</v>
      </c>
      <c r="H396" s="18">
        <v>0</v>
      </c>
      <c r="I396" s="18">
        <v>3.0616693750000001</v>
      </c>
      <c r="J396" s="18">
        <v>0.42832524999999994</v>
      </c>
      <c r="K396" s="18">
        <v>0</v>
      </c>
    </row>
    <row r="397" spans="1:12">
      <c r="A397" s="15">
        <v>6</v>
      </c>
      <c r="B397" s="22">
        <v>40436</v>
      </c>
      <c r="C397" s="15">
        <v>2010</v>
      </c>
      <c r="D397" s="11" t="s">
        <v>40</v>
      </c>
      <c r="E397" s="15">
        <v>9</v>
      </c>
      <c r="F397" s="27">
        <v>8.3450000000000006</v>
      </c>
      <c r="G397" s="18">
        <v>0.13136600000000001</v>
      </c>
      <c r="H397" s="18">
        <v>6.0940124999999998E-2</v>
      </c>
      <c r="I397" s="18">
        <v>3.6247561249999998</v>
      </c>
      <c r="J397" s="18">
        <v>0.608402</v>
      </c>
      <c r="K397" s="18">
        <v>0</v>
      </c>
    </row>
    <row r="398" spans="1:12">
      <c r="A398" s="15">
        <v>8</v>
      </c>
      <c r="B398" s="22">
        <v>40434</v>
      </c>
      <c r="C398" s="15">
        <v>2010</v>
      </c>
      <c r="D398" s="11" t="s">
        <v>40</v>
      </c>
      <c r="E398" s="15">
        <v>9</v>
      </c>
      <c r="F398" s="27">
        <v>6.6950000000000003</v>
      </c>
      <c r="G398" s="18">
        <v>5.3241875000000001E-2</v>
      </c>
      <c r="H398" s="18">
        <v>0</v>
      </c>
      <c r="I398" s="18">
        <v>2.5509623750000006</v>
      </c>
      <c r="J398" s="18">
        <v>9.3220249999999991E-2</v>
      </c>
      <c r="K398" s="18">
        <v>0</v>
      </c>
    </row>
    <row r="399" spans="1:12">
      <c r="A399" s="15">
        <v>15</v>
      </c>
      <c r="B399" s="22">
        <v>40434</v>
      </c>
      <c r="C399" s="15">
        <v>2010</v>
      </c>
      <c r="D399" s="11" t="s">
        <v>40</v>
      </c>
      <c r="E399" s="15">
        <v>9</v>
      </c>
      <c r="F399" s="27">
        <v>5.4589999999999996</v>
      </c>
      <c r="G399" s="18">
        <v>4.2189625000000001E-2</v>
      </c>
      <c r="H399" s="18">
        <v>0</v>
      </c>
      <c r="I399" s="18">
        <v>1.8076376249999999</v>
      </c>
      <c r="J399" s="18">
        <v>0.73892062499999989</v>
      </c>
      <c r="K399" s="18">
        <v>0</v>
      </c>
    </row>
    <row r="400" spans="1:12">
      <c r="A400" s="15">
        <v>6</v>
      </c>
      <c r="B400" s="22">
        <v>40464</v>
      </c>
      <c r="C400" s="15">
        <v>2010</v>
      </c>
      <c r="D400" s="11" t="s">
        <v>36</v>
      </c>
      <c r="E400" s="15">
        <v>10</v>
      </c>
      <c r="F400" s="26">
        <v>6.468</v>
      </c>
      <c r="G400" s="18">
        <v>8.3711499999999994E-2</v>
      </c>
      <c r="H400" s="18">
        <v>0</v>
      </c>
      <c r="I400" s="18">
        <v>2.4023811249999998</v>
      </c>
      <c r="J400" s="18">
        <v>0.27667025000000001</v>
      </c>
      <c r="K400" s="18">
        <v>0</v>
      </c>
    </row>
    <row r="401" spans="1:11">
      <c r="A401" s="15">
        <v>8</v>
      </c>
      <c r="B401" s="22">
        <v>40463</v>
      </c>
      <c r="C401" s="15">
        <v>2010</v>
      </c>
      <c r="D401" s="11" t="s">
        <v>36</v>
      </c>
      <c r="E401" s="15">
        <v>10</v>
      </c>
      <c r="F401" s="26">
        <v>3.1059999999999999</v>
      </c>
      <c r="G401" s="18">
        <v>2.2666374999999999E-2</v>
      </c>
      <c r="H401" s="18">
        <v>0</v>
      </c>
      <c r="I401" s="18">
        <v>0.60815112500000001</v>
      </c>
      <c r="J401" s="18">
        <v>2.9628374999999998E-2</v>
      </c>
      <c r="K401" s="18">
        <v>0</v>
      </c>
    </row>
    <row r="402" spans="1:11">
      <c r="A402" s="15">
        <v>15</v>
      </c>
      <c r="B402" s="22">
        <v>40463</v>
      </c>
      <c r="C402" s="15">
        <v>2010</v>
      </c>
      <c r="D402" s="11" t="s">
        <v>36</v>
      </c>
      <c r="E402" s="15">
        <v>10</v>
      </c>
      <c r="F402" s="26">
        <v>3.3380000000000001</v>
      </c>
      <c r="G402" s="18">
        <v>1.5332000000000002E-2</v>
      </c>
      <c r="H402" s="18">
        <v>0</v>
      </c>
      <c r="I402" s="18">
        <v>0.50218775000000004</v>
      </c>
      <c r="J402" s="18">
        <v>0.1522995</v>
      </c>
      <c r="K402" s="18">
        <v>0</v>
      </c>
    </row>
    <row r="403" spans="1:11">
      <c r="A403" s="15">
        <v>6</v>
      </c>
      <c r="B403" s="22">
        <v>40498</v>
      </c>
      <c r="C403" s="15">
        <v>2010</v>
      </c>
      <c r="D403" s="11" t="s">
        <v>37</v>
      </c>
      <c r="E403" s="15">
        <v>11</v>
      </c>
      <c r="F403" s="26">
        <v>1.373</v>
      </c>
      <c r="G403" s="18">
        <v>4.6619749999999995E-2</v>
      </c>
      <c r="H403" s="18">
        <v>0</v>
      </c>
      <c r="I403" s="18">
        <v>0.24493424999999996</v>
      </c>
      <c r="J403" s="18">
        <v>1.5401875000000001E-2</v>
      </c>
      <c r="K403" s="18">
        <v>0</v>
      </c>
    </row>
    <row r="404" spans="1:11">
      <c r="A404" s="15">
        <v>8</v>
      </c>
      <c r="B404" s="22">
        <v>40500</v>
      </c>
      <c r="C404" s="15">
        <v>2010</v>
      </c>
      <c r="D404" s="11" t="s">
        <v>37</v>
      </c>
      <c r="E404" s="15">
        <v>11</v>
      </c>
      <c r="F404" s="26">
        <v>2.5230000000000001</v>
      </c>
      <c r="G404" s="18">
        <v>6.6786125000000016E-2</v>
      </c>
      <c r="H404" s="18">
        <v>0</v>
      </c>
      <c r="I404" s="18">
        <v>0.54801999999999995</v>
      </c>
      <c r="J404" s="18">
        <v>1.3466000000000001E-2</v>
      </c>
      <c r="K404" s="18">
        <v>0</v>
      </c>
    </row>
    <row r="405" spans="1:11">
      <c r="A405" s="15">
        <v>15</v>
      </c>
      <c r="B405" s="22">
        <v>40500</v>
      </c>
      <c r="C405" s="15">
        <v>2010</v>
      </c>
      <c r="D405" s="11" t="s">
        <v>37</v>
      </c>
      <c r="E405" s="15">
        <v>11</v>
      </c>
      <c r="F405" s="26">
        <v>3.8769999999999998</v>
      </c>
      <c r="G405" s="18">
        <v>0.23588512499999995</v>
      </c>
      <c r="H405" s="18">
        <v>0</v>
      </c>
      <c r="I405" s="18">
        <v>0.92351037500000011</v>
      </c>
      <c r="J405" s="18">
        <v>0.14167325</v>
      </c>
      <c r="K405" s="18">
        <v>0</v>
      </c>
    </row>
    <row r="406" spans="1:11">
      <c r="A406" s="15">
        <v>6</v>
      </c>
      <c r="B406" s="22">
        <v>40520</v>
      </c>
      <c r="C406" s="15">
        <v>2010</v>
      </c>
      <c r="D406" s="11" t="s">
        <v>38</v>
      </c>
      <c r="E406" s="15">
        <v>12</v>
      </c>
      <c r="F406" s="26">
        <v>3.7120000000000002</v>
      </c>
      <c r="G406" s="18">
        <v>1.8746799999999997E-2</v>
      </c>
      <c r="H406" s="18">
        <v>0.19244220000000001</v>
      </c>
      <c r="I406" s="18">
        <v>1.552262</v>
      </c>
      <c r="J406" s="18">
        <v>0.20973059999999999</v>
      </c>
      <c r="K406" s="18">
        <v>0</v>
      </c>
    </row>
    <row r="407" spans="1:11">
      <c r="A407" s="15">
        <v>8</v>
      </c>
      <c r="B407" s="22">
        <v>40521</v>
      </c>
      <c r="C407" s="15">
        <v>2010</v>
      </c>
      <c r="D407" s="11" t="s">
        <v>38</v>
      </c>
      <c r="E407" s="15">
        <v>12</v>
      </c>
      <c r="F407" s="26">
        <v>1.1579999999999999</v>
      </c>
      <c r="G407" s="18">
        <v>0</v>
      </c>
      <c r="H407" s="18">
        <v>0</v>
      </c>
      <c r="I407" s="18">
        <v>0.29790074999999999</v>
      </c>
      <c r="J407" s="18">
        <v>1.3161124999999999E-2</v>
      </c>
      <c r="K407" s="18">
        <v>0</v>
      </c>
    </row>
    <row r="408" spans="1:11">
      <c r="A408" s="15">
        <v>15</v>
      </c>
      <c r="B408" s="22">
        <v>40521</v>
      </c>
      <c r="C408" s="15">
        <v>2010</v>
      </c>
      <c r="D408" s="11" t="s">
        <v>38</v>
      </c>
      <c r="E408" s="15">
        <v>12</v>
      </c>
      <c r="F408" s="26">
        <v>3.177</v>
      </c>
      <c r="G408" s="18">
        <v>4.8404875E-2</v>
      </c>
      <c r="H408" s="18">
        <v>0.150901125</v>
      </c>
      <c r="I408" s="18">
        <v>1.1805088749999999</v>
      </c>
      <c r="J408" s="18">
        <v>8.2773374999999969E-2</v>
      </c>
      <c r="K408" s="18">
        <v>0</v>
      </c>
    </row>
    <row r="409" spans="1:11">
      <c r="A409" s="15">
        <v>6</v>
      </c>
      <c r="B409" s="22">
        <v>40562</v>
      </c>
      <c r="C409" s="15">
        <v>2011</v>
      </c>
      <c r="D409" s="11" t="s">
        <v>39</v>
      </c>
      <c r="E409" s="15">
        <v>1</v>
      </c>
      <c r="F409" s="26">
        <v>2.3679999999999999</v>
      </c>
      <c r="G409" s="18">
        <v>3.8716624999999998E-2</v>
      </c>
      <c r="H409" s="18">
        <v>1.6514999999999998E-2</v>
      </c>
      <c r="I409" s="18">
        <v>0.6569546249999999</v>
      </c>
      <c r="J409" s="18">
        <v>1.0345E-2</v>
      </c>
      <c r="K409" s="18">
        <v>0</v>
      </c>
    </row>
    <row r="410" spans="1:11">
      <c r="A410" s="15">
        <v>8</v>
      </c>
      <c r="B410" s="22">
        <v>40563</v>
      </c>
      <c r="C410" s="15">
        <v>2011</v>
      </c>
      <c r="D410" s="11" t="s">
        <v>39</v>
      </c>
      <c r="E410" s="15">
        <v>1</v>
      </c>
      <c r="F410" s="26">
        <v>2.976</v>
      </c>
      <c r="G410" s="18">
        <v>2.8506499999999997E-2</v>
      </c>
      <c r="H410" s="18">
        <v>0</v>
      </c>
      <c r="I410" s="18">
        <v>1.1207971249999999</v>
      </c>
      <c r="J410" s="18">
        <v>1.1605625E-2</v>
      </c>
      <c r="K410" s="18">
        <v>0</v>
      </c>
    </row>
    <row r="411" spans="1:11">
      <c r="A411" s="15">
        <v>15</v>
      </c>
      <c r="B411" s="22">
        <v>40563</v>
      </c>
      <c r="C411" s="15">
        <v>2011</v>
      </c>
      <c r="D411" s="11" t="s">
        <v>39</v>
      </c>
      <c r="E411" s="15">
        <v>1</v>
      </c>
      <c r="F411" s="26">
        <v>3.0059999999999998</v>
      </c>
      <c r="G411" s="18">
        <v>7.6381624999999995E-2</v>
      </c>
      <c r="H411" s="18">
        <v>0</v>
      </c>
      <c r="I411" s="18">
        <v>0.97548137499999998</v>
      </c>
      <c r="J411" s="18">
        <v>2.4199374999999999E-2</v>
      </c>
      <c r="K411" s="18">
        <v>0</v>
      </c>
    </row>
    <row r="412" spans="1:11">
      <c r="A412" s="15">
        <v>6</v>
      </c>
      <c r="B412" s="22">
        <v>40591</v>
      </c>
      <c r="C412" s="15">
        <v>2011</v>
      </c>
      <c r="D412" s="11" t="s">
        <v>28</v>
      </c>
      <c r="E412" s="15">
        <v>2</v>
      </c>
      <c r="F412" s="26">
        <v>1.8620000000000001</v>
      </c>
      <c r="G412" s="18">
        <v>0.14291262499999999</v>
      </c>
      <c r="H412" s="18">
        <v>1.8867749999999999E-2</v>
      </c>
      <c r="I412" s="18">
        <v>0.6824572499999999</v>
      </c>
      <c r="J412" s="18">
        <v>1.6084374999999998E-2</v>
      </c>
      <c r="K412" s="18">
        <v>0</v>
      </c>
    </row>
    <row r="413" spans="1:11">
      <c r="A413" s="15">
        <v>8</v>
      </c>
      <c r="B413" s="22">
        <v>40598</v>
      </c>
      <c r="C413" s="15">
        <v>2011</v>
      </c>
      <c r="D413" s="11" t="s">
        <v>28</v>
      </c>
      <c r="E413" s="15">
        <v>2</v>
      </c>
      <c r="F413" s="26">
        <v>4.9710000000000001</v>
      </c>
      <c r="G413" s="18">
        <v>6.3637374999999996E-2</v>
      </c>
      <c r="H413" s="18">
        <v>0</v>
      </c>
      <c r="I413" s="18">
        <v>2.0230118749999999</v>
      </c>
      <c r="J413" s="18">
        <v>2.3078624999999998E-2</v>
      </c>
      <c r="K413" s="18">
        <v>0</v>
      </c>
    </row>
    <row r="414" spans="1:11">
      <c r="A414" s="15">
        <v>15</v>
      </c>
      <c r="B414" s="22">
        <v>40598</v>
      </c>
      <c r="C414" s="15">
        <v>2011</v>
      </c>
      <c r="D414" s="11" t="s">
        <v>28</v>
      </c>
      <c r="E414" s="15">
        <v>2</v>
      </c>
      <c r="F414" s="26">
        <v>2.8839999999999999</v>
      </c>
      <c r="G414" s="18">
        <v>6.588200000000001E-2</v>
      </c>
      <c r="H414" s="18">
        <v>0</v>
      </c>
      <c r="I414" s="18">
        <v>1.0552923750000001</v>
      </c>
      <c r="J414" s="18">
        <v>1.073525E-2</v>
      </c>
      <c r="K414" s="18">
        <v>0</v>
      </c>
    </row>
    <row r="415" spans="1:11">
      <c r="A415" s="15">
        <v>6</v>
      </c>
      <c r="B415" s="22">
        <v>40619</v>
      </c>
      <c r="C415" s="15">
        <v>2011</v>
      </c>
      <c r="D415" s="11" t="s">
        <v>29</v>
      </c>
      <c r="E415" s="15">
        <v>3</v>
      </c>
      <c r="F415" s="26">
        <v>1.2869999999999999</v>
      </c>
      <c r="G415" s="18">
        <v>0</v>
      </c>
      <c r="H415" s="18">
        <v>0</v>
      </c>
      <c r="I415" s="18">
        <v>0.46725375000000008</v>
      </c>
      <c r="J415" s="18">
        <v>1.0146624999999999E-2</v>
      </c>
      <c r="K415" s="18">
        <v>0</v>
      </c>
    </row>
    <row r="416" spans="1:11">
      <c r="A416" s="15">
        <v>8</v>
      </c>
      <c r="B416" s="22">
        <v>40617</v>
      </c>
      <c r="C416" s="15">
        <v>2011</v>
      </c>
      <c r="D416" s="11" t="s">
        <v>29</v>
      </c>
      <c r="E416" s="15">
        <v>3</v>
      </c>
      <c r="F416" s="26">
        <v>2.1829999999999998</v>
      </c>
      <c r="G416" s="18">
        <v>6.9755999999999985E-2</v>
      </c>
      <c r="H416" s="18">
        <v>0</v>
      </c>
      <c r="I416" s="18">
        <v>0.8618627499999999</v>
      </c>
      <c r="J416" s="18">
        <v>9.0141249999999996E-3</v>
      </c>
      <c r="K416" s="18">
        <v>0</v>
      </c>
    </row>
    <row r="417" spans="1:12">
      <c r="A417" s="15">
        <v>8</v>
      </c>
      <c r="B417" s="22">
        <v>40617</v>
      </c>
      <c r="C417" s="15">
        <v>2011</v>
      </c>
      <c r="D417" s="11" t="s">
        <v>29</v>
      </c>
      <c r="E417" s="15">
        <v>3</v>
      </c>
      <c r="F417" s="26">
        <v>2.1829999999999998</v>
      </c>
      <c r="G417" s="18">
        <v>6.2254125000000007E-2</v>
      </c>
      <c r="H417" s="18">
        <v>0</v>
      </c>
      <c r="I417" s="18">
        <v>0.80688887499999984</v>
      </c>
      <c r="J417" s="18">
        <v>9.5099999999999994E-3</v>
      </c>
      <c r="K417" s="18">
        <v>0</v>
      </c>
      <c r="L417" t="s">
        <v>74</v>
      </c>
    </row>
    <row r="418" spans="1:12">
      <c r="A418" s="15">
        <v>15</v>
      </c>
      <c r="B418" s="22">
        <v>40617</v>
      </c>
      <c r="C418" s="15">
        <v>2011</v>
      </c>
      <c r="D418" s="11" t="s">
        <v>29</v>
      </c>
      <c r="E418" s="15">
        <v>3</v>
      </c>
      <c r="F418" s="26">
        <v>2.274</v>
      </c>
      <c r="G418" s="18">
        <v>3.2497374999999995E-2</v>
      </c>
      <c r="H418" s="18">
        <v>0</v>
      </c>
      <c r="I418" s="18">
        <v>1.0012592499999999</v>
      </c>
      <c r="J418" s="18">
        <v>1.3963375E-2</v>
      </c>
      <c r="K418" s="18">
        <v>0</v>
      </c>
    </row>
    <row r="419" spans="1:12">
      <c r="A419" s="15">
        <v>6</v>
      </c>
      <c r="B419" s="22">
        <v>40646</v>
      </c>
      <c r="C419" s="15">
        <v>2011</v>
      </c>
      <c r="D419" s="11" t="s">
        <v>30</v>
      </c>
      <c r="E419" s="15">
        <v>4</v>
      </c>
      <c r="F419" s="26">
        <v>1.804</v>
      </c>
      <c r="G419" s="18">
        <v>7.2535500000000003E-2</v>
      </c>
      <c r="H419" s="18">
        <v>0</v>
      </c>
      <c r="I419" s="18">
        <v>0.15437962499999999</v>
      </c>
      <c r="J419" s="18">
        <v>1.16375E-2</v>
      </c>
      <c r="K419" s="18">
        <v>0</v>
      </c>
    </row>
    <row r="420" spans="1:12">
      <c r="A420" s="15">
        <v>8</v>
      </c>
      <c r="B420" s="22">
        <v>40647</v>
      </c>
      <c r="C420" s="15">
        <v>2011</v>
      </c>
      <c r="D420" s="11" t="s">
        <v>30</v>
      </c>
      <c r="E420" s="15">
        <v>4</v>
      </c>
      <c r="F420" s="26">
        <v>1.5169999999999999</v>
      </c>
      <c r="G420" s="18">
        <v>7.8067624999999988E-2</v>
      </c>
      <c r="H420" s="18">
        <v>0</v>
      </c>
      <c r="I420" s="18">
        <v>0.20082874999999997</v>
      </c>
      <c r="J420" s="18">
        <v>6.4710000000000002E-3</v>
      </c>
      <c r="K420" s="18">
        <v>0</v>
      </c>
    </row>
    <row r="421" spans="1:12">
      <c r="A421" s="15">
        <v>15</v>
      </c>
      <c r="B421" s="22">
        <v>40647</v>
      </c>
      <c r="C421" s="15">
        <v>2011</v>
      </c>
      <c r="D421" s="11" t="s">
        <v>30</v>
      </c>
      <c r="E421" s="15">
        <v>4</v>
      </c>
      <c r="F421" s="26">
        <v>1.119</v>
      </c>
      <c r="G421" s="18">
        <v>0.10485512499999999</v>
      </c>
      <c r="H421" s="18">
        <v>0</v>
      </c>
      <c r="I421" s="18">
        <v>0.136097</v>
      </c>
      <c r="J421" s="18">
        <v>9.8975E-3</v>
      </c>
      <c r="K421" s="18">
        <v>0</v>
      </c>
    </row>
    <row r="422" spans="1:12">
      <c r="A422" s="15">
        <v>6</v>
      </c>
      <c r="B422" s="22">
        <v>40681</v>
      </c>
      <c r="C422" s="15">
        <v>2011</v>
      </c>
      <c r="D422" s="11" t="s">
        <v>31</v>
      </c>
      <c r="E422" s="15">
        <v>5</v>
      </c>
      <c r="F422" s="26">
        <v>3.1560000000000001</v>
      </c>
      <c r="G422" s="18">
        <v>3.750574999999999E-2</v>
      </c>
      <c r="H422" s="18">
        <v>0.182752625</v>
      </c>
      <c r="I422" s="18">
        <v>1.3817578749999997</v>
      </c>
      <c r="J422" s="18">
        <v>0.34382800000000008</v>
      </c>
      <c r="K422" s="18">
        <v>0</v>
      </c>
    </row>
    <row r="423" spans="1:12">
      <c r="A423" s="15">
        <v>6</v>
      </c>
      <c r="B423" s="22">
        <v>40681</v>
      </c>
      <c r="C423" s="15">
        <v>2011</v>
      </c>
      <c r="D423" s="11" t="s">
        <v>31</v>
      </c>
      <c r="E423" s="15">
        <v>5</v>
      </c>
      <c r="F423" s="26">
        <v>3.1560000000000001</v>
      </c>
      <c r="G423" s="18">
        <v>3.4148125000000001E-2</v>
      </c>
      <c r="H423" s="18">
        <v>0.15077237499999996</v>
      </c>
      <c r="I423" s="18">
        <v>1.0920031249999997</v>
      </c>
      <c r="J423" s="18">
        <v>0.30735625</v>
      </c>
      <c r="K423" s="18">
        <v>0</v>
      </c>
      <c r="L423" t="s">
        <v>41</v>
      </c>
    </row>
    <row r="424" spans="1:12">
      <c r="A424" s="15">
        <v>8</v>
      </c>
      <c r="B424" s="22">
        <v>40682</v>
      </c>
      <c r="C424" s="15">
        <v>2011</v>
      </c>
      <c r="D424" s="11" t="s">
        <v>31</v>
      </c>
      <c r="E424" s="15">
        <v>5</v>
      </c>
      <c r="F424" s="26">
        <v>1.4690000000000001</v>
      </c>
      <c r="G424" s="18">
        <v>0</v>
      </c>
      <c r="H424" s="18">
        <v>0</v>
      </c>
      <c r="I424" s="18">
        <v>0.168544375</v>
      </c>
      <c r="J424" s="18">
        <v>1.1472624999999997E-2</v>
      </c>
      <c r="K424" s="18">
        <v>0</v>
      </c>
    </row>
    <row r="425" spans="1:12">
      <c r="A425" s="15">
        <v>15</v>
      </c>
      <c r="B425" s="22">
        <v>40682</v>
      </c>
      <c r="C425" s="15">
        <v>2011</v>
      </c>
      <c r="D425" s="11" t="s">
        <v>31</v>
      </c>
      <c r="E425" s="15">
        <v>5</v>
      </c>
      <c r="F425" s="26">
        <v>0.86399999999999999</v>
      </c>
      <c r="G425" s="18">
        <v>1.9861875000000001E-2</v>
      </c>
      <c r="H425" s="18">
        <v>0</v>
      </c>
      <c r="I425" s="18">
        <v>0.25125249999999999</v>
      </c>
      <c r="J425" s="18">
        <v>7.544625000000001E-3</v>
      </c>
      <c r="K425" s="18">
        <v>0</v>
      </c>
    </row>
    <row r="426" spans="1:12">
      <c r="A426" s="15">
        <v>6</v>
      </c>
      <c r="B426" s="22">
        <v>40709</v>
      </c>
      <c r="C426" s="15">
        <v>2011</v>
      </c>
      <c r="D426" s="11" t="s">
        <v>32</v>
      </c>
      <c r="E426" s="15">
        <v>6</v>
      </c>
      <c r="F426" s="26">
        <v>4.5199999999999996</v>
      </c>
      <c r="G426" s="18">
        <v>4.0893624999999996E-2</v>
      </c>
      <c r="H426" s="18">
        <v>0</v>
      </c>
      <c r="I426" s="18">
        <v>1.0741095000000001</v>
      </c>
      <c r="J426" s="18">
        <v>0.86125874999999985</v>
      </c>
      <c r="K426" s="18">
        <v>2.6443749999999995E-2</v>
      </c>
    </row>
    <row r="427" spans="1:12">
      <c r="A427" s="15">
        <v>6</v>
      </c>
      <c r="B427" s="22">
        <v>40709</v>
      </c>
      <c r="C427" s="15">
        <v>2011</v>
      </c>
      <c r="D427" s="11" t="s">
        <v>32</v>
      </c>
      <c r="E427" s="15">
        <v>6</v>
      </c>
      <c r="F427" s="26">
        <v>4.5199999999999996</v>
      </c>
      <c r="G427" s="18">
        <v>4.9636499999999993E-2</v>
      </c>
      <c r="H427" s="18">
        <v>4.9951124999999992E-2</v>
      </c>
      <c r="I427" s="18">
        <v>1.170993875</v>
      </c>
      <c r="J427" s="18">
        <v>0.86686574999999988</v>
      </c>
      <c r="K427" s="18">
        <v>2.0695999999999996E-2</v>
      </c>
      <c r="L427" t="s">
        <v>41</v>
      </c>
    </row>
    <row r="428" spans="1:12">
      <c r="A428" s="15">
        <v>8</v>
      </c>
      <c r="B428" s="22">
        <v>40709</v>
      </c>
      <c r="C428" s="15">
        <v>2011</v>
      </c>
      <c r="D428" s="11" t="s">
        <v>32</v>
      </c>
      <c r="E428" s="15">
        <v>6</v>
      </c>
      <c r="F428" s="26">
        <v>5.7460000000000004</v>
      </c>
      <c r="G428" s="18">
        <v>8.3745749999999994E-2</v>
      </c>
      <c r="H428" s="18">
        <v>0</v>
      </c>
      <c r="I428" s="18">
        <v>1.8019009999999998</v>
      </c>
      <c r="J428" s="18">
        <v>0.10052474999999998</v>
      </c>
      <c r="K428" s="18">
        <v>0</v>
      </c>
    </row>
    <row r="429" spans="1:12">
      <c r="A429" s="15">
        <v>15</v>
      </c>
      <c r="B429" s="22">
        <v>40709</v>
      </c>
      <c r="C429" s="15">
        <v>2011</v>
      </c>
      <c r="D429" s="11" t="s">
        <v>32</v>
      </c>
      <c r="E429" s="15">
        <v>6</v>
      </c>
      <c r="F429" s="26">
        <v>2.988</v>
      </c>
      <c r="G429" s="18">
        <v>0</v>
      </c>
      <c r="H429" s="18">
        <v>0</v>
      </c>
      <c r="I429" s="18">
        <v>0.48424337499999986</v>
      </c>
      <c r="J429" s="18">
        <v>0.35061874999999992</v>
      </c>
      <c r="K429" s="18">
        <v>0</v>
      </c>
    </row>
    <row r="430" spans="1:12">
      <c r="A430" s="15">
        <v>6</v>
      </c>
      <c r="B430" s="22">
        <v>40735</v>
      </c>
      <c r="C430" s="15">
        <v>2011</v>
      </c>
      <c r="D430" s="11" t="s">
        <v>33</v>
      </c>
      <c r="E430" s="15">
        <v>7</v>
      </c>
      <c r="F430" s="26">
        <v>1.407</v>
      </c>
      <c r="G430" s="18">
        <v>7.1704375000000001E-2</v>
      </c>
      <c r="H430" s="18">
        <v>0</v>
      </c>
      <c r="I430" s="18">
        <v>0.32336862499999997</v>
      </c>
      <c r="J430" s="18">
        <v>0.13803262499999999</v>
      </c>
      <c r="K430" s="18">
        <v>0</v>
      </c>
    </row>
    <row r="431" spans="1:12">
      <c r="A431" s="15">
        <v>8</v>
      </c>
      <c r="B431" s="22">
        <v>40736</v>
      </c>
      <c r="C431" s="15">
        <v>2011</v>
      </c>
      <c r="D431" s="11" t="s">
        <v>33</v>
      </c>
      <c r="E431" s="15">
        <v>7</v>
      </c>
      <c r="F431" s="26">
        <v>3.21</v>
      </c>
      <c r="G431" s="18">
        <v>2.247E-2</v>
      </c>
      <c r="H431" s="18">
        <v>0</v>
      </c>
      <c r="I431" s="18">
        <v>0.97207462499999997</v>
      </c>
      <c r="J431" s="18">
        <v>5.6336999999999991E-2</v>
      </c>
      <c r="K431" s="18">
        <v>0</v>
      </c>
    </row>
    <row r="432" spans="1:12">
      <c r="A432" s="15">
        <v>15</v>
      </c>
      <c r="B432" s="22">
        <v>40736</v>
      </c>
      <c r="C432" s="15">
        <v>2011</v>
      </c>
      <c r="D432" s="11" t="s">
        <v>33</v>
      </c>
      <c r="E432" s="15">
        <v>7</v>
      </c>
      <c r="F432" s="26">
        <v>1.7130000000000001</v>
      </c>
      <c r="G432" s="18">
        <v>3.1142124999999996E-2</v>
      </c>
      <c r="H432" s="18">
        <v>0</v>
      </c>
      <c r="I432" s="18">
        <v>0.73017437500000004</v>
      </c>
      <c r="J432" s="18">
        <v>0.10397324999999999</v>
      </c>
      <c r="K432" s="18">
        <v>0</v>
      </c>
    </row>
    <row r="433" spans="1:12">
      <c r="A433" s="15">
        <v>15</v>
      </c>
      <c r="B433" s="22">
        <v>40736</v>
      </c>
      <c r="C433" s="15">
        <v>2011</v>
      </c>
      <c r="D433" s="11" t="s">
        <v>33</v>
      </c>
      <c r="E433" s="15">
        <v>7</v>
      </c>
      <c r="F433" s="26">
        <v>1.7130000000000001</v>
      </c>
      <c r="G433" s="18">
        <v>1.8904749999999998E-2</v>
      </c>
      <c r="H433" s="18">
        <v>0</v>
      </c>
      <c r="I433" s="18">
        <v>0.54545074999999998</v>
      </c>
      <c r="J433" s="18">
        <v>8.9612374999999994E-2</v>
      </c>
      <c r="K433" s="18">
        <v>0</v>
      </c>
      <c r="L433" t="s">
        <v>41</v>
      </c>
    </row>
    <row r="434" spans="1:12">
      <c r="A434" s="15">
        <v>6</v>
      </c>
      <c r="B434" s="22">
        <v>40771</v>
      </c>
      <c r="C434" s="15">
        <v>2011</v>
      </c>
      <c r="D434" s="11" t="s">
        <v>34</v>
      </c>
      <c r="E434" s="15">
        <v>8</v>
      </c>
      <c r="F434" s="26">
        <v>2.86</v>
      </c>
      <c r="G434" s="18">
        <v>0.14200312500000001</v>
      </c>
      <c r="H434" s="18">
        <v>0</v>
      </c>
      <c r="I434" s="18">
        <v>1.070613625</v>
      </c>
      <c r="J434" s="18">
        <v>0.2015825</v>
      </c>
      <c r="K434" s="18">
        <v>0</v>
      </c>
    </row>
    <row r="435" spans="1:12">
      <c r="A435" s="15">
        <v>8</v>
      </c>
      <c r="B435" s="22">
        <v>40772</v>
      </c>
      <c r="C435" s="15">
        <v>2011</v>
      </c>
      <c r="D435" s="11" t="s">
        <v>34</v>
      </c>
      <c r="E435" s="15">
        <v>8</v>
      </c>
      <c r="F435" s="26">
        <v>22.92</v>
      </c>
      <c r="G435" s="18">
        <v>7.3881625000000006E-2</v>
      </c>
      <c r="H435" s="18">
        <v>0</v>
      </c>
      <c r="I435" s="18">
        <v>9.429306875</v>
      </c>
      <c r="J435" s="18">
        <v>0.46562537500000001</v>
      </c>
      <c r="K435" s="18">
        <v>0</v>
      </c>
    </row>
    <row r="436" spans="1:12">
      <c r="A436" s="15">
        <v>15</v>
      </c>
      <c r="B436" s="22">
        <v>40772</v>
      </c>
      <c r="C436" s="15">
        <v>2011</v>
      </c>
      <c r="D436" s="11" t="s">
        <v>34</v>
      </c>
      <c r="E436" s="15">
        <v>8</v>
      </c>
      <c r="F436" s="26">
        <v>1.569</v>
      </c>
      <c r="G436" s="18">
        <v>0.34744012499999993</v>
      </c>
      <c r="H436" s="18">
        <v>0</v>
      </c>
      <c r="I436" s="18">
        <v>0.24858587500000004</v>
      </c>
      <c r="J436" s="18">
        <v>0.31423174999999998</v>
      </c>
      <c r="K436" s="18">
        <v>0</v>
      </c>
    </row>
    <row r="437" spans="1:12">
      <c r="A437" s="15">
        <v>6</v>
      </c>
      <c r="B437" s="22">
        <v>40799</v>
      </c>
      <c r="C437" s="15">
        <v>2011</v>
      </c>
      <c r="D437" s="11" t="s">
        <v>40</v>
      </c>
      <c r="E437" s="15">
        <v>9</v>
      </c>
      <c r="F437" s="26">
        <v>6.6159999999999997</v>
      </c>
      <c r="G437" s="18">
        <v>0.10002900000000001</v>
      </c>
      <c r="H437" s="18">
        <v>0</v>
      </c>
      <c r="I437" s="18">
        <v>1.642322625</v>
      </c>
      <c r="J437" s="18">
        <v>1.7577207500000001</v>
      </c>
      <c r="K437" s="18">
        <v>0</v>
      </c>
    </row>
    <row r="438" spans="1:12">
      <c r="A438" s="15">
        <v>8</v>
      </c>
      <c r="B438" s="22">
        <v>40798</v>
      </c>
      <c r="C438" s="15">
        <v>2011</v>
      </c>
      <c r="D438" s="11" t="s">
        <v>40</v>
      </c>
      <c r="E438" s="15">
        <v>9</v>
      </c>
      <c r="F438" s="26">
        <v>10.555999999999999</v>
      </c>
      <c r="G438" s="18">
        <v>0</v>
      </c>
      <c r="H438" s="18">
        <v>0</v>
      </c>
      <c r="I438" s="18">
        <v>4.2810331250000004</v>
      </c>
      <c r="J438" s="18">
        <v>0.17965900000000001</v>
      </c>
      <c r="K438" s="18">
        <v>0</v>
      </c>
    </row>
    <row r="439" spans="1:12">
      <c r="A439" s="15">
        <v>15</v>
      </c>
      <c r="B439" s="22">
        <v>40798</v>
      </c>
      <c r="C439" s="15">
        <v>2011</v>
      </c>
      <c r="D439" s="11" t="s">
        <v>40</v>
      </c>
      <c r="E439" s="15">
        <v>9</v>
      </c>
      <c r="F439" s="26">
        <v>5.335</v>
      </c>
      <c r="G439" s="18">
        <v>4.074825E-2</v>
      </c>
      <c r="H439" s="18">
        <v>0</v>
      </c>
      <c r="I439" s="18">
        <v>1.9934081249999998</v>
      </c>
      <c r="J439" s="18">
        <v>0.51705262499999993</v>
      </c>
      <c r="K439" s="18">
        <v>0</v>
      </c>
    </row>
    <row r="440" spans="1:12">
      <c r="A440" s="15">
        <v>15</v>
      </c>
      <c r="B440" s="22">
        <v>40798</v>
      </c>
      <c r="C440" s="15">
        <v>2011</v>
      </c>
      <c r="D440" s="11" t="s">
        <v>40</v>
      </c>
      <c r="E440" s="15">
        <v>9</v>
      </c>
      <c r="F440" s="26">
        <v>5.335</v>
      </c>
      <c r="G440" s="18">
        <v>4.3602249999999995E-2</v>
      </c>
      <c r="H440" s="18">
        <v>0</v>
      </c>
      <c r="I440" s="18">
        <v>2.0181583750000001</v>
      </c>
      <c r="J440" s="18">
        <v>0.49057962499999996</v>
      </c>
      <c r="K440" s="18">
        <v>0</v>
      </c>
      <c r="L440" t="s">
        <v>41</v>
      </c>
    </row>
    <row r="441" spans="1:12">
      <c r="A441" s="15">
        <v>6</v>
      </c>
      <c r="B441" s="22">
        <v>40827</v>
      </c>
      <c r="C441" s="15">
        <v>2011</v>
      </c>
      <c r="D441" s="11" t="s">
        <v>36</v>
      </c>
      <c r="E441" s="15">
        <v>10</v>
      </c>
      <c r="F441" s="27">
        <v>3.1709999999999998</v>
      </c>
      <c r="G441" s="18">
        <v>0.16441449999999999</v>
      </c>
      <c r="H441" s="18">
        <v>0</v>
      </c>
      <c r="I441" s="18">
        <v>0.34522187500000001</v>
      </c>
      <c r="J441" s="18">
        <v>0.28199487500000003</v>
      </c>
      <c r="K441" s="18">
        <v>0</v>
      </c>
    </row>
    <row r="442" spans="1:12">
      <c r="A442" s="15">
        <v>6</v>
      </c>
      <c r="B442" s="22">
        <v>40827</v>
      </c>
      <c r="C442" s="15">
        <v>2011</v>
      </c>
      <c r="D442" s="11" t="s">
        <v>36</v>
      </c>
      <c r="E442" s="15">
        <v>10</v>
      </c>
      <c r="F442" s="27">
        <v>3.1709999999999998</v>
      </c>
      <c r="G442" s="18">
        <v>0.17325124999999997</v>
      </c>
      <c r="H442" s="18">
        <v>0</v>
      </c>
      <c r="I442" s="18">
        <v>0.35171150000000001</v>
      </c>
      <c r="J442" s="18">
        <v>0.26819562499999999</v>
      </c>
      <c r="K442" s="18">
        <v>0</v>
      </c>
      <c r="L442" t="s">
        <v>41</v>
      </c>
    </row>
    <row r="443" spans="1:12">
      <c r="A443" s="15">
        <v>8</v>
      </c>
      <c r="B443" s="22">
        <v>40829</v>
      </c>
      <c r="C443" s="15">
        <v>2011</v>
      </c>
      <c r="D443" s="11" t="s">
        <v>36</v>
      </c>
      <c r="E443" s="15">
        <v>10</v>
      </c>
      <c r="F443" s="27">
        <v>1.8959999999999999</v>
      </c>
      <c r="G443" s="18">
        <v>3.9905875E-2</v>
      </c>
      <c r="H443" s="18">
        <v>0</v>
      </c>
      <c r="I443" s="18">
        <v>0.71342474999999994</v>
      </c>
      <c r="J443" s="18">
        <v>3.0916250000000003E-2</v>
      </c>
      <c r="K443" s="18">
        <v>0</v>
      </c>
    </row>
    <row r="444" spans="1:12">
      <c r="A444" s="15">
        <v>15</v>
      </c>
      <c r="B444" s="22">
        <v>40829</v>
      </c>
      <c r="C444" s="15">
        <v>2011</v>
      </c>
      <c r="D444" s="11" t="s">
        <v>36</v>
      </c>
      <c r="E444" s="15">
        <v>10</v>
      </c>
      <c r="F444" s="27">
        <v>1.623</v>
      </c>
      <c r="G444" s="18">
        <v>4.7863624999999993E-2</v>
      </c>
      <c r="H444" s="18">
        <v>0</v>
      </c>
      <c r="I444" s="18">
        <v>0.31274024999999994</v>
      </c>
      <c r="J444" s="18">
        <v>2.7736749999999998E-2</v>
      </c>
      <c r="K444" s="18">
        <v>0</v>
      </c>
    </row>
    <row r="445" spans="1:12">
      <c r="A445" s="15">
        <v>6</v>
      </c>
      <c r="B445" s="28">
        <v>40862</v>
      </c>
      <c r="C445" s="15">
        <v>2011</v>
      </c>
      <c r="D445" s="11" t="s">
        <v>37</v>
      </c>
      <c r="E445" s="15">
        <v>11</v>
      </c>
      <c r="F445" s="27">
        <v>7.1029999999999998</v>
      </c>
      <c r="G445" s="18">
        <v>9.4812625000000011E-2</v>
      </c>
      <c r="H445" s="18">
        <v>3.2169749999999997E-2</v>
      </c>
      <c r="I445" s="18">
        <v>2.6951581249999994</v>
      </c>
      <c r="J445" s="18">
        <v>0.16696212499999999</v>
      </c>
      <c r="K445" s="18">
        <v>0</v>
      </c>
    </row>
    <row r="446" spans="1:12">
      <c r="A446" s="15">
        <v>8</v>
      </c>
      <c r="B446" s="28">
        <v>40865</v>
      </c>
      <c r="C446" s="15">
        <v>2011</v>
      </c>
      <c r="D446" s="11" t="s">
        <v>37</v>
      </c>
      <c r="E446" s="15">
        <v>11</v>
      </c>
      <c r="F446" s="27">
        <v>1.5029999999999999</v>
      </c>
      <c r="G446" s="18">
        <v>3.2680750000000001E-2</v>
      </c>
      <c r="H446" s="18">
        <v>2.1779124999999996E-2</v>
      </c>
      <c r="I446" s="18">
        <v>0.38642887500000001</v>
      </c>
      <c r="J446" s="18">
        <v>1.2982875E-2</v>
      </c>
      <c r="K446" s="18">
        <v>0</v>
      </c>
    </row>
    <row r="447" spans="1:12">
      <c r="A447" s="15">
        <v>15</v>
      </c>
      <c r="B447" s="28">
        <v>40865</v>
      </c>
      <c r="C447" s="15">
        <v>2011</v>
      </c>
      <c r="D447" s="11" t="s">
        <v>37</v>
      </c>
      <c r="E447" s="15">
        <v>11</v>
      </c>
      <c r="F447" s="27">
        <v>4.1970000000000001</v>
      </c>
      <c r="G447" s="18">
        <v>0.15777012499999998</v>
      </c>
      <c r="H447" s="18">
        <v>6.1637750000000005E-2</v>
      </c>
      <c r="I447" s="18">
        <v>1.3542453750000001</v>
      </c>
      <c r="J447" s="18">
        <v>4.3196375000000002E-2</v>
      </c>
      <c r="K447" s="18">
        <v>0</v>
      </c>
    </row>
    <row r="448" spans="1:12">
      <c r="A448" s="15">
        <v>6</v>
      </c>
      <c r="B448" s="28">
        <v>40891</v>
      </c>
      <c r="C448" s="15">
        <v>2011</v>
      </c>
      <c r="D448" s="11" t="s">
        <v>38</v>
      </c>
      <c r="E448" s="15">
        <v>12</v>
      </c>
      <c r="F448" s="27">
        <v>4.149</v>
      </c>
      <c r="G448" s="18">
        <v>0.63355312500000005</v>
      </c>
      <c r="H448" s="18">
        <v>0</v>
      </c>
      <c r="I448" s="18">
        <v>0.89984549999999996</v>
      </c>
      <c r="J448" s="18">
        <v>3.1641124999999992E-2</v>
      </c>
      <c r="K448" s="18">
        <v>0</v>
      </c>
    </row>
    <row r="449" spans="1:12">
      <c r="A449" s="15">
        <v>8</v>
      </c>
      <c r="B449" s="28">
        <v>40891</v>
      </c>
      <c r="C449" s="15">
        <v>2011</v>
      </c>
      <c r="D449" s="11" t="s">
        <v>38</v>
      </c>
      <c r="E449" s="15">
        <v>12</v>
      </c>
      <c r="F449" s="27">
        <v>0.69399999999999995</v>
      </c>
      <c r="G449" s="18">
        <v>5.4474874999999992E-2</v>
      </c>
      <c r="H449" s="18">
        <v>0</v>
      </c>
      <c r="I449" s="18">
        <v>0.12335012499999998</v>
      </c>
      <c r="J449" s="18">
        <v>0</v>
      </c>
      <c r="K449" s="18">
        <v>0</v>
      </c>
    </row>
    <row r="450" spans="1:12">
      <c r="A450" s="15">
        <v>15</v>
      </c>
      <c r="B450" s="28">
        <v>40891</v>
      </c>
      <c r="C450" s="15">
        <v>2011</v>
      </c>
      <c r="D450" s="11" t="s">
        <v>38</v>
      </c>
      <c r="E450" s="15">
        <v>12</v>
      </c>
      <c r="F450" s="27">
        <v>3.49</v>
      </c>
      <c r="G450" s="18">
        <v>0.21386425000000001</v>
      </c>
      <c r="H450" s="18">
        <v>0</v>
      </c>
      <c r="I450" s="18">
        <v>0.68382912500000004</v>
      </c>
      <c r="J450" s="18">
        <v>3.9792750000000002E-2</v>
      </c>
      <c r="K450" s="18">
        <v>0</v>
      </c>
    </row>
    <row r="451" spans="1:12">
      <c r="A451" s="15">
        <v>6</v>
      </c>
      <c r="B451" s="22">
        <v>40919</v>
      </c>
      <c r="C451" s="15">
        <v>2012</v>
      </c>
      <c r="D451" s="11" t="s">
        <v>39</v>
      </c>
      <c r="E451" s="15">
        <v>1</v>
      </c>
      <c r="F451" s="29">
        <v>5.1779999999999999</v>
      </c>
      <c r="G451" s="18">
        <v>7.1964874999999998E-2</v>
      </c>
      <c r="H451" s="18">
        <v>0</v>
      </c>
      <c r="I451" s="18">
        <v>2.2151856249999997</v>
      </c>
      <c r="J451" s="18">
        <v>2.0210749999999996E-2</v>
      </c>
      <c r="K451" s="18">
        <v>0</v>
      </c>
    </row>
    <row r="452" spans="1:12">
      <c r="A452" s="15">
        <v>8</v>
      </c>
      <c r="B452" s="22">
        <v>40919</v>
      </c>
      <c r="C452" s="15">
        <v>2012</v>
      </c>
      <c r="D452" s="11" t="s">
        <v>39</v>
      </c>
      <c r="E452" s="15">
        <v>1</v>
      </c>
      <c r="F452" s="29">
        <v>1.081</v>
      </c>
      <c r="G452" s="18">
        <v>8.4749500000000005E-2</v>
      </c>
      <c r="H452" s="18">
        <v>0</v>
      </c>
      <c r="I452" s="18">
        <v>0.22859924999999995</v>
      </c>
      <c r="J452" s="18">
        <v>9.3997499999999984E-3</v>
      </c>
      <c r="K452" s="18">
        <v>0</v>
      </c>
    </row>
    <row r="453" spans="1:12">
      <c r="A453" s="15">
        <v>15</v>
      </c>
      <c r="B453" s="22">
        <v>40919</v>
      </c>
      <c r="C453" s="15">
        <v>2012</v>
      </c>
      <c r="D453" s="11" t="s">
        <v>39</v>
      </c>
      <c r="E453" s="15">
        <v>1</v>
      </c>
      <c r="F453" s="29">
        <v>3.7160000000000002</v>
      </c>
      <c r="G453" s="18">
        <v>4.7310499999999991E-2</v>
      </c>
      <c r="H453" s="18">
        <v>0</v>
      </c>
      <c r="I453" s="18">
        <v>1.4648356249999999</v>
      </c>
      <c r="J453" s="18">
        <v>1.9422374999999999E-2</v>
      </c>
      <c r="K453" s="18">
        <v>0</v>
      </c>
    </row>
    <row r="454" spans="1:12">
      <c r="A454" s="15">
        <v>6</v>
      </c>
      <c r="B454" s="22">
        <v>40962</v>
      </c>
      <c r="C454" s="15">
        <v>2012</v>
      </c>
      <c r="D454" s="11" t="s">
        <v>28</v>
      </c>
      <c r="E454" s="15">
        <v>2</v>
      </c>
      <c r="F454" s="29">
        <v>3.669</v>
      </c>
      <c r="G454" s="18">
        <v>7.4891125000000003E-2</v>
      </c>
      <c r="H454" s="18">
        <v>0</v>
      </c>
      <c r="I454" s="18">
        <v>1.988811125</v>
      </c>
      <c r="J454" s="18">
        <v>3.5093249999999993E-2</v>
      </c>
      <c r="K454" s="18">
        <v>0</v>
      </c>
    </row>
    <row r="455" spans="1:12">
      <c r="A455" s="15">
        <v>8</v>
      </c>
      <c r="B455" s="22">
        <v>40960</v>
      </c>
      <c r="C455" s="15">
        <v>2012</v>
      </c>
      <c r="D455" s="11" t="s">
        <v>28</v>
      </c>
      <c r="E455" s="15">
        <v>2</v>
      </c>
      <c r="F455" s="29">
        <v>1.252</v>
      </c>
      <c r="G455" s="18">
        <v>0.13405287499999999</v>
      </c>
      <c r="H455" s="18">
        <v>0</v>
      </c>
      <c r="I455" s="18">
        <v>0.31244724999999995</v>
      </c>
      <c r="J455" s="18">
        <v>2.4071750000000003E-2</v>
      </c>
      <c r="K455" s="18">
        <v>0</v>
      </c>
    </row>
    <row r="456" spans="1:12">
      <c r="A456" s="15">
        <v>15</v>
      </c>
      <c r="B456" s="22">
        <v>40960</v>
      </c>
      <c r="C456" s="15">
        <v>2012</v>
      </c>
      <c r="D456" s="11" t="s">
        <v>28</v>
      </c>
      <c r="E456" s="15">
        <v>2</v>
      </c>
      <c r="F456" s="29">
        <v>3.2050000000000001</v>
      </c>
      <c r="G456" s="18">
        <v>9.0903125000000001E-2</v>
      </c>
      <c r="H456" s="18">
        <v>8.5333624999999982E-2</v>
      </c>
      <c r="I456" s="18">
        <v>1.5878133749999999</v>
      </c>
      <c r="J456" s="18">
        <v>4.4421249999999995E-2</v>
      </c>
      <c r="K456" s="18">
        <v>0</v>
      </c>
    </row>
    <row r="457" spans="1:12">
      <c r="A457" s="15">
        <v>6</v>
      </c>
      <c r="B457" s="22">
        <v>40980</v>
      </c>
      <c r="C457" s="15">
        <v>2012</v>
      </c>
      <c r="D457" s="11" t="s">
        <v>29</v>
      </c>
      <c r="E457" s="15">
        <v>3</v>
      </c>
      <c r="F457" s="29">
        <v>2.4209999999999998</v>
      </c>
      <c r="G457" s="18">
        <v>3.9877749999999997E-2</v>
      </c>
      <c r="H457" s="18">
        <v>2.7142625E-2</v>
      </c>
      <c r="I457" s="18">
        <v>1.1943785</v>
      </c>
      <c r="J457" s="18">
        <v>5.052412500000001E-2</v>
      </c>
      <c r="K457" s="18">
        <v>0</v>
      </c>
    </row>
    <row r="458" spans="1:12">
      <c r="A458" s="15">
        <v>8</v>
      </c>
      <c r="B458" s="22">
        <v>40982</v>
      </c>
      <c r="C458" s="15">
        <v>2012</v>
      </c>
      <c r="D458" s="11" t="s">
        <v>29</v>
      </c>
      <c r="E458" s="15">
        <v>3</v>
      </c>
      <c r="F458" s="29">
        <v>1.1220000000000001</v>
      </c>
      <c r="G458" s="18">
        <v>8.1064250000000004E-2</v>
      </c>
      <c r="H458" s="18">
        <v>0</v>
      </c>
      <c r="I458" s="18">
        <v>0.34624874999999994</v>
      </c>
      <c r="J458" s="18">
        <v>1.9312625E-2</v>
      </c>
      <c r="K458" s="18">
        <v>0</v>
      </c>
    </row>
    <row r="459" spans="1:12">
      <c r="A459" s="15">
        <v>15</v>
      </c>
      <c r="B459" s="22">
        <v>40982</v>
      </c>
      <c r="C459" s="15">
        <v>2012</v>
      </c>
      <c r="D459" s="11" t="s">
        <v>29</v>
      </c>
      <c r="E459" s="15">
        <v>3</v>
      </c>
      <c r="F459" s="29">
        <v>0.95699999999999996</v>
      </c>
      <c r="G459" s="18">
        <v>0.10089724999999999</v>
      </c>
      <c r="H459" s="18">
        <v>0</v>
      </c>
      <c r="I459" s="18">
        <v>0.20874224999999996</v>
      </c>
      <c r="J459" s="18">
        <v>1.6431874999999999E-2</v>
      </c>
      <c r="K459" s="18">
        <v>0</v>
      </c>
    </row>
    <row r="460" spans="1:12">
      <c r="A460" s="15">
        <v>6</v>
      </c>
      <c r="B460" s="22">
        <v>41015</v>
      </c>
      <c r="C460" s="15">
        <v>2012</v>
      </c>
      <c r="D460" s="11" t="s">
        <v>30</v>
      </c>
      <c r="E460" s="15">
        <v>4</v>
      </c>
      <c r="F460" s="26">
        <v>2.6419999999999999</v>
      </c>
      <c r="G460" s="18">
        <v>2.7193874999999999E-2</v>
      </c>
      <c r="H460" s="18">
        <v>0</v>
      </c>
      <c r="I460" s="18">
        <v>1.1063207499999999</v>
      </c>
      <c r="J460" s="18">
        <v>2.3458000000000003E-2</v>
      </c>
      <c r="K460" s="18">
        <v>0</v>
      </c>
    </row>
    <row r="461" spans="1:12">
      <c r="A461" s="15">
        <v>8</v>
      </c>
      <c r="B461" s="22">
        <v>41016</v>
      </c>
      <c r="C461" s="15">
        <v>2012</v>
      </c>
      <c r="D461" s="11" t="s">
        <v>30</v>
      </c>
      <c r="E461" s="15">
        <v>4</v>
      </c>
      <c r="F461" s="26">
        <v>1.998</v>
      </c>
      <c r="G461" s="18">
        <v>0.11751112499999999</v>
      </c>
      <c r="H461" s="18">
        <v>0</v>
      </c>
      <c r="I461" s="18">
        <v>0.75936224999999991</v>
      </c>
      <c r="J461" s="18">
        <v>2.0338124999999995E-2</v>
      </c>
      <c r="K461" s="18">
        <v>0</v>
      </c>
    </row>
    <row r="462" spans="1:12">
      <c r="A462" s="15">
        <v>15</v>
      </c>
      <c r="B462" s="22">
        <v>41016</v>
      </c>
      <c r="C462" s="15">
        <v>2012</v>
      </c>
      <c r="D462" s="11" t="s">
        <v>30</v>
      </c>
      <c r="E462" s="15">
        <v>4</v>
      </c>
      <c r="F462" s="26">
        <v>1.831</v>
      </c>
      <c r="G462" s="18">
        <v>5.9922374999999993E-2</v>
      </c>
      <c r="H462" s="18">
        <v>0</v>
      </c>
      <c r="I462" s="18">
        <v>0.59995362499999993</v>
      </c>
      <c r="J462" s="18">
        <v>2.4456749999999996E-2</v>
      </c>
      <c r="K462" s="18">
        <v>0</v>
      </c>
    </row>
    <row r="463" spans="1:12">
      <c r="A463" s="15">
        <v>15</v>
      </c>
      <c r="B463" s="22">
        <v>41016</v>
      </c>
      <c r="C463" s="15">
        <v>2012</v>
      </c>
      <c r="D463" s="11" t="s">
        <v>30</v>
      </c>
      <c r="E463" s="15">
        <v>4</v>
      </c>
      <c r="F463" s="26">
        <v>1.831</v>
      </c>
      <c r="G463" s="18">
        <v>5.8782625000000005E-2</v>
      </c>
      <c r="H463" s="18">
        <v>0</v>
      </c>
      <c r="I463" s="18">
        <v>0.59839287500000005</v>
      </c>
      <c r="J463" s="18">
        <v>2.5596249999999994E-2</v>
      </c>
      <c r="K463" s="18">
        <v>0</v>
      </c>
      <c r="L463" t="s">
        <v>41</v>
      </c>
    </row>
    <row r="464" spans="1:12">
      <c r="A464" s="15">
        <v>6</v>
      </c>
      <c r="B464" s="22">
        <v>41045</v>
      </c>
      <c r="C464" s="15">
        <v>2012</v>
      </c>
      <c r="D464" s="11" t="s">
        <v>31</v>
      </c>
      <c r="E464" s="15">
        <v>5</v>
      </c>
      <c r="F464" s="26">
        <v>4.5250000000000004</v>
      </c>
      <c r="G464" s="18">
        <v>0.12234762500000003</v>
      </c>
      <c r="H464" s="18">
        <v>0.1656395</v>
      </c>
      <c r="I464" s="18">
        <v>2.35994875</v>
      </c>
      <c r="J464" s="18">
        <v>7.7995875000000006E-2</v>
      </c>
      <c r="K464" s="18">
        <v>0</v>
      </c>
    </row>
    <row r="465" spans="1:12">
      <c r="A465" s="15">
        <v>8</v>
      </c>
      <c r="B465" s="22">
        <v>41051</v>
      </c>
      <c r="C465" s="15">
        <v>2012</v>
      </c>
      <c r="D465" s="11" t="s">
        <v>31</v>
      </c>
      <c r="E465" s="15">
        <v>5</v>
      </c>
      <c r="F465" s="26">
        <v>2.125</v>
      </c>
      <c r="G465" s="18">
        <v>3.6962999999999996E-2</v>
      </c>
      <c r="H465" s="18">
        <v>0</v>
      </c>
      <c r="I465" s="18">
        <v>0.76894612500000015</v>
      </c>
      <c r="J465" s="18">
        <v>1.6594500000000002E-2</v>
      </c>
      <c r="K465" s="18">
        <v>0</v>
      </c>
    </row>
    <row r="466" spans="1:12">
      <c r="A466" s="15">
        <v>8</v>
      </c>
      <c r="B466" s="22">
        <v>41051</v>
      </c>
      <c r="C466" s="15">
        <v>2012</v>
      </c>
      <c r="D466" s="11" t="s">
        <v>31</v>
      </c>
      <c r="E466" s="15">
        <v>5</v>
      </c>
      <c r="F466" s="26">
        <v>2.125</v>
      </c>
      <c r="G466" s="18">
        <v>4.3434249999999994E-2</v>
      </c>
      <c r="H466" s="18">
        <v>0</v>
      </c>
      <c r="I466" s="18">
        <v>0.74027549999999998</v>
      </c>
      <c r="J466" s="18">
        <v>1.7456874999999997E-2</v>
      </c>
      <c r="K466" s="18">
        <v>0</v>
      </c>
      <c r="L466" t="s">
        <v>41</v>
      </c>
    </row>
    <row r="467" spans="1:12">
      <c r="A467" s="15">
        <v>15</v>
      </c>
      <c r="B467" s="22">
        <v>41051</v>
      </c>
      <c r="C467" s="15">
        <v>2012</v>
      </c>
      <c r="D467" s="11" t="s">
        <v>31</v>
      </c>
      <c r="E467" s="15">
        <v>5</v>
      </c>
      <c r="F467" s="26">
        <v>7.6310000000000002</v>
      </c>
      <c r="G467" s="18">
        <v>3.179474999999999E-2</v>
      </c>
      <c r="H467" s="18">
        <v>1.0569808749999998</v>
      </c>
      <c r="I467" s="18">
        <v>4.6660288750000003</v>
      </c>
      <c r="J467" s="18">
        <v>0.13724700000000001</v>
      </c>
      <c r="K467" s="18">
        <v>0</v>
      </c>
    </row>
    <row r="468" spans="1:12">
      <c r="A468" s="15">
        <v>6</v>
      </c>
      <c r="B468" s="22">
        <v>41073</v>
      </c>
      <c r="C468" s="15">
        <v>2012</v>
      </c>
      <c r="D468" s="11" t="s">
        <v>32</v>
      </c>
      <c r="E468" s="15">
        <v>6</v>
      </c>
      <c r="F468" s="26">
        <v>13.755000000000001</v>
      </c>
      <c r="G468" s="18">
        <v>0.21984887499999997</v>
      </c>
      <c r="H468" s="18">
        <v>0.43689312499999999</v>
      </c>
      <c r="I468" s="18">
        <v>4.346654375</v>
      </c>
      <c r="J468" s="18">
        <v>0.22710575</v>
      </c>
      <c r="K468" s="18">
        <v>0</v>
      </c>
    </row>
    <row r="469" spans="1:12">
      <c r="A469" s="15">
        <v>8</v>
      </c>
      <c r="B469" s="22">
        <v>41080</v>
      </c>
      <c r="C469" s="15">
        <v>2012</v>
      </c>
      <c r="D469" s="11" t="s">
        <v>32</v>
      </c>
      <c r="E469" s="15">
        <v>6</v>
      </c>
      <c r="F469" s="26">
        <v>2.5510000000000002</v>
      </c>
      <c r="G469" s="18">
        <v>3.5827375000000002E-2</v>
      </c>
      <c r="H469" s="18">
        <v>8.2688250000000005E-2</v>
      </c>
      <c r="I469" s="18">
        <v>1.184563625</v>
      </c>
      <c r="J469" s="18">
        <v>5.4044500000000009E-2</v>
      </c>
      <c r="K469" s="18">
        <v>0</v>
      </c>
    </row>
    <row r="470" spans="1:12">
      <c r="A470" s="15">
        <v>15</v>
      </c>
      <c r="B470" s="22">
        <v>41080</v>
      </c>
      <c r="C470" s="15">
        <v>2012</v>
      </c>
      <c r="D470" s="11" t="s">
        <v>32</v>
      </c>
      <c r="E470" s="15">
        <v>6</v>
      </c>
      <c r="F470" s="26">
        <v>3.3330000000000002</v>
      </c>
      <c r="G470" s="18">
        <v>4.9978874999999999E-2</v>
      </c>
      <c r="H470" s="18">
        <v>0.24990237500000001</v>
      </c>
      <c r="I470" s="18">
        <v>1.5035845000000001</v>
      </c>
      <c r="J470" s="18">
        <v>0.33559624999999993</v>
      </c>
      <c r="K470" s="18">
        <v>0</v>
      </c>
    </row>
    <row r="471" spans="1:12">
      <c r="A471" s="15">
        <v>6</v>
      </c>
      <c r="B471" s="22">
        <v>41107</v>
      </c>
      <c r="C471" s="15">
        <v>2012</v>
      </c>
      <c r="D471" s="11" t="s">
        <v>33</v>
      </c>
      <c r="E471" s="15">
        <v>7</v>
      </c>
      <c r="F471" s="26">
        <v>7.46</v>
      </c>
      <c r="G471" s="18">
        <v>0.35189600000000004</v>
      </c>
      <c r="H471" s="18">
        <v>0</v>
      </c>
      <c r="I471" s="18">
        <v>1.3055807500000001</v>
      </c>
      <c r="J471" s="18">
        <v>2.22117875</v>
      </c>
      <c r="K471" s="18">
        <v>0</v>
      </c>
    </row>
    <row r="472" spans="1:12">
      <c r="A472" s="15">
        <v>8</v>
      </c>
      <c r="B472" s="22">
        <v>41106</v>
      </c>
      <c r="C472" s="15">
        <v>2012</v>
      </c>
      <c r="D472" s="11" t="s">
        <v>33</v>
      </c>
      <c r="E472" s="15">
        <v>7</v>
      </c>
      <c r="F472" s="26">
        <v>6.9989999999999997</v>
      </c>
      <c r="G472" s="18">
        <v>3.2604624999999998E-2</v>
      </c>
      <c r="H472" s="18">
        <v>0</v>
      </c>
      <c r="I472" s="18">
        <v>2.7819926249999996</v>
      </c>
      <c r="J472" s="18">
        <v>5.1892499999999994E-2</v>
      </c>
      <c r="K472" s="18">
        <v>0</v>
      </c>
    </row>
    <row r="473" spans="1:12">
      <c r="A473" s="15">
        <v>15</v>
      </c>
      <c r="B473" s="22">
        <v>41106</v>
      </c>
      <c r="C473" s="15">
        <v>2012</v>
      </c>
      <c r="D473" s="11" t="s">
        <v>33</v>
      </c>
      <c r="E473" s="15">
        <v>7</v>
      </c>
      <c r="F473" s="26">
        <v>6.0439999999999996</v>
      </c>
      <c r="G473" s="18">
        <v>9.8703874999999996E-2</v>
      </c>
      <c r="H473" s="18">
        <v>0</v>
      </c>
      <c r="I473" s="18">
        <v>1.2998034999999997</v>
      </c>
      <c r="J473" s="18">
        <v>1.5827722499999999</v>
      </c>
      <c r="K473" s="18">
        <v>0</v>
      </c>
    </row>
    <row r="474" spans="1:12">
      <c r="A474" s="15">
        <v>6</v>
      </c>
      <c r="B474" s="22">
        <v>41135</v>
      </c>
      <c r="C474" s="15">
        <v>2012</v>
      </c>
      <c r="D474" s="11" t="s">
        <v>34</v>
      </c>
      <c r="E474" s="15">
        <v>8</v>
      </c>
      <c r="F474" s="26">
        <v>5.58</v>
      </c>
      <c r="G474" s="18">
        <v>0.75351912499999996</v>
      </c>
      <c r="H474" s="18">
        <v>0</v>
      </c>
      <c r="I474" s="18">
        <v>1.3556585000000001</v>
      </c>
      <c r="J474" s="18">
        <v>0.88631074999999993</v>
      </c>
      <c r="K474" s="18">
        <v>0</v>
      </c>
    </row>
    <row r="475" spans="1:12">
      <c r="A475" s="15">
        <v>8</v>
      </c>
      <c r="B475" s="22">
        <v>41137</v>
      </c>
      <c r="C475" s="15">
        <v>2012</v>
      </c>
      <c r="D475" s="11" t="s">
        <v>34</v>
      </c>
      <c r="E475" s="15">
        <v>8</v>
      </c>
      <c r="F475" s="26">
        <v>13.215999999999999</v>
      </c>
      <c r="G475" s="18">
        <v>5.9300374999999995E-2</v>
      </c>
      <c r="H475" s="18">
        <v>0</v>
      </c>
      <c r="I475" s="18">
        <v>6.919854374999999</v>
      </c>
      <c r="J475" s="18">
        <v>7.3703624999999995E-2</v>
      </c>
      <c r="K475" s="18">
        <v>0</v>
      </c>
    </row>
    <row r="476" spans="1:12">
      <c r="A476" s="15">
        <v>15</v>
      </c>
      <c r="B476" s="22">
        <v>41137</v>
      </c>
      <c r="C476" s="15">
        <v>2012</v>
      </c>
      <c r="D476" s="11" t="s">
        <v>34</v>
      </c>
      <c r="E476" s="15">
        <v>8</v>
      </c>
      <c r="F476" s="26">
        <v>7.7359999999999998</v>
      </c>
      <c r="G476" s="18">
        <v>2.5932330000000001</v>
      </c>
      <c r="H476" s="18">
        <v>0</v>
      </c>
      <c r="I476" s="18">
        <v>1.2451540000000001</v>
      </c>
      <c r="J476" s="18">
        <v>0.17205637500000001</v>
      </c>
      <c r="K476" s="18">
        <v>0</v>
      </c>
    </row>
    <row r="477" spans="1:12">
      <c r="A477" s="15">
        <v>6</v>
      </c>
      <c r="B477" s="22">
        <v>41164</v>
      </c>
      <c r="C477" s="15">
        <v>2012</v>
      </c>
      <c r="D477" s="11" t="s">
        <v>40</v>
      </c>
      <c r="E477" s="15">
        <v>9</v>
      </c>
      <c r="F477" s="26">
        <v>12.352</v>
      </c>
      <c r="G477" s="18">
        <v>0</v>
      </c>
      <c r="H477" s="18">
        <v>0</v>
      </c>
      <c r="I477" s="18">
        <v>7.5408633749999989</v>
      </c>
      <c r="J477" s="18">
        <v>1.2310730000000001</v>
      </c>
      <c r="K477" s="18">
        <v>0</v>
      </c>
    </row>
    <row r="478" spans="1:12">
      <c r="A478" s="15">
        <v>8</v>
      </c>
      <c r="B478" s="22">
        <v>41163</v>
      </c>
      <c r="C478" s="15">
        <v>2012</v>
      </c>
      <c r="D478" s="11" t="s">
        <v>40</v>
      </c>
      <c r="E478" s="15">
        <v>9</v>
      </c>
      <c r="F478" s="26">
        <v>15.667999999999999</v>
      </c>
      <c r="G478" s="18">
        <v>4.4621871249999998</v>
      </c>
      <c r="H478" s="18">
        <v>0</v>
      </c>
      <c r="I478" s="18">
        <v>3.16244675</v>
      </c>
      <c r="J478" s="18">
        <v>0.10775099999999997</v>
      </c>
      <c r="K478" s="18">
        <v>0</v>
      </c>
    </row>
    <row r="479" spans="1:12">
      <c r="A479" s="15">
        <v>15</v>
      </c>
      <c r="B479" s="22">
        <v>41163</v>
      </c>
      <c r="C479" s="15">
        <v>2012</v>
      </c>
      <c r="D479" s="11" t="s">
        <v>40</v>
      </c>
      <c r="E479" s="15">
        <v>9</v>
      </c>
      <c r="F479" s="26">
        <v>9.2889999999999997</v>
      </c>
      <c r="G479" s="18">
        <v>1.7925757499999999</v>
      </c>
      <c r="H479" s="18">
        <v>0</v>
      </c>
      <c r="I479" s="18">
        <v>2.5038612500000004</v>
      </c>
      <c r="J479" s="18">
        <v>0.9588376249999998</v>
      </c>
      <c r="K479" s="18">
        <v>2.3968124999999996E-2</v>
      </c>
    </row>
    <row r="480" spans="1:12">
      <c r="A480" s="15">
        <v>6</v>
      </c>
      <c r="B480" s="22">
        <v>41199</v>
      </c>
      <c r="C480" s="15">
        <v>2012</v>
      </c>
      <c r="D480" s="11" t="s">
        <v>36</v>
      </c>
      <c r="E480" s="15">
        <v>10</v>
      </c>
      <c r="F480" s="26">
        <v>6.0670000000000002</v>
      </c>
      <c r="G480" s="18">
        <v>0</v>
      </c>
      <c r="H480" s="18">
        <v>0</v>
      </c>
      <c r="I480" s="18">
        <v>3.2005636249999996</v>
      </c>
      <c r="J480" s="18">
        <v>0.23599874999999998</v>
      </c>
      <c r="K480" s="18">
        <v>0</v>
      </c>
    </row>
    <row r="481" spans="1:11">
      <c r="A481" s="15">
        <v>8</v>
      </c>
      <c r="B481" s="22">
        <v>41199</v>
      </c>
      <c r="C481" s="15">
        <v>2012</v>
      </c>
      <c r="D481" s="11" t="s">
        <v>36</v>
      </c>
      <c r="E481" s="15">
        <v>10</v>
      </c>
      <c r="F481" s="26">
        <v>1.466</v>
      </c>
      <c r="G481" s="18">
        <v>0</v>
      </c>
      <c r="H481" s="18">
        <v>0</v>
      </c>
      <c r="I481" s="18">
        <v>0.4113695</v>
      </c>
      <c r="J481" s="18">
        <v>7.595499999999999E-3</v>
      </c>
      <c r="K481" s="18">
        <v>0</v>
      </c>
    </row>
    <row r="482" spans="1:11">
      <c r="A482" s="15">
        <v>15</v>
      </c>
      <c r="B482" s="22">
        <v>41199</v>
      </c>
      <c r="C482" s="15">
        <v>2012</v>
      </c>
      <c r="D482" s="11" t="s">
        <v>36</v>
      </c>
      <c r="E482" s="15">
        <v>10</v>
      </c>
      <c r="F482" s="26">
        <v>9.5060000000000002</v>
      </c>
      <c r="G482" s="18">
        <v>0</v>
      </c>
      <c r="H482" s="18">
        <v>3.7365000000000002E-2</v>
      </c>
      <c r="I482" s="18">
        <v>6.0468192499999995</v>
      </c>
      <c r="J482" s="18">
        <v>0.13887612500000002</v>
      </c>
      <c r="K482" s="18">
        <v>0</v>
      </c>
    </row>
    <row r="483" spans="1:11">
      <c r="A483" s="15">
        <v>6</v>
      </c>
      <c r="B483" s="22">
        <v>41225</v>
      </c>
      <c r="C483" s="15">
        <v>2012</v>
      </c>
      <c r="D483" s="11" t="s">
        <v>37</v>
      </c>
      <c r="E483" s="15">
        <v>11</v>
      </c>
      <c r="F483" s="26">
        <v>7.7229999999999999</v>
      </c>
      <c r="G483" s="18">
        <v>7.5187000000000004E-2</v>
      </c>
      <c r="H483" s="18">
        <v>0</v>
      </c>
      <c r="I483" s="18">
        <v>2.5338873749999995</v>
      </c>
      <c r="J483" s="18">
        <v>5.5605124999999998E-2</v>
      </c>
      <c r="K483" s="18">
        <v>0</v>
      </c>
    </row>
    <row r="484" spans="1:11">
      <c r="A484" s="15">
        <v>8</v>
      </c>
      <c r="B484" s="22">
        <v>41225</v>
      </c>
      <c r="C484" s="15">
        <v>2012</v>
      </c>
      <c r="D484" s="11" t="s">
        <v>37</v>
      </c>
      <c r="E484" s="15">
        <v>11</v>
      </c>
      <c r="F484" s="26">
        <v>2.4769999999999999</v>
      </c>
      <c r="G484" s="18">
        <v>0</v>
      </c>
      <c r="H484" s="18">
        <v>0</v>
      </c>
      <c r="I484" s="18">
        <v>0.66442650000000003</v>
      </c>
      <c r="J484" s="18">
        <v>1.6650249999999998E-2</v>
      </c>
      <c r="K484" s="18">
        <v>0</v>
      </c>
    </row>
    <row r="485" spans="1:11">
      <c r="A485" s="15">
        <v>15</v>
      </c>
      <c r="B485" s="22">
        <v>41225</v>
      </c>
      <c r="C485" s="15">
        <v>2012</v>
      </c>
      <c r="D485" s="11" t="s">
        <v>37</v>
      </c>
      <c r="E485" s="15">
        <v>11</v>
      </c>
      <c r="F485" s="26">
        <v>8.2490000000000006</v>
      </c>
      <c r="G485" s="18">
        <v>0</v>
      </c>
      <c r="H485" s="18">
        <v>0</v>
      </c>
      <c r="I485" s="18">
        <v>3.2002238749999994</v>
      </c>
      <c r="J485" s="18">
        <v>3.9661000000000002E-2</v>
      </c>
      <c r="K485" s="18">
        <v>0</v>
      </c>
    </row>
    <row r="486" spans="1:11">
      <c r="A486" s="15">
        <v>6</v>
      </c>
      <c r="B486" s="22">
        <v>41254</v>
      </c>
      <c r="C486" s="15">
        <v>2012</v>
      </c>
      <c r="D486" s="11" t="s">
        <v>38</v>
      </c>
      <c r="E486" s="15">
        <v>12</v>
      </c>
      <c r="F486" s="26">
        <v>3.5219999999999998</v>
      </c>
      <c r="G486" s="18">
        <v>5.2222999999999999E-2</v>
      </c>
      <c r="H486" s="18">
        <v>0</v>
      </c>
      <c r="I486" s="18">
        <v>1.7608033749999998</v>
      </c>
      <c r="J486" s="18">
        <v>0</v>
      </c>
      <c r="K486" s="18">
        <v>0</v>
      </c>
    </row>
    <row r="487" spans="1:11">
      <c r="A487" s="15">
        <v>8</v>
      </c>
      <c r="B487" s="22">
        <v>41255</v>
      </c>
      <c r="C487" s="15">
        <v>2012</v>
      </c>
      <c r="D487" s="11" t="s">
        <v>38</v>
      </c>
      <c r="E487" s="15">
        <v>12</v>
      </c>
      <c r="F487" s="26">
        <v>1.3089999999999999</v>
      </c>
      <c r="G487" s="18">
        <v>5.7485250000000002E-2</v>
      </c>
      <c r="H487" s="18">
        <v>0</v>
      </c>
      <c r="I487" s="18">
        <v>0.34291074999999993</v>
      </c>
      <c r="J487" s="18">
        <v>0</v>
      </c>
      <c r="K487" s="18">
        <v>0</v>
      </c>
    </row>
    <row r="488" spans="1:11">
      <c r="A488" s="15">
        <v>15</v>
      </c>
      <c r="B488" s="22">
        <v>41255</v>
      </c>
      <c r="C488" s="15">
        <v>2012</v>
      </c>
      <c r="D488" s="11" t="s">
        <v>38</v>
      </c>
      <c r="E488" s="15">
        <v>12</v>
      </c>
      <c r="F488" s="26">
        <v>2.9049999999999998</v>
      </c>
      <c r="G488" s="18">
        <v>8.7256249999999994E-2</v>
      </c>
      <c r="H488" s="18">
        <v>0</v>
      </c>
      <c r="I488" s="18">
        <v>1.3219664999999998</v>
      </c>
      <c r="J488" s="18">
        <v>3.6334125000000002E-2</v>
      </c>
      <c r="K488" s="18">
        <v>0</v>
      </c>
    </row>
    <row r="489" spans="1:11">
      <c r="A489" s="15">
        <v>6</v>
      </c>
      <c r="B489" s="22">
        <v>41288</v>
      </c>
      <c r="C489" s="15">
        <v>2013</v>
      </c>
      <c r="D489" s="11" t="s">
        <v>39</v>
      </c>
      <c r="E489" s="15">
        <v>1</v>
      </c>
      <c r="F489" s="26">
        <v>2.8029999999999999</v>
      </c>
      <c r="G489" s="18">
        <v>5.4873875000000003E-2</v>
      </c>
      <c r="H489" s="18">
        <v>0</v>
      </c>
      <c r="I489" s="18">
        <v>1.2843416249999997</v>
      </c>
      <c r="J489" s="18">
        <v>9.3828749999999989E-3</v>
      </c>
      <c r="K489" s="18">
        <v>0</v>
      </c>
    </row>
    <row r="490" spans="1:11">
      <c r="A490" s="15">
        <v>8</v>
      </c>
      <c r="B490" s="22">
        <v>41297</v>
      </c>
      <c r="C490" s="15">
        <v>2013</v>
      </c>
      <c r="D490" s="11" t="s">
        <v>39</v>
      </c>
      <c r="E490" s="15">
        <v>1</v>
      </c>
      <c r="F490" s="26">
        <v>1.788</v>
      </c>
      <c r="G490" s="18">
        <v>0</v>
      </c>
      <c r="H490" s="18">
        <v>0</v>
      </c>
      <c r="I490" s="18">
        <v>0.74756487500000013</v>
      </c>
      <c r="J490" s="18">
        <v>1.9498624999999995E-2</v>
      </c>
      <c r="K490" s="18">
        <v>0</v>
      </c>
    </row>
    <row r="491" spans="1:11">
      <c r="A491" s="15">
        <v>15</v>
      </c>
      <c r="B491" s="22">
        <v>41297</v>
      </c>
      <c r="C491" s="15">
        <v>2013</v>
      </c>
      <c r="D491" s="11" t="s">
        <v>39</v>
      </c>
      <c r="E491" s="15">
        <v>1</v>
      </c>
      <c r="F491" s="26">
        <v>5.1769999999999996</v>
      </c>
      <c r="G491" s="18">
        <v>0</v>
      </c>
      <c r="H491" s="18">
        <v>0</v>
      </c>
      <c r="I491" s="18">
        <v>2.9764596249999995</v>
      </c>
      <c r="J491" s="18">
        <v>4.8152374999999997E-2</v>
      </c>
      <c r="K491" s="18">
        <v>0</v>
      </c>
    </row>
    <row r="492" spans="1:11">
      <c r="A492" s="15">
        <v>6</v>
      </c>
      <c r="B492" s="22">
        <v>41318</v>
      </c>
      <c r="C492" s="15">
        <v>2013</v>
      </c>
      <c r="D492" s="11" t="s">
        <v>28</v>
      </c>
      <c r="E492" s="15">
        <v>2</v>
      </c>
      <c r="F492" s="30">
        <v>9.032</v>
      </c>
      <c r="G492" s="18">
        <v>0</v>
      </c>
      <c r="H492" s="18">
        <v>0</v>
      </c>
      <c r="I492" s="18">
        <v>5.3088947499999994</v>
      </c>
      <c r="J492" s="18">
        <v>6.1393249999999989E-2</v>
      </c>
      <c r="K492" s="18">
        <v>0</v>
      </c>
    </row>
    <row r="493" spans="1:11">
      <c r="A493" s="15">
        <v>8</v>
      </c>
      <c r="B493" s="22">
        <v>41319</v>
      </c>
      <c r="C493" s="15">
        <v>2013</v>
      </c>
      <c r="D493" s="11" t="s">
        <v>28</v>
      </c>
      <c r="E493" s="15">
        <v>2</v>
      </c>
      <c r="F493" s="30">
        <v>2.504</v>
      </c>
      <c r="G493" s="18">
        <v>8.3030124999999996E-2</v>
      </c>
      <c r="H493" s="18">
        <v>0</v>
      </c>
      <c r="I493" s="18">
        <v>1.1919569999999999</v>
      </c>
      <c r="J493" s="18">
        <v>1.4317625E-2</v>
      </c>
      <c r="K493" s="18">
        <v>0</v>
      </c>
    </row>
    <row r="494" spans="1:11">
      <c r="A494" s="15">
        <v>15</v>
      </c>
      <c r="B494" s="22">
        <v>41319</v>
      </c>
      <c r="C494" s="15">
        <v>2013</v>
      </c>
      <c r="D494" s="11" t="s">
        <v>28</v>
      </c>
      <c r="E494" s="15">
        <v>2</v>
      </c>
      <c r="F494" s="30">
        <v>7.0979999999999999</v>
      </c>
      <c r="G494" s="18">
        <v>5.2084833333333316E-2</v>
      </c>
      <c r="H494" s="18">
        <v>0</v>
      </c>
      <c r="I494" s="18">
        <v>4.2619478333333323</v>
      </c>
      <c r="J494" s="18">
        <v>4.6821333333333333E-2</v>
      </c>
      <c r="K494" s="18">
        <v>0</v>
      </c>
    </row>
    <row r="495" spans="1:11">
      <c r="A495" s="15">
        <v>6</v>
      </c>
      <c r="B495" s="22">
        <v>41344</v>
      </c>
      <c r="C495" s="15">
        <v>2013</v>
      </c>
      <c r="D495" s="11" t="s">
        <v>29</v>
      </c>
      <c r="E495" s="15">
        <v>3</v>
      </c>
      <c r="F495" s="30">
        <v>9.4570000000000007</v>
      </c>
      <c r="G495" s="18">
        <v>6.772475E-2</v>
      </c>
      <c r="H495" s="18">
        <v>0</v>
      </c>
      <c r="I495" s="18">
        <v>5.8173021249999994</v>
      </c>
      <c r="J495" s="18">
        <v>0</v>
      </c>
      <c r="K495" s="18">
        <v>0</v>
      </c>
    </row>
    <row r="496" spans="1:11">
      <c r="A496" s="15">
        <v>8</v>
      </c>
      <c r="B496" s="22">
        <v>41346</v>
      </c>
      <c r="C496" s="15">
        <v>2013</v>
      </c>
      <c r="D496" s="11" t="s">
        <v>29</v>
      </c>
      <c r="E496" s="15">
        <v>3</v>
      </c>
      <c r="F496" s="30">
        <v>9.9120000000000008</v>
      </c>
      <c r="G496" s="18">
        <v>0</v>
      </c>
      <c r="H496" s="18">
        <v>0</v>
      </c>
      <c r="I496" s="18">
        <v>6.5046553750000005</v>
      </c>
      <c r="J496" s="18">
        <v>5.6287624999999994E-2</v>
      </c>
      <c r="K496" s="18">
        <v>0</v>
      </c>
    </row>
    <row r="497" spans="1:12">
      <c r="A497" s="15">
        <v>8</v>
      </c>
      <c r="B497" s="22">
        <v>41346</v>
      </c>
      <c r="C497" s="15">
        <v>2013</v>
      </c>
      <c r="D497" s="11" t="s">
        <v>29</v>
      </c>
      <c r="E497" s="15">
        <v>3</v>
      </c>
      <c r="F497" s="30">
        <v>9.9120000000000008</v>
      </c>
      <c r="G497" s="18">
        <v>0</v>
      </c>
      <c r="H497" s="18">
        <v>0</v>
      </c>
      <c r="I497" s="18">
        <v>6.8182953749999982</v>
      </c>
      <c r="J497" s="18">
        <v>5.3840750000000007E-2</v>
      </c>
      <c r="K497" s="18">
        <v>0</v>
      </c>
      <c r="L497" t="s">
        <v>41</v>
      </c>
    </row>
    <row r="498" spans="1:12">
      <c r="A498" s="15">
        <v>15</v>
      </c>
      <c r="B498" s="22">
        <v>41346</v>
      </c>
      <c r="C498" s="15">
        <v>2013</v>
      </c>
      <c r="D498" s="11" t="s">
        <v>29</v>
      </c>
      <c r="E498" s="15">
        <v>3</v>
      </c>
      <c r="F498" s="30">
        <v>9.0190000000000001</v>
      </c>
      <c r="G498" s="18">
        <v>0</v>
      </c>
      <c r="H498" s="18">
        <v>0</v>
      </c>
      <c r="I498" s="18">
        <v>5.8565148750000002</v>
      </c>
      <c r="J498" s="18">
        <v>4.7948499999999998E-2</v>
      </c>
      <c r="K498" s="18">
        <v>0</v>
      </c>
    </row>
    <row r="499" spans="1:12">
      <c r="A499" s="15">
        <v>6</v>
      </c>
      <c r="B499" s="22">
        <v>41379</v>
      </c>
      <c r="C499" s="15">
        <v>2013</v>
      </c>
      <c r="D499" s="11" t="s">
        <v>30</v>
      </c>
      <c r="E499" s="15">
        <v>4</v>
      </c>
      <c r="F499" s="31">
        <v>0.59499999999999997</v>
      </c>
      <c r="G499" s="18">
        <v>0</v>
      </c>
      <c r="H499" s="18">
        <v>0</v>
      </c>
      <c r="I499" s="18">
        <v>0.36882712499999998</v>
      </c>
      <c r="J499" s="18">
        <v>1.3293625E-2</v>
      </c>
      <c r="K499" s="18">
        <v>0</v>
      </c>
    </row>
    <row r="500" spans="1:12">
      <c r="A500" s="15">
        <v>8</v>
      </c>
      <c r="B500" s="22">
        <v>41380</v>
      </c>
      <c r="C500" s="15">
        <v>2013</v>
      </c>
      <c r="D500" s="11" t="s">
        <v>30</v>
      </c>
      <c r="E500" s="15">
        <v>4</v>
      </c>
      <c r="F500" s="31">
        <v>0.70699999999999996</v>
      </c>
      <c r="G500" s="18">
        <v>0</v>
      </c>
      <c r="H500" s="18">
        <v>0</v>
      </c>
      <c r="I500" s="18">
        <v>0.12105000000000002</v>
      </c>
      <c r="J500" s="18">
        <v>1.3810749999999998E-2</v>
      </c>
      <c r="K500" s="18">
        <v>0</v>
      </c>
    </row>
    <row r="501" spans="1:12">
      <c r="A501" s="15">
        <v>15</v>
      </c>
      <c r="B501" s="22">
        <v>41380</v>
      </c>
      <c r="C501" s="15">
        <v>2013</v>
      </c>
      <c r="D501" s="11" t="s">
        <v>30</v>
      </c>
      <c r="E501" s="15">
        <v>4</v>
      </c>
      <c r="F501" s="31">
        <v>0.377</v>
      </c>
      <c r="G501" s="18">
        <v>0</v>
      </c>
      <c r="H501" s="18">
        <v>0</v>
      </c>
      <c r="I501" s="18">
        <v>0.22333187499999999</v>
      </c>
      <c r="J501" s="18">
        <v>0</v>
      </c>
      <c r="K501" s="18">
        <v>0</v>
      </c>
    </row>
    <row r="502" spans="1:12">
      <c r="A502" s="15">
        <v>6</v>
      </c>
      <c r="B502" s="22">
        <v>41408</v>
      </c>
      <c r="C502" s="15">
        <v>2013</v>
      </c>
      <c r="D502" s="11" t="s">
        <v>31</v>
      </c>
      <c r="E502" s="15">
        <v>5</v>
      </c>
      <c r="F502" s="31">
        <v>0.69199999999999995</v>
      </c>
      <c r="G502" s="18">
        <v>2.5223374999999999E-2</v>
      </c>
      <c r="H502" s="18">
        <v>0</v>
      </c>
      <c r="I502" s="18">
        <v>0.21921062500000002</v>
      </c>
      <c r="J502" s="18">
        <v>1.7391500000000001E-2</v>
      </c>
      <c r="K502" s="18">
        <v>0</v>
      </c>
    </row>
    <row r="503" spans="1:12">
      <c r="A503" s="15">
        <v>6</v>
      </c>
      <c r="B503" s="22">
        <v>41408</v>
      </c>
      <c r="C503" s="15">
        <v>2013</v>
      </c>
      <c r="D503" s="11" t="s">
        <v>31</v>
      </c>
      <c r="E503" s="15">
        <v>5</v>
      </c>
      <c r="F503" s="31">
        <v>0.69199999999999995</v>
      </c>
      <c r="G503" s="18">
        <v>2.6374874999999999E-2</v>
      </c>
      <c r="H503" s="18">
        <v>0</v>
      </c>
      <c r="I503" s="18">
        <v>0.22783112499999997</v>
      </c>
      <c r="J503" s="18">
        <v>1.9159250000000003E-2</v>
      </c>
      <c r="K503" s="18">
        <v>0</v>
      </c>
      <c r="L503" t="s">
        <v>41</v>
      </c>
    </row>
    <row r="504" spans="1:12">
      <c r="A504" s="15">
        <v>8</v>
      </c>
      <c r="B504" s="22">
        <v>41407</v>
      </c>
      <c r="C504" s="15">
        <v>2013</v>
      </c>
      <c r="D504" s="11" t="s">
        <v>31</v>
      </c>
      <c r="E504" s="15">
        <v>5</v>
      </c>
      <c r="F504" s="31">
        <v>1.17</v>
      </c>
      <c r="G504" s="18">
        <v>0</v>
      </c>
      <c r="H504" s="18">
        <v>0</v>
      </c>
      <c r="I504" s="18">
        <v>7.1371124999999994E-2</v>
      </c>
      <c r="J504" s="18">
        <v>0</v>
      </c>
      <c r="K504" s="18">
        <v>0</v>
      </c>
    </row>
    <row r="505" spans="1:12">
      <c r="A505" s="15">
        <v>15</v>
      </c>
      <c r="B505" s="22">
        <v>41407</v>
      </c>
      <c r="C505" s="15">
        <v>2013</v>
      </c>
      <c r="D505" s="11" t="s">
        <v>31</v>
      </c>
      <c r="E505" s="15">
        <v>5</v>
      </c>
      <c r="F505" s="31">
        <v>0.76100000000000001</v>
      </c>
      <c r="G505" s="18">
        <v>5.2428749999999996E-2</v>
      </c>
      <c r="H505" s="18">
        <v>0</v>
      </c>
      <c r="I505" s="18">
        <v>0.14191675000000001</v>
      </c>
      <c r="J505" s="18">
        <v>1.35485E-2</v>
      </c>
      <c r="K505" s="18">
        <v>0</v>
      </c>
    </row>
    <row r="506" spans="1:12">
      <c r="A506" s="15">
        <v>6</v>
      </c>
      <c r="B506" s="22">
        <v>41436</v>
      </c>
      <c r="C506" s="15">
        <v>2013</v>
      </c>
      <c r="D506" s="11" t="s">
        <v>32</v>
      </c>
      <c r="E506" s="15">
        <v>6</v>
      </c>
      <c r="F506" s="31">
        <v>10.188000000000001</v>
      </c>
      <c r="G506" s="18">
        <v>0</v>
      </c>
      <c r="H506" s="18">
        <v>0</v>
      </c>
      <c r="I506" s="18">
        <v>5.9548275000000004</v>
      </c>
      <c r="J506" s="18">
        <v>9.686800000000001E-2</v>
      </c>
      <c r="K506" s="18">
        <v>0</v>
      </c>
    </row>
    <row r="507" spans="1:12">
      <c r="A507" s="15">
        <v>8</v>
      </c>
      <c r="B507" s="22">
        <v>41437</v>
      </c>
      <c r="C507" s="15">
        <v>2013</v>
      </c>
      <c r="D507" s="11" t="s">
        <v>32</v>
      </c>
      <c r="E507" s="15">
        <v>6</v>
      </c>
      <c r="F507" s="31">
        <v>4.4930000000000003</v>
      </c>
      <c r="G507" s="18">
        <v>0.13520399999999999</v>
      </c>
      <c r="H507" s="18">
        <v>0</v>
      </c>
      <c r="I507" s="18">
        <v>1.3955762499999995</v>
      </c>
      <c r="J507" s="18">
        <v>1.8965375E-2</v>
      </c>
      <c r="K507" s="18">
        <v>0</v>
      </c>
    </row>
    <row r="508" spans="1:12">
      <c r="A508" s="15">
        <v>15</v>
      </c>
      <c r="B508" s="22">
        <v>41437</v>
      </c>
      <c r="C508" s="15">
        <v>2013</v>
      </c>
      <c r="D508" s="11" t="s">
        <v>32</v>
      </c>
      <c r="E508" s="15">
        <v>6</v>
      </c>
      <c r="F508" s="31">
        <v>3.3330000000000002</v>
      </c>
      <c r="G508" s="18">
        <v>5.8493125000000007E-2</v>
      </c>
      <c r="H508" s="18">
        <v>0</v>
      </c>
      <c r="I508" s="18">
        <v>1.5380359999999997</v>
      </c>
      <c r="J508" s="18">
        <v>4.1266625000000001E-2</v>
      </c>
      <c r="K508" s="18">
        <v>0</v>
      </c>
    </row>
    <row r="509" spans="1:12">
      <c r="A509" s="15">
        <v>6</v>
      </c>
      <c r="B509" s="22">
        <v>41470</v>
      </c>
      <c r="C509" s="15">
        <v>2013</v>
      </c>
      <c r="D509" s="11" t="s">
        <v>33</v>
      </c>
      <c r="E509" s="15">
        <v>7</v>
      </c>
      <c r="F509" s="31">
        <v>4.2619999999999996</v>
      </c>
      <c r="G509" s="18">
        <v>0.21942025000000001</v>
      </c>
      <c r="H509" s="18">
        <v>0</v>
      </c>
      <c r="I509" s="18">
        <v>0.58448999999999995</v>
      </c>
      <c r="J509" s="18">
        <v>1.6311482499999999</v>
      </c>
      <c r="K509" s="18">
        <v>0</v>
      </c>
    </row>
    <row r="510" spans="1:12">
      <c r="A510" s="15">
        <v>8</v>
      </c>
      <c r="B510" s="22">
        <v>41470</v>
      </c>
      <c r="C510" s="15">
        <v>2013</v>
      </c>
      <c r="D510" s="11" t="s">
        <v>33</v>
      </c>
      <c r="E510" s="15">
        <v>7</v>
      </c>
      <c r="F510" s="31">
        <v>4.1459999999999999</v>
      </c>
      <c r="G510" s="18">
        <v>0.17816137499999998</v>
      </c>
      <c r="H510" s="18">
        <v>0</v>
      </c>
      <c r="I510" s="18">
        <v>1.2132586249999997</v>
      </c>
      <c r="J510" s="18">
        <v>5.3456999999999998E-2</v>
      </c>
      <c r="K510" s="18">
        <v>0</v>
      </c>
    </row>
    <row r="511" spans="1:12">
      <c r="A511" s="15">
        <v>15</v>
      </c>
      <c r="B511" s="22">
        <v>41470</v>
      </c>
      <c r="C511" s="15">
        <v>2013</v>
      </c>
      <c r="D511" s="11" t="s">
        <v>33</v>
      </c>
      <c r="E511" s="15">
        <v>7</v>
      </c>
      <c r="F511" s="31">
        <v>3.3679999999999999</v>
      </c>
      <c r="G511" s="18">
        <v>4.7196624999999992E-2</v>
      </c>
      <c r="H511" s="18">
        <v>0</v>
      </c>
      <c r="I511" s="18">
        <v>1.116895</v>
      </c>
      <c r="J511" s="18">
        <v>0.29614099999999999</v>
      </c>
      <c r="K511" s="18">
        <v>0</v>
      </c>
    </row>
    <row r="512" spans="1:12">
      <c r="A512" s="15">
        <v>6</v>
      </c>
      <c r="B512" s="22">
        <v>41498</v>
      </c>
      <c r="C512" s="15">
        <v>2013</v>
      </c>
      <c r="D512" s="11" t="s">
        <v>34</v>
      </c>
      <c r="E512" s="15">
        <v>8</v>
      </c>
      <c r="F512" s="31">
        <v>3.323</v>
      </c>
      <c r="G512" s="18">
        <v>0.105514</v>
      </c>
      <c r="H512" s="18">
        <v>0</v>
      </c>
      <c r="I512" s="18">
        <v>0.86965412499999994</v>
      </c>
      <c r="J512" s="18">
        <v>0.7917361249999999</v>
      </c>
      <c r="K512" s="18">
        <v>0</v>
      </c>
    </row>
    <row r="513" spans="1:11">
      <c r="A513" s="15">
        <v>8</v>
      </c>
      <c r="B513" s="22">
        <v>41498</v>
      </c>
      <c r="C513" s="15">
        <v>2013</v>
      </c>
      <c r="D513" s="11" t="s">
        <v>34</v>
      </c>
      <c r="E513" s="15">
        <v>8</v>
      </c>
      <c r="F513" s="31">
        <v>3.33</v>
      </c>
      <c r="G513" s="18">
        <v>0.14407937499999998</v>
      </c>
      <c r="H513" s="18">
        <v>0</v>
      </c>
      <c r="I513" s="18">
        <v>1.1862837500000001</v>
      </c>
      <c r="J513" s="18">
        <v>2.8969749999999999E-2</v>
      </c>
      <c r="K513" s="18">
        <v>0</v>
      </c>
    </row>
    <row r="514" spans="1:11">
      <c r="A514" s="15">
        <v>15</v>
      </c>
      <c r="B514" s="22">
        <v>41498</v>
      </c>
      <c r="C514" s="15">
        <v>2013</v>
      </c>
      <c r="D514" s="11" t="s">
        <v>34</v>
      </c>
      <c r="E514" s="15">
        <v>8</v>
      </c>
      <c r="F514" s="31">
        <v>1.9870000000000001</v>
      </c>
      <c r="G514" s="18">
        <v>0.23078237500000001</v>
      </c>
      <c r="H514" s="18">
        <v>0</v>
      </c>
      <c r="I514" s="18">
        <v>0.56287425000000002</v>
      </c>
      <c r="J514" s="18">
        <v>0.212019875</v>
      </c>
      <c r="K514" s="18">
        <v>0</v>
      </c>
    </row>
    <row r="515" spans="1:11">
      <c r="A515" s="15">
        <v>6</v>
      </c>
      <c r="B515" s="22">
        <v>41535</v>
      </c>
      <c r="C515" s="15">
        <v>2013</v>
      </c>
      <c r="D515" s="11" t="s">
        <v>40</v>
      </c>
      <c r="E515" s="15">
        <v>9</v>
      </c>
      <c r="F515" s="31">
        <v>1.4730000000000001</v>
      </c>
      <c r="G515" s="18">
        <v>4.1458749999999996E-2</v>
      </c>
      <c r="H515" s="18">
        <v>0</v>
      </c>
      <c r="I515" s="18">
        <v>0.58542100000000008</v>
      </c>
      <c r="J515" s="18">
        <v>2.492925E-2</v>
      </c>
      <c r="K515" s="18">
        <v>0</v>
      </c>
    </row>
    <row r="516" spans="1:11">
      <c r="A516" s="15">
        <v>8</v>
      </c>
      <c r="B516" s="22">
        <v>41535</v>
      </c>
      <c r="C516" s="15">
        <v>2013</v>
      </c>
      <c r="D516" s="11" t="s">
        <v>40</v>
      </c>
      <c r="E516" s="15">
        <v>9</v>
      </c>
      <c r="F516" s="31">
        <v>2.9580000000000002</v>
      </c>
      <c r="G516" s="18">
        <v>0</v>
      </c>
      <c r="H516" s="18">
        <v>0</v>
      </c>
      <c r="I516" s="18">
        <v>1.2632656249999998</v>
      </c>
      <c r="J516" s="18">
        <v>5.1277875000000007E-2</v>
      </c>
      <c r="K516" s="18">
        <v>0</v>
      </c>
    </row>
    <row r="517" spans="1:11">
      <c r="A517" s="15">
        <v>15</v>
      </c>
      <c r="B517" s="22">
        <v>41535</v>
      </c>
      <c r="C517" s="15">
        <v>2013</v>
      </c>
      <c r="D517" s="11" t="s">
        <v>40</v>
      </c>
      <c r="E517" s="15">
        <v>9</v>
      </c>
      <c r="F517" s="31">
        <v>2.5760000000000001</v>
      </c>
      <c r="G517" s="18">
        <v>5.5762999999999993E-2</v>
      </c>
      <c r="H517" s="18">
        <v>0</v>
      </c>
      <c r="I517" s="18">
        <v>1.1704380000000001</v>
      </c>
      <c r="J517" s="18">
        <v>6.8153624999999995E-2</v>
      </c>
      <c r="K517" s="18">
        <v>0</v>
      </c>
    </row>
    <row r="518" spans="1:11">
      <c r="A518" s="15">
        <v>6</v>
      </c>
      <c r="B518" s="22">
        <v>41569</v>
      </c>
      <c r="C518" s="15">
        <v>2013</v>
      </c>
      <c r="D518" s="11" t="s">
        <v>36</v>
      </c>
      <c r="E518" s="15">
        <v>10</v>
      </c>
      <c r="F518" s="26">
        <v>1.5389999999999999</v>
      </c>
      <c r="G518" s="18">
        <v>5.199612499999999E-2</v>
      </c>
      <c r="H518" s="18">
        <v>0</v>
      </c>
      <c r="I518" s="18">
        <v>6.3442125000000002E-2</v>
      </c>
      <c r="J518" s="18">
        <v>0</v>
      </c>
      <c r="K518" s="18">
        <v>0</v>
      </c>
    </row>
    <row r="519" spans="1:11">
      <c r="A519" s="15">
        <v>8</v>
      </c>
      <c r="B519" s="22">
        <v>406810</v>
      </c>
      <c r="C519" s="15">
        <v>2013</v>
      </c>
      <c r="D519" s="11" t="s">
        <v>36</v>
      </c>
      <c r="E519" s="15">
        <v>10</v>
      </c>
      <c r="F519" s="26">
        <v>0.92200000000000004</v>
      </c>
      <c r="G519" s="18">
        <v>0</v>
      </c>
      <c r="H519" s="18">
        <v>0</v>
      </c>
      <c r="I519" s="18">
        <v>0.12221799999999998</v>
      </c>
      <c r="J519" s="18">
        <v>0</v>
      </c>
      <c r="K519" s="18">
        <v>0</v>
      </c>
    </row>
    <row r="520" spans="1:11">
      <c r="A520" s="15">
        <v>15</v>
      </c>
      <c r="B520" s="22">
        <v>406810</v>
      </c>
      <c r="C520" s="15">
        <v>2013</v>
      </c>
      <c r="D520" s="11" t="s">
        <v>36</v>
      </c>
      <c r="E520" s="15">
        <v>10</v>
      </c>
      <c r="F520" s="26">
        <v>1.8380000000000001</v>
      </c>
      <c r="G520" s="18">
        <v>4.0808749999999991E-2</v>
      </c>
      <c r="H520" s="18">
        <v>0</v>
      </c>
      <c r="I520" s="18">
        <v>0.255803375</v>
      </c>
      <c r="J520" s="18">
        <v>0</v>
      </c>
      <c r="K520" s="18">
        <v>0</v>
      </c>
    </row>
    <row r="521" spans="1:11">
      <c r="A521" s="15">
        <v>6</v>
      </c>
      <c r="B521" s="22">
        <v>41599</v>
      </c>
      <c r="C521" s="15">
        <v>2013</v>
      </c>
      <c r="D521" s="11" t="s">
        <v>37</v>
      </c>
      <c r="E521" s="15">
        <v>11</v>
      </c>
      <c r="F521" s="26">
        <v>2.1930000000000001</v>
      </c>
      <c r="G521" s="18">
        <v>0.15699399999999999</v>
      </c>
      <c r="H521" s="18">
        <v>0</v>
      </c>
      <c r="I521" s="18">
        <v>0.44691249999999993</v>
      </c>
      <c r="J521" s="18">
        <v>8.6479999999999994E-3</v>
      </c>
      <c r="K521" s="18">
        <v>0</v>
      </c>
    </row>
    <row r="522" spans="1:11">
      <c r="A522" s="15">
        <v>8</v>
      </c>
      <c r="B522" s="22">
        <v>41599</v>
      </c>
      <c r="C522" s="15">
        <v>2013</v>
      </c>
      <c r="D522" s="11" t="s">
        <v>37</v>
      </c>
      <c r="E522" s="15">
        <v>11</v>
      </c>
      <c r="F522" s="26">
        <v>0.51</v>
      </c>
      <c r="G522" s="18">
        <v>0</v>
      </c>
      <c r="H522" s="18">
        <v>0</v>
      </c>
      <c r="I522" s="18">
        <v>0.108892875</v>
      </c>
      <c r="J522" s="18">
        <v>0</v>
      </c>
      <c r="K522" s="18">
        <v>0</v>
      </c>
    </row>
    <row r="523" spans="1:11">
      <c r="A523" s="15">
        <v>15</v>
      </c>
      <c r="B523" s="22">
        <v>41599</v>
      </c>
      <c r="C523" s="15">
        <v>2013</v>
      </c>
      <c r="D523" s="11" t="s">
        <v>37</v>
      </c>
      <c r="E523" s="15">
        <v>11</v>
      </c>
      <c r="F523" s="26">
        <v>1.6080000000000001</v>
      </c>
      <c r="G523" s="18">
        <v>1.2926874999999999E-2</v>
      </c>
      <c r="H523" s="18">
        <v>0</v>
      </c>
      <c r="I523" s="18">
        <v>0.35915974999999994</v>
      </c>
      <c r="J523" s="18">
        <v>4.9793750000000003E-3</v>
      </c>
      <c r="K523" s="18">
        <v>0</v>
      </c>
    </row>
    <row r="524" spans="1:11">
      <c r="A524" s="15">
        <v>6</v>
      </c>
      <c r="B524" s="22">
        <v>41624</v>
      </c>
      <c r="C524" s="15">
        <v>2013</v>
      </c>
      <c r="D524" s="11" t="s">
        <v>38</v>
      </c>
      <c r="E524" s="15">
        <v>12</v>
      </c>
      <c r="F524" s="26">
        <v>4.742</v>
      </c>
      <c r="G524" s="18">
        <v>3.6453999999999993E-2</v>
      </c>
      <c r="H524" s="18">
        <v>0</v>
      </c>
      <c r="I524" s="18">
        <v>1.9930667499999999</v>
      </c>
      <c r="J524" s="18">
        <v>0</v>
      </c>
      <c r="K524" s="18">
        <v>0</v>
      </c>
    </row>
    <row r="525" spans="1:11">
      <c r="A525" s="15">
        <v>8</v>
      </c>
      <c r="B525" s="22">
        <v>41627</v>
      </c>
      <c r="C525" s="15">
        <v>2013</v>
      </c>
      <c r="D525" s="11" t="s">
        <v>38</v>
      </c>
      <c r="E525" s="15">
        <v>12</v>
      </c>
      <c r="F525" s="26">
        <v>1.417</v>
      </c>
      <c r="G525" s="18">
        <v>8.0112249999999996E-2</v>
      </c>
      <c r="H525" s="18">
        <v>0</v>
      </c>
      <c r="I525" s="18">
        <v>0.41722912499999998</v>
      </c>
      <c r="J525" s="18">
        <v>7.4692499999999993E-3</v>
      </c>
      <c r="K525" s="18">
        <v>0</v>
      </c>
    </row>
    <row r="526" spans="1:11">
      <c r="A526" s="15">
        <v>15</v>
      </c>
      <c r="B526" s="22">
        <v>41627</v>
      </c>
      <c r="C526" s="15">
        <v>2013</v>
      </c>
      <c r="D526" s="11" t="s">
        <v>38</v>
      </c>
      <c r="E526" s="15">
        <v>12</v>
      </c>
      <c r="F526" s="26">
        <v>3.1640000000000001</v>
      </c>
      <c r="G526" s="18">
        <v>5.9317124999999984E-2</v>
      </c>
      <c r="H526" s="18">
        <v>0</v>
      </c>
      <c r="I526" s="18">
        <v>1.1139265</v>
      </c>
      <c r="J526" s="18">
        <v>9.1658750000000021E-3</v>
      </c>
      <c r="K526" s="18">
        <v>0</v>
      </c>
    </row>
    <row r="527" spans="1:11">
      <c r="A527" s="15">
        <v>6</v>
      </c>
      <c r="B527" s="22">
        <v>41654</v>
      </c>
      <c r="C527" s="15">
        <v>2014</v>
      </c>
      <c r="D527" s="11" t="s">
        <v>39</v>
      </c>
      <c r="E527" s="15">
        <v>1</v>
      </c>
      <c r="F527" s="26">
        <v>2.57</v>
      </c>
      <c r="G527" s="18">
        <v>6.0505624999999987E-2</v>
      </c>
      <c r="H527" s="18">
        <v>0</v>
      </c>
      <c r="I527" s="18">
        <v>1.0897259999999998</v>
      </c>
      <c r="J527" s="18">
        <v>1.2909624999999997E-2</v>
      </c>
      <c r="K527" s="18">
        <v>0</v>
      </c>
    </row>
    <row r="528" spans="1:11">
      <c r="A528" s="15">
        <v>8</v>
      </c>
      <c r="B528" s="22">
        <v>41655</v>
      </c>
      <c r="C528" s="15">
        <v>2014</v>
      </c>
      <c r="D528" s="11" t="s">
        <v>39</v>
      </c>
      <c r="E528" s="15">
        <v>1</v>
      </c>
      <c r="F528" s="26">
        <v>1.9390000000000001</v>
      </c>
      <c r="G528" s="18">
        <v>4.7891249999999996E-2</v>
      </c>
      <c r="H528" s="18">
        <v>0</v>
      </c>
      <c r="I528" s="18">
        <v>0.83379287499999999</v>
      </c>
      <c r="J528" s="18">
        <v>1.041775E-2</v>
      </c>
      <c r="K528" s="18">
        <v>0</v>
      </c>
    </row>
    <row r="529" spans="1:12">
      <c r="A529" s="15">
        <v>15</v>
      </c>
      <c r="B529" s="22">
        <v>41655</v>
      </c>
      <c r="C529" s="15">
        <v>2014</v>
      </c>
      <c r="D529" s="11" t="s">
        <v>39</v>
      </c>
      <c r="E529" s="15">
        <v>1</v>
      </c>
      <c r="F529" s="26">
        <v>2.8519999999999999</v>
      </c>
      <c r="G529" s="18">
        <v>9.7167249999999997E-2</v>
      </c>
      <c r="H529" s="18">
        <v>0</v>
      </c>
      <c r="I529" s="18">
        <v>1.10187575</v>
      </c>
      <c r="J529" s="18">
        <v>2.2926249999999995E-2</v>
      </c>
      <c r="K529" s="18">
        <v>0</v>
      </c>
    </row>
    <row r="530" spans="1:12">
      <c r="A530" s="15">
        <v>6</v>
      </c>
      <c r="B530" s="22">
        <v>41688</v>
      </c>
      <c r="C530" s="15">
        <v>2014</v>
      </c>
      <c r="D530" s="11" t="s">
        <v>28</v>
      </c>
      <c r="E530" s="15">
        <v>2</v>
      </c>
      <c r="F530" s="26">
        <v>5.194</v>
      </c>
      <c r="G530" s="18">
        <v>0.10904712499999999</v>
      </c>
      <c r="H530" s="18">
        <v>0</v>
      </c>
      <c r="I530" s="18">
        <v>2.1479910000000006</v>
      </c>
      <c r="J530" s="18">
        <v>2.8799624999999999E-2</v>
      </c>
      <c r="K530" s="18">
        <v>0</v>
      </c>
    </row>
    <row r="531" spans="1:12">
      <c r="A531" s="15">
        <v>8</v>
      </c>
      <c r="B531" s="22">
        <v>41690</v>
      </c>
      <c r="C531" s="15">
        <v>2014</v>
      </c>
      <c r="D531" s="11" t="s">
        <v>28</v>
      </c>
      <c r="E531" s="15">
        <v>2</v>
      </c>
      <c r="F531" s="26">
        <v>2.6349999999999998</v>
      </c>
      <c r="G531" s="18">
        <v>6.2707499999999999E-2</v>
      </c>
      <c r="H531" s="18">
        <v>0</v>
      </c>
      <c r="I531" s="18">
        <v>0.98751750000000005</v>
      </c>
      <c r="J531" s="18">
        <v>3.3908125000000004E-2</v>
      </c>
      <c r="K531" s="18">
        <v>0</v>
      </c>
    </row>
    <row r="532" spans="1:12">
      <c r="A532" s="15">
        <v>15</v>
      </c>
      <c r="B532" s="22">
        <v>41690</v>
      </c>
      <c r="C532" s="15">
        <v>2014</v>
      </c>
      <c r="D532" s="11" t="s">
        <v>28</v>
      </c>
      <c r="E532" s="15">
        <v>2</v>
      </c>
      <c r="F532" s="26">
        <v>2.0369999999999999</v>
      </c>
      <c r="G532" s="18">
        <v>5.0547750000000002E-2</v>
      </c>
      <c r="H532" s="18">
        <v>0</v>
      </c>
      <c r="I532" s="18">
        <v>0.80476624999999979</v>
      </c>
      <c r="J532" s="18">
        <v>2.3821999999999996E-2</v>
      </c>
      <c r="K532" s="18">
        <v>0</v>
      </c>
    </row>
    <row r="533" spans="1:12">
      <c r="A533" s="32">
        <v>6</v>
      </c>
      <c r="B533" s="33">
        <v>41719</v>
      </c>
      <c r="C533" s="32">
        <v>2014</v>
      </c>
      <c r="D533" s="34" t="s">
        <v>29</v>
      </c>
      <c r="E533" s="15">
        <v>3</v>
      </c>
      <c r="F533" s="35">
        <v>3.532</v>
      </c>
      <c r="G533" s="36">
        <v>6.6729250000000004E-2</v>
      </c>
      <c r="H533" s="36">
        <v>0</v>
      </c>
      <c r="I533" s="36">
        <v>1.64696</v>
      </c>
      <c r="J533" s="36">
        <v>1.9767374999999997E-2</v>
      </c>
      <c r="K533" s="36">
        <v>0</v>
      </c>
      <c r="L533" s="37"/>
    </row>
    <row r="534" spans="1:12">
      <c r="A534" s="15">
        <v>8</v>
      </c>
      <c r="B534" s="22">
        <v>41718</v>
      </c>
      <c r="C534" s="15">
        <v>2014</v>
      </c>
      <c r="D534" s="11" t="s">
        <v>29</v>
      </c>
      <c r="E534" s="15">
        <v>3</v>
      </c>
      <c r="F534" s="26">
        <v>3.2989999999999999</v>
      </c>
      <c r="G534" s="18">
        <v>8.9904749999999992E-2</v>
      </c>
      <c r="H534" s="18">
        <v>0</v>
      </c>
      <c r="I534" s="18">
        <v>1.3240952500000001</v>
      </c>
      <c r="J534" s="18">
        <v>3.8516624999999999E-2</v>
      </c>
      <c r="K534" s="18">
        <v>0</v>
      </c>
    </row>
    <row r="535" spans="1:12">
      <c r="A535" s="15">
        <v>15</v>
      </c>
      <c r="B535" s="22">
        <v>41718</v>
      </c>
      <c r="C535" s="15">
        <v>2014</v>
      </c>
      <c r="D535" s="11" t="s">
        <v>29</v>
      </c>
      <c r="E535" s="15">
        <v>3</v>
      </c>
      <c r="F535" s="26">
        <v>5.0549999999999997</v>
      </c>
      <c r="G535" s="18">
        <v>6.8582624999999994E-2</v>
      </c>
      <c r="H535" s="18">
        <v>0</v>
      </c>
      <c r="I535" s="18">
        <v>2.4427641250000001</v>
      </c>
      <c r="J535" s="18">
        <v>4.3438375000000008E-2</v>
      </c>
      <c r="K535" s="18">
        <v>0</v>
      </c>
    </row>
    <row r="536" spans="1:12">
      <c r="A536" s="15">
        <v>6</v>
      </c>
      <c r="B536" s="22">
        <v>41747</v>
      </c>
      <c r="C536" s="15">
        <v>2014</v>
      </c>
      <c r="D536" s="11" t="s">
        <v>30</v>
      </c>
      <c r="E536" s="15">
        <v>4</v>
      </c>
      <c r="F536" s="38">
        <v>3.5249999999999999</v>
      </c>
      <c r="G536" s="18">
        <v>3.5647999999999999E-2</v>
      </c>
      <c r="H536" s="18">
        <v>0</v>
      </c>
      <c r="I536" s="18">
        <v>1.6397242499999998</v>
      </c>
      <c r="J536" s="18">
        <v>2.7161999999999999E-2</v>
      </c>
      <c r="K536" s="18">
        <v>0</v>
      </c>
    </row>
    <row r="537" spans="1:12">
      <c r="A537" s="15">
        <v>8</v>
      </c>
      <c r="B537" s="22">
        <v>41750</v>
      </c>
      <c r="C537" s="15">
        <v>2014</v>
      </c>
      <c r="D537" s="11" t="s">
        <v>30</v>
      </c>
      <c r="E537" s="15">
        <v>4</v>
      </c>
      <c r="F537" s="38">
        <v>1.02</v>
      </c>
      <c r="G537" s="18">
        <v>1.88545E-2</v>
      </c>
      <c r="H537" s="18">
        <v>0</v>
      </c>
      <c r="I537" s="18">
        <v>0.303593375</v>
      </c>
      <c r="J537" s="18">
        <v>1.5872500000000001E-2</v>
      </c>
      <c r="K537" s="18">
        <v>0</v>
      </c>
    </row>
    <row r="538" spans="1:12">
      <c r="A538" s="15">
        <v>15</v>
      </c>
      <c r="B538" s="22">
        <v>41750</v>
      </c>
      <c r="C538" s="15">
        <v>2014</v>
      </c>
      <c r="D538" s="11" t="s">
        <v>30</v>
      </c>
      <c r="E538" s="15">
        <v>4</v>
      </c>
      <c r="F538" s="38">
        <v>2.5870000000000002</v>
      </c>
      <c r="G538" s="18">
        <v>0</v>
      </c>
      <c r="H538" s="18">
        <v>0</v>
      </c>
      <c r="I538" s="18">
        <v>1.1846015000000001</v>
      </c>
      <c r="J538" s="18">
        <v>0</v>
      </c>
      <c r="K538" s="18">
        <v>0</v>
      </c>
    </row>
    <row r="539" spans="1:12">
      <c r="A539" s="15">
        <v>6</v>
      </c>
      <c r="B539" s="22">
        <v>41772</v>
      </c>
      <c r="C539" s="15">
        <v>2014</v>
      </c>
      <c r="D539" s="11" t="s">
        <v>31</v>
      </c>
      <c r="E539" s="15">
        <v>5</v>
      </c>
      <c r="F539" s="38">
        <v>1.8720000000000001</v>
      </c>
      <c r="G539" s="18">
        <v>0</v>
      </c>
      <c r="H539" s="18">
        <v>0</v>
      </c>
      <c r="I539" s="18">
        <v>0.20579149999999996</v>
      </c>
      <c r="J539" s="18">
        <v>1.533725E-2</v>
      </c>
      <c r="K539" s="18">
        <v>0</v>
      </c>
    </row>
    <row r="540" spans="1:12">
      <c r="A540" s="15">
        <v>8</v>
      </c>
      <c r="B540" s="22">
        <v>41406</v>
      </c>
      <c r="C540" s="15">
        <v>2014</v>
      </c>
      <c r="D540" s="11" t="s">
        <v>31</v>
      </c>
      <c r="E540" s="15">
        <v>5</v>
      </c>
      <c r="F540" s="38">
        <v>1.1919999999999999</v>
      </c>
      <c r="G540" s="18">
        <v>0</v>
      </c>
      <c r="H540" s="18">
        <v>0</v>
      </c>
      <c r="I540" s="18">
        <v>0.18357124999999994</v>
      </c>
      <c r="J540" s="18">
        <v>0</v>
      </c>
      <c r="K540" s="18">
        <v>0</v>
      </c>
    </row>
    <row r="541" spans="1:12">
      <c r="A541" s="15">
        <v>15</v>
      </c>
      <c r="B541" s="22">
        <v>41406</v>
      </c>
      <c r="C541" s="15">
        <v>2014</v>
      </c>
      <c r="D541" s="11" t="s">
        <v>31</v>
      </c>
      <c r="E541" s="15">
        <v>5</v>
      </c>
      <c r="F541" s="38">
        <v>1.1439999999999999</v>
      </c>
      <c r="G541" s="18">
        <v>0</v>
      </c>
      <c r="H541" s="18">
        <v>0</v>
      </c>
      <c r="I541" s="18">
        <v>6.4500249999999981E-2</v>
      </c>
      <c r="J541" s="18">
        <v>0</v>
      </c>
      <c r="K541" s="18">
        <v>0</v>
      </c>
    </row>
    <row r="542" spans="1:12">
      <c r="A542" s="15">
        <v>6</v>
      </c>
      <c r="B542" s="22">
        <v>41808</v>
      </c>
      <c r="C542" s="15">
        <v>2014</v>
      </c>
      <c r="D542" s="11" t="s">
        <v>32</v>
      </c>
      <c r="E542" s="15">
        <v>6</v>
      </c>
      <c r="F542" s="38">
        <v>4.5490000000000004</v>
      </c>
      <c r="G542" s="18">
        <v>0.32144287500000002</v>
      </c>
      <c r="H542" s="18">
        <v>0</v>
      </c>
      <c r="I542" s="18">
        <v>1.2678983749999997</v>
      </c>
      <c r="J542" s="18">
        <v>0.25557012499999998</v>
      </c>
      <c r="K542" s="18">
        <v>0</v>
      </c>
    </row>
    <row r="543" spans="1:12">
      <c r="A543" s="15">
        <v>8</v>
      </c>
      <c r="B543" s="22">
        <v>41807</v>
      </c>
      <c r="C543" s="15">
        <v>2014</v>
      </c>
      <c r="D543" s="11" t="s">
        <v>32</v>
      </c>
      <c r="E543" s="15">
        <v>6</v>
      </c>
      <c r="F543" s="38">
        <v>2.823</v>
      </c>
      <c r="G543" s="18">
        <v>5.6033624999999997E-2</v>
      </c>
      <c r="H543" s="18">
        <v>0</v>
      </c>
      <c r="I543" s="18">
        <v>0.9740049999999999</v>
      </c>
      <c r="J543" s="18">
        <v>4.1104499999999995E-2</v>
      </c>
      <c r="K543" s="18">
        <v>0</v>
      </c>
    </row>
    <row r="544" spans="1:12">
      <c r="A544" s="15">
        <v>15</v>
      </c>
      <c r="B544" s="22">
        <v>41807</v>
      </c>
      <c r="C544" s="15">
        <v>2014</v>
      </c>
      <c r="D544" s="11" t="s">
        <v>32</v>
      </c>
      <c r="E544" s="15">
        <v>6</v>
      </c>
      <c r="F544" s="38">
        <v>2.129</v>
      </c>
      <c r="G544" s="18">
        <v>5.5231499999999996E-2</v>
      </c>
      <c r="H544" s="18">
        <v>0</v>
      </c>
      <c r="I544" s="18">
        <v>0.79169624999999988</v>
      </c>
      <c r="J544" s="18">
        <v>7.1636499999999992E-2</v>
      </c>
      <c r="K544" s="18">
        <v>0</v>
      </c>
    </row>
    <row r="545" spans="1:11">
      <c r="A545" s="15">
        <v>6</v>
      </c>
      <c r="B545" s="22">
        <v>41834</v>
      </c>
      <c r="C545" s="15">
        <v>2014</v>
      </c>
      <c r="D545" s="11" t="s">
        <v>33</v>
      </c>
      <c r="E545" s="15">
        <v>7</v>
      </c>
      <c r="F545" s="38">
        <v>1.706</v>
      </c>
      <c r="G545" s="18">
        <v>0.22016137499999999</v>
      </c>
      <c r="H545" s="18">
        <v>0</v>
      </c>
      <c r="I545" s="18">
        <v>0.35359487499999998</v>
      </c>
      <c r="J545" s="18">
        <v>4.3380499999999995E-2</v>
      </c>
      <c r="K545" s="18">
        <v>0</v>
      </c>
    </row>
    <row r="546" spans="1:11">
      <c r="A546" s="15">
        <v>8</v>
      </c>
      <c r="B546" s="22">
        <v>41837</v>
      </c>
      <c r="C546" s="15">
        <v>2014</v>
      </c>
      <c r="D546" s="11" t="s">
        <v>33</v>
      </c>
      <c r="E546" s="15">
        <v>7</v>
      </c>
      <c r="F546" s="38">
        <v>2.9140000000000001</v>
      </c>
      <c r="G546" s="18">
        <v>0.15629937500000002</v>
      </c>
      <c r="H546" s="18">
        <v>0</v>
      </c>
      <c r="I546" s="18">
        <v>0.49849137500000001</v>
      </c>
      <c r="J546" s="18">
        <v>1.727275E-2</v>
      </c>
      <c r="K546" s="18">
        <v>0</v>
      </c>
    </row>
    <row r="547" spans="1:11">
      <c r="A547" s="15">
        <v>15</v>
      </c>
      <c r="B547" s="22">
        <v>41837</v>
      </c>
      <c r="C547" s="15">
        <v>2014</v>
      </c>
      <c r="D547" s="11" t="s">
        <v>33</v>
      </c>
      <c r="E547" s="15">
        <v>7</v>
      </c>
      <c r="F547" s="38">
        <v>3.3260000000000001</v>
      </c>
      <c r="G547" s="18">
        <v>0.13892699999999997</v>
      </c>
      <c r="H547" s="18">
        <v>0</v>
      </c>
      <c r="I547" s="18">
        <v>1.259355875</v>
      </c>
      <c r="J547" s="18">
        <v>9.891875E-2</v>
      </c>
      <c r="K547" s="18">
        <v>0</v>
      </c>
    </row>
    <row r="548" spans="1:11">
      <c r="A548" s="15">
        <v>6</v>
      </c>
      <c r="B548" s="22">
        <v>41862</v>
      </c>
      <c r="C548" s="15">
        <v>2014</v>
      </c>
      <c r="D548" s="11" t="s">
        <v>34</v>
      </c>
      <c r="E548" s="15">
        <v>8</v>
      </c>
      <c r="F548" s="38">
        <v>2.972</v>
      </c>
      <c r="G548" s="18">
        <v>0.32487799999999994</v>
      </c>
      <c r="H548" s="18">
        <v>0</v>
      </c>
      <c r="I548" s="18">
        <v>0.24460299999999999</v>
      </c>
      <c r="J548" s="18">
        <v>1.2132106250000001</v>
      </c>
      <c r="K548" s="18">
        <v>0</v>
      </c>
    </row>
    <row r="549" spans="1:11">
      <c r="A549" s="15">
        <v>8</v>
      </c>
      <c r="B549" s="22">
        <v>41862</v>
      </c>
      <c r="C549" s="15">
        <v>2014</v>
      </c>
      <c r="D549" s="11" t="s">
        <v>34</v>
      </c>
      <c r="E549" s="15">
        <v>8</v>
      </c>
      <c r="F549" s="38">
        <v>4.1749999999999998</v>
      </c>
      <c r="G549" s="18">
        <v>7.7050999999999994E-2</v>
      </c>
      <c r="H549" s="18">
        <v>0</v>
      </c>
      <c r="I549" s="18">
        <v>1.3164909999999999</v>
      </c>
      <c r="J549" s="18">
        <v>6.1019999999999998E-2</v>
      </c>
      <c r="K549" s="18">
        <v>0</v>
      </c>
    </row>
    <row r="550" spans="1:11">
      <c r="A550" s="15">
        <v>15</v>
      </c>
      <c r="B550" s="22">
        <v>41862</v>
      </c>
      <c r="C550" s="15">
        <v>2014</v>
      </c>
      <c r="D550" s="11" t="s">
        <v>34</v>
      </c>
      <c r="E550" s="15">
        <v>8</v>
      </c>
      <c r="F550" s="38">
        <v>1.121</v>
      </c>
      <c r="G550" s="18">
        <v>3.4140875000000001E-2</v>
      </c>
      <c r="H550" s="18">
        <v>0</v>
      </c>
      <c r="I550" s="18">
        <v>0.36969475000000002</v>
      </c>
      <c r="J550" s="18">
        <v>0.14376799999999998</v>
      </c>
      <c r="K550" s="18">
        <v>0</v>
      </c>
    </row>
    <row r="551" spans="1:11">
      <c r="A551" s="15">
        <v>6</v>
      </c>
      <c r="B551" s="22">
        <v>41898</v>
      </c>
      <c r="C551" s="15">
        <v>2014</v>
      </c>
      <c r="D551" s="11" t="s">
        <v>40</v>
      </c>
      <c r="E551" s="15">
        <v>9</v>
      </c>
      <c r="F551" s="38">
        <v>3.35</v>
      </c>
      <c r="G551" s="18">
        <v>0.25814900000000002</v>
      </c>
      <c r="H551" s="18">
        <v>0</v>
      </c>
      <c r="I551" s="18">
        <v>0.63321974999999986</v>
      </c>
      <c r="J551" s="18">
        <v>3.8121624999999992E-2</v>
      </c>
      <c r="K551" s="18">
        <v>0</v>
      </c>
    </row>
    <row r="552" spans="1:11">
      <c r="A552" s="15">
        <v>8</v>
      </c>
      <c r="B552" s="22">
        <v>41897</v>
      </c>
      <c r="C552" s="15">
        <v>2014</v>
      </c>
      <c r="D552" s="11" t="s">
        <v>40</v>
      </c>
      <c r="E552" s="15">
        <v>9</v>
      </c>
      <c r="F552" s="38">
        <v>1.718</v>
      </c>
      <c r="G552" s="18">
        <v>3.4482499999999999E-2</v>
      </c>
      <c r="H552" s="18">
        <v>0</v>
      </c>
      <c r="I552" s="18">
        <v>0.38743212500000002</v>
      </c>
      <c r="J552" s="18">
        <v>1.6371875000000004E-2</v>
      </c>
      <c r="K552" s="18">
        <v>0</v>
      </c>
    </row>
    <row r="553" spans="1:11">
      <c r="A553" s="15">
        <v>15</v>
      </c>
      <c r="B553" s="22">
        <v>41897</v>
      </c>
      <c r="C553" s="15">
        <v>2014</v>
      </c>
      <c r="D553" s="11" t="s">
        <v>40</v>
      </c>
      <c r="E553" s="15">
        <v>9</v>
      </c>
      <c r="F553" s="38">
        <v>1.7669999999999999</v>
      </c>
      <c r="G553" s="18">
        <v>0</v>
      </c>
      <c r="H553" s="18">
        <v>0</v>
      </c>
      <c r="I553" s="18">
        <v>0.51165612500000002</v>
      </c>
      <c r="J553" s="18">
        <v>3.2613000000000003E-2</v>
      </c>
      <c r="K553" s="18">
        <v>0</v>
      </c>
    </row>
    <row r="554" spans="1:11">
      <c r="A554" s="15">
        <v>6</v>
      </c>
      <c r="B554" s="22">
        <v>41929</v>
      </c>
      <c r="C554" s="15">
        <v>2014</v>
      </c>
      <c r="D554" s="11" t="s">
        <v>36</v>
      </c>
      <c r="E554" s="15">
        <v>10</v>
      </c>
      <c r="F554" s="26">
        <v>1.51</v>
      </c>
      <c r="G554" s="18">
        <v>1.6669E-2</v>
      </c>
      <c r="H554" s="18">
        <v>0</v>
      </c>
      <c r="I554" s="18">
        <v>0.43258437500000002</v>
      </c>
      <c r="J554" s="18">
        <v>0</v>
      </c>
      <c r="K554" s="18">
        <v>0</v>
      </c>
    </row>
    <row r="555" spans="1:11">
      <c r="A555" s="15">
        <v>8</v>
      </c>
      <c r="B555" s="22">
        <v>41928</v>
      </c>
      <c r="C555" s="15">
        <v>2014</v>
      </c>
      <c r="D555" s="11" t="s">
        <v>36</v>
      </c>
      <c r="E555" s="15">
        <v>10</v>
      </c>
      <c r="F555" s="26">
        <v>1.224</v>
      </c>
      <c r="G555" s="18">
        <v>0</v>
      </c>
      <c r="H555" s="18">
        <v>0</v>
      </c>
      <c r="I555" s="18">
        <v>0.22581725000000002</v>
      </c>
      <c r="J555" s="18">
        <v>0</v>
      </c>
      <c r="K555" s="18">
        <v>0</v>
      </c>
    </row>
    <row r="556" spans="1:11">
      <c r="A556" s="15">
        <v>15</v>
      </c>
      <c r="B556" s="22">
        <v>41928</v>
      </c>
      <c r="C556" s="15">
        <v>2014</v>
      </c>
      <c r="D556" s="11" t="s">
        <v>36</v>
      </c>
      <c r="E556" s="15">
        <v>10</v>
      </c>
      <c r="F556" s="26">
        <v>2.0169999999999999</v>
      </c>
      <c r="G556" s="18">
        <v>2.2946874999999999E-2</v>
      </c>
      <c r="H556" s="18">
        <v>0</v>
      </c>
      <c r="I556" s="18">
        <v>0.42733824999999992</v>
      </c>
      <c r="J556" s="18">
        <v>1.41855E-2</v>
      </c>
      <c r="K556" s="18">
        <v>0</v>
      </c>
    </row>
    <row r="557" spans="1:11">
      <c r="A557" s="15">
        <v>6</v>
      </c>
      <c r="B557" s="22">
        <v>41953</v>
      </c>
      <c r="C557" s="15">
        <v>2014</v>
      </c>
      <c r="D557" s="11" t="s">
        <v>37</v>
      </c>
      <c r="E557" s="15">
        <v>11</v>
      </c>
      <c r="F557" s="26">
        <v>3.0049999999999999</v>
      </c>
      <c r="G557" s="18">
        <v>6.1075874999999995E-2</v>
      </c>
      <c r="H557" s="18">
        <v>0</v>
      </c>
      <c r="I557" s="18">
        <v>0.32425074999999998</v>
      </c>
      <c r="J557" s="18">
        <v>1.77935E-2</v>
      </c>
      <c r="K557" s="18">
        <v>0</v>
      </c>
    </row>
    <row r="558" spans="1:11">
      <c r="A558" s="15">
        <v>8</v>
      </c>
      <c r="B558" s="22">
        <v>41955</v>
      </c>
      <c r="C558" s="15">
        <v>2014</v>
      </c>
      <c r="D558" s="11" t="s">
        <v>37</v>
      </c>
      <c r="E558" s="15">
        <v>11</v>
      </c>
      <c r="F558" s="26">
        <v>0.77900000000000003</v>
      </c>
      <c r="G558" s="18">
        <v>0</v>
      </c>
      <c r="H558" s="18">
        <v>0</v>
      </c>
      <c r="I558" s="18">
        <v>0.10562362499999998</v>
      </c>
      <c r="J558" s="18">
        <v>0</v>
      </c>
      <c r="K558" s="18">
        <v>0</v>
      </c>
    </row>
    <row r="559" spans="1:11">
      <c r="A559" s="15">
        <v>15</v>
      </c>
      <c r="B559" s="22">
        <v>41955</v>
      </c>
      <c r="C559" s="15">
        <v>2014</v>
      </c>
      <c r="D559" s="11" t="s">
        <v>37</v>
      </c>
      <c r="E559" s="15">
        <v>11</v>
      </c>
      <c r="F559" s="26">
        <v>1.903</v>
      </c>
      <c r="G559" s="18">
        <v>4.5334625000000003E-2</v>
      </c>
      <c r="H559" s="18">
        <v>0</v>
      </c>
      <c r="I559" s="18">
        <v>0.16562974999999996</v>
      </c>
      <c r="J559" s="18">
        <v>9.1882500000000002E-3</v>
      </c>
      <c r="K559" s="18">
        <v>0</v>
      </c>
    </row>
    <row r="560" spans="1:11">
      <c r="A560" s="15">
        <v>6</v>
      </c>
      <c r="B560" s="22">
        <v>41988</v>
      </c>
      <c r="C560" s="15">
        <v>2014</v>
      </c>
      <c r="D560" s="11" t="s">
        <v>38</v>
      </c>
      <c r="E560" s="15">
        <v>12</v>
      </c>
      <c r="F560" s="26">
        <v>3.819</v>
      </c>
      <c r="G560" s="18">
        <v>0.23277450000000002</v>
      </c>
      <c r="H560" s="18">
        <v>0</v>
      </c>
      <c r="I560" s="18">
        <v>1.402434875</v>
      </c>
      <c r="J560" s="18">
        <v>0</v>
      </c>
      <c r="K560" s="18">
        <v>0</v>
      </c>
    </row>
    <row r="561" spans="1:11">
      <c r="A561" s="15">
        <v>8</v>
      </c>
      <c r="B561" s="22">
        <v>41992</v>
      </c>
      <c r="C561" s="15">
        <v>2014</v>
      </c>
      <c r="D561" s="11" t="s">
        <v>38</v>
      </c>
      <c r="E561" s="15">
        <v>12</v>
      </c>
      <c r="F561" s="26">
        <v>1.2869999999999999</v>
      </c>
      <c r="G561" s="18">
        <v>0.11462237499999998</v>
      </c>
      <c r="H561" s="18">
        <v>0</v>
      </c>
      <c r="I561" s="18">
        <v>0.26378712499999996</v>
      </c>
      <c r="J561" s="18">
        <v>0</v>
      </c>
      <c r="K561" s="18">
        <v>0</v>
      </c>
    </row>
    <row r="562" spans="1:11">
      <c r="A562" s="15">
        <v>15</v>
      </c>
      <c r="B562" s="22">
        <v>41992</v>
      </c>
      <c r="C562" s="15">
        <v>2014</v>
      </c>
      <c r="D562" s="11" t="s">
        <v>38</v>
      </c>
      <c r="E562" s="15">
        <v>12</v>
      </c>
      <c r="F562" s="26">
        <v>2.2200000000000002</v>
      </c>
      <c r="G562" s="18">
        <v>0.11047999999999999</v>
      </c>
      <c r="H562" s="18">
        <v>0</v>
      </c>
      <c r="I562" s="18">
        <v>0.61752200000000002</v>
      </c>
      <c r="J562" s="18">
        <v>1.5712874999999998E-2</v>
      </c>
      <c r="K562" s="18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51"/>
  <sheetViews>
    <sheetView topLeftCell="A528" workbookViewId="0">
      <selection activeCell="F3" sqref="F3:K551"/>
    </sheetView>
  </sheetViews>
  <sheetFormatPr defaultColWidth="8.85546875" defaultRowHeight="15"/>
  <sheetData>
    <row r="1" spans="1:12" ht="18">
      <c r="F1" s="1" t="s">
        <v>0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</row>
    <row r="2" spans="1:12" ht="25.5">
      <c r="A2" s="2" t="s">
        <v>2</v>
      </c>
      <c r="B2" s="3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7" t="s">
        <v>13</v>
      </c>
    </row>
    <row r="3" spans="1:12">
      <c r="A3" s="8">
        <v>6</v>
      </c>
      <c r="B3" s="9">
        <v>36445</v>
      </c>
      <c r="C3" s="10">
        <v>1999</v>
      </c>
      <c r="D3" s="11" t="s">
        <v>14</v>
      </c>
      <c r="E3" s="12">
        <v>10</v>
      </c>
      <c r="F3" s="13">
        <v>3.5698365161440249</v>
      </c>
      <c r="G3" s="13">
        <v>3.7162682833333335E-2</v>
      </c>
      <c r="H3" s="13">
        <v>1.5403266500000002E-2</v>
      </c>
      <c r="I3" s="13">
        <v>0.97345581050000007</v>
      </c>
      <c r="J3" s="13">
        <v>0.12047614400000001</v>
      </c>
      <c r="K3" s="14" t="s">
        <v>15</v>
      </c>
    </row>
    <row r="4" spans="1:12">
      <c r="A4" s="8">
        <v>8</v>
      </c>
      <c r="B4" s="9">
        <v>36446</v>
      </c>
      <c r="C4" s="10">
        <v>1999</v>
      </c>
      <c r="D4" s="11" t="s">
        <v>14</v>
      </c>
      <c r="E4" s="12">
        <v>10</v>
      </c>
      <c r="F4" s="13">
        <v>0.68411831495979114</v>
      </c>
      <c r="G4" s="13">
        <v>0</v>
      </c>
      <c r="H4" s="13">
        <v>0</v>
      </c>
      <c r="I4" s="13">
        <v>0.15073272133333332</v>
      </c>
      <c r="J4" s="13">
        <v>0</v>
      </c>
      <c r="K4" s="14" t="s">
        <v>15</v>
      </c>
    </row>
    <row r="5" spans="1:12">
      <c r="A5" s="8">
        <v>15</v>
      </c>
      <c r="B5" s="9">
        <v>36445</v>
      </c>
      <c r="C5" s="10">
        <v>1999</v>
      </c>
      <c r="D5" s="11" t="s">
        <v>14</v>
      </c>
      <c r="E5" s="12">
        <v>10</v>
      </c>
      <c r="F5" s="13">
        <v>2.1260596804117222</v>
      </c>
      <c r="G5" s="13">
        <v>0</v>
      </c>
      <c r="H5" s="13">
        <v>0</v>
      </c>
      <c r="I5" s="13">
        <v>0.25964941783333334</v>
      </c>
      <c r="J5" s="13">
        <v>1.7418896999999999E-2</v>
      </c>
      <c r="K5" s="14" t="s">
        <v>15</v>
      </c>
    </row>
    <row r="6" spans="1:12">
      <c r="A6" s="8">
        <v>6</v>
      </c>
      <c r="B6" s="9">
        <v>36472</v>
      </c>
      <c r="C6" s="10">
        <v>1999</v>
      </c>
      <c r="D6" s="11" t="s">
        <v>16</v>
      </c>
      <c r="E6" s="10">
        <v>11</v>
      </c>
      <c r="F6" s="13">
        <v>2.4054250359482343</v>
      </c>
      <c r="G6" s="13">
        <v>2.42904075E-2</v>
      </c>
      <c r="H6" s="13">
        <v>2.8152886833333331E-2</v>
      </c>
      <c r="I6" s="13">
        <v>0.56843149333333343</v>
      </c>
      <c r="J6" s="13">
        <v>2.2977579666666664E-2</v>
      </c>
      <c r="K6" s="14" t="s">
        <v>15</v>
      </c>
    </row>
    <row r="7" spans="1:12">
      <c r="A7" s="8">
        <v>8</v>
      </c>
      <c r="B7" s="9">
        <v>36473</v>
      </c>
      <c r="C7" s="10">
        <v>1999</v>
      </c>
      <c r="D7" s="11" t="s">
        <v>16</v>
      </c>
      <c r="E7" s="10">
        <v>11</v>
      </c>
      <c r="F7" s="13">
        <v>0.3110645838477441</v>
      </c>
      <c r="G7" s="13">
        <v>0</v>
      </c>
      <c r="H7" s="13">
        <v>0</v>
      </c>
      <c r="I7" s="13">
        <v>8.7869832333333328E-2</v>
      </c>
      <c r="J7" s="13">
        <v>0</v>
      </c>
      <c r="K7" s="14" t="s">
        <v>15</v>
      </c>
    </row>
    <row r="8" spans="1:12">
      <c r="A8" s="8">
        <v>15</v>
      </c>
      <c r="B8" s="9">
        <v>36472</v>
      </c>
      <c r="C8" s="10">
        <v>1999</v>
      </c>
      <c r="D8" s="11" t="s">
        <v>16</v>
      </c>
      <c r="E8" s="10">
        <v>11</v>
      </c>
      <c r="F8" s="13">
        <v>1.3858617673943463</v>
      </c>
      <c r="G8" s="13">
        <v>1.6835813999999998E-2</v>
      </c>
      <c r="H8" s="13">
        <v>0</v>
      </c>
      <c r="I8" s="13">
        <v>0.17869869033333333</v>
      </c>
      <c r="J8" s="13">
        <v>7.0865236666666663E-3</v>
      </c>
      <c r="K8" s="14" t="s">
        <v>15</v>
      </c>
    </row>
    <row r="9" spans="1:12">
      <c r="A9" s="8">
        <v>6</v>
      </c>
      <c r="B9" s="9">
        <v>36501</v>
      </c>
      <c r="C9" s="10">
        <v>1999</v>
      </c>
      <c r="D9" s="11" t="s">
        <v>17</v>
      </c>
      <c r="E9" s="10">
        <v>12</v>
      </c>
      <c r="F9" s="13">
        <v>4.7679182065098988</v>
      </c>
      <c r="G9" s="13">
        <v>5.5952682666666663E-2</v>
      </c>
      <c r="H9" s="13">
        <v>4.3322807666666671E-2</v>
      </c>
      <c r="I9" s="13">
        <v>1.5410330740000004</v>
      </c>
      <c r="J9" s="13">
        <v>3.0529119000000004E-2</v>
      </c>
      <c r="K9" s="14" t="s">
        <v>15</v>
      </c>
    </row>
    <row r="10" spans="1:12">
      <c r="A10" s="8">
        <v>8</v>
      </c>
      <c r="B10" s="9">
        <v>36502</v>
      </c>
      <c r="C10" s="10">
        <v>1999</v>
      </c>
      <c r="D10" s="11" t="s">
        <v>17</v>
      </c>
      <c r="E10" s="10">
        <v>12</v>
      </c>
      <c r="F10" s="13">
        <v>0.21161475257447457</v>
      </c>
      <c r="G10" s="13">
        <v>0</v>
      </c>
      <c r="H10" s="13">
        <v>0</v>
      </c>
      <c r="I10" s="13">
        <v>4.3713193666666664E-2</v>
      </c>
      <c r="J10" s="13">
        <v>0</v>
      </c>
      <c r="K10" s="14" t="s">
        <v>15</v>
      </c>
    </row>
    <row r="11" spans="1:12">
      <c r="A11" s="8">
        <v>15</v>
      </c>
      <c r="B11" s="9">
        <v>36501</v>
      </c>
      <c r="C11" s="10">
        <v>1999</v>
      </c>
      <c r="D11" s="11" t="s">
        <v>17</v>
      </c>
      <c r="E11" s="10">
        <v>12</v>
      </c>
      <c r="F11" s="13">
        <v>3.2797970689479876</v>
      </c>
      <c r="G11" s="13">
        <v>0.33146381550000004</v>
      </c>
      <c r="H11" s="13">
        <v>1.1595195666666667E-2</v>
      </c>
      <c r="I11" s="13">
        <v>0.37226358599999998</v>
      </c>
      <c r="J11" s="13">
        <v>1.40421105E-2</v>
      </c>
      <c r="K11" s="14" t="s">
        <v>15</v>
      </c>
    </row>
    <row r="12" spans="1:12">
      <c r="A12" s="8">
        <v>6</v>
      </c>
      <c r="B12" s="9">
        <v>36530</v>
      </c>
      <c r="C12" s="12">
        <v>2000</v>
      </c>
      <c r="D12" s="11" t="s">
        <v>18</v>
      </c>
      <c r="E12" s="10">
        <v>1</v>
      </c>
      <c r="F12" s="13">
        <v>3.2113695330360645</v>
      </c>
      <c r="G12" s="13">
        <v>0.10454679900000001</v>
      </c>
      <c r="H12" s="13">
        <v>0</v>
      </c>
      <c r="I12" s="13">
        <v>1.3133687546666666</v>
      </c>
      <c r="J12" s="13">
        <v>2.9915655333333332E-2</v>
      </c>
      <c r="K12" s="14" t="s">
        <v>15</v>
      </c>
    </row>
    <row r="13" spans="1:12">
      <c r="A13" s="8">
        <v>8</v>
      </c>
      <c r="B13" s="9">
        <v>36531</v>
      </c>
      <c r="C13" s="12">
        <v>2000</v>
      </c>
      <c r="D13" s="11" t="s">
        <v>18</v>
      </c>
      <c r="E13" s="10">
        <v>1</v>
      </c>
      <c r="F13" s="13">
        <v>0.42222455228107891</v>
      </c>
      <c r="G13" s="13">
        <v>7.935359166666666E-3</v>
      </c>
      <c r="H13" s="13">
        <v>0</v>
      </c>
      <c r="I13" s="13">
        <v>0.12130810133333333</v>
      </c>
      <c r="J13" s="13">
        <v>3.4739670000000001E-3</v>
      </c>
      <c r="K13" s="14" t="s">
        <v>15</v>
      </c>
    </row>
    <row r="14" spans="1:12">
      <c r="A14" s="8">
        <v>15</v>
      </c>
      <c r="B14" s="9">
        <v>36530</v>
      </c>
      <c r="C14" s="12">
        <v>2000</v>
      </c>
      <c r="D14" s="11" t="s">
        <v>18</v>
      </c>
      <c r="E14" s="10">
        <v>1</v>
      </c>
      <c r="F14" s="13">
        <v>2.4582124693169112</v>
      </c>
      <c r="G14" s="13">
        <v>6.4497345500000011E-2</v>
      </c>
      <c r="H14" s="13">
        <v>4.6086515500000001E-2</v>
      </c>
      <c r="I14" s="13">
        <v>0.84912798500000009</v>
      </c>
      <c r="J14" s="13">
        <v>3.1601588999999999E-2</v>
      </c>
      <c r="K14" s="14" t="s">
        <v>15</v>
      </c>
    </row>
    <row r="15" spans="1:12">
      <c r="A15" s="8">
        <v>6</v>
      </c>
      <c r="B15" s="9">
        <v>36579</v>
      </c>
      <c r="C15" s="12">
        <v>2000</v>
      </c>
      <c r="D15" s="11" t="s">
        <v>19</v>
      </c>
      <c r="E15" s="12">
        <v>2</v>
      </c>
      <c r="F15" s="13">
        <v>2.0140819848751135</v>
      </c>
      <c r="G15" s="13">
        <v>4.8594443333333334E-2</v>
      </c>
      <c r="H15" s="13">
        <v>0</v>
      </c>
      <c r="I15" s="13">
        <v>0.61307109916666658</v>
      </c>
      <c r="J15" s="13">
        <v>4.5020465333333343E-2</v>
      </c>
      <c r="K15" s="14" t="s">
        <v>15</v>
      </c>
    </row>
    <row r="16" spans="1:12">
      <c r="A16" s="8">
        <v>8</v>
      </c>
      <c r="B16" s="9">
        <v>36578</v>
      </c>
      <c r="C16" s="12">
        <v>2000</v>
      </c>
      <c r="D16" s="11" t="s">
        <v>19</v>
      </c>
      <c r="E16" s="12">
        <v>2</v>
      </c>
      <c r="F16" s="13">
        <v>2.3171913009145619</v>
      </c>
      <c r="G16" s="13">
        <v>3.6569745500000007E-2</v>
      </c>
      <c r="H16" s="13">
        <v>0</v>
      </c>
      <c r="I16" s="13">
        <v>0.76498130850000012</v>
      </c>
      <c r="J16" s="13">
        <v>2.7099731166666668E-2</v>
      </c>
      <c r="K16" s="14" t="s">
        <v>15</v>
      </c>
    </row>
    <row r="17" spans="1:11">
      <c r="A17" s="8">
        <v>15</v>
      </c>
      <c r="B17" s="9">
        <v>36579</v>
      </c>
      <c r="C17" s="12">
        <v>2000</v>
      </c>
      <c r="D17" s="11" t="s">
        <v>19</v>
      </c>
      <c r="E17" s="12">
        <v>2</v>
      </c>
      <c r="F17" s="13">
        <v>2.1126904269730375</v>
      </c>
      <c r="G17" s="13">
        <v>7.7777841833333333E-2</v>
      </c>
      <c r="H17" s="13">
        <v>0</v>
      </c>
      <c r="I17" s="13">
        <v>0.73561549999999998</v>
      </c>
      <c r="J17" s="13">
        <v>3.7478335999999994E-2</v>
      </c>
      <c r="K17" s="14" t="s">
        <v>15</v>
      </c>
    </row>
    <row r="18" spans="1:11">
      <c r="A18" s="8">
        <v>6</v>
      </c>
      <c r="B18" s="9">
        <v>36598</v>
      </c>
      <c r="C18" s="12">
        <v>2000</v>
      </c>
      <c r="D18" s="11" t="s">
        <v>20</v>
      </c>
      <c r="E18" s="12">
        <v>3</v>
      </c>
      <c r="F18" s="13">
        <v>2.4864958323771345</v>
      </c>
      <c r="G18" s="13">
        <v>2.6547783666666668E-2</v>
      </c>
      <c r="H18" s="13">
        <v>3.4807287500000006E-2</v>
      </c>
      <c r="I18" s="13">
        <v>0.8636486596666666</v>
      </c>
      <c r="J18" s="13">
        <v>4.3798528000000003E-2</v>
      </c>
      <c r="K18" s="14" t="s">
        <v>15</v>
      </c>
    </row>
    <row r="19" spans="1:11">
      <c r="A19" s="8">
        <v>8</v>
      </c>
      <c r="B19" s="9">
        <v>36599</v>
      </c>
      <c r="C19" s="12">
        <v>2000</v>
      </c>
      <c r="D19" s="11" t="s">
        <v>20</v>
      </c>
      <c r="E19" s="12">
        <v>3</v>
      </c>
      <c r="F19" s="13">
        <v>0.61220145148561822</v>
      </c>
      <c r="G19" s="13">
        <v>1.4866624666666666E-2</v>
      </c>
      <c r="H19" s="13">
        <v>0</v>
      </c>
      <c r="I19" s="13">
        <v>9.7627194833333333E-2</v>
      </c>
      <c r="J19" s="13">
        <v>1.3364363000000001E-2</v>
      </c>
      <c r="K19" s="14" t="s">
        <v>15</v>
      </c>
    </row>
    <row r="20" spans="1:11">
      <c r="A20" s="8">
        <v>15</v>
      </c>
      <c r="B20" s="9">
        <v>36598</v>
      </c>
      <c r="C20" s="12">
        <v>2000</v>
      </c>
      <c r="D20" s="11" t="s">
        <v>20</v>
      </c>
      <c r="E20" s="12">
        <v>3</v>
      </c>
      <c r="F20" s="13">
        <v>1.8999130352897891</v>
      </c>
      <c r="G20" s="13">
        <v>0</v>
      </c>
      <c r="H20" s="13">
        <v>0</v>
      </c>
      <c r="I20" s="13">
        <v>0.82637558733333316</v>
      </c>
      <c r="J20" s="13">
        <v>3.2077951666666667E-2</v>
      </c>
      <c r="K20" s="14" t="s">
        <v>15</v>
      </c>
    </row>
    <row r="21" spans="1:11">
      <c r="A21" s="8">
        <v>6</v>
      </c>
      <c r="B21" s="9">
        <v>36627</v>
      </c>
      <c r="C21" s="12">
        <v>2000</v>
      </c>
      <c r="D21" s="15" t="s">
        <v>21</v>
      </c>
      <c r="E21" s="12">
        <v>4</v>
      </c>
      <c r="F21" s="13">
        <v>5.022326198879675</v>
      </c>
      <c r="G21" s="13">
        <v>7.0578505666666652E-2</v>
      </c>
      <c r="H21" s="13">
        <v>0</v>
      </c>
      <c r="I21" s="13">
        <v>1.7924839006666664</v>
      </c>
      <c r="J21" s="13">
        <v>0</v>
      </c>
      <c r="K21" s="14" t="s">
        <v>15</v>
      </c>
    </row>
    <row r="22" spans="1:11">
      <c r="A22" s="8">
        <v>8</v>
      </c>
      <c r="B22" s="9">
        <v>36626</v>
      </c>
      <c r="C22" s="12">
        <v>2000</v>
      </c>
      <c r="D22" s="15" t="s">
        <v>21</v>
      </c>
      <c r="E22" s="12">
        <v>4</v>
      </c>
      <c r="F22" s="13">
        <v>1.2058709934784821</v>
      </c>
      <c r="G22" s="13">
        <v>5.5080586500000001E-2</v>
      </c>
      <c r="H22" s="13">
        <v>0</v>
      </c>
      <c r="I22" s="13">
        <v>0.36183654816666666</v>
      </c>
      <c r="J22" s="13">
        <v>0</v>
      </c>
      <c r="K22" s="14" t="s">
        <v>15</v>
      </c>
    </row>
    <row r="23" spans="1:11">
      <c r="A23" s="8">
        <v>15</v>
      </c>
      <c r="B23" s="9">
        <v>36627</v>
      </c>
      <c r="C23" s="12">
        <v>2000</v>
      </c>
      <c r="D23" s="15" t="s">
        <v>21</v>
      </c>
      <c r="E23" s="12">
        <v>4</v>
      </c>
      <c r="F23" s="13">
        <v>1.4114651038746628</v>
      </c>
      <c r="G23" s="13">
        <v>2.1937004E-2</v>
      </c>
      <c r="H23" s="13">
        <v>0</v>
      </c>
      <c r="I23" s="13">
        <v>0.24913746500000003</v>
      </c>
      <c r="J23" s="13">
        <v>0</v>
      </c>
      <c r="K23" s="14" t="s">
        <v>15</v>
      </c>
    </row>
    <row r="24" spans="1:11">
      <c r="A24" s="8">
        <v>6</v>
      </c>
      <c r="B24" s="9">
        <v>36662</v>
      </c>
      <c r="C24" s="12">
        <v>2000</v>
      </c>
      <c r="D24" s="15" t="s">
        <v>22</v>
      </c>
      <c r="E24" s="12">
        <v>5</v>
      </c>
      <c r="F24" s="13">
        <v>11.531826484625775</v>
      </c>
      <c r="G24" s="13">
        <v>0.14703336266666667</v>
      </c>
      <c r="H24" s="13">
        <v>2.5866577715000001</v>
      </c>
      <c r="I24" s="13">
        <v>4.3771852110000005</v>
      </c>
      <c r="J24" s="13">
        <v>0.13445944299999998</v>
      </c>
      <c r="K24" s="14" t="s">
        <v>15</v>
      </c>
    </row>
    <row r="25" spans="1:11">
      <c r="A25" s="8">
        <v>8</v>
      </c>
      <c r="B25" s="9">
        <v>36663</v>
      </c>
      <c r="C25" s="12">
        <v>2000</v>
      </c>
      <c r="D25" s="15" t="s">
        <v>22</v>
      </c>
      <c r="E25" s="12">
        <v>5</v>
      </c>
      <c r="F25" s="13">
        <v>1.1071352573506272</v>
      </c>
      <c r="G25" s="13">
        <v>0</v>
      </c>
      <c r="H25" s="13">
        <v>0</v>
      </c>
      <c r="I25" s="13">
        <v>8.5917101833333329E-2</v>
      </c>
      <c r="J25" s="13">
        <v>8.2881233333333346E-3</v>
      </c>
      <c r="K25" s="14" t="s">
        <v>15</v>
      </c>
    </row>
    <row r="26" spans="1:11">
      <c r="A26" s="8">
        <v>15</v>
      </c>
      <c r="B26" s="9">
        <v>36662</v>
      </c>
      <c r="C26" s="12">
        <v>2000</v>
      </c>
      <c r="D26" s="15" t="s">
        <v>22</v>
      </c>
      <c r="E26" s="12">
        <v>5</v>
      </c>
      <c r="F26" s="13">
        <v>8.2380986981171329</v>
      </c>
      <c r="G26" s="13">
        <v>0.11640378833333333</v>
      </c>
      <c r="H26" s="13">
        <v>1.3921867714999998</v>
      </c>
      <c r="I26" s="13">
        <v>3.6005514678333332</v>
      </c>
      <c r="J26" s="13">
        <v>9.9368895833333332E-2</v>
      </c>
      <c r="K26" s="14" t="s">
        <v>15</v>
      </c>
    </row>
    <row r="27" spans="1:11">
      <c r="A27" s="8">
        <v>6</v>
      </c>
      <c r="B27" s="9">
        <v>36690</v>
      </c>
      <c r="C27" s="12">
        <v>2000</v>
      </c>
      <c r="D27" s="15" t="s">
        <v>23</v>
      </c>
      <c r="E27" s="12">
        <v>6</v>
      </c>
      <c r="F27" s="13">
        <v>13.424318765220505</v>
      </c>
      <c r="G27" s="13">
        <v>6.723905166666666E-2</v>
      </c>
      <c r="H27" s="13">
        <v>1.8143357185</v>
      </c>
      <c r="I27" s="13">
        <v>5.6608219929999999</v>
      </c>
      <c r="J27" s="13">
        <v>0.31851920516666671</v>
      </c>
      <c r="K27" s="14" t="s">
        <v>15</v>
      </c>
    </row>
    <row r="28" spans="1:11">
      <c r="A28" s="8">
        <v>8</v>
      </c>
      <c r="B28" s="9">
        <v>36692</v>
      </c>
      <c r="C28" s="12">
        <v>2000</v>
      </c>
      <c r="D28" s="15" t="s">
        <v>23</v>
      </c>
      <c r="E28" s="12">
        <v>6</v>
      </c>
      <c r="F28" s="13">
        <v>1.1666711014926385</v>
      </c>
      <c r="G28" s="13">
        <v>0</v>
      </c>
      <c r="H28" s="13">
        <v>0</v>
      </c>
      <c r="I28" s="13">
        <v>0.19910586150000001</v>
      </c>
      <c r="J28" s="13">
        <v>0</v>
      </c>
      <c r="K28" s="14" t="s">
        <v>15</v>
      </c>
    </row>
    <row r="29" spans="1:11">
      <c r="A29" s="8">
        <v>15</v>
      </c>
      <c r="B29" s="9">
        <v>36690</v>
      </c>
      <c r="C29" s="12">
        <v>2000</v>
      </c>
      <c r="D29" s="15" t="s">
        <v>23</v>
      </c>
      <c r="E29" s="12">
        <v>6</v>
      </c>
      <c r="F29" s="13">
        <v>11.750560627847415</v>
      </c>
      <c r="G29" s="13">
        <v>8.3240182666666662E-2</v>
      </c>
      <c r="H29" s="13">
        <v>1.8980156769999998</v>
      </c>
      <c r="I29" s="13">
        <v>5.2775857116666671</v>
      </c>
      <c r="J29" s="13">
        <v>0.14712603533333332</v>
      </c>
      <c r="K29" s="14" t="s">
        <v>15</v>
      </c>
    </row>
    <row r="30" spans="1:11">
      <c r="A30" s="8">
        <v>6</v>
      </c>
      <c r="B30" s="9">
        <v>36718</v>
      </c>
      <c r="C30" s="12">
        <v>2000</v>
      </c>
      <c r="D30" s="15" t="s">
        <v>24</v>
      </c>
      <c r="E30" s="12">
        <v>7</v>
      </c>
      <c r="F30" s="13">
        <v>7.6221527313395994</v>
      </c>
      <c r="G30" s="13">
        <v>9.5779926666666668E-2</v>
      </c>
      <c r="H30" s="13">
        <v>5.9741162000000007E-2</v>
      </c>
      <c r="I30" s="13">
        <v>1.6186786639999999</v>
      </c>
      <c r="J30" s="13">
        <v>0.62659155899999996</v>
      </c>
      <c r="K30" s="14" t="s">
        <v>15</v>
      </c>
    </row>
    <row r="31" spans="1:11">
      <c r="A31" s="8">
        <v>8</v>
      </c>
      <c r="B31" s="9">
        <v>36719</v>
      </c>
      <c r="C31" s="12">
        <v>2000</v>
      </c>
      <c r="D31" s="15" t="s">
        <v>24</v>
      </c>
      <c r="E31" s="12">
        <v>7</v>
      </c>
      <c r="F31" s="13">
        <v>1.0363606903029337</v>
      </c>
      <c r="G31" s="13">
        <v>5.7954068166666664E-2</v>
      </c>
      <c r="H31" s="13">
        <v>0</v>
      </c>
      <c r="I31" s="13">
        <v>9.9984896500000017E-2</v>
      </c>
      <c r="J31" s="13">
        <v>1.7252736166666668E-2</v>
      </c>
      <c r="K31" s="14" t="s">
        <v>15</v>
      </c>
    </row>
    <row r="32" spans="1:11">
      <c r="A32" s="8">
        <v>15</v>
      </c>
      <c r="B32" s="9">
        <v>36718</v>
      </c>
      <c r="C32" s="12">
        <v>2000</v>
      </c>
      <c r="D32" s="15" t="s">
        <v>24</v>
      </c>
      <c r="E32" s="12">
        <v>7</v>
      </c>
      <c r="F32" s="13">
        <v>7.445195757866248</v>
      </c>
      <c r="G32" s="13">
        <v>0.1653693416666667</v>
      </c>
      <c r="H32" s="13">
        <v>7.7695966999999991E-2</v>
      </c>
      <c r="I32" s="13">
        <v>1.9796614495000002</v>
      </c>
      <c r="J32" s="13">
        <v>0.4343788036666667</v>
      </c>
      <c r="K32" s="14" t="s">
        <v>15</v>
      </c>
    </row>
    <row r="33" spans="1:11">
      <c r="A33" s="8">
        <v>6</v>
      </c>
      <c r="B33" s="9">
        <v>36753</v>
      </c>
      <c r="C33" s="12">
        <v>2000</v>
      </c>
      <c r="D33" s="15" t="s">
        <v>25</v>
      </c>
      <c r="E33" s="12">
        <v>8</v>
      </c>
      <c r="F33" s="13">
        <v>12.145540664255593</v>
      </c>
      <c r="G33" s="13">
        <v>0.2813131213333333</v>
      </c>
      <c r="H33" s="13">
        <v>2.8212222499999998E-2</v>
      </c>
      <c r="I33" s="13">
        <v>2.2165540666666668</v>
      </c>
      <c r="J33" s="13">
        <v>1.1538234475000002</v>
      </c>
      <c r="K33" s="14" t="s">
        <v>15</v>
      </c>
    </row>
    <row r="34" spans="1:11">
      <c r="A34" s="8">
        <v>8</v>
      </c>
      <c r="B34" s="9">
        <v>36755</v>
      </c>
      <c r="C34" s="12">
        <v>2000</v>
      </c>
      <c r="D34" s="15" t="s">
        <v>25</v>
      </c>
      <c r="E34" s="12">
        <v>8</v>
      </c>
      <c r="F34" s="13">
        <v>1.4275565005543536</v>
      </c>
      <c r="G34" s="13">
        <v>0</v>
      </c>
      <c r="H34" s="13">
        <v>0</v>
      </c>
      <c r="I34" s="13">
        <v>0.38125440716666664</v>
      </c>
      <c r="J34" s="13">
        <v>1.3608310166666669E-2</v>
      </c>
      <c r="K34" s="14" t="s">
        <v>15</v>
      </c>
    </row>
    <row r="35" spans="1:11">
      <c r="A35" s="8">
        <v>15</v>
      </c>
      <c r="B35" s="9">
        <v>36753</v>
      </c>
      <c r="C35" s="12">
        <v>2000</v>
      </c>
      <c r="D35" s="15" t="s">
        <v>25</v>
      </c>
      <c r="E35" s="12">
        <v>8</v>
      </c>
      <c r="F35" s="13">
        <v>16.704231616920122</v>
      </c>
      <c r="G35" s="13">
        <v>0.19273199483333334</v>
      </c>
      <c r="H35" s="13">
        <v>0</v>
      </c>
      <c r="I35" s="13">
        <v>2.0732825433333333</v>
      </c>
      <c r="J35" s="13">
        <v>1.6519695373333332</v>
      </c>
      <c r="K35" s="14" t="s">
        <v>15</v>
      </c>
    </row>
    <row r="36" spans="1:11">
      <c r="A36" s="8">
        <v>6</v>
      </c>
      <c r="B36" s="9">
        <v>36781</v>
      </c>
      <c r="C36" s="12">
        <v>2000</v>
      </c>
      <c r="D36" s="15" t="s">
        <v>26</v>
      </c>
      <c r="E36" s="12">
        <v>9</v>
      </c>
      <c r="F36" s="13">
        <v>5.2565427098916953</v>
      </c>
      <c r="G36" s="13">
        <v>0.15664878083333333</v>
      </c>
      <c r="H36" s="13">
        <v>2.5369142500000001E-2</v>
      </c>
      <c r="I36" s="13">
        <v>1.1844637148333335</v>
      </c>
      <c r="J36" s="13">
        <v>0.37598108083333331</v>
      </c>
      <c r="K36" s="14" t="s">
        <v>15</v>
      </c>
    </row>
    <row r="37" spans="1:11">
      <c r="A37" s="8">
        <v>8</v>
      </c>
      <c r="B37" s="9">
        <v>36783</v>
      </c>
      <c r="C37" s="12">
        <v>2000</v>
      </c>
      <c r="D37" s="15" t="s">
        <v>26</v>
      </c>
      <c r="E37" s="12">
        <v>9</v>
      </c>
      <c r="F37" s="13">
        <v>1.9202883328733895</v>
      </c>
      <c r="G37" s="13">
        <v>0</v>
      </c>
      <c r="H37" s="13">
        <v>0</v>
      </c>
      <c r="I37" s="13">
        <v>0.39850095816666664</v>
      </c>
      <c r="J37" s="13">
        <v>2.3726404166666666E-2</v>
      </c>
      <c r="K37" s="14" t="s">
        <v>15</v>
      </c>
    </row>
    <row r="38" spans="1:11">
      <c r="A38" s="8">
        <v>15</v>
      </c>
      <c r="B38" s="9">
        <v>36781</v>
      </c>
      <c r="C38" s="12">
        <v>2000</v>
      </c>
      <c r="D38" s="15" t="s">
        <v>26</v>
      </c>
      <c r="E38" s="12">
        <v>9</v>
      </c>
      <c r="F38" s="13">
        <v>3.4888421874924349</v>
      </c>
      <c r="G38" s="13">
        <v>0.12090103349999999</v>
      </c>
      <c r="H38" s="13">
        <v>0</v>
      </c>
      <c r="I38" s="13">
        <v>0.76015939450000003</v>
      </c>
      <c r="J38" s="13">
        <v>0.29434883183333332</v>
      </c>
      <c r="K38" s="14" t="s">
        <v>15</v>
      </c>
    </row>
    <row r="39" spans="1:11">
      <c r="A39" s="8">
        <v>6</v>
      </c>
      <c r="B39" s="9">
        <v>36817</v>
      </c>
      <c r="C39" s="12">
        <v>2000</v>
      </c>
      <c r="D39" s="15" t="s">
        <v>14</v>
      </c>
      <c r="E39" s="12">
        <v>10</v>
      </c>
      <c r="F39" s="14">
        <v>3.4158372305855664</v>
      </c>
      <c r="G39" s="14">
        <v>8.5125505333333323E-2</v>
      </c>
      <c r="H39" s="14">
        <v>0</v>
      </c>
      <c r="I39" s="14">
        <v>0.31296293366666672</v>
      </c>
      <c r="J39" s="14">
        <v>2.1628269833333335E-2</v>
      </c>
      <c r="K39" s="14" t="s">
        <v>15</v>
      </c>
    </row>
    <row r="40" spans="1:11">
      <c r="A40" s="8">
        <v>8</v>
      </c>
      <c r="B40" s="9">
        <v>36815</v>
      </c>
      <c r="C40" s="12">
        <v>2000</v>
      </c>
      <c r="D40" s="15" t="s">
        <v>14</v>
      </c>
      <c r="E40" s="12">
        <v>10</v>
      </c>
      <c r="F40" s="14">
        <v>0.74574838611404204</v>
      </c>
      <c r="G40" s="14">
        <v>0</v>
      </c>
      <c r="H40" s="14">
        <v>0</v>
      </c>
      <c r="I40" s="14">
        <v>8.4663819333333321E-2</v>
      </c>
      <c r="J40" s="14">
        <v>0</v>
      </c>
      <c r="K40" s="14" t="s">
        <v>15</v>
      </c>
    </row>
    <row r="41" spans="1:11">
      <c r="A41" s="8">
        <v>15</v>
      </c>
      <c r="B41" s="9">
        <v>36817</v>
      </c>
      <c r="C41" s="12">
        <v>2000</v>
      </c>
      <c r="D41" s="15" t="s">
        <v>14</v>
      </c>
      <c r="E41" s="12">
        <v>10</v>
      </c>
      <c r="F41" s="14">
        <v>1.4058698228589261</v>
      </c>
      <c r="G41" s="14">
        <v>1.1763138666666666E-2</v>
      </c>
      <c r="H41" s="14">
        <v>0</v>
      </c>
      <c r="I41" s="14">
        <v>0.17209964166666666</v>
      </c>
      <c r="J41" s="14">
        <v>8.1944337833333332E-3</v>
      </c>
      <c r="K41" s="14" t="s">
        <v>15</v>
      </c>
    </row>
    <row r="42" spans="1:11">
      <c r="A42" s="8">
        <v>6</v>
      </c>
      <c r="B42" s="9">
        <v>36845</v>
      </c>
      <c r="C42" s="12">
        <v>2000</v>
      </c>
      <c r="D42" s="15" t="s">
        <v>16</v>
      </c>
      <c r="E42" s="12">
        <v>11</v>
      </c>
      <c r="F42" s="14">
        <v>3.0933376734382509</v>
      </c>
      <c r="G42" s="14">
        <v>0.34038041466666669</v>
      </c>
      <c r="H42" s="14">
        <v>0</v>
      </c>
      <c r="I42" s="14">
        <v>0.42752280849999996</v>
      </c>
      <c r="J42" s="14">
        <v>1.0428505500000001E-2</v>
      </c>
      <c r="K42" s="14" t="s">
        <v>15</v>
      </c>
    </row>
    <row r="43" spans="1:11">
      <c r="A43" s="8">
        <v>8</v>
      </c>
      <c r="B43" s="9">
        <v>36846</v>
      </c>
      <c r="C43" s="12">
        <v>2000</v>
      </c>
      <c r="D43" s="15" t="s">
        <v>16</v>
      </c>
      <c r="E43" s="12">
        <v>11</v>
      </c>
      <c r="F43" s="14">
        <v>0.53539094207744464</v>
      </c>
      <c r="G43" s="14">
        <v>4.7607227833333328E-2</v>
      </c>
      <c r="H43" s="14">
        <v>0</v>
      </c>
      <c r="I43" s="14">
        <v>7.153501683333334E-2</v>
      </c>
      <c r="J43" s="14">
        <v>0</v>
      </c>
      <c r="K43" s="14" t="s">
        <v>15</v>
      </c>
    </row>
    <row r="44" spans="1:11">
      <c r="A44" s="8">
        <v>15</v>
      </c>
      <c r="B44" s="9">
        <v>36845</v>
      </c>
      <c r="C44" s="12">
        <v>2000</v>
      </c>
      <c r="D44" s="15" t="s">
        <v>16</v>
      </c>
      <c r="E44" s="12">
        <v>11</v>
      </c>
      <c r="F44" s="14">
        <v>1.4195202317793862</v>
      </c>
      <c r="G44" s="14">
        <v>0.130005494</v>
      </c>
      <c r="H44" s="14">
        <v>0</v>
      </c>
      <c r="I44" s="14">
        <v>0.26097534983333337</v>
      </c>
      <c r="J44" s="14">
        <v>0</v>
      </c>
      <c r="K44" s="14" t="s">
        <v>15</v>
      </c>
    </row>
    <row r="45" spans="1:11">
      <c r="A45" s="8">
        <v>6</v>
      </c>
      <c r="B45" s="9">
        <v>36871</v>
      </c>
      <c r="C45" s="12">
        <v>2000</v>
      </c>
      <c r="D45" s="15" t="s">
        <v>17</v>
      </c>
      <c r="E45" s="12">
        <v>12</v>
      </c>
      <c r="F45" s="14">
        <v>2.1850567255155466</v>
      </c>
      <c r="G45" s="14">
        <v>0.18687191633333333</v>
      </c>
      <c r="H45" s="14">
        <v>0</v>
      </c>
      <c r="I45" s="14">
        <v>0.17106546083333335</v>
      </c>
      <c r="J45" s="14">
        <v>5.0969966666666667E-3</v>
      </c>
      <c r="K45" s="14" t="s">
        <v>15</v>
      </c>
    </row>
    <row r="46" spans="1:11">
      <c r="A46" s="8">
        <v>8</v>
      </c>
      <c r="B46" s="9">
        <v>36873</v>
      </c>
      <c r="C46" s="12">
        <v>2000</v>
      </c>
      <c r="D46" s="15" t="s">
        <v>17</v>
      </c>
      <c r="E46" s="12">
        <v>12</v>
      </c>
      <c r="F46" s="14">
        <v>2.077736344384836</v>
      </c>
      <c r="G46" s="14">
        <v>9.1301341833333327E-2</v>
      </c>
      <c r="H46" s="14">
        <v>0</v>
      </c>
      <c r="I46" s="14">
        <v>0.5350471086666666</v>
      </c>
      <c r="J46" s="14">
        <v>1.3774680666666667E-2</v>
      </c>
      <c r="K46" s="14" t="s">
        <v>15</v>
      </c>
    </row>
    <row r="47" spans="1:11">
      <c r="A47" s="8">
        <v>15</v>
      </c>
      <c r="B47" s="9">
        <v>36871</v>
      </c>
      <c r="C47" s="12">
        <v>2000</v>
      </c>
      <c r="D47" s="15" t="s">
        <v>17</v>
      </c>
      <c r="E47" s="12">
        <v>12</v>
      </c>
      <c r="F47" s="16">
        <v>4.0582539529803396</v>
      </c>
    </row>
    <row r="48" spans="1:11">
      <c r="A48" s="8">
        <v>6</v>
      </c>
      <c r="B48" s="9">
        <v>36901</v>
      </c>
      <c r="C48" s="12">
        <v>2001</v>
      </c>
      <c r="D48" s="15" t="s">
        <v>18</v>
      </c>
      <c r="E48" s="12">
        <v>1</v>
      </c>
      <c r="F48" s="14">
        <v>2.7547221587334612</v>
      </c>
      <c r="G48" s="14">
        <v>0.23899976716666665</v>
      </c>
      <c r="H48" s="14">
        <v>0</v>
      </c>
      <c r="I48" s="14">
        <v>0.65235760050000013</v>
      </c>
      <c r="J48" s="14">
        <v>3.9431800333333329E-2</v>
      </c>
      <c r="K48" s="14" t="s">
        <v>15</v>
      </c>
    </row>
    <row r="49" spans="1:11">
      <c r="A49" s="8">
        <v>8</v>
      </c>
      <c r="B49" s="9">
        <v>36902</v>
      </c>
      <c r="C49" s="12">
        <v>2001</v>
      </c>
      <c r="D49" s="15" t="s">
        <v>18</v>
      </c>
      <c r="E49" s="12">
        <v>1</v>
      </c>
      <c r="F49" s="14">
        <v>2.4730812884833537</v>
      </c>
      <c r="G49" s="14">
        <v>6.7604186166666663E-2</v>
      </c>
      <c r="H49" s="14">
        <v>0</v>
      </c>
      <c r="I49" s="14">
        <v>0.71212465633333333</v>
      </c>
      <c r="J49" s="14">
        <v>1.8109119666666666E-2</v>
      </c>
      <c r="K49" s="14" t="s">
        <v>15</v>
      </c>
    </row>
    <row r="50" spans="1:11">
      <c r="A50" s="8">
        <v>15</v>
      </c>
      <c r="B50" s="9">
        <v>36901</v>
      </c>
      <c r="C50" s="12">
        <v>2001</v>
      </c>
      <c r="D50" s="15" t="s">
        <v>18</v>
      </c>
      <c r="E50" s="12">
        <v>1</v>
      </c>
      <c r="F50" s="14">
        <v>3.6258114287200369</v>
      </c>
      <c r="G50" s="14">
        <v>0.40016707433333332</v>
      </c>
      <c r="H50" s="14">
        <v>3.55998275E-2</v>
      </c>
      <c r="I50" s="14">
        <v>0.72502974450000002</v>
      </c>
      <c r="J50" s="14">
        <v>3.5982049833333335E-2</v>
      </c>
      <c r="K50" s="14" t="s">
        <v>15</v>
      </c>
    </row>
    <row r="51" spans="1:11">
      <c r="A51" s="12">
        <v>6</v>
      </c>
      <c r="B51" s="9">
        <v>36928</v>
      </c>
      <c r="C51" s="12">
        <v>2001</v>
      </c>
      <c r="D51" s="11" t="s">
        <v>19</v>
      </c>
      <c r="E51" s="12">
        <v>2</v>
      </c>
      <c r="F51" s="14">
        <v>2.3890516644127744</v>
      </c>
      <c r="G51" s="14">
        <v>0.22911262099999999</v>
      </c>
      <c r="H51" s="14">
        <v>2.4353726833333332E-2</v>
      </c>
      <c r="I51" s="14">
        <v>0.3875091831666666</v>
      </c>
      <c r="J51" s="14">
        <v>2.9747611499999996E-2</v>
      </c>
      <c r="K51" s="14" t="s">
        <v>15</v>
      </c>
    </row>
    <row r="52" spans="1:11">
      <c r="A52" s="12">
        <v>8</v>
      </c>
      <c r="B52" s="9">
        <v>36929</v>
      </c>
      <c r="C52" s="12">
        <v>2001</v>
      </c>
      <c r="D52" s="11" t="s">
        <v>19</v>
      </c>
      <c r="E52" s="12">
        <v>2</v>
      </c>
      <c r="F52" s="14">
        <v>1.3636171179404875</v>
      </c>
      <c r="G52" s="14">
        <v>5.6799119333333328E-2</v>
      </c>
      <c r="H52" s="14">
        <v>0</v>
      </c>
      <c r="I52" s="14">
        <v>0.37175451533333331</v>
      </c>
      <c r="J52" s="14">
        <v>2.1724506833333334E-2</v>
      </c>
      <c r="K52" s="14" t="s">
        <v>15</v>
      </c>
    </row>
    <row r="53" spans="1:11">
      <c r="A53" s="12">
        <v>15</v>
      </c>
      <c r="B53" s="9">
        <v>36928</v>
      </c>
      <c r="C53" s="12">
        <v>2001</v>
      </c>
      <c r="D53" s="11" t="s">
        <v>19</v>
      </c>
      <c r="E53" s="12">
        <v>2</v>
      </c>
      <c r="F53" s="14">
        <v>2.701629826425525</v>
      </c>
      <c r="G53" s="14">
        <v>0.17924025933333337</v>
      </c>
      <c r="H53" s="14">
        <v>2.0205576666666666E-2</v>
      </c>
      <c r="I53" s="14">
        <v>0.8946008061666666</v>
      </c>
      <c r="J53" s="14">
        <v>2.8939032E-2</v>
      </c>
      <c r="K53" s="14" t="s">
        <v>15</v>
      </c>
    </row>
    <row r="54" spans="1:11">
      <c r="A54" s="8">
        <v>6</v>
      </c>
      <c r="B54" s="9">
        <v>36965</v>
      </c>
      <c r="C54" s="12">
        <v>2001</v>
      </c>
      <c r="D54" s="11" t="s">
        <v>20</v>
      </c>
      <c r="E54" s="12">
        <v>3</v>
      </c>
      <c r="F54" s="14">
        <v>2.9077453926478527</v>
      </c>
      <c r="G54" s="14">
        <v>0</v>
      </c>
      <c r="H54" s="14">
        <v>2.6463078333333331E-2</v>
      </c>
      <c r="I54" s="14">
        <v>0.64670687416666661</v>
      </c>
      <c r="J54" s="14">
        <v>0</v>
      </c>
      <c r="K54" s="14" t="s">
        <v>15</v>
      </c>
    </row>
    <row r="55" spans="1:11">
      <c r="A55" s="8">
        <v>8</v>
      </c>
      <c r="B55" s="9">
        <v>36962</v>
      </c>
      <c r="C55" s="12">
        <v>2001</v>
      </c>
      <c r="D55" s="11" t="s">
        <v>20</v>
      </c>
      <c r="E55" s="12">
        <v>3</v>
      </c>
      <c r="F55" s="14">
        <v>2.191786585873297</v>
      </c>
      <c r="G55" s="14">
        <v>3.0358056000000001E-2</v>
      </c>
      <c r="H55" s="14">
        <v>3.6429059166666666E-2</v>
      </c>
      <c r="I55" s="14">
        <v>0.80983299216666671</v>
      </c>
      <c r="J55" s="14">
        <v>5.8847143333333331E-2</v>
      </c>
      <c r="K55" s="14" t="s">
        <v>15</v>
      </c>
    </row>
    <row r="56" spans="1:11">
      <c r="A56" s="8">
        <v>15</v>
      </c>
      <c r="B56" s="9">
        <v>36964</v>
      </c>
      <c r="C56" s="12">
        <v>2001</v>
      </c>
      <c r="D56" s="11" t="s">
        <v>20</v>
      </c>
      <c r="E56" s="12">
        <v>3</v>
      </c>
      <c r="F56" s="14">
        <v>2.4905588595304975</v>
      </c>
      <c r="G56" s="14">
        <v>0</v>
      </c>
      <c r="H56" s="14">
        <v>3.2383331166666661E-2</v>
      </c>
      <c r="I56" s="14">
        <v>0.6404291396666667</v>
      </c>
      <c r="J56" s="14">
        <v>3.1447169499999997E-2</v>
      </c>
      <c r="K56" s="14" t="s">
        <v>15</v>
      </c>
    </row>
    <row r="57" spans="1:11">
      <c r="A57" s="8">
        <v>6</v>
      </c>
      <c r="B57" s="9">
        <v>37000</v>
      </c>
      <c r="C57" s="12">
        <v>2001</v>
      </c>
      <c r="D57" s="15" t="s">
        <v>21</v>
      </c>
      <c r="E57" s="12">
        <v>4</v>
      </c>
      <c r="F57" s="14">
        <v>4.814884497431553</v>
      </c>
      <c r="G57" s="14">
        <v>3.3507878333333331E-2</v>
      </c>
      <c r="H57" s="14">
        <v>0</v>
      </c>
      <c r="I57" s="14">
        <v>1.8293932446666668</v>
      </c>
      <c r="J57" s="14">
        <v>3.2302714333333336E-2</v>
      </c>
      <c r="K57" s="14" t="s">
        <v>15</v>
      </c>
    </row>
    <row r="58" spans="1:11">
      <c r="A58" s="8">
        <v>8</v>
      </c>
      <c r="B58" s="9">
        <v>36998</v>
      </c>
      <c r="C58" s="12">
        <v>2001</v>
      </c>
      <c r="D58" s="15" t="s">
        <v>21</v>
      </c>
      <c r="E58" s="12">
        <v>4</v>
      </c>
      <c r="F58" s="14">
        <v>0.60571313771529633</v>
      </c>
      <c r="G58" s="14">
        <v>0</v>
      </c>
      <c r="H58" s="14">
        <v>0</v>
      </c>
      <c r="I58" s="14">
        <v>0.10904752850000002</v>
      </c>
      <c r="J58" s="14">
        <v>0</v>
      </c>
      <c r="K58" s="14" t="s">
        <v>15</v>
      </c>
    </row>
    <row r="59" spans="1:11">
      <c r="A59" s="8">
        <v>15</v>
      </c>
      <c r="B59" s="9">
        <v>36997</v>
      </c>
      <c r="C59" s="12">
        <v>2001</v>
      </c>
      <c r="D59" s="15" t="s">
        <v>21</v>
      </c>
      <c r="E59" s="12">
        <v>4</v>
      </c>
      <c r="F59" s="14">
        <v>3.859447166535396</v>
      </c>
      <c r="G59" s="14">
        <v>4.0014568833333326E-2</v>
      </c>
      <c r="H59" s="14">
        <v>2.4801679666666666E-2</v>
      </c>
      <c r="I59" s="14">
        <v>2.0028922016666666</v>
      </c>
      <c r="J59" s="14">
        <v>4.9688588833333339E-2</v>
      </c>
      <c r="K59" s="14" t="s">
        <v>15</v>
      </c>
    </row>
    <row r="60" spans="1:11">
      <c r="A60" s="8">
        <v>6</v>
      </c>
      <c r="B60" s="9">
        <v>37026</v>
      </c>
      <c r="C60" s="12">
        <v>2001</v>
      </c>
      <c r="D60" s="15" t="s">
        <v>22</v>
      </c>
      <c r="E60" s="12">
        <v>5</v>
      </c>
      <c r="F60" s="14">
        <v>6.205030488723108</v>
      </c>
      <c r="G60" s="14">
        <v>0.18255582316666666</v>
      </c>
      <c r="H60" s="14">
        <v>1.0673403505000001</v>
      </c>
      <c r="I60" s="14">
        <v>2.432378433666667</v>
      </c>
      <c r="J60" s="14">
        <v>9.3394548999999979E-2</v>
      </c>
      <c r="K60" s="14" t="s">
        <v>15</v>
      </c>
    </row>
    <row r="61" spans="1:11">
      <c r="A61" s="8">
        <v>8</v>
      </c>
      <c r="B61" s="9">
        <v>37025</v>
      </c>
      <c r="C61" s="12">
        <v>2001</v>
      </c>
      <c r="D61" s="15" t="s">
        <v>22</v>
      </c>
      <c r="E61" s="12">
        <v>5</v>
      </c>
      <c r="F61" s="14">
        <v>0.86197970184224748</v>
      </c>
      <c r="G61" s="14">
        <v>1.9473211000000001E-2</v>
      </c>
      <c r="H61" s="14">
        <v>1.8322350666666664E-2</v>
      </c>
      <c r="I61" s="14">
        <v>0.14531766033333335</v>
      </c>
      <c r="J61" s="14">
        <v>2.3162086333333335E-2</v>
      </c>
      <c r="K61" s="14" t="s">
        <v>15</v>
      </c>
    </row>
    <row r="62" spans="1:11">
      <c r="A62" s="8">
        <v>15</v>
      </c>
      <c r="B62" s="9">
        <v>37026</v>
      </c>
      <c r="C62" s="12">
        <v>2001</v>
      </c>
      <c r="D62" s="15" t="s">
        <v>22</v>
      </c>
      <c r="E62" s="12">
        <v>5</v>
      </c>
      <c r="F62" s="14">
        <v>3.5794526957542616</v>
      </c>
      <c r="G62" s="14">
        <v>0.14204885216666666</v>
      </c>
      <c r="H62" s="14">
        <v>0.67914283166666667</v>
      </c>
      <c r="I62" s="14">
        <v>1.2700344473333331</v>
      </c>
      <c r="J62" s="14">
        <v>9.0210236499999999E-2</v>
      </c>
      <c r="K62" s="14" t="s">
        <v>15</v>
      </c>
    </row>
    <row r="63" spans="1:11">
      <c r="A63" s="8">
        <v>6</v>
      </c>
      <c r="B63" s="9">
        <v>37055</v>
      </c>
      <c r="C63" s="12">
        <v>2001</v>
      </c>
      <c r="D63" s="15" t="s">
        <v>23</v>
      </c>
      <c r="E63" s="12">
        <v>6</v>
      </c>
      <c r="F63" s="14">
        <v>8.4036698540666652</v>
      </c>
      <c r="G63" s="14">
        <v>8.5453528833333334E-2</v>
      </c>
      <c r="H63" s="14">
        <v>2.0982673668333329</v>
      </c>
      <c r="I63" s="14">
        <v>2.8457924576666667</v>
      </c>
      <c r="J63" s="14">
        <v>0.34684129299999994</v>
      </c>
      <c r="K63" s="14" t="s">
        <v>15</v>
      </c>
    </row>
    <row r="64" spans="1:11">
      <c r="A64" s="8">
        <v>8</v>
      </c>
      <c r="B64" s="9">
        <v>37054</v>
      </c>
      <c r="C64" s="12">
        <v>2001</v>
      </c>
      <c r="D64" s="15" t="s">
        <v>23</v>
      </c>
      <c r="E64" s="12">
        <v>6</v>
      </c>
      <c r="F64" s="14">
        <v>1.188037214238655</v>
      </c>
      <c r="G64" s="14">
        <v>1.7660223333333332E-2</v>
      </c>
      <c r="H64" s="14">
        <v>0</v>
      </c>
      <c r="I64" s="14">
        <v>7.1635342333333324E-2</v>
      </c>
      <c r="J64" s="14">
        <v>0</v>
      </c>
      <c r="K64" s="14" t="s">
        <v>15</v>
      </c>
    </row>
    <row r="65" spans="1:11">
      <c r="A65" s="8">
        <v>15</v>
      </c>
      <c r="B65" s="9">
        <v>37055</v>
      </c>
      <c r="C65" s="12">
        <v>2001</v>
      </c>
      <c r="D65" s="15" t="s">
        <v>23</v>
      </c>
      <c r="E65" s="12">
        <v>6</v>
      </c>
      <c r="F65" s="14">
        <v>8.4755321996998116</v>
      </c>
      <c r="G65" s="14">
        <v>6.9837660333333329E-2</v>
      </c>
      <c r="H65" s="14">
        <v>2.1621143263333331</v>
      </c>
      <c r="I65" s="14">
        <v>2.5393860103333332</v>
      </c>
      <c r="J65" s="14">
        <v>0.67165825583333327</v>
      </c>
      <c r="K65" s="14" t="s">
        <v>15</v>
      </c>
    </row>
    <row r="66" spans="1:11">
      <c r="A66" s="8">
        <v>6</v>
      </c>
      <c r="B66" s="9">
        <v>37092</v>
      </c>
      <c r="C66" s="12">
        <v>2001</v>
      </c>
      <c r="D66" s="15" t="s">
        <v>24</v>
      </c>
      <c r="E66" s="12">
        <v>7</v>
      </c>
      <c r="F66" s="14">
        <v>7.6810494233998599</v>
      </c>
      <c r="G66" s="14">
        <v>0.14524228516666668</v>
      </c>
      <c r="H66" s="14">
        <v>3.9213432499999999E-2</v>
      </c>
      <c r="I66" s="14">
        <v>1.0852984053333332</v>
      </c>
      <c r="J66" s="14">
        <v>0.80699274266666676</v>
      </c>
      <c r="K66" s="14" t="s">
        <v>15</v>
      </c>
    </row>
    <row r="67" spans="1:11">
      <c r="A67" s="8">
        <v>8</v>
      </c>
      <c r="B67" s="9">
        <v>37090</v>
      </c>
      <c r="C67" s="12">
        <v>2001</v>
      </c>
      <c r="D67" s="15" t="s">
        <v>24</v>
      </c>
      <c r="E67" s="12">
        <v>7</v>
      </c>
      <c r="F67" s="14">
        <v>1.0569016834841709</v>
      </c>
      <c r="G67" s="14">
        <v>4.9993234500000004E-2</v>
      </c>
      <c r="H67" s="14">
        <v>0</v>
      </c>
      <c r="I67" s="14">
        <v>0.14662430299999998</v>
      </c>
      <c r="J67" s="14">
        <v>1.2997760833333333E-2</v>
      </c>
      <c r="K67" s="14" t="s">
        <v>15</v>
      </c>
    </row>
    <row r="68" spans="1:11">
      <c r="A68" s="8">
        <v>15</v>
      </c>
      <c r="B68" s="9">
        <v>37092</v>
      </c>
      <c r="C68" s="12">
        <v>2001</v>
      </c>
      <c r="D68" s="15" t="s">
        <v>24</v>
      </c>
      <c r="E68" s="12">
        <v>7</v>
      </c>
      <c r="F68" s="14">
        <v>2.4321721252965971</v>
      </c>
      <c r="G68" s="14">
        <v>8.0701014500000015E-2</v>
      </c>
      <c r="H68" s="14">
        <v>1.9855642999999999E-2</v>
      </c>
      <c r="I68" s="14">
        <v>0.386620511</v>
      </c>
      <c r="J68" s="14">
        <v>0.54032798300000007</v>
      </c>
      <c r="K68" s="14" t="s">
        <v>15</v>
      </c>
    </row>
    <row r="69" spans="1:11">
      <c r="A69" s="8">
        <v>6</v>
      </c>
      <c r="B69" s="9">
        <v>37118</v>
      </c>
      <c r="C69" s="12">
        <v>2001</v>
      </c>
      <c r="D69" s="15" t="s">
        <v>25</v>
      </c>
      <c r="E69" s="12">
        <v>8</v>
      </c>
      <c r="F69" s="14">
        <v>2.9668356791150874</v>
      </c>
      <c r="G69" s="14">
        <v>0</v>
      </c>
      <c r="H69" s="14">
        <v>0</v>
      </c>
      <c r="I69" s="14">
        <v>0.4979255205</v>
      </c>
      <c r="J69" s="14">
        <v>0.70965646033333329</v>
      </c>
      <c r="K69" s="14" t="s">
        <v>15</v>
      </c>
    </row>
    <row r="70" spans="1:11">
      <c r="A70" s="8">
        <v>8</v>
      </c>
      <c r="B70" s="9">
        <v>37117</v>
      </c>
      <c r="C70" s="12">
        <v>2001</v>
      </c>
      <c r="D70" s="15" t="s">
        <v>25</v>
      </c>
      <c r="E70" s="12">
        <v>8</v>
      </c>
      <c r="F70" s="14">
        <v>0.75939941819857038</v>
      </c>
      <c r="G70" s="14">
        <v>2.7964501333333332E-2</v>
      </c>
      <c r="H70" s="14">
        <v>0</v>
      </c>
      <c r="I70" s="14">
        <v>7.2448324833333327E-2</v>
      </c>
      <c r="J70" s="14">
        <v>0</v>
      </c>
      <c r="K70" s="14" t="s">
        <v>15</v>
      </c>
    </row>
    <row r="71" spans="1:11">
      <c r="A71" s="8">
        <v>15</v>
      </c>
      <c r="B71" s="9">
        <v>37118</v>
      </c>
      <c r="C71" s="12">
        <v>2001</v>
      </c>
      <c r="D71" s="15" t="s">
        <v>25</v>
      </c>
      <c r="E71" s="12">
        <v>8</v>
      </c>
      <c r="F71" s="14">
        <v>5.5862372930010453</v>
      </c>
      <c r="G71" s="14">
        <v>0</v>
      </c>
      <c r="H71" s="14">
        <v>0</v>
      </c>
      <c r="I71" s="14">
        <v>1.5699339944999999</v>
      </c>
      <c r="J71" s="14">
        <v>0.26576455583333325</v>
      </c>
      <c r="K71" s="14" t="s">
        <v>15</v>
      </c>
    </row>
    <row r="72" spans="1:11">
      <c r="A72" s="8">
        <v>6</v>
      </c>
      <c r="B72" s="9">
        <v>37152</v>
      </c>
      <c r="C72" s="12">
        <v>2001</v>
      </c>
      <c r="D72" s="15" t="s">
        <v>26</v>
      </c>
      <c r="E72" s="12">
        <v>9</v>
      </c>
      <c r="F72" s="14">
        <v>6.3473835958746339</v>
      </c>
      <c r="G72" s="14">
        <v>0</v>
      </c>
      <c r="H72" s="14">
        <v>0</v>
      </c>
      <c r="I72" s="14">
        <v>1.6761167424999999</v>
      </c>
      <c r="J72" s="14">
        <v>0.17096649816666665</v>
      </c>
      <c r="K72" s="14" t="s">
        <v>15</v>
      </c>
    </row>
    <row r="73" spans="1:11">
      <c r="A73" s="8">
        <v>8</v>
      </c>
      <c r="B73" s="9">
        <v>37145</v>
      </c>
      <c r="C73" s="12">
        <v>2001</v>
      </c>
      <c r="D73" s="15" t="s">
        <v>26</v>
      </c>
      <c r="E73" s="12">
        <v>9</v>
      </c>
      <c r="F73" s="14">
        <v>3.1412798663020811</v>
      </c>
      <c r="G73" s="14">
        <v>3.6515861166666663E-2</v>
      </c>
      <c r="H73" s="14">
        <v>0</v>
      </c>
      <c r="I73" s="14">
        <v>0.20849442033333332</v>
      </c>
      <c r="J73" s="14">
        <v>4.026239483333334E-2</v>
      </c>
      <c r="K73" s="14" t="s">
        <v>15</v>
      </c>
    </row>
    <row r="74" spans="1:11">
      <c r="A74" s="8">
        <v>15</v>
      </c>
      <c r="B74" s="9">
        <v>37145</v>
      </c>
      <c r="C74" s="12">
        <v>2001</v>
      </c>
      <c r="D74" s="15" t="s">
        <v>26</v>
      </c>
      <c r="E74" s="12">
        <v>9</v>
      </c>
      <c r="F74" s="14">
        <v>3.0149514231719947</v>
      </c>
      <c r="G74" s="14">
        <v>2.9576942833333331E-2</v>
      </c>
      <c r="H74" s="14">
        <v>2.5951386833333333E-2</v>
      </c>
      <c r="I74" s="14">
        <v>0.52306319099999998</v>
      </c>
      <c r="J74" s="14">
        <v>0.14796187149999998</v>
      </c>
      <c r="K74" s="14" t="s">
        <v>15</v>
      </c>
    </row>
    <row r="75" spans="1:11">
      <c r="A75" s="8">
        <v>6</v>
      </c>
      <c r="B75" s="9">
        <v>37180</v>
      </c>
      <c r="C75" s="12">
        <v>2001</v>
      </c>
      <c r="D75" s="15" t="s">
        <v>14</v>
      </c>
      <c r="E75" s="12">
        <v>10</v>
      </c>
      <c r="F75" s="13">
        <v>1.0548604323549744</v>
      </c>
      <c r="G75" s="13">
        <v>1.0504989314444536E-2</v>
      </c>
      <c r="H75" s="17">
        <v>0</v>
      </c>
      <c r="I75" s="13">
        <v>9.3142629673298657E-2</v>
      </c>
      <c r="J75" s="13">
        <v>1.0048022541589258E-2</v>
      </c>
      <c r="K75" s="14" t="s">
        <v>27</v>
      </c>
    </row>
    <row r="76" spans="1:11">
      <c r="A76" s="8">
        <v>8</v>
      </c>
      <c r="B76" s="9">
        <v>37182</v>
      </c>
      <c r="C76" s="12">
        <v>2001</v>
      </c>
      <c r="D76" s="15" t="s">
        <v>14</v>
      </c>
      <c r="E76" s="12">
        <v>10</v>
      </c>
      <c r="F76" s="13">
        <v>0.34843414570771769</v>
      </c>
      <c r="G76" s="13">
        <v>0</v>
      </c>
      <c r="H76" s="17">
        <v>0</v>
      </c>
      <c r="I76" s="13">
        <v>5.3769445360710141E-2</v>
      </c>
      <c r="J76" s="13">
        <v>0</v>
      </c>
      <c r="K76" s="14" t="s">
        <v>27</v>
      </c>
    </row>
    <row r="77" spans="1:11">
      <c r="A77" s="8">
        <v>15</v>
      </c>
      <c r="B77" s="9">
        <v>37180</v>
      </c>
      <c r="C77" s="12">
        <v>2001</v>
      </c>
      <c r="D77" s="15" t="s">
        <v>14</v>
      </c>
      <c r="E77" s="12">
        <v>10</v>
      </c>
      <c r="F77" s="13">
        <v>0.65471596515874708</v>
      </c>
      <c r="G77" s="13">
        <v>0</v>
      </c>
      <c r="H77" s="17">
        <v>0</v>
      </c>
      <c r="I77" s="13">
        <v>6.5474439951816843E-2</v>
      </c>
      <c r="J77" s="13">
        <v>7.3458369834457724E-3</v>
      </c>
      <c r="K77" s="14" t="s">
        <v>27</v>
      </c>
    </row>
    <row r="78" spans="1:11">
      <c r="A78" s="8">
        <v>6</v>
      </c>
      <c r="B78" s="9">
        <v>37201</v>
      </c>
      <c r="C78" s="12">
        <v>2001</v>
      </c>
      <c r="D78" s="15" t="s">
        <v>16</v>
      </c>
      <c r="E78" s="12">
        <v>11</v>
      </c>
      <c r="F78" s="13">
        <v>1.5054241934185941</v>
      </c>
      <c r="G78" s="13">
        <v>9.5725066152988064E-3</v>
      </c>
      <c r="H78" s="17">
        <v>9.0687883461464357E-3</v>
      </c>
      <c r="I78" s="13">
        <v>0.41026282776830753</v>
      </c>
      <c r="J78" s="13">
        <v>2.9287663637416507E-2</v>
      </c>
      <c r="K78" s="14" t="s">
        <v>27</v>
      </c>
    </row>
    <row r="79" spans="1:11">
      <c r="A79" s="8">
        <v>8</v>
      </c>
      <c r="B79" s="9">
        <v>37202</v>
      </c>
      <c r="C79" s="12">
        <v>2001</v>
      </c>
      <c r="D79" s="15" t="s">
        <v>16</v>
      </c>
      <c r="E79" s="12">
        <v>11</v>
      </c>
      <c r="F79" s="13">
        <v>0.39829726707135099</v>
      </c>
      <c r="G79" s="13">
        <v>0</v>
      </c>
      <c r="H79" s="17">
        <v>0</v>
      </c>
      <c r="I79" s="13">
        <v>6.3796608848175312E-2</v>
      </c>
      <c r="J79" s="13">
        <v>0</v>
      </c>
      <c r="K79" s="14" t="s">
        <v>27</v>
      </c>
    </row>
    <row r="80" spans="1:11">
      <c r="A80" s="8">
        <v>15</v>
      </c>
      <c r="B80" s="9">
        <v>37201</v>
      </c>
      <c r="C80" s="12">
        <v>2001</v>
      </c>
      <c r="D80" s="15" t="s">
        <v>16</v>
      </c>
      <c r="E80" s="12">
        <v>11</v>
      </c>
      <c r="F80" s="13">
        <v>1.0344293256584844</v>
      </c>
      <c r="G80" s="13">
        <v>0</v>
      </c>
      <c r="H80" s="17">
        <v>0</v>
      </c>
      <c r="I80" s="13">
        <v>0.26077977908962741</v>
      </c>
      <c r="J80" s="13">
        <v>1.4687816461760818E-2</v>
      </c>
      <c r="K80" s="14" t="s">
        <v>27</v>
      </c>
    </row>
    <row r="81" spans="1:11">
      <c r="A81" s="8">
        <v>6</v>
      </c>
      <c r="B81" s="9">
        <v>37229</v>
      </c>
      <c r="C81" s="12">
        <v>2001</v>
      </c>
      <c r="D81" s="15" t="s">
        <v>17</v>
      </c>
      <c r="E81" s="12">
        <v>12</v>
      </c>
      <c r="F81" s="13">
        <v>1.5010388464070443</v>
      </c>
      <c r="G81" s="13">
        <v>0</v>
      </c>
      <c r="H81" s="17">
        <v>0</v>
      </c>
      <c r="I81" s="13">
        <v>0.4045568229436971</v>
      </c>
      <c r="J81" s="13">
        <v>8.4840371946834376E-3</v>
      </c>
      <c r="K81" s="14" t="s">
        <v>27</v>
      </c>
    </row>
    <row r="82" spans="1:11">
      <c r="A82" s="8">
        <v>8</v>
      </c>
      <c r="B82" s="9">
        <v>37230</v>
      </c>
      <c r="C82" s="12">
        <v>2001</v>
      </c>
      <c r="D82" s="15" t="s">
        <v>17</v>
      </c>
      <c r="E82" s="12">
        <v>12</v>
      </c>
      <c r="F82" s="13">
        <v>1.2760475538116831</v>
      </c>
      <c r="G82" s="13">
        <v>1.3619190353603674E-2</v>
      </c>
      <c r="H82" s="17">
        <v>0</v>
      </c>
      <c r="I82" s="13">
        <v>0.25956183761721729</v>
      </c>
      <c r="J82" s="13">
        <v>0</v>
      </c>
      <c r="K82" s="14" t="s">
        <v>27</v>
      </c>
    </row>
    <row r="83" spans="1:11">
      <c r="A83" s="8">
        <v>15</v>
      </c>
      <c r="B83" s="9">
        <v>37229</v>
      </c>
      <c r="C83" s="12">
        <v>2001</v>
      </c>
      <c r="D83" s="15" t="s">
        <v>17</v>
      </c>
      <c r="E83" s="12">
        <v>12</v>
      </c>
      <c r="F83" s="18">
        <v>2.2357222942910799</v>
      </c>
    </row>
    <row r="84" spans="1:11">
      <c r="A84" s="8">
        <v>6</v>
      </c>
      <c r="B84" s="9">
        <v>37271</v>
      </c>
      <c r="C84" s="12">
        <v>2002</v>
      </c>
      <c r="D84" s="15" t="s">
        <v>18</v>
      </c>
      <c r="E84" s="12">
        <v>1</v>
      </c>
      <c r="F84" s="13">
        <v>4.9784751047341471</v>
      </c>
      <c r="G84" s="13">
        <v>8.8394926725446257E-2</v>
      </c>
      <c r="H84" s="17">
        <v>1.6105364624729387E-2</v>
      </c>
      <c r="I84" s="13">
        <v>1.4927060997083461</v>
      </c>
      <c r="J84" s="13">
        <v>1.832988954156882E-2</v>
      </c>
      <c r="K84" s="14" t="s">
        <v>27</v>
      </c>
    </row>
    <row r="85" spans="1:11">
      <c r="A85" s="8">
        <v>8</v>
      </c>
      <c r="B85" s="9">
        <v>37272</v>
      </c>
      <c r="C85" s="12">
        <v>2002</v>
      </c>
      <c r="D85" s="15" t="s">
        <v>18</v>
      </c>
      <c r="E85" s="12">
        <v>1</v>
      </c>
      <c r="F85" s="13">
        <v>3.5602663218995922</v>
      </c>
      <c r="G85" s="13">
        <v>6.3157163779390221E-2</v>
      </c>
      <c r="H85" s="17">
        <v>0</v>
      </c>
      <c r="I85" s="13">
        <v>0.99087058903711889</v>
      </c>
      <c r="J85" s="13">
        <v>9.8623138931128226E-3</v>
      </c>
      <c r="K85" s="14" t="s">
        <v>27</v>
      </c>
    </row>
    <row r="86" spans="1:11">
      <c r="A86" s="8">
        <v>15</v>
      </c>
      <c r="B86" s="9">
        <v>37271</v>
      </c>
      <c r="C86" s="12">
        <v>2002</v>
      </c>
      <c r="D86" s="15" t="s">
        <v>18</v>
      </c>
      <c r="E86" s="12">
        <v>1</v>
      </c>
      <c r="F86" s="13">
        <v>2.5369912431490143</v>
      </c>
      <c r="G86" s="13">
        <v>0.15538824487587197</v>
      </c>
      <c r="H86" s="17">
        <v>0</v>
      </c>
      <c r="I86" s="13">
        <v>0.56478119829489482</v>
      </c>
      <c r="J86" s="13">
        <v>1.6652760407531438E-2</v>
      </c>
      <c r="K86" s="14" t="s">
        <v>27</v>
      </c>
    </row>
    <row r="87" spans="1:11">
      <c r="A87" s="8">
        <v>6</v>
      </c>
      <c r="B87" s="9">
        <v>37306</v>
      </c>
      <c r="C87" s="12">
        <v>2002</v>
      </c>
      <c r="D87" s="11" t="s">
        <v>19</v>
      </c>
      <c r="E87" s="12">
        <v>2</v>
      </c>
      <c r="F87" s="13">
        <v>1.6053943714545269</v>
      </c>
      <c r="G87" s="13">
        <v>8.3315549835615371E-2</v>
      </c>
      <c r="H87" s="17">
        <v>3.00298051739065E-2</v>
      </c>
      <c r="I87" s="13">
        <v>0.43707810302178207</v>
      </c>
      <c r="J87" s="13">
        <v>6.3835885942277862E-2</v>
      </c>
      <c r="K87" s="14" t="s">
        <v>27</v>
      </c>
    </row>
    <row r="88" spans="1:11">
      <c r="A88" s="8">
        <v>8</v>
      </c>
      <c r="B88" s="9">
        <v>37301</v>
      </c>
      <c r="C88" s="12">
        <v>2002</v>
      </c>
      <c r="D88" s="11" t="s">
        <v>19</v>
      </c>
      <c r="E88" s="12">
        <v>2</v>
      </c>
      <c r="F88" s="13">
        <v>1.4736650359067733</v>
      </c>
      <c r="G88" s="13">
        <v>4.9293370590404596E-2</v>
      </c>
      <c r="H88" s="17">
        <v>0</v>
      </c>
      <c r="I88" s="13">
        <v>0.29000962261915542</v>
      </c>
      <c r="J88" s="13">
        <v>1.0785420954684875E-2</v>
      </c>
      <c r="K88" s="14" t="s">
        <v>27</v>
      </c>
    </row>
    <row r="89" spans="1:11">
      <c r="A89" s="8">
        <v>15</v>
      </c>
      <c r="B89" s="9">
        <v>37306</v>
      </c>
      <c r="C89" s="12">
        <v>2002</v>
      </c>
      <c r="D89" s="11" t="s">
        <v>19</v>
      </c>
      <c r="E89" s="12">
        <v>2</v>
      </c>
      <c r="F89" s="13">
        <v>1.5899224695832257</v>
      </c>
      <c r="G89" s="13">
        <v>5.1883323147341738E-2</v>
      </c>
      <c r="H89" s="17">
        <v>2.8082540103980733E-2</v>
      </c>
      <c r="I89" s="13">
        <v>0.52256716674159787</v>
      </c>
      <c r="J89" s="13">
        <v>5.2213186606694606E-2</v>
      </c>
      <c r="K89" s="14" t="s">
        <v>27</v>
      </c>
    </row>
    <row r="90" spans="1:11">
      <c r="A90" s="8">
        <v>6</v>
      </c>
      <c r="B90" s="19">
        <v>37334</v>
      </c>
      <c r="C90" s="12">
        <v>2002</v>
      </c>
      <c r="D90" s="11" t="s">
        <v>20</v>
      </c>
      <c r="E90" s="12">
        <v>3</v>
      </c>
      <c r="F90" s="13">
        <v>4.1112805086380826</v>
      </c>
      <c r="G90" s="13">
        <v>1.9948755515504752E-2</v>
      </c>
      <c r="H90" s="17">
        <v>0.10998059335576731</v>
      </c>
      <c r="I90" s="13">
        <v>1.2410996177256839</v>
      </c>
      <c r="J90" s="13">
        <v>2.8043175897414931E-2</v>
      </c>
      <c r="K90" s="14" t="s">
        <v>27</v>
      </c>
    </row>
    <row r="91" spans="1:11">
      <c r="A91" s="8">
        <v>8</v>
      </c>
      <c r="B91" s="19">
        <v>37336</v>
      </c>
      <c r="C91" s="12">
        <v>2002</v>
      </c>
      <c r="D91" s="11" t="s">
        <v>20</v>
      </c>
      <c r="E91" s="12">
        <v>3</v>
      </c>
      <c r="F91" s="13">
        <v>0.87544326855861954</v>
      </c>
      <c r="G91" s="13">
        <v>2.1725418142472211E-2</v>
      </c>
      <c r="H91" s="17">
        <v>0</v>
      </c>
      <c r="I91" s="13">
        <v>0.15272473933159567</v>
      </c>
      <c r="J91" s="13">
        <v>1.0726004187655427E-2</v>
      </c>
      <c r="K91" s="14" t="s">
        <v>27</v>
      </c>
    </row>
    <row r="92" spans="1:11">
      <c r="A92" s="8">
        <v>15</v>
      </c>
      <c r="B92" s="19">
        <v>37336</v>
      </c>
      <c r="C92" s="12">
        <v>2002</v>
      </c>
      <c r="D92" s="11" t="s">
        <v>20</v>
      </c>
      <c r="E92" s="12">
        <v>3</v>
      </c>
      <c r="F92" s="13">
        <v>4.1493642988653514</v>
      </c>
      <c r="G92" s="13">
        <v>9.814844573237172E-2</v>
      </c>
      <c r="H92" s="17">
        <v>5.8204975849879236E-2</v>
      </c>
      <c r="I92" s="13">
        <v>1.3417242996872409</v>
      </c>
      <c r="J92" s="13">
        <v>1.9875270490674932E-2</v>
      </c>
      <c r="K92" s="14" t="s">
        <v>27</v>
      </c>
    </row>
    <row r="93" spans="1:11">
      <c r="A93" s="8">
        <v>6</v>
      </c>
      <c r="B93" s="19">
        <v>37362</v>
      </c>
      <c r="C93" s="12">
        <v>2002</v>
      </c>
      <c r="D93" s="15" t="s">
        <v>21</v>
      </c>
      <c r="E93" s="12">
        <v>4</v>
      </c>
      <c r="F93" s="13">
        <v>0.99281640135308447</v>
      </c>
      <c r="G93" s="13">
        <v>0.12241887884382784</v>
      </c>
      <c r="H93" s="17">
        <v>0</v>
      </c>
      <c r="I93" s="13">
        <v>0.13676541682642598</v>
      </c>
      <c r="J93" s="13">
        <v>1.9488125954656862E-2</v>
      </c>
      <c r="K93" s="14" t="s">
        <v>27</v>
      </c>
    </row>
    <row r="94" spans="1:11">
      <c r="A94" s="8">
        <v>8</v>
      </c>
      <c r="B94" s="19">
        <v>37363</v>
      </c>
      <c r="C94" s="12">
        <v>2002</v>
      </c>
      <c r="D94" s="15" t="s">
        <v>21</v>
      </c>
      <c r="E94" s="12">
        <v>4</v>
      </c>
      <c r="F94" s="13">
        <v>1.0573415593632474</v>
      </c>
      <c r="G94" s="13">
        <v>0</v>
      </c>
      <c r="H94" s="17">
        <v>0</v>
      </c>
      <c r="I94" s="13">
        <v>9.0708546401513282E-2</v>
      </c>
      <c r="J94" s="13">
        <v>0</v>
      </c>
      <c r="K94" s="14" t="s">
        <v>27</v>
      </c>
    </row>
    <row r="95" spans="1:11">
      <c r="A95" s="8">
        <v>15</v>
      </c>
      <c r="B95" s="19">
        <v>37362</v>
      </c>
      <c r="C95" s="12">
        <v>2002</v>
      </c>
      <c r="D95" s="15" t="s">
        <v>21</v>
      </c>
      <c r="E95" s="12">
        <v>4</v>
      </c>
      <c r="F95" s="13">
        <v>0.76346537495358346</v>
      </c>
      <c r="G95" s="13">
        <v>3.7193648736330361E-2</v>
      </c>
      <c r="H95" s="17">
        <v>0</v>
      </c>
      <c r="I95" s="13">
        <v>8.2649570043783427E-2</v>
      </c>
      <c r="J95" s="13">
        <v>2.5214778322776583E-2</v>
      </c>
      <c r="K95" s="14" t="s">
        <v>27</v>
      </c>
    </row>
    <row r="96" spans="1:11">
      <c r="A96" s="8">
        <v>6</v>
      </c>
      <c r="B96" s="19">
        <v>37392</v>
      </c>
      <c r="C96" s="12">
        <v>2002</v>
      </c>
      <c r="D96" s="15" t="s">
        <v>22</v>
      </c>
      <c r="E96" s="12">
        <v>5</v>
      </c>
      <c r="F96" s="13">
        <v>9.0420884745467927</v>
      </c>
      <c r="G96" s="20"/>
      <c r="H96" s="13">
        <v>0.59433118805405216</v>
      </c>
      <c r="I96" s="20"/>
      <c r="J96" s="20"/>
      <c r="K96" s="14" t="s">
        <v>27</v>
      </c>
    </row>
    <row r="97" spans="1:11">
      <c r="A97" s="8">
        <v>8</v>
      </c>
      <c r="B97" s="19">
        <v>37392</v>
      </c>
      <c r="C97" s="12">
        <v>2002</v>
      </c>
      <c r="D97" s="15" t="s">
        <v>22</v>
      </c>
      <c r="E97" s="12">
        <v>5</v>
      </c>
      <c r="F97" s="13">
        <v>1.8410703540065909</v>
      </c>
      <c r="G97" s="20"/>
      <c r="H97" s="13">
        <v>2.2472994265484963E-2</v>
      </c>
      <c r="I97" s="20"/>
      <c r="J97" s="20"/>
      <c r="K97" s="14" t="s">
        <v>27</v>
      </c>
    </row>
    <row r="98" spans="1:11">
      <c r="A98" s="8">
        <v>15</v>
      </c>
      <c r="B98" s="19">
        <v>37392</v>
      </c>
      <c r="C98" s="12">
        <v>2002</v>
      </c>
      <c r="D98" s="15" t="s">
        <v>22</v>
      </c>
      <c r="E98" s="12">
        <v>5</v>
      </c>
      <c r="F98" s="13">
        <v>4.1235192731701682</v>
      </c>
      <c r="G98" s="20"/>
      <c r="H98" s="13">
        <v>0.4714938168563067</v>
      </c>
      <c r="I98" s="20"/>
      <c r="J98" s="20"/>
      <c r="K98" s="14" t="s">
        <v>27</v>
      </c>
    </row>
    <row r="99" spans="1:11">
      <c r="A99" s="8">
        <v>6</v>
      </c>
      <c r="B99" s="19">
        <v>37419</v>
      </c>
      <c r="C99" s="12">
        <v>2002</v>
      </c>
      <c r="D99" s="15" t="s">
        <v>23</v>
      </c>
      <c r="E99" s="12">
        <v>6</v>
      </c>
      <c r="F99" s="13">
        <v>5.8245031015438551</v>
      </c>
      <c r="G99" s="20"/>
      <c r="H99" s="13">
        <v>1.3270092217578711</v>
      </c>
      <c r="I99" s="20"/>
      <c r="J99" s="20"/>
      <c r="K99" s="14" t="s">
        <v>27</v>
      </c>
    </row>
    <row r="100" spans="1:11">
      <c r="A100" s="8">
        <v>8</v>
      </c>
      <c r="B100" s="19">
        <v>37420</v>
      </c>
      <c r="C100" s="12">
        <v>2002</v>
      </c>
      <c r="D100" s="15" t="s">
        <v>23</v>
      </c>
      <c r="E100" s="12">
        <v>6</v>
      </c>
      <c r="F100" s="13">
        <v>3.0164005743077511</v>
      </c>
      <c r="G100" s="20"/>
      <c r="H100" s="13">
        <v>3.0306591174791588E-2</v>
      </c>
      <c r="I100" s="20"/>
      <c r="J100" s="20"/>
      <c r="K100" s="14" t="s">
        <v>27</v>
      </c>
    </row>
    <row r="101" spans="1:11">
      <c r="A101" s="8">
        <v>15</v>
      </c>
      <c r="B101" s="19">
        <v>37419</v>
      </c>
      <c r="C101" s="12">
        <v>2002</v>
      </c>
      <c r="D101" s="15" t="s">
        <v>23</v>
      </c>
      <c r="E101" s="12">
        <v>6</v>
      </c>
      <c r="F101" s="13">
        <v>7.0253142956519987</v>
      </c>
      <c r="G101" s="20"/>
      <c r="H101" s="13">
        <v>1.654473049390786</v>
      </c>
      <c r="I101" s="20"/>
      <c r="J101" s="20"/>
      <c r="K101" s="14" t="s">
        <v>27</v>
      </c>
    </row>
    <row r="102" spans="1:11">
      <c r="A102" s="8">
        <v>6</v>
      </c>
      <c r="B102" s="19">
        <v>37454</v>
      </c>
      <c r="C102" s="12">
        <v>2002</v>
      </c>
      <c r="D102" s="15" t="s">
        <v>24</v>
      </c>
      <c r="E102" s="12">
        <v>7</v>
      </c>
      <c r="F102" s="13">
        <v>7.4154465513396506</v>
      </c>
      <c r="G102" s="20"/>
      <c r="H102" s="13">
        <v>0</v>
      </c>
      <c r="I102" s="20"/>
      <c r="J102" s="20"/>
      <c r="K102" s="14" t="s">
        <v>27</v>
      </c>
    </row>
    <row r="103" spans="1:11">
      <c r="A103" s="8">
        <v>8</v>
      </c>
      <c r="B103" s="19">
        <v>37453</v>
      </c>
      <c r="C103" s="12">
        <v>2002</v>
      </c>
      <c r="D103" s="15" t="s">
        <v>24</v>
      </c>
      <c r="E103" s="12">
        <v>7</v>
      </c>
      <c r="F103" s="13">
        <v>4.2360423075201492</v>
      </c>
      <c r="G103" s="20"/>
      <c r="H103" s="13">
        <v>0</v>
      </c>
      <c r="I103" s="20"/>
      <c r="J103" s="20"/>
      <c r="K103" s="14" t="s">
        <v>27</v>
      </c>
    </row>
    <row r="104" spans="1:11">
      <c r="A104" s="8">
        <v>15</v>
      </c>
      <c r="B104" s="19">
        <v>37454</v>
      </c>
      <c r="C104" s="12">
        <v>2002</v>
      </c>
      <c r="D104" s="15" t="s">
        <v>24</v>
      </c>
      <c r="E104" s="12">
        <v>7</v>
      </c>
      <c r="F104" s="13">
        <v>4.989614026242152</v>
      </c>
      <c r="G104" s="20"/>
      <c r="H104" s="13">
        <v>0</v>
      </c>
      <c r="I104" s="20"/>
      <c r="J104" s="20"/>
      <c r="K104" s="14" t="s">
        <v>27</v>
      </c>
    </row>
    <row r="105" spans="1:11">
      <c r="A105" s="8">
        <v>6</v>
      </c>
      <c r="B105" s="19">
        <v>37482</v>
      </c>
      <c r="C105" s="12">
        <v>2002</v>
      </c>
      <c r="D105" s="15" t="s">
        <v>25</v>
      </c>
      <c r="E105" s="12">
        <v>8</v>
      </c>
      <c r="F105" s="13">
        <v>10.708924147704391</v>
      </c>
      <c r="G105" s="20"/>
      <c r="H105" s="13">
        <v>9.5802610827205731E-2</v>
      </c>
      <c r="I105" s="20"/>
      <c r="J105" s="20"/>
      <c r="K105" s="14" t="s">
        <v>27</v>
      </c>
    </row>
    <row r="106" spans="1:11">
      <c r="A106" s="8">
        <v>8</v>
      </c>
      <c r="B106" s="19">
        <v>37481</v>
      </c>
      <c r="C106" s="12">
        <v>2002</v>
      </c>
      <c r="D106" s="15" t="s">
        <v>25</v>
      </c>
      <c r="E106" s="12">
        <v>8</v>
      </c>
      <c r="F106" s="13">
        <v>2.3487286694991387</v>
      </c>
      <c r="G106" s="20"/>
      <c r="H106" s="13">
        <v>0</v>
      </c>
      <c r="I106" s="20"/>
      <c r="J106" s="20"/>
      <c r="K106" s="14" t="s">
        <v>27</v>
      </c>
    </row>
    <row r="107" spans="1:11">
      <c r="A107" s="8">
        <v>15</v>
      </c>
      <c r="B107" s="19">
        <v>37482</v>
      </c>
      <c r="C107" s="12">
        <v>2002</v>
      </c>
      <c r="D107" s="15" t="s">
        <v>25</v>
      </c>
      <c r="E107" s="12">
        <v>8</v>
      </c>
      <c r="F107" s="13">
        <v>5.7195566962697306</v>
      </c>
      <c r="G107" s="20"/>
      <c r="H107" s="13">
        <v>3.8755551011680406E-2</v>
      </c>
      <c r="I107" s="20"/>
      <c r="J107" s="20"/>
      <c r="K107" s="14" t="s">
        <v>27</v>
      </c>
    </row>
    <row r="108" spans="1:11">
      <c r="A108" s="8">
        <v>6</v>
      </c>
      <c r="B108" s="19">
        <v>37517</v>
      </c>
      <c r="C108" s="12">
        <v>2002</v>
      </c>
      <c r="D108" s="15" t="s">
        <v>26</v>
      </c>
      <c r="E108" s="12">
        <v>9</v>
      </c>
      <c r="F108" s="13">
        <v>5.2143008682160099</v>
      </c>
      <c r="G108" s="20"/>
      <c r="H108" s="13">
        <v>0</v>
      </c>
      <c r="I108" s="20"/>
      <c r="J108" s="20"/>
      <c r="K108" s="14" t="s">
        <v>27</v>
      </c>
    </row>
    <row r="109" spans="1:11">
      <c r="A109" s="8">
        <v>8</v>
      </c>
      <c r="B109" s="19">
        <v>37518</v>
      </c>
      <c r="C109" s="12">
        <v>2002</v>
      </c>
      <c r="D109" s="15" t="s">
        <v>26</v>
      </c>
      <c r="E109" s="12">
        <v>9</v>
      </c>
      <c r="F109" s="13">
        <v>3.011770944896718</v>
      </c>
      <c r="G109" s="20"/>
      <c r="H109" s="13">
        <v>0</v>
      </c>
      <c r="I109" s="20"/>
      <c r="J109" s="20"/>
      <c r="K109" s="14" t="s">
        <v>27</v>
      </c>
    </row>
    <row r="110" spans="1:11">
      <c r="A110" s="8">
        <v>15</v>
      </c>
      <c r="B110" s="19">
        <v>37517</v>
      </c>
      <c r="C110" s="12">
        <v>2002</v>
      </c>
      <c r="D110" s="15" t="s">
        <v>26</v>
      </c>
      <c r="E110" s="12">
        <v>9</v>
      </c>
      <c r="F110" s="13">
        <v>5.9564108169403305</v>
      </c>
      <c r="G110" s="20"/>
      <c r="H110" s="13">
        <v>0</v>
      </c>
      <c r="I110" s="20"/>
      <c r="J110" s="20"/>
      <c r="K110" s="14" t="s">
        <v>27</v>
      </c>
    </row>
    <row r="111" spans="1:11">
      <c r="A111" s="8">
        <v>6</v>
      </c>
      <c r="B111" s="19">
        <v>37544</v>
      </c>
      <c r="C111" s="12">
        <v>2002</v>
      </c>
      <c r="D111" s="15" t="s">
        <v>14</v>
      </c>
      <c r="E111" s="12">
        <v>10</v>
      </c>
      <c r="F111" s="14">
        <v>3.4876385864598265</v>
      </c>
      <c r="G111" s="14">
        <v>9.7419772962904883E-2</v>
      </c>
      <c r="H111" s="14">
        <v>0</v>
      </c>
      <c r="I111" s="14">
        <v>0.68776736310345432</v>
      </c>
      <c r="J111" s="14">
        <v>4.2561841620149324E-2</v>
      </c>
      <c r="K111" s="14">
        <v>0</v>
      </c>
    </row>
    <row r="112" spans="1:11">
      <c r="A112" s="8">
        <v>8</v>
      </c>
      <c r="B112" s="19">
        <v>37546</v>
      </c>
      <c r="C112" s="12">
        <v>2002</v>
      </c>
      <c r="D112" s="15" t="s">
        <v>14</v>
      </c>
      <c r="E112" s="12">
        <v>10</v>
      </c>
      <c r="F112" s="14">
        <v>4.8207283497322235</v>
      </c>
      <c r="G112" s="14">
        <v>3.462368377248079E-2</v>
      </c>
      <c r="H112" s="14">
        <v>0</v>
      </c>
      <c r="I112" s="14">
        <v>1.263136296996151</v>
      </c>
      <c r="J112" s="14">
        <v>6.5488022810806346E-2</v>
      </c>
      <c r="K112" s="14">
        <v>0</v>
      </c>
    </row>
    <row r="113" spans="1:11">
      <c r="A113" s="8">
        <v>15</v>
      </c>
      <c r="B113" s="19">
        <v>37546</v>
      </c>
      <c r="C113" s="12">
        <v>2002</v>
      </c>
      <c r="D113" s="15" t="s">
        <v>14</v>
      </c>
      <c r="E113" s="12">
        <v>10</v>
      </c>
      <c r="F113" s="14">
        <v>6.0661447194553739</v>
      </c>
      <c r="G113" s="14">
        <v>5.2998688696699985E-2</v>
      </c>
      <c r="H113" s="14">
        <v>0</v>
      </c>
      <c r="I113" s="14">
        <v>1.33928890075524</v>
      </c>
      <c r="J113" s="14">
        <v>0.67447140151391494</v>
      </c>
      <c r="K113" s="14">
        <v>0</v>
      </c>
    </row>
    <row r="114" spans="1:11">
      <c r="A114" s="8">
        <v>6</v>
      </c>
      <c r="B114" s="19">
        <v>37575</v>
      </c>
      <c r="C114" s="12">
        <v>2002</v>
      </c>
      <c r="D114" s="15" t="s">
        <v>16</v>
      </c>
      <c r="E114" s="12">
        <v>11</v>
      </c>
      <c r="F114" s="14">
        <v>2.4170835161500972</v>
      </c>
      <c r="G114" s="14">
        <v>6.0742124900726731E-2</v>
      </c>
      <c r="H114" s="14">
        <v>0</v>
      </c>
      <c r="I114" s="14">
        <v>0.53351485829977352</v>
      </c>
      <c r="J114" s="14">
        <v>1.2713746715556402E-2</v>
      </c>
      <c r="K114" s="14">
        <v>0</v>
      </c>
    </row>
    <row r="115" spans="1:11">
      <c r="A115" s="8">
        <v>8</v>
      </c>
      <c r="B115" s="19">
        <v>37574</v>
      </c>
      <c r="C115" s="12">
        <v>2002</v>
      </c>
      <c r="D115" s="15" t="s">
        <v>16</v>
      </c>
      <c r="E115" s="12">
        <v>11</v>
      </c>
      <c r="F115" s="14">
        <v>1.7779877071740167</v>
      </c>
      <c r="G115" s="14">
        <v>2.4371890600194453E-2</v>
      </c>
      <c r="H115" s="14">
        <v>0</v>
      </c>
      <c r="I115" s="14">
        <v>0.41431194271644167</v>
      </c>
      <c r="J115" s="14">
        <v>6.1802847686377414E-3</v>
      </c>
      <c r="K115" s="14">
        <v>0</v>
      </c>
    </row>
    <row r="116" spans="1:11">
      <c r="A116" s="8">
        <v>15</v>
      </c>
      <c r="B116" s="19">
        <v>37574</v>
      </c>
      <c r="C116" s="12">
        <v>2002</v>
      </c>
      <c r="D116" s="15" t="s">
        <v>16</v>
      </c>
      <c r="E116" s="12">
        <v>11</v>
      </c>
      <c r="F116" s="14">
        <v>3.5337504144745715</v>
      </c>
      <c r="G116" s="14">
        <v>3.3737181163482066E-2</v>
      </c>
      <c r="H116" s="14">
        <v>0</v>
      </c>
      <c r="I116" s="14">
        <v>1.0558907804703421</v>
      </c>
      <c r="J116" s="14">
        <v>2.96247096336721E-2</v>
      </c>
      <c r="K116" s="14">
        <v>0</v>
      </c>
    </row>
    <row r="117" spans="1:11">
      <c r="A117" s="8">
        <v>6</v>
      </c>
      <c r="B117" s="19">
        <v>37609</v>
      </c>
      <c r="C117" s="12">
        <v>2002</v>
      </c>
      <c r="D117" s="15" t="s">
        <v>17</v>
      </c>
      <c r="E117" s="12">
        <v>12</v>
      </c>
      <c r="F117" s="14">
        <v>4.7745902695010765</v>
      </c>
      <c r="G117" s="14">
        <v>0.13664678478344155</v>
      </c>
      <c r="H117" s="14">
        <v>0</v>
      </c>
      <c r="I117" s="14">
        <v>0.51184586955554046</v>
      </c>
      <c r="J117" s="14">
        <v>1.6358295915753315E-2</v>
      </c>
      <c r="K117" s="14">
        <v>0</v>
      </c>
    </row>
    <row r="118" spans="1:11">
      <c r="A118" s="8">
        <v>8</v>
      </c>
      <c r="B118" s="19">
        <v>37608</v>
      </c>
      <c r="C118" s="12">
        <v>2002</v>
      </c>
      <c r="D118" s="15" t="s">
        <v>17</v>
      </c>
      <c r="E118" s="12">
        <v>12</v>
      </c>
      <c r="F118" s="14">
        <v>2.646531702604749</v>
      </c>
      <c r="G118" s="14">
        <v>0.22001320305370364</v>
      </c>
      <c r="H118" s="14">
        <v>0</v>
      </c>
      <c r="I118" s="14">
        <v>0.54365626370647935</v>
      </c>
      <c r="J118" s="14">
        <v>1.4026161164302744E-2</v>
      </c>
      <c r="K118" s="14">
        <v>0</v>
      </c>
    </row>
    <row r="119" spans="1:11">
      <c r="A119" s="8">
        <v>15</v>
      </c>
      <c r="B119" s="19">
        <v>37608</v>
      </c>
      <c r="C119" s="12">
        <v>2002</v>
      </c>
      <c r="D119" s="15" t="s">
        <v>17</v>
      </c>
      <c r="E119" s="12">
        <v>12</v>
      </c>
      <c r="F119" s="14">
        <v>4.5121651879294271</v>
      </c>
      <c r="G119" s="14">
        <v>0.17159543464309648</v>
      </c>
      <c r="H119" s="14">
        <v>0</v>
      </c>
      <c r="I119" s="14">
        <v>1.1451412579147424</v>
      </c>
      <c r="J119" s="14">
        <v>3.2580444995829766E-2</v>
      </c>
      <c r="K119" s="14">
        <v>0</v>
      </c>
    </row>
    <row r="120" spans="1:11">
      <c r="A120" s="8">
        <v>6</v>
      </c>
      <c r="B120" s="19">
        <v>37635</v>
      </c>
      <c r="C120" s="12">
        <v>2003</v>
      </c>
      <c r="D120" s="15" t="s">
        <v>18</v>
      </c>
      <c r="E120" s="12">
        <v>1</v>
      </c>
      <c r="F120" s="14">
        <v>5.1538707761866194</v>
      </c>
      <c r="G120" s="14">
        <v>0.2029944548773355</v>
      </c>
      <c r="H120" s="14">
        <v>0</v>
      </c>
      <c r="I120" s="14">
        <v>1.6231865590035011</v>
      </c>
      <c r="J120" s="14">
        <v>4.8542039681697874E-2</v>
      </c>
      <c r="K120" s="14">
        <v>0</v>
      </c>
    </row>
    <row r="121" spans="1:11">
      <c r="A121" s="8">
        <v>8</v>
      </c>
      <c r="B121" s="19">
        <v>37636</v>
      </c>
      <c r="C121" s="12">
        <v>2003</v>
      </c>
      <c r="D121" s="15" t="s">
        <v>18</v>
      </c>
      <c r="E121" s="12">
        <v>1</v>
      </c>
      <c r="F121" s="14">
        <v>2.1530136083186076</v>
      </c>
      <c r="G121" s="14">
        <v>7.8701166030848854E-2</v>
      </c>
      <c r="H121" s="14">
        <v>0</v>
      </c>
      <c r="I121" s="14">
        <v>0.49817786980468631</v>
      </c>
      <c r="J121" s="14">
        <v>4.3893133997819467E-2</v>
      </c>
      <c r="K121" s="14">
        <v>0</v>
      </c>
    </row>
    <row r="122" spans="1:11">
      <c r="A122" s="8">
        <v>15</v>
      </c>
      <c r="B122" s="19">
        <v>37636</v>
      </c>
      <c r="C122" s="12">
        <v>2003</v>
      </c>
      <c r="D122" s="15" t="s">
        <v>18</v>
      </c>
      <c r="E122" s="12">
        <v>1</v>
      </c>
      <c r="F122" s="14">
        <v>4.7636943444502151</v>
      </c>
      <c r="G122" s="14">
        <v>0.22988214091569165</v>
      </c>
      <c r="H122" s="14">
        <v>1.1168898372871447E-2</v>
      </c>
      <c r="I122" s="14">
        <v>1.563570716039016</v>
      </c>
      <c r="J122" s="14">
        <v>6.1032527918125482E-2</v>
      </c>
      <c r="K122" s="14">
        <v>0</v>
      </c>
    </row>
    <row r="123" spans="1:11">
      <c r="A123" s="8">
        <v>6</v>
      </c>
      <c r="B123" s="19">
        <v>37665</v>
      </c>
      <c r="C123" s="12">
        <v>2003</v>
      </c>
      <c r="D123" s="11" t="s">
        <v>19</v>
      </c>
      <c r="E123" s="12">
        <v>2</v>
      </c>
      <c r="F123" s="14">
        <v>3.6944615935683589</v>
      </c>
      <c r="G123" s="14">
        <v>0.14969873845887599</v>
      </c>
      <c r="H123" s="14">
        <v>0</v>
      </c>
      <c r="I123" s="14">
        <v>1.1587280992200391</v>
      </c>
      <c r="J123" s="14">
        <v>3.6183429835177874E-2</v>
      </c>
      <c r="K123" s="14">
        <v>0</v>
      </c>
    </row>
    <row r="124" spans="1:11">
      <c r="A124" s="8">
        <v>8</v>
      </c>
      <c r="B124" s="19">
        <v>37663</v>
      </c>
      <c r="C124" s="12">
        <v>2003</v>
      </c>
      <c r="D124" s="11" t="s">
        <v>19</v>
      </c>
      <c r="E124" s="12">
        <v>2</v>
      </c>
      <c r="F124" s="14">
        <v>3.3425827597701399</v>
      </c>
      <c r="G124" s="14">
        <v>0.28764928087516678</v>
      </c>
      <c r="H124" s="14">
        <v>0</v>
      </c>
      <c r="I124" s="14">
        <v>0.951975814278893</v>
      </c>
      <c r="J124" s="14">
        <v>2.8661083581785572E-2</v>
      </c>
      <c r="K124" s="14">
        <v>0</v>
      </c>
    </row>
    <row r="125" spans="1:11">
      <c r="A125" s="8">
        <v>15</v>
      </c>
      <c r="B125" s="19">
        <v>37663</v>
      </c>
      <c r="C125" s="12">
        <v>2003</v>
      </c>
      <c r="D125" s="11" t="s">
        <v>19</v>
      </c>
      <c r="E125" s="12">
        <v>2</v>
      </c>
      <c r="F125" s="14">
        <v>2.7941432541620128</v>
      </c>
      <c r="G125" s="14">
        <v>0</v>
      </c>
      <c r="H125" s="14">
        <v>0</v>
      </c>
      <c r="I125" s="14">
        <v>1.1281186676527211</v>
      </c>
      <c r="J125" s="14">
        <v>3.9898648431643827E-2</v>
      </c>
      <c r="K125" s="14">
        <v>0</v>
      </c>
    </row>
    <row r="126" spans="1:11">
      <c r="A126" s="8">
        <v>6</v>
      </c>
      <c r="B126" s="19">
        <v>37692</v>
      </c>
      <c r="C126" s="12">
        <v>2003</v>
      </c>
      <c r="D126" s="11" t="s">
        <v>20</v>
      </c>
      <c r="E126" s="12">
        <v>3</v>
      </c>
      <c r="F126" s="14">
        <v>3.3938838345986131</v>
      </c>
      <c r="G126" s="14">
        <v>9.0386819361328877E-2</v>
      </c>
      <c r="H126" s="14">
        <v>0</v>
      </c>
      <c r="I126" s="14">
        <v>1.1323586908227299</v>
      </c>
      <c r="J126" s="14">
        <v>4.5305957620170256E-2</v>
      </c>
      <c r="K126" s="14">
        <v>0</v>
      </c>
    </row>
    <row r="127" spans="1:11">
      <c r="A127" s="8">
        <v>8</v>
      </c>
      <c r="B127" s="19">
        <v>37691</v>
      </c>
      <c r="C127" s="12">
        <v>2003</v>
      </c>
      <c r="D127" s="11" t="s">
        <v>20</v>
      </c>
      <c r="E127" s="12">
        <v>3</v>
      </c>
      <c r="F127" s="14">
        <v>3.998385502802964</v>
      </c>
      <c r="G127" s="14">
        <v>0.12176185383292011</v>
      </c>
      <c r="H127" s="14">
        <v>0</v>
      </c>
      <c r="I127" s="14">
        <v>1.2242504525806115</v>
      </c>
      <c r="J127" s="14">
        <v>3.7979964325939905E-2</v>
      </c>
      <c r="K127" s="14">
        <v>0</v>
      </c>
    </row>
    <row r="128" spans="1:11">
      <c r="A128" s="8">
        <v>15</v>
      </c>
      <c r="B128" s="19">
        <v>37692</v>
      </c>
      <c r="C128" s="12">
        <v>2003</v>
      </c>
      <c r="D128" s="11" t="s">
        <v>20</v>
      </c>
      <c r="E128" s="12">
        <v>3</v>
      </c>
      <c r="F128" s="14">
        <v>3.2421167864607598</v>
      </c>
      <c r="G128" s="14">
        <v>0.18731189332038212</v>
      </c>
      <c r="H128" s="14">
        <v>0</v>
      </c>
      <c r="I128" s="14">
        <v>0.99971207401521767</v>
      </c>
      <c r="J128" s="14">
        <v>4.8979947772029526E-2</v>
      </c>
      <c r="K128" s="14">
        <v>0</v>
      </c>
    </row>
    <row r="129" spans="1:11">
      <c r="A129" s="8">
        <v>6</v>
      </c>
      <c r="B129" s="19">
        <v>37726</v>
      </c>
      <c r="C129" s="12">
        <v>2003</v>
      </c>
      <c r="D129" s="11" t="s">
        <v>21</v>
      </c>
      <c r="E129" s="12">
        <v>4</v>
      </c>
      <c r="F129" s="14">
        <v>3.1432069936804568</v>
      </c>
      <c r="G129" s="14">
        <v>0</v>
      </c>
      <c r="H129" s="14">
        <v>3.4671125688650974E-2</v>
      </c>
      <c r="I129" s="14">
        <v>1.2303122437755196</v>
      </c>
      <c r="J129" s="14">
        <v>2.8337486076726016E-2</v>
      </c>
      <c r="K129" s="14">
        <v>0</v>
      </c>
    </row>
    <row r="130" spans="1:11">
      <c r="A130" s="8">
        <v>8</v>
      </c>
      <c r="B130" s="19">
        <v>37727</v>
      </c>
      <c r="C130" s="12">
        <v>2003</v>
      </c>
      <c r="D130" s="11" t="s">
        <v>21</v>
      </c>
      <c r="E130" s="12">
        <v>4</v>
      </c>
      <c r="F130" s="14">
        <v>9.9080791706866496</v>
      </c>
      <c r="G130" s="14">
        <v>0</v>
      </c>
      <c r="H130" s="14">
        <v>0</v>
      </c>
      <c r="I130" s="14">
        <v>4.3769452453769864</v>
      </c>
      <c r="J130" s="14">
        <v>4.022290979004646E-2</v>
      </c>
      <c r="K130" s="14">
        <v>0</v>
      </c>
    </row>
    <row r="131" spans="1:11">
      <c r="A131" s="8">
        <v>15</v>
      </c>
      <c r="B131" s="19">
        <v>37726</v>
      </c>
      <c r="C131" s="12">
        <v>2003</v>
      </c>
      <c r="D131" s="11" t="s">
        <v>21</v>
      </c>
      <c r="E131" s="12">
        <v>4</v>
      </c>
      <c r="F131" s="14">
        <v>4.1651057618615326</v>
      </c>
      <c r="G131" s="14">
        <v>0</v>
      </c>
      <c r="H131" s="14">
        <v>5.0422568150336355E-2</v>
      </c>
      <c r="I131" s="14">
        <v>1.7053956448481182</v>
      </c>
      <c r="J131" s="14">
        <v>3.6570877935328608E-2</v>
      </c>
      <c r="K131" s="14">
        <v>0</v>
      </c>
    </row>
    <row r="132" spans="1:11">
      <c r="A132" s="8">
        <v>6</v>
      </c>
      <c r="B132" s="19">
        <v>37761</v>
      </c>
      <c r="C132" s="12">
        <v>2003</v>
      </c>
      <c r="D132" s="11" t="s">
        <v>22</v>
      </c>
      <c r="E132" s="12">
        <v>5</v>
      </c>
      <c r="F132" s="14">
        <v>5.4586740063889092</v>
      </c>
      <c r="G132" s="14">
        <v>0.13418926056698605</v>
      </c>
      <c r="H132" s="14">
        <v>0.69140840343638132</v>
      </c>
      <c r="I132" s="14">
        <v>2.6504927285346418</v>
      </c>
      <c r="J132" s="14">
        <v>7.8927769310777857E-2</v>
      </c>
      <c r="K132" s="14">
        <v>0</v>
      </c>
    </row>
    <row r="133" spans="1:11">
      <c r="A133" s="8">
        <v>8</v>
      </c>
      <c r="B133" s="19">
        <v>37756</v>
      </c>
      <c r="C133" s="12">
        <v>2003</v>
      </c>
      <c r="D133" s="11" t="s">
        <v>22</v>
      </c>
      <c r="E133" s="12">
        <v>5</v>
      </c>
      <c r="F133" s="14">
        <v>3.0452778185032008</v>
      </c>
      <c r="G133" s="14">
        <v>3.8225234221114908E-2</v>
      </c>
      <c r="H133" s="14">
        <v>7.1414325932904921E-2</v>
      </c>
      <c r="I133" s="14">
        <v>0.62024159145996383</v>
      </c>
      <c r="J133" s="14">
        <v>2.3009101580477614E-2</v>
      </c>
      <c r="K133" s="14">
        <v>0</v>
      </c>
    </row>
    <row r="134" spans="1:11">
      <c r="A134" s="8">
        <v>15</v>
      </c>
      <c r="B134" s="19">
        <v>37761</v>
      </c>
      <c r="C134" s="12">
        <v>2003</v>
      </c>
      <c r="D134" s="11" t="s">
        <v>22</v>
      </c>
      <c r="E134" s="12">
        <v>5</v>
      </c>
      <c r="F134" s="14">
        <v>9.4575942407553839</v>
      </c>
      <c r="G134" s="14">
        <v>0.14344485646468436</v>
      </c>
      <c r="H134" s="14">
        <v>1.2883052112802944</v>
      </c>
      <c r="I134" s="14">
        <v>4.4829972160990765</v>
      </c>
      <c r="J134" s="14">
        <v>0.27278909410962393</v>
      </c>
      <c r="K134" s="14">
        <v>0</v>
      </c>
    </row>
    <row r="135" spans="1:11">
      <c r="A135" s="8">
        <v>6</v>
      </c>
      <c r="B135" s="19">
        <v>37792</v>
      </c>
      <c r="C135" s="12">
        <v>2003</v>
      </c>
      <c r="D135" s="11" t="s">
        <v>23</v>
      </c>
      <c r="E135" s="12">
        <v>6</v>
      </c>
      <c r="F135" s="14">
        <v>15.832712659534909</v>
      </c>
      <c r="G135" s="14">
        <v>0.10998071171719419</v>
      </c>
      <c r="H135" s="14">
        <v>4.2476138600843552</v>
      </c>
      <c r="I135" s="14">
        <v>8.6877020550394572</v>
      </c>
      <c r="J135" s="14">
        <v>0.28148091836680644</v>
      </c>
      <c r="K135" s="14">
        <v>0</v>
      </c>
    </row>
    <row r="136" spans="1:11">
      <c r="A136" s="8">
        <v>8</v>
      </c>
      <c r="B136" s="19">
        <v>37790</v>
      </c>
      <c r="C136" s="12">
        <v>2003</v>
      </c>
      <c r="D136" s="11" t="s">
        <v>23</v>
      </c>
      <c r="E136" s="12">
        <v>6</v>
      </c>
      <c r="F136" s="14">
        <v>15.114857572639529</v>
      </c>
      <c r="G136" s="14">
        <v>7.5321799588705066E-2</v>
      </c>
      <c r="H136" s="14">
        <v>1.624242679869309</v>
      </c>
      <c r="I136" s="14">
        <v>5.8303912362610735</v>
      </c>
      <c r="J136" s="14">
        <v>0.24028128321068007</v>
      </c>
      <c r="K136" s="14">
        <v>0</v>
      </c>
    </row>
    <row r="137" spans="1:11">
      <c r="A137" s="8">
        <v>15</v>
      </c>
      <c r="B137" s="19">
        <v>37790</v>
      </c>
      <c r="C137" s="12">
        <v>2003</v>
      </c>
      <c r="D137" s="11" t="s">
        <v>23</v>
      </c>
      <c r="E137" s="12">
        <v>6</v>
      </c>
      <c r="F137" s="14">
        <v>11.282353868849933</v>
      </c>
      <c r="G137" s="14">
        <v>7.9434435346211585E-2</v>
      </c>
      <c r="H137" s="14">
        <v>1.3585161126734686</v>
      </c>
      <c r="I137" s="14">
        <v>4.5497954958604456</v>
      </c>
      <c r="J137" s="14">
        <v>0.47741950510494841</v>
      </c>
      <c r="K137" s="14">
        <v>0</v>
      </c>
    </row>
    <row r="138" spans="1:11">
      <c r="A138" s="8">
        <v>6</v>
      </c>
      <c r="B138" s="19">
        <v>37819</v>
      </c>
      <c r="C138" s="12">
        <v>2003</v>
      </c>
      <c r="D138" s="15" t="s">
        <v>24</v>
      </c>
      <c r="E138" s="12">
        <v>7</v>
      </c>
      <c r="F138" s="14">
        <v>15.953109210142616</v>
      </c>
      <c r="G138" s="14">
        <v>5.5777137346694705E-2</v>
      </c>
      <c r="H138" s="14">
        <v>0</v>
      </c>
      <c r="I138" s="14">
        <v>2.225299762314044</v>
      </c>
      <c r="J138" s="14">
        <v>1.9258609510432749</v>
      </c>
      <c r="K138" s="14">
        <v>0</v>
      </c>
    </row>
    <row r="139" spans="1:11">
      <c r="A139" s="8">
        <v>8</v>
      </c>
      <c r="B139" s="19">
        <v>37818</v>
      </c>
      <c r="C139" s="12">
        <v>2003</v>
      </c>
      <c r="D139" s="15" t="s">
        <v>24</v>
      </c>
      <c r="E139" s="12">
        <v>7</v>
      </c>
      <c r="F139" s="14">
        <v>7.9433931678976784</v>
      </c>
      <c r="G139" s="14">
        <v>2.0565202801260171E-2</v>
      </c>
      <c r="H139" s="14">
        <v>0</v>
      </c>
      <c r="I139" s="14">
        <v>0.78864239769782851</v>
      </c>
      <c r="J139" s="14">
        <v>0.53823029027130842</v>
      </c>
      <c r="K139" s="14">
        <v>0</v>
      </c>
    </row>
    <row r="140" spans="1:11">
      <c r="A140" s="8">
        <v>15</v>
      </c>
      <c r="B140" s="19">
        <v>37819</v>
      </c>
      <c r="C140" s="12">
        <v>2003</v>
      </c>
      <c r="D140" s="15" t="s">
        <v>24</v>
      </c>
      <c r="E140" s="12">
        <v>7</v>
      </c>
      <c r="F140" s="14">
        <v>12.777910973708968</v>
      </c>
      <c r="G140" s="14">
        <v>4.420522750840352E-2</v>
      </c>
      <c r="H140" s="14">
        <v>0</v>
      </c>
      <c r="I140" s="14">
        <v>1.1371478490698572</v>
      </c>
      <c r="J140" s="14">
        <v>1.7717492559686869</v>
      </c>
      <c r="K140" s="14">
        <v>0</v>
      </c>
    </row>
    <row r="141" spans="1:11">
      <c r="A141" s="8">
        <v>6</v>
      </c>
      <c r="B141" s="19">
        <v>37847</v>
      </c>
      <c r="C141" s="12">
        <v>2003</v>
      </c>
      <c r="D141" s="15" t="s">
        <v>25</v>
      </c>
      <c r="E141" s="12">
        <v>8</v>
      </c>
      <c r="F141" s="14">
        <v>14.195668450441072</v>
      </c>
      <c r="G141" s="14">
        <v>0.12057870768559623</v>
      </c>
      <c r="H141" s="14">
        <v>0</v>
      </c>
      <c r="I141" s="14">
        <v>1.3584058105362848</v>
      </c>
      <c r="J141" s="14">
        <v>2.2244142603157493</v>
      </c>
      <c r="K141" s="14">
        <v>0</v>
      </c>
    </row>
    <row r="142" spans="1:11">
      <c r="A142" s="8">
        <v>8</v>
      </c>
      <c r="B142" s="19">
        <v>37846</v>
      </c>
      <c r="C142" s="12">
        <v>2003</v>
      </c>
      <c r="D142" s="15" t="s">
        <v>25</v>
      </c>
      <c r="E142" s="12">
        <v>8</v>
      </c>
      <c r="F142" s="14">
        <v>4.7116439297159216</v>
      </c>
      <c r="G142" s="14">
        <v>3.6404874713350799E-2</v>
      </c>
      <c r="H142" s="14">
        <v>0</v>
      </c>
      <c r="I142" s="14">
        <v>1.1788650425031488</v>
      </c>
      <c r="J142" s="14">
        <v>3.766203457047123E-2</v>
      </c>
      <c r="K142" s="14">
        <v>0</v>
      </c>
    </row>
    <row r="143" spans="1:11">
      <c r="A143" s="8">
        <v>15</v>
      </c>
      <c r="B143" s="19">
        <v>37847</v>
      </c>
      <c r="C143" s="12">
        <v>2003</v>
      </c>
      <c r="D143" s="15" t="s">
        <v>25</v>
      </c>
      <c r="E143" s="12">
        <v>8</v>
      </c>
      <c r="F143" s="14">
        <v>5.9788124531664577</v>
      </c>
      <c r="G143" s="14">
        <v>1.5069663284827702E-2</v>
      </c>
      <c r="H143" s="14">
        <v>0</v>
      </c>
      <c r="I143" s="14">
        <v>0.47024617610141722</v>
      </c>
      <c r="J143" s="14">
        <v>1.4398977099188743</v>
      </c>
      <c r="K143" s="14">
        <v>0</v>
      </c>
    </row>
    <row r="144" spans="1:11">
      <c r="A144" s="8">
        <v>6</v>
      </c>
      <c r="B144" s="19">
        <v>37888</v>
      </c>
      <c r="C144" s="12">
        <v>2003</v>
      </c>
      <c r="D144" s="15" t="s">
        <v>26</v>
      </c>
      <c r="E144" s="12">
        <v>9</v>
      </c>
      <c r="F144" s="14">
        <v>10.450080753489985</v>
      </c>
      <c r="G144" s="14">
        <v>5.766878208106116E-2</v>
      </c>
      <c r="H144" s="14">
        <v>0</v>
      </c>
      <c r="I144" s="14">
        <v>2.6915481720547132</v>
      </c>
      <c r="J144" s="14">
        <v>0.84642112584330642</v>
      </c>
      <c r="K144" s="14">
        <v>0</v>
      </c>
    </row>
    <row r="145" spans="1:11">
      <c r="A145" s="8">
        <v>8</v>
      </c>
      <c r="B145" s="19">
        <v>37886</v>
      </c>
      <c r="C145" s="12">
        <v>2003</v>
      </c>
      <c r="D145" s="15" t="s">
        <v>26</v>
      </c>
      <c r="E145" s="12">
        <v>9</v>
      </c>
      <c r="F145" s="14">
        <v>15.420783565527255</v>
      </c>
      <c r="G145" s="14">
        <v>0.13589314955345033</v>
      </c>
      <c r="H145" s="14">
        <v>0</v>
      </c>
      <c r="I145" s="14">
        <v>3.3411310533993541</v>
      </c>
      <c r="J145" s="14">
        <v>0.41090439620067959</v>
      </c>
      <c r="K145" s="14">
        <v>0</v>
      </c>
    </row>
    <row r="146" spans="1:11">
      <c r="A146" s="8">
        <v>15</v>
      </c>
      <c r="B146" s="19">
        <v>37886</v>
      </c>
      <c r="C146" s="12">
        <v>2003</v>
      </c>
      <c r="D146" s="15" t="s">
        <v>26</v>
      </c>
      <c r="E146" s="12">
        <v>9</v>
      </c>
      <c r="F146" s="14">
        <v>11.004315055400102</v>
      </c>
      <c r="G146" s="14">
        <v>6.5551149379353357E-2</v>
      </c>
      <c r="H146" s="14">
        <v>0</v>
      </c>
      <c r="I146" s="14">
        <v>3.1281354257287761</v>
      </c>
      <c r="J146" s="14">
        <v>0.62572498486043049</v>
      </c>
      <c r="K146" s="14">
        <v>0</v>
      </c>
    </row>
    <row r="147" spans="1:11">
      <c r="A147" s="8">
        <v>6</v>
      </c>
      <c r="B147" s="19">
        <v>37910</v>
      </c>
      <c r="C147" s="12">
        <v>2003</v>
      </c>
      <c r="D147" s="15" t="s">
        <v>14</v>
      </c>
      <c r="E147" s="12">
        <v>10</v>
      </c>
      <c r="F147" s="13">
        <v>6.7571000000000003</v>
      </c>
      <c r="G147" s="14">
        <v>0.15074232559065689</v>
      </c>
      <c r="H147" s="14">
        <v>0</v>
      </c>
      <c r="I147" s="14">
        <v>2.1358282426397728</v>
      </c>
      <c r="J147" s="14">
        <v>4.0424420374513576E-2</v>
      </c>
      <c r="K147" s="14">
        <v>0</v>
      </c>
    </row>
    <row r="148" spans="1:11">
      <c r="A148" s="8">
        <v>8</v>
      </c>
      <c r="B148" s="19">
        <v>37910</v>
      </c>
      <c r="C148" s="12">
        <v>2003</v>
      </c>
      <c r="D148" s="15" t="s">
        <v>14</v>
      </c>
      <c r="E148" s="12">
        <v>10</v>
      </c>
      <c r="F148" s="13">
        <v>5.6172000000000004</v>
      </c>
      <c r="G148" s="14">
        <v>3.4029758143508768E-2</v>
      </c>
      <c r="H148" s="14">
        <v>0</v>
      </c>
      <c r="I148" s="14">
        <v>1.6292816820469056</v>
      </c>
      <c r="J148" s="14">
        <v>3.9161642851071217E-2</v>
      </c>
      <c r="K148" s="14">
        <v>0</v>
      </c>
    </row>
    <row r="149" spans="1:11">
      <c r="A149" s="8">
        <v>15</v>
      </c>
      <c r="B149" s="19">
        <v>37910</v>
      </c>
      <c r="C149" s="12">
        <v>2003</v>
      </c>
      <c r="D149" s="15" t="s">
        <v>14</v>
      </c>
      <c r="E149" s="12">
        <v>10</v>
      </c>
      <c r="F149" s="13">
        <v>6.9024999999999999</v>
      </c>
      <c r="G149" s="14">
        <v>2.3633298848406762E-2</v>
      </c>
      <c r="H149" s="14">
        <v>0</v>
      </c>
      <c r="I149" s="14">
        <v>2.233148710705652</v>
      </c>
      <c r="J149" s="14">
        <v>0.1477211860782755</v>
      </c>
      <c r="K149" s="14">
        <v>0</v>
      </c>
    </row>
    <row r="150" spans="1:11">
      <c r="A150" s="8">
        <v>6</v>
      </c>
      <c r="B150" s="19">
        <v>37943</v>
      </c>
      <c r="C150" s="12">
        <v>2003</v>
      </c>
      <c r="D150" s="15" t="s">
        <v>16</v>
      </c>
      <c r="E150" s="12">
        <v>11</v>
      </c>
      <c r="F150" s="13">
        <v>2.3603999999999998</v>
      </c>
      <c r="G150" s="14">
        <v>9.6589699001964957E-2</v>
      </c>
      <c r="H150" s="14">
        <v>0</v>
      </c>
      <c r="I150" s="14">
        <v>0.39092925364320907</v>
      </c>
      <c r="J150" s="14">
        <v>3.0627846273024714E-2</v>
      </c>
      <c r="K150" s="14">
        <v>0</v>
      </c>
    </row>
    <row r="151" spans="1:11">
      <c r="A151" s="8">
        <v>8</v>
      </c>
      <c r="B151" s="19">
        <v>37942</v>
      </c>
      <c r="C151" s="12">
        <v>2003</v>
      </c>
      <c r="D151" s="15" t="s">
        <v>16</v>
      </c>
      <c r="E151" s="12">
        <v>11</v>
      </c>
      <c r="F151" s="13">
        <v>2.4371</v>
      </c>
      <c r="G151" s="14">
        <v>3.4289268419596806E-2</v>
      </c>
      <c r="H151" s="14">
        <v>0</v>
      </c>
      <c r="I151" s="14">
        <v>0.65445986936801592</v>
      </c>
      <c r="J151" s="14">
        <v>1.8901305820154982E-2</v>
      </c>
      <c r="K151" s="14">
        <v>0</v>
      </c>
    </row>
    <row r="152" spans="1:11">
      <c r="A152" s="8">
        <v>15</v>
      </c>
      <c r="B152" s="19">
        <v>37942</v>
      </c>
      <c r="C152" s="12">
        <v>2003</v>
      </c>
      <c r="D152" s="15" t="s">
        <v>16</v>
      </c>
      <c r="E152" s="12">
        <v>11</v>
      </c>
      <c r="F152" s="13">
        <v>2.0104000000000002</v>
      </c>
      <c r="G152" s="14">
        <v>4.5268524504972742E-2</v>
      </c>
      <c r="H152" s="14">
        <v>0</v>
      </c>
      <c r="I152" s="14">
        <v>0.37187444202893233</v>
      </c>
      <c r="J152" s="14">
        <v>2.1852511438740788E-2</v>
      </c>
      <c r="K152" s="14">
        <v>0</v>
      </c>
    </row>
    <row r="153" spans="1:11">
      <c r="A153" s="8">
        <v>6</v>
      </c>
      <c r="B153" s="19">
        <v>37973</v>
      </c>
      <c r="C153" s="12">
        <v>2003</v>
      </c>
      <c r="D153" s="15" t="s">
        <v>17</v>
      </c>
      <c r="E153" s="12">
        <v>12</v>
      </c>
      <c r="F153" s="13">
        <v>7.0891999999999999</v>
      </c>
      <c r="G153" s="14">
        <v>0.11659065356612389</v>
      </c>
      <c r="H153" s="14">
        <v>0</v>
      </c>
      <c r="I153" s="14">
        <v>2.0144463785441604</v>
      </c>
      <c r="J153" s="14">
        <v>7.1477347693988821E-2</v>
      </c>
      <c r="K153" s="14">
        <v>0</v>
      </c>
    </row>
    <row r="154" spans="1:11">
      <c r="A154" s="8">
        <v>8</v>
      </c>
      <c r="B154" s="19">
        <v>37971</v>
      </c>
      <c r="C154" s="12">
        <v>2003</v>
      </c>
      <c r="D154" s="15" t="s">
        <v>17</v>
      </c>
      <c r="E154" s="12">
        <v>12</v>
      </c>
      <c r="F154" s="13">
        <v>4.7662000000000004</v>
      </c>
      <c r="G154" s="14">
        <v>0.20351935691929296</v>
      </c>
      <c r="H154" s="14">
        <v>0</v>
      </c>
      <c r="I154" s="14">
        <v>1.0849965308291862</v>
      </c>
      <c r="J154" s="14">
        <v>3.8001821290813725E-2</v>
      </c>
      <c r="K154" s="14">
        <v>0</v>
      </c>
    </row>
    <row r="155" spans="1:11">
      <c r="A155" s="8">
        <v>15</v>
      </c>
      <c r="B155" s="19">
        <v>37971</v>
      </c>
      <c r="C155" s="12">
        <v>2003</v>
      </c>
      <c r="D155" s="15" t="s">
        <v>17</v>
      </c>
      <c r="E155" s="12">
        <v>12</v>
      </c>
      <c r="F155" s="13">
        <v>5.1734</v>
      </c>
      <c r="G155" s="14">
        <v>0.15699974289691448</v>
      </c>
      <c r="H155" s="14">
        <v>0</v>
      </c>
      <c r="I155" s="14">
        <v>1.1795446148014337</v>
      </c>
      <c r="J155" s="14">
        <v>4.1034955939978357E-2</v>
      </c>
      <c r="K155" s="14">
        <v>0</v>
      </c>
    </row>
    <row r="156" spans="1:11">
      <c r="A156" s="8">
        <v>6</v>
      </c>
      <c r="B156" s="19">
        <v>37999</v>
      </c>
      <c r="C156" s="12">
        <v>2004</v>
      </c>
      <c r="D156" s="15" t="s">
        <v>18</v>
      </c>
      <c r="E156" s="12">
        <v>1</v>
      </c>
      <c r="F156" s="13">
        <v>4.9983000000000004</v>
      </c>
      <c r="G156" s="13">
        <v>2.3705288729781778E-2</v>
      </c>
      <c r="H156" s="13">
        <v>0</v>
      </c>
      <c r="I156" s="13">
        <v>1.9247098266209064</v>
      </c>
      <c r="J156" s="13">
        <v>2.8103955243482588E-2</v>
      </c>
      <c r="K156" s="13">
        <v>0</v>
      </c>
    </row>
    <row r="157" spans="1:11">
      <c r="A157" s="8">
        <v>8</v>
      </c>
      <c r="C157" s="12">
        <v>2004</v>
      </c>
      <c r="D157" s="15" t="s">
        <v>18</v>
      </c>
      <c r="E157" s="12">
        <v>1</v>
      </c>
      <c r="F157" s="13"/>
    </row>
    <row r="158" spans="1:11">
      <c r="A158" s="8">
        <v>15</v>
      </c>
      <c r="C158" s="12">
        <v>2004</v>
      </c>
      <c r="D158" s="15" t="s">
        <v>18</v>
      </c>
      <c r="E158" s="12">
        <v>1</v>
      </c>
      <c r="F158" s="13"/>
    </row>
    <row r="159" spans="1:11">
      <c r="A159" s="8">
        <v>6</v>
      </c>
      <c r="B159" s="19">
        <v>38027</v>
      </c>
      <c r="C159" s="12">
        <v>2004</v>
      </c>
      <c r="D159" s="11" t="s">
        <v>19</v>
      </c>
      <c r="E159" s="12">
        <v>2</v>
      </c>
      <c r="F159" s="13">
        <v>5.3985000000000003</v>
      </c>
      <c r="G159" s="13">
        <v>2.5562505112357751E-2</v>
      </c>
      <c r="H159" s="13">
        <v>0</v>
      </c>
      <c r="I159" s="13">
        <v>1.8227440805126356</v>
      </c>
      <c r="J159" s="13">
        <v>4.1080273567025788E-2</v>
      </c>
      <c r="K159" s="13">
        <v>0</v>
      </c>
    </row>
    <row r="160" spans="1:11">
      <c r="A160" s="8">
        <v>8</v>
      </c>
      <c r="B160" s="19">
        <v>38026</v>
      </c>
      <c r="C160" s="12">
        <v>2004</v>
      </c>
      <c r="D160" s="11" t="s">
        <v>19</v>
      </c>
      <c r="E160" s="12">
        <v>2</v>
      </c>
      <c r="F160" s="13">
        <v>9.5776000000000003</v>
      </c>
      <c r="G160" s="13">
        <v>4.8833508378514627E-2</v>
      </c>
      <c r="H160" s="13">
        <v>0</v>
      </c>
      <c r="I160" s="13">
        <v>2.821836789394514</v>
      </c>
      <c r="J160" s="13">
        <v>5.3840809296802711E-2</v>
      </c>
      <c r="K160" s="13">
        <v>0</v>
      </c>
    </row>
    <row r="161" spans="1:11">
      <c r="A161" s="8">
        <v>15</v>
      </c>
      <c r="B161" s="19">
        <v>38026</v>
      </c>
      <c r="C161" s="12">
        <v>2004</v>
      </c>
      <c r="D161" s="11" t="s">
        <v>19</v>
      </c>
      <c r="E161" s="12">
        <v>2</v>
      </c>
      <c r="F161" s="13">
        <v>7.0206999999999997</v>
      </c>
      <c r="G161" s="13">
        <v>5.129571512182679E-2</v>
      </c>
      <c r="H161" s="13">
        <v>0</v>
      </c>
      <c r="I161" s="13">
        <v>2.1154093417333262</v>
      </c>
      <c r="J161" s="13">
        <v>4.8034347387898114E-2</v>
      </c>
      <c r="K161" s="13">
        <v>0</v>
      </c>
    </row>
    <row r="162" spans="1:11">
      <c r="A162" s="8">
        <v>6</v>
      </c>
      <c r="B162" s="19">
        <v>38063</v>
      </c>
      <c r="C162" s="12">
        <v>2004</v>
      </c>
      <c r="D162" s="11" t="s">
        <v>20</v>
      </c>
      <c r="E162" s="12">
        <v>3</v>
      </c>
      <c r="F162" s="13">
        <v>8.1742000000000008</v>
      </c>
      <c r="G162" s="13">
        <v>3.6350838994029543E-2</v>
      </c>
      <c r="H162" s="13">
        <v>0</v>
      </c>
      <c r="I162" s="13">
        <v>3.6224635193110415</v>
      </c>
      <c r="J162" s="13">
        <v>4.3755540987836211E-2</v>
      </c>
      <c r="K162" s="13">
        <v>0</v>
      </c>
    </row>
    <row r="163" spans="1:11">
      <c r="A163" s="8">
        <v>8</v>
      </c>
      <c r="B163" s="19">
        <v>38061</v>
      </c>
      <c r="C163" s="12">
        <v>2004</v>
      </c>
      <c r="D163" s="11" t="s">
        <v>20</v>
      </c>
      <c r="E163" s="12">
        <v>3</v>
      </c>
      <c r="F163" s="13">
        <v>6.0446999999999997</v>
      </c>
      <c r="G163" s="13">
        <v>4.7048889605369466E-2</v>
      </c>
      <c r="H163" s="13">
        <v>0</v>
      </c>
      <c r="I163" s="13">
        <v>2.5215772576040103</v>
      </c>
      <c r="J163" s="13">
        <v>3.0852133818707148E-2</v>
      </c>
      <c r="K163" s="13">
        <v>0</v>
      </c>
    </row>
    <row r="164" spans="1:11">
      <c r="A164" s="8">
        <v>15</v>
      </c>
      <c r="B164" s="19">
        <v>38063</v>
      </c>
      <c r="C164" s="12">
        <v>2004</v>
      </c>
      <c r="D164" s="11" t="s">
        <v>20</v>
      </c>
      <c r="E164" s="12">
        <v>3</v>
      </c>
      <c r="F164" s="13">
        <v>3.8525999999999998</v>
      </c>
      <c r="G164" s="13">
        <v>4.5483131028612817E-2</v>
      </c>
      <c r="H164" s="13">
        <v>0</v>
      </c>
      <c r="I164" s="13">
        <v>1.2473748946072514</v>
      </c>
      <c r="J164" s="13">
        <v>4.1912317736254485E-2</v>
      </c>
      <c r="K164" s="13">
        <v>0</v>
      </c>
    </row>
    <row r="165" spans="1:11">
      <c r="A165" s="8">
        <v>6</v>
      </c>
      <c r="B165" s="19">
        <v>38094</v>
      </c>
      <c r="C165" s="12">
        <v>2004</v>
      </c>
      <c r="D165" s="11" t="s">
        <v>21</v>
      </c>
      <c r="E165" s="12">
        <v>4</v>
      </c>
      <c r="F165" s="13">
        <v>4.3901000000000003</v>
      </c>
      <c r="G165" s="21">
        <v>4.832454614319473E-2</v>
      </c>
      <c r="H165" s="21">
        <v>0</v>
      </c>
      <c r="I165" s="21">
        <v>1.9586465823040173</v>
      </c>
      <c r="J165" s="21">
        <v>5.3123293560136009E-2</v>
      </c>
      <c r="K165" s="21">
        <v>0</v>
      </c>
    </row>
    <row r="166" spans="1:11">
      <c r="A166" s="8">
        <v>8</v>
      </c>
      <c r="B166" s="19">
        <v>38093</v>
      </c>
      <c r="C166" s="12">
        <v>2004</v>
      </c>
      <c r="D166" s="11" t="s">
        <v>21</v>
      </c>
      <c r="E166" s="12">
        <v>4</v>
      </c>
      <c r="F166" s="13">
        <v>1.3182</v>
      </c>
      <c r="G166" s="21">
        <v>4.1365764345315005E-2</v>
      </c>
      <c r="H166" s="21">
        <v>0</v>
      </c>
      <c r="I166" s="21">
        <v>0.27923797003972478</v>
      </c>
      <c r="J166" s="21">
        <v>5.7468091585649445E-2</v>
      </c>
      <c r="K166" s="21">
        <v>0</v>
      </c>
    </row>
    <row r="167" spans="1:11">
      <c r="A167" s="8">
        <v>15</v>
      </c>
      <c r="B167" s="19">
        <v>38094</v>
      </c>
      <c r="C167" s="12">
        <v>2004</v>
      </c>
      <c r="D167" s="11" t="s">
        <v>21</v>
      </c>
      <c r="E167" s="12">
        <v>4</v>
      </c>
      <c r="F167" s="13">
        <v>3.8311000000000002</v>
      </c>
      <c r="G167" s="21">
        <v>5.0748897450360833E-2</v>
      </c>
      <c r="H167" s="21">
        <v>2.8756492701264073E-2</v>
      </c>
      <c r="I167" s="21">
        <v>1.7613477776316779</v>
      </c>
      <c r="J167" s="21">
        <v>4.5963847463636201E-2</v>
      </c>
      <c r="K167" s="21">
        <v>0</v>
      </c>
    </row>
    <row r="168" spans="1:11">
      <c r="A168" s="8">
        <v>6</v>
      </c>
      <c r="B168" s="19">
        <v>38118</v>
      </c>
      <c r="C168" s="12">
        <v>2004</v>
      </c>
      <c r="D168" s="11" t="s">
        <v>22</v>
      </c>
      <c r="E168" s="12">
        <v>5</v>
      </c>
      <c r="F168" s="13">
        <v>2.6059999999999999</v>
      </c>
      <c r="G168" s="21">
        <v>6.2185671607849137E-2</v>
      </c>
      <c r="H168" s="21">
        <v>0.23505349734292985</v>
      </c>
      <c r="I168" s="21">
        <v>0.86239617269574753</v>
      </c>
      <c r="J168" s="21">
        <v>0.1896166146680629</v>
      </c>
      <c r="K168" s="21">
        <v>0</v>
      </c>
    </row>
    <row r="169" spans="1:11">
      <c r="A169" s="8">
        <v>8</v>
      </c>
      <c r="B169" s="19">
        <v>38117</v>
      </c>
      <c r="C169" s="12">
        <v>2004</v>
      </c>
      <c r="D169" s="11" t="s">
        <v>22</v>
      </c>
      <c r="E169" s="12">
        <v>5</v>
      </c>
      <c r="F169" s="13">
        <v>2.4889000000000001</v>
      </c>
      <c r="G169" s="21">
        <v>2.87435873084817E-2</v>
      </c>
      <c r="H169" s="21">
        <v>2.1339810146295574E-2</v>
      </c>
      <c r="I169" s="21">
        <v>0.4829875467579165</v>
      </c>
      <c r="J169" s="21">
        <v>3.8775222027608788E-2</v>
      </c>
      <c r="K169" s="21">
        <v>0</v>
      </c>
    </row>
    <row r="170" spans="1:11">
      <c r="A170" s="8">
        <v>15</v>
      </c>
      <c r="B170" s="19">
        <v>38118</v>
      </c>
      <c r="C170" s="12">
        <v>2004</v>
      </c>
      <c r="D170" s="11" t="s">
        <v>22</v>
      </c>
      <c r="E170" s="12">
        <v>5</v>
      </c>
      <c r="F170" s="13">
        <v>2.1602999999999999</v>
      </c>
      <c r="G170" s="21">
        <v>3.6061987258029594E-2</v>
      </c>
      <c r="H170" s="21">
        <v>0.22328287278196732</v>
      </c>
      <c r="I170" s="21">
        <v>0.58792327403574829</v>
      </c>
      <c r="J170" s="21">
        <v>0.13654257517253945</v>
      </c>
      <c r="K170" s="21">
        <v>0</v>
      </c>
    </row>
    <row r="171" spans="1:11">
      <c r="A171" s="8">
        <v>6</v>
      </c>
      <c r="B171" s="19">
        <v>38153</v>
      </c>
      <c r="C171" s="12">
        <v>2004</v>
      </c>
      <c r="D171" s="11" t="s">
        <v>23</v>
      </c>
      <c r="E171" s="12">
        <v>6</v>
      </c>
      <c r="F171" s="13">
        <v>13.8576</v>
      </c>
      <c r="G171" s="21">
        <v>8.9307986542880857E-2</v>
      </c>
      <c r="H171" s="21">
        <v>1.7129619032390335</v>
      </c>
      <c r="I171" s="21">
        <v>4.0922159605172705</v>
      </c>
      <c r="J171" s="21">
        <v>0.77399943751929978</v>
      </c>
      <c r="K171" s="21">
        <v>0</v>
      </c>
    </row>
    <row r="172" spans="1:11">
      <c r="A172" s="8">
        <v>8</v>
      </c>
      <c r="B172" s="19">
        <v>38160</v>
      </c>
      <c r="C172" s="12">
        <v>2004</v>
      </c>
      <c r="D172" s="11" t="s">
        <v>23</v>
      </c>
      <c r="E172" s="12">
        <v>6</v>
      </c>
      <c r="F172" s="13">
        <v>2.9472</v>
      </c>
      <c r="G172" s="21">
        <v>2.789325430530918E-2</v>
      </c>
      <c r="H172" s="21">
        <v>0</v>
      </c>
      <c r="I172" s="21">
        <v>0.9235934696548237</v>
      </c>
      <c r="J172" s="21">
        <v>2.1540694739961057E-2</v>
      </c>
      <c r="K172" s="21">
        <v>0</v>
      </c>
    </row>
    <row r="173" spans="1:11">
      <c r="A173" s="8">
        <v>15</v>
      </c>
      <c r="B173" s="19">
        <v>38155</v>
      </c>
      <c r="C173" s="12">
        <v>2004</v>
      </c>
      <c r="D173" s="11" t="s">
        <v>23</v>
      </c>
      <c r="E173" s="12">
        <v>6</v>
      </c>
      <c r="F173" s="13">
        <v>4.3376000000000001</v>
      </c>
      <c r="G173" s="21">
        <v>3.2981587872184782E-2</v>
      </c>
      <c r="H173" s="21">
        <v>0.11523522764287641</v>
      </c>
      <c r="I173" s="21">
        <v>0.62055947543889101</v>
      </c>
      <c r="J173" s="21">
        <v>0.41455044398767116</v>
      </c>
      <c r="K173" s="21">
        <v>0</v>
      </c>
    </row>
    <row r="174" spans="1:11">
      <c r="A174" s="8">
        <v>6</v>
      </c>
      <c r="B174" s="19">
        <v>38181</v>
      </c>
      <c r="C174" s="12">
        <v>2004</v>
      </c>
      <c r="D174" s="15" t="s">
        <v>24</v>
      </c>
      <c r="E174" s="12">
        <v>7</v>
      </c>
      <c r="F174" s="13">
        <v>11.0219</v>
      </c>
      <c r="G174" s="21">
        <v>9.5268548212266393E-2</v>
      </c>
      <c r="H174" s="21">
        <v>0</v>
      </c>
      <c r="I174" s="21">
        <v>0.93916996182169721</v>
      </c>
      <c r="J174" s="21">
        <v>1.383534482477788</v>
      </c>
      <c r="K174" s="21">
        <v>0</v>
      </c>
    </row>
    <row r="175" spans="1:11">
      <c r="A175" s="8">
        <v>8</v>
      </c>
      <c r="B175" s="19">
        <v>38182</v>
      </c>
      <c r="C175" s="12">
        <v>2004</v>
      </c>
      <c r="D175" s="15" t="s">
        <v>24</v>
      </c>
      <c r="E175" s="12">
        <v>7</v>
      </c>
      <c r="F175" s="13">
        <v>2.2934000000000001</v>
      </c>
      <c r="G175" s="21">
        <v>3.7516348116585413E-2</v>
      </c>
      <c r="H175" s="21">
        <v>0</v>
      </c>
      <c r="I175" s="21">
        <v>0.5209663676306957</v>
      </c>
      <c r="J175" s="21">
        <v>2.4472552703339871E-2</v>
      </c>
      <c r="K175" s="21">
        <v>0</v>
      </c>
    </row>
    <row r="176" spans="1:11">
      <c r="A176" s="8">
        <v>15</v>
      </c>
      <c r="B176" s="19">
        <v>38182</v>
      </c>
      <c r="C176" s="12">
        <v>2004</v>
      </c>
      <c r="D176" s="15" t="s">
        <v>24</v>
      </c>
      <c r="E176" s="12">
        <v>7</v>
      </c>
      <c r="F176" s="13">
        <v>4.0551000000000004</v>
      </c>
      <c r="G176" s="21">
        <v>9.1966473972393936E-2</v>
      </c>
      <c r="H176" s="21">
        <v>0</v>
      </c>
      <c r="I176" s="21">
        <v>0.23188662547043823</v>
      </c>
      <c r="J176" s="21">
        <v>0.59854148525957673</v>
      </c>
      <c r="K176" s="21">
        <v>0</v>
      </c>
    </row>
    <row r="177" spans="1:11">
      <c r="A177" s="8">
        <v>6</v>
      </c>
      <c r="B177" s="19">
        <v>38217</v>
      </c>
      <c r="C177" s="12">
        <v>2004</v>
      </c>
      <c r="D177" s="15" t="s">
        <v>25</v>
      </c>
      <c r="E177" s="12">
        <v>8</v>
      </c>
      <c r="F177" s="13">
        <v>15.412599999999999</v>
      </c>
      <c r="G177" s="20"/>
      <c r="H177" s="20"/>
      <c r="I177" s="20"/>
      <c r="J177" s="20"/>
      <c r="K177" s="20"/>
    </row>
    <row r="178" spans="1:11">
      <c r="A178" s="8">
        <v>8</v>
      </c>
      <c r="B178" s="19">
        <v>38218</v>
      </c>
      <c r="C178" s="12">
        <v>2004</v>
      </c>
      <c r="D178" s="15" t="s">
        <v>25</v>
      </c>
      <c r="E178" s="12">
        <v>8</v>
      </c>
      <c r="F178" s="13">
        <v>3.7090000000000001</v>
      </c>
      <c r="G178" s="20"/>
      <c r="H178" s="20"/>
      <c r="I178" s="20"/>
      <c r="J178" s="20"/>
      <c r="K178" s="20"/>
    </row>
    <row r="179" spans="1:11">
      <c r="A179" s="8">
        <v>15</v>
      </c>
      <c r="B179" s="19">
        <v>38218</v>
      </c>
      <c r="C179" s="12">
        <v>2004</v>
      </c>
      <c r="D179" s="15" t="s">
        <v>25</v>
      </c>
      <c r="E179" s="12">
        <v>8</v>
      </c>
      <c r="F179" s="13">
        <v>3.0560999999999998</v>
      </c>
      <c r="G179" s="20"/>
      <c r="H179" s="20"/>
      <c r="I179" s="20"/>
      <c r="J179" s="20"/>
      <c r="K179" s="20"/>
    </row>
    <row r="180" spans="1:11">
      <c r="A180" s="8">
        <v>6</v>
      </c>
      <c r="B180" s="19">
        <v>38244</v>
      </c>
      <c r="C180" s="12">
        <v>2004</v>
      </c>
      <c r="D180" s="15" t="s">
        <v>26</v>
      </c>
      <c r="E180" s="12">
        <v>9</v>
      </c>
      <c r="F180" s="13">
        <v>9.4573999999999998</v>
      </c>
      <c r="G180" s="21">
        <v>3.7531441586562596E-2</v>
      </c>
      <c r="H180" s="21">
        <v>0</v>
      </c>
      <c r="I180" s="21">
        <v>2.6142454733109468</v>
      </c>
      <c r="J180" s="21">
        <v>0.52264106620423934</v>
      </c>
      <c r="K180" s="21">
        <v>0</v>
      </c>
    </row>
    <row r="181" spans="1:11">
      <c r="A181" s="8">
        <v>8</v>
      </c>
      <c r="B181" s="19">
        <v>38246</v>
      </c>
      <c r="C181" s="12">
        <v>2004</v>
      </c>
      <c r="D181" s="15" t="s">
        <v>26</v>
      </c>
      <c r="E181" s="12">
        <v>9</v>
      </c>
      <c r="F181" s="13">
        <v>1.6736</v>
      </c>
      <c r="G181" s="21">
        <v>0</v>
      </c>
      <c r="H181" s="21">
        <v>0</v>
      </c>
      <c r="I181" s="21">
        <v>0.3830990435278705</v>
      </c>
      <c r="J181" s="21">
        <v>3.6530730398316315E-2</v>
      </c>
      <c r="K181" s="21">
        <v>0</v>
      </c>
    </row>
    <row r="182" spans="1:11">
      <c r="A182" s="8">
        <v>15</v>
      </c>
      <c r="B182" s="19">
        <v>38246</v>
      </c>
      <c r="C182" s="12">
        <v>2004</v>
      </c>
      <c r="D182" s="15" t="s">
        <v>26</v>
      </c>
      <c r="E182" s="12">
        <v>9</v>
      </c>
      <c r="F182" s="13">
        <v>2.9839000000000002</v>
      </c>
      <c r="G182" s="21">
        <v>5.7558629914860229E-2</v>
      </c>
      <c r="H182" s="21">
        <v>0</v>
      </c>
      <c r="I182" s="21">
        <v>0.83321118792634608</v>
      </c>
      <c r="J182" s="21">
        <v>0.20182827734025394</v>
      </c>
      <c r="K182" s="21">
        <v>0</v>
      </c>
    </row>
    <row r="183" spans="1:11">
      <c r="A183" s="8">
        <v>6</v>
      </c>
      <c r="B183" s="19">
        <v>38273</v>
      </c>
      <c r="C183" s="12">
        <v>2004</v>
      </c>
      <c r="D183" s="15" t="s">
        <v>14</v>
      </c>
      <c r="E183" s="12">
        <v>10</v>
      </c>
      <c r="F183" s="14">
        <v>8.5496300000000005</v>
      </c>
      <c r="G183" s="14">
        <v>4.5937291099812594E-2</v>
      </c>
      <c r="H183" s="14">
        <v>0</v>
      </c>
      <c r="I183" s="14">
        <v>2.7082167142909488</v>
      </c>
      <c r="J183" s="14">
        <v>0.30373179492856295</v>
      </c>
      <c r="K183" s="14">
        <v>0</v>
      </c>
    </row>
    <row r="184" spans="1:11">
      <c r="A184" s="8">
        <v>8</v>
      </c>
      <c r="B184" s="19">
        <v>38274</v>
      </c>
      <c r="C184" s="12">
        <v>2004</v>
      </c>
      <c r="D184" s="15" t="s">
        <v>14</v>
      </c>
      <c r="E184" s="12">
        <v>10</v>
      </c>
      <c r="F184" s="14">
        <v>1.54593</v>
      </c>
      <c r="G184" s="14">
        <v>0</v>
      </c>
      <c r="H184" s="14">
        <v>0</v>
      </c>
      <c r="I184" s="14">
        <v>0.16184923556408656</v>
      </c>
      <c r="J184" s="14">
        <v>7.0958206206480712E-3</v>
      </c>
      <c r="K184" s="14">
        <v>0</v>
      </c>
    </row>
    <row r="185" spans="1:11">
      <c r="A185" s="8">
        <v>15</v>
      </c>
      <c r="B185" s="19">
        <v>38273</v>
      </c>
      <c r="C185" s="12">
        <v>2004</v>
      </c>
      <c r="D185" s="15" t="s">
        <v>14</v>
      </c>
      <c r="E185" s="12">
        <v>10</v>
      </c>
      <c r="F185" s="14">
        <v>1.51335</v>
      </c>
      <c r="G185" s="14">
        <v>0</v>
      </c>
      <c r="H185" s="14">
        <v>0</v>
      </c>
      <c r="I185" s="14">
        <v>0.28434658272719388</v>
      </c>
      <c r="J185" s="14">
        <v>4.5453761436060863E-2</v>
      </c>
      <c r="K185" s="14">
        <v>0</v>
      </c>
    </row>
    <row r="186" spans="1:11">
      <c r="A186" s="8">
        <v>6</v>
      </c>
      <c r="B186" s="19">
        <v>38307</v>
      </c>
      <c r="C186" s="12">
        <v>2004</v>
      </c>
      <c r="D186" s="15" t="s">
        <v>16</v>
      </c>
      <c r="E186" s="12">
        <v>11</v>
      </c>
      <c r="F186" s="14">
        <v>1.90208</v>
      </c>
      <c r="G186" s="14">
        <v>2.2233765101530027E-2</v>
      </c>
      <c r="H186" s="14">
        <v>0</v>
      </c>
      <c r="I186" s="14">
        <v>0.48830136426248655</v>
      </c>
      <c r="J186" s="14">
        <v>2.5623494989009298E-2</v>
      </c>
      <c r="K186" s="14">
        <v>0</v>
      </c>
    </row>
    <row r="187" spans="1:11">
      <c r="A187" s="8">
        <v>8</v>
      </c>
      <c r="B187" s="19">
        <v>38309</v>
      </c>
      <c r="C187" s="12">
        <v>2004</v>
      </c>
      <c r="D187" s="15" t="s">
        <v>16</v>
      </c>
      <c r="E187" s="12">
        <v>11</v>
      </c>
      <c r="F187" s="14">
        <v>1.50061</v>
      </c>
      <c r="G187" s="14">
        <v>0.11474327438897751</v>
      </c>
      <c r="H187" s="14">
        <v>0</v>
      </c>
      <c r="I187" s="14">
        <v>0.17764507836701413</v>
      </c>
      <c r="J187" s="14">
        <v>1.4022026203371301E-2</v>
      </c>
      <c r="K187" s="14">
        <v>0</v>
      </c>
    </row>
    <row r="188" spans="1:11">
      <c r="A188" s="8">
        <v>15</v>
      </c>
      <c r="B188" s="19">
        <v>38307</v>
      </c>
      <c r="C188" s="12">
        <v>2004</v>
      </c>
      <c r="D188" s="15" t="s">
        <v>16</v>
      </c>
      <c r="E188" s="12">
        <v>11</v>
      </c>
      <c r="F188" s="14">
        <v>1.69478</v>
      </c>
      <c r="G188" s="14">
        <v>0</v>
      </c>
      <c r="H188" s="14">
        <v>0</v>
      </c>
      <c r="I188" s="14">
        <v>0.28076262196027868</v>
      </c>
      <c r="J188" s="14">
        <v>1.6773497024880943E-2</v>
      </c>
      <c r="K188" s="14">
        <v>0</v>
      </c>
    </row>
    <row r="189" spans="1:11">
      <c r="A189" s="8">
        <v>6</v>
      </c>
      <c r="B189" s="19">
        <v>38337</v>
      </c>
      <c r="C189" s="12">
        <v>2004</v>
      </c>
      <c r="D189" s="15" t="s">
        <v>17</v>
      </c>
      <c r="E189" s="12">
        <v>12</v>
      </c>
      <c r="F189" s="14">
        <v>3.1585000000000001</v>
      </c>
      <c r="G189" s="14">
        <v>0.12992584351676961</v>
      </c>
      <c r="H189" s="14">
        <v>0</v>
      </c>
      <c r="I189" s="14">
        <v>0.64054476115280679</v>
      </c>
      <c r="J189" s="14">
        <v>4.568020741387558E-2</v>
      </c>
      <c r="K189" s="14">
        <v>0</v>
      </c>
    </row>
    <row r="190" spans="1:11">
      <c r="A190" s="8">
        <v>8</v>
      </c>
      <c r="B190" s="19">
        <v>38337</v>
      </c>
      <c r="C190" s="12">
        <v>2004</v>
      </c>
      <c r="D190" s="15" t="s">
        <v>17</v>
      </c>
      <c r="E190" s="12">
        <v>12</v>
      </c>
      <c r="F190" s="14">
        <v>2.3885800000000001</v>
      </c>
      <c r="G190" s="14">
        <v>4.2377036510456427E-2</v>
      </c>
      <c r="H190" s="14">
        <v>0</v>
      </c>
      <c r="I190" s="14">
        <v>0.58057764149196611</v>
      </c>
      <c r="J190" s="14">
        <v>7.5598375387956494E-3</v>
      </c>
      <c r="K190" s="14">
        <v>0</v>
      </c>
    </row>
    <row r="191" spans="1:11">
      <c r="A191" s="8">
        <v>15</v>
      </c>
      <c r="B191" s="19">
        <v>38337</v>
      </c>
      <c r="C191" s="12">
        <v>2004</v>
      </c>
      <c r="D191" s="15" t="s">
        <v>17</v>
      </c>
      <c r="E191" s="12">
        <v>12</v>
      </c>
      <c r="F191" s="14">
        <v>2.2125400000000002</v>
      </c>
      <c r="G191" s="14">
        <v>0.11281433255123044</v>
      </c>
      <c r="H191" s="14">
        <v>0</v>
      </c>
      <c r="I191" s="14">
        <v>0.35409929407336244</v>
      </c>
      <c r="J191" s="14">
        <v>2.8245626315026692E-2</v>
      </c>
      <c r="K191" s="14">
        <v>0</v>
      </c>
    </row>
    <row r="192" spans="1:11">
      <c r="A192" s="8">
        <v>6</v>
      </c>
      <c r="B192" s="22">
        <v>38363</v>
      </c>
      <c r="C192" s="12">
        <v>2005</v>
      </c>
      <c r="D192" s="15" t="s">
        <v>18</v>
      </c>
      <c r="E192" s="12">
        <v>1</v>
      </c>
      <c r="F192" s="14">
        <v>3.3628</v>
      </c>
      <c r="G192" s="14">
        <v>0.1277586888926954</v>
      </c>
      <c r="H192" s="14">
        <v>2.6195761501576743E-2</v>
      </c>
      <c r="I192" s="14">
        <v>0.8757627511111824</v>
      </c>
      <c r="J192" s="14">
        <v>1.7405030816151738E-2</v>
      </c>
      <c r="K192" s="14">
        <v>0</v>
      </c>
    </row>
    <row r="193" spans="1:11">
      <c r="A193" s="8">
        <v>8</v>
      </c>
      <c r="B193" s="22">
        <v>38364</v>
      </c>
      <c r="C193" s="12">
        <v>2005</v>
      </c>
      <c r="D193" s="15" t="s">
        <v>18</v>
      </c>
      <c r="E193" s="12">
        <v>1</v>
      </c>
      <c r="F193" s="14">
        <v>1.08186</v>
      </c>
      <c r="G193" s="14">
        <v>2.1592743897644338E-2</v>
      </c>
      <c r="H193" s="14">
        <v>0</v>
      </c>
      <c r="I193" s="14">
        <v>0.26343249791027068</v>
      </c>
      <c r="J193" s="14">
        <v>4.7527175271589225E-3</v>
      </c>
      <c r="K193" s="14">
        <v>0</v>
      </c>
    </row>
    <row r="194" spans="1:11">
      <c r="A194" s="8">
        <v>15</v>
      </c>
      <c r="B194" s="22">
        <v>38363</v>
      </c>
      <c r="C194" s="12">
        <v>2005</v>
      </c>
      <c r="D194" s="15" t="s">
        <v>18</v>
      </c>
      <c r="E194" s="12">
        <v>1</v>
      </c>
      <c r="F194" s="14">
        <v>3.7126399999999999</v>
      </c>
      <c r="G194" s="14">
        <v>0.15962374229067555</v>
      </c>
      <c r="H194" s="14">
        <v>3.2853708339525466E-2</v>
      </c>
      <c r="I194" s="14">
        <v>0.94453408512830606</v>
      </c>
      <c r="J194" s="14">
        <v>2.0506782537323152E-2</v>
      </c>
      <c r="K194" s="14">
        <v>0</v>
      </c>
    </row>
    <row r="195" spans="1:11">
      <c r="A195" s="8">
        <v>6</v>
      </c>
      <c r="B195" s="22">
        <v>38399</v>
      </c>
      <c r="C195" s="12">
        <v>2005</v>
      </c>
      <c r="D195" s="11" t="s">
        <v>19</v>
      </c>
      <c r="E195" s="12">
        <v>2</v>
      </c>
      <c r="F195" s="14">
        <v>3.0975199999999998</v>
      </c>
      <c r="G195" s="14">
        <v>0.15424366842698936</v>
      </c>
      <c r="H195" s="14">
        <v>0</v>
      </c>
      <c r="I195" s="14">
        <v>0.69531465448971064</v>
      </c>
      <c r="J195" s="14">
        <v>4.3515744209258751E-2</v>
      </c>
      <c r="K195" s="14">
        <v>0</v>
      </c>
    </row>
    <row r="196" spans="1:11">
      <c r="A196" s="8">
        <v>8</v>
      </c>
      <c r="B196" s="22">
        <v>38398</v>
      </c>
      <c r="C196" s="12">
        <v>2005</v>
      </c>
      <c r="D196" s="11" t="s">
        <v>19</v>
      </c>
      <c r="E196" s="12">
        <v>2</v>
      </c>
      <c r="F196" s="14">
        <v>3.34823</v>
      </c>
      <c r="G196" s="14">
        <v>5.1946531720490678E-2</v>
      </c>
      <c r="H196" s="14">
        <v>0</v>
      </c>
      <c r="I196" s="14">
        <v>0.8570286059322868</v>
      </c>
      <c r="J196" s="14">
        <v>2.8639184406994537E-2</v>
      </c>
      <c r="K196" s="14">
        <v>0</v>
      </c>
    </row>
    <row r="197" spans="1:11">
      <c r="A197" s="8">
        <v>15</v>
      </c>
      <c r="B197" s="22">
        <v>38398</v>
      </c>
      <c r="C197" s="12">
        <v>2005</v>
      </c>
      <c r="D197" s="11" t="s">
        <v>19</v>
      </c>
      <c r="E197" s="12">
        <v>2</v>
      </c>
      <c r="F197" s="14">
        <v>2.5410400000000002</v>
      </c>
      <c r="G197" s="14">
        <v>0.12864940373908346</v>
      </c>
      <c r="H197" s="14">
        <v>0</v>
      </c>
      <c r="I197" s="14">
        <v>0.55073771323992704</v>
      </c>
      <c r="J197" s="14">
        <v>4.4782444488295721E-2</v>
      </c>
      <c r="K197" s="14">
        <v>0</v>
      </c>
    </row>
    <row r="198" spans="1:11">
      <c r="A198" s="8">
        <v>6</v>
      </c>
      <c r="B198" s="22">
        <v>38428</v>
      </c>
      <c r="C198" s="12">
        <v>2005</v>
      </c>
      <c r="D198" s="11" t="s">
        <v>20</v>
      </c>
      <c r="E198" s="12">
        <v>3</v>
      </c>
      <c r="F198" s="14">
        <v>1.57328</v>
      </c>
      <c r="G198" s="14">
        <v>9.8319189714546479E-2</v>
      </c>
      <c r="H198" s="14">
        <v>0</v>
      </c>
      <c r="I198" s="14">
        <v>0.3432031160447338</v>
      </c>
      <c r="J198" s="14">
        <v>1.0755055531601863E-2</v>
      </c>
      <c r="K198" s="14">
        <v>0</v>
      </c>
    </row>
    <row r="199" spans="1:11">
      <c r="A199" s="8">
        <v>8</v>
      </c>
      <c r="B199" s="22">
        <v>38427</v>
      </c>
      <c r="C199" s="12">
        <v>2005</v>
      </c>
      <c r="D199" s="11" t="s">
        <v>20</v>
      </c>
      <c r="E199" s="12">
        <v>3</v>
      </c>
      <c r="F199" s="14">
        <v>1.8873200000000001</v>
      </c>
      <c r="G199" s="14">
        <v>0.18477726718185938</v>
      </c>
      <c r="H199" s="14">
        <v>0</v>
      </c>
      <c r="I199" s="14">
        <v>0.40979858708316558</v>
      </c>
      <c r="J199" s="14">
        <v>1.0210272070147786E-2</v>
      </c>
      <c r="K199" s="14">
        <v>0</v>
      </c>
    </row>
    <row r="200" spans="1:11">
      <c r="A200" s="8">
        <v>15</v>
      </c>
      <c r="B200" s="22">
        <v>38427</v>
      </c>
      <c r="C200" s="12">
        <v>2005</v>
      </c>
      <c r="D200" s="11" t="s">
        <v>20</v>
      </c>
      <c r="E200" s="12">
        <v>3</v>
      </c>
      <c r="F200" s="14">
        <v>1.9217599999999999</v>
      </c>
      <c r="G200" s="14">
        <v>8.1930459479328505E-2</v>
      </c>
      <c r="H200" s="14">
        <v>0</v>
      </c>
      <c r="I200" s="14">
        <v>0.41932724824685258</v>
      </c>
      <c r="J200" s="14">
        <v>1.580162839232005E-2</v>
      </c>
      <c r="K200" s="14">
        <v>0</v>
      </c>
    </row>
    <row r="201" spans="1:11">
      <c r="A201" s="8">
        <v>6</v>
      </c>
      <c r="B201" s="22">
        <v>38469</v>
      </c>
      <c r="C201" s="12">
        <v>2005</v>
      </c>
      <c r="D201" s="11" t="s">
        <v>21</v>
      </c>
      <c r="E201" s="12">
        <v>4</v>
      </c>
      <c r="F201" s="14">
        <v>4.1978900000000001</v>
      </c>
      <c r="G201" s="14">
        <v>1.9205493050153719E-2</v>
      </c>
      <c r="H201" s="14">
        <v>7.0529201873961903E-2</v>
      </c>
      <c r="I201" s="14">
        <v>1.9776967917084602</v>
      </c>
      <c r="J201" s="14">
        <v>4.5410394122357048E-2</v>
      </c>
      <c r="K201" s="14">
        <v>0</v>
      </c>
    </row>
    <row r="202" spans="1:11">
      <c r="A202" s="8">
        <v>8</v>
      </c>
      <c r="B202" s="22">
        <v>38470</v>
      </c>
      <c r="C202" s="12">
        <v>2005</v>
      </c>
      <c r="D202" s="11" t="s">
        <v>21</v>
      </c>
      <c r="E202" s="12">
        <v>4</v>
      </c>
      <c r="F202" s="14">
        <v>1.4016</v>
      </c>
      <c r="G202" s="14">
        <v>3.868425291059871E-2</v>
      </c>
      <c r="H202" s="14">
        <v>0</v>
      </c>
      <c r="I202" s="14">
        <v>0.31496672450858831</v>
      </c>
      <c r="J202" s="14">
        <v>1.3948572982867334E-2</v>
      </c>
      <c r="K202" s="14">
        <v>0</v>
      </c>
    </row>
    <row r="203" spans="1:11">
      <c r="A203" s="8">
        <v>15</v>
      </c>
      <c r="B203" s="22">
        <v>38469</v>
      </c>
      <c r="C203" s="12">
        <v>2005</v>
      </c>
      <c r="D203" s="11" t="s">
        <v>21</v>
      </c>
      <c r="E203" s="12">
        <v>4</v>
      </c>
      <c r="F203" s="14">
        <v>3.1296499999999998</v>
      </c>
      <c r="G203" s="14">
        <v>1.6841838225620163E-2</v>
      </c>
      <c r="H203" s="14">
        <v>8.146888766439575E-2</v>
      </c>
      <c r="I203" s="14">
        <v>1.5318957626163592</v>
      </c>
      <c r="J203" s="14">
        <v>2.8113394128505238E-2</v>
      </c>
      <c r="K203" s="14">
        <v>0</v>
      </c>
    </row>
    <row r="204" spans="1:11">
      <c r="A204" s="8">
        <v>6</v>
      </c>
      <c r="B204" s="22">
        <v>38490</v>
      </c>
      <c r="C204" s="12">
        <v>2005</v>
      </c>
      <c r="D204" s="11" t="s">
        <v>22</v>
      </c>
      <c r="E204" s="12">
        <v>5</v>
      </c>
      <c r="F204" s="14">
        <v>6.09511</v>
      </c>
      <c r="G204" s="14">
        <v>1.9733906529526602E-2</v>
      </c>
      <c r="H204" s="14">
        <v>0.91180602260068544</v>
      </c>
      <c r="I204" s="14">
        <v>2.882361694145966</v>
      </c>
      <c r="J204" s="14">
        <v>8.532753418701261E-2</v>
      </c>
      <c r="K204" s="14">
        <v>0</v>
      </c>
    </row>
    <row r="205" spans="1:11">
      <c r="A205" s="8">
        <v>8</v>
      </c>
      <c r="B205" s="22">
        <v>38488</v>
      </c>
      <c r="C205" s="12">
        <v>2005</v>
      </c>
      <c r="D205" s="11" t="s">
        <v>22</v>
      </c>
      <c r="E205" s="12">
        <v>5</v>
      </c>
      <c r="F205" s="14">
        <v>1.2165699999999999</v>
      </c>
      <c r="G205" s="14">
        <v>4.6432587920318652E-2</v>
      </c>
      <c r="H205" s="14">
        <v>0</v>
      </c>
      <c r="I205" s="14">
        <v>0.19561877027022687</v>
      </c>
      <c r="J205" s="14">
        <v>1.6143768416427548E-2</v>
      </c>
      <c r="K205" s="14">
        <v>0</v>
      </c>
    </row>
    <row r="206" spans="1:11">
      <c r="A206" s="8">
        <v>15</v>
      </c>
      <c r="B206" s="22">
        <v>38488</v>
      </c>
      <c r="C206" s="12">
        <v>2005</v>
      </c>
      <c r="D206" s="11" t="s">
        <v>22</v>
      </c>
      <c r="E206" s="12">
        <v>5</v>
      </c>
      <c r="F206" s="14">
        <v>1.8910100000000001</v>
      </c>
      <c r="G206" s="14">
        <v>6.0543147408615688E-2</v>
      </c>
      <c r="H206" s="14">
        <v>0</v>
      </c>
      <c r="I206" s="14">
        <v>0.46106872860805154</v>
      </c>
      <c r="J206" s="14">
        <v>3.602627323653685E-2</v>
      </c>
      <c r="K206" s="14">
        <v>0</v>
      </c>
    </row>
    <row r="207" spans="1:11">
      <c r="A207" s="8">
        <v>6</v>
      </c>
      <c r="B207" s="22">
        <v>38518</v>
      </c>
      <c r="C207" s="12">
        <v>2005</v>
      </c>
      <c r="D207" s="11" t="s">
        <v>23</v>
      </c>
      <c r="E207" s="12">
        <v>6</v>
      </c>
      <c r="F207" s="14">
        <v>8.4142499999999991</v>
      </c>
      <c r="G207" s="14">
        <v>8.8643401633748092E-2</v>
      </c>
      <c r="H207" s="14">
        <v>0.33629356342151895</v>
      </c>
      <c r="I207" s="14">
        <v>1.4741227795496608</v>
      </c>
      <c r="J207" s="14">
        <v>0.14539404281754165</v>
      </c>
      <c r="K207" s="14">
        <v>2.8865638469578601E-2</v>
      </c>
    </row>
    <row r="208" spans="1:11">
      <c r="A208" s="8">
        <v>8</v>
      </c>
      <c r="B208" s="22">
        <v>38525</v>
      </c>
      <c r="C208" s="12">
        <v>2005</v>
      </c>
      <c r="D208" s="11" t="s">
        <v>23</v>
      </c>
      <c r="E208" s="12">
        <v>6</v>
      </c>
      <c r="F208" s="14">
        <v>3.2334000000000001</v>
      </c>
      <c r="G208" s="14">
        <v>3.0799479953354122E-2</v>
      </c>
      <c r="H208" s="14">
        <v>0</v>
      </c>
      <c r="I208" s="14">
        <v>0.81349506007282557</v>
      </c>
      <c r="J208" s="14">
        <v>6.5102534145358687E-2</v>
      </c>
      <c r="K208" s="14">
        <v>0</v>
      </c>
    </row>
    <row r="209" spans="1:11">
      <c r="A209" s="8">
        <v>15</v>
      </c>
      <c r="B209" s="22">
        <v>38525</v>
      </c>
      <c r="C209" s="12">
        <v>2005</v>
      </c>
      <c r="D209" s="11" t="s">
        <v>23</v>
      </c>
      <c r="E209" s="12">
        <v>6</v>
      </c>
      <c r="F209" s="14">
        <v>5.8687399999999998</v>
      </c>
      <c r="G209" s="14">
        <v>5.1106383660899951E-2</v>
      </c>
      <c r="H209" s="14">
        <v>6.0271630523868275E-2</v>
      </c>
      <c r="I209" s="14">
        <v>1.2781770722864736</v>
      </c>
      <c r="J209" s="14">
        <v>0.5701205122957097</v>
      </c>
      <c r="K209" s="14">
        <v>0</v>
      </c>
    </row>
    <row r="210" spans="1:11">
      <c r="A210" s="8">
        <v>6</v>
      </c>
      <c r="B210" s="22">
        <v>38547</v>
      </c>
      <c r="C210" s="12">
        <v>2005</v>
      </c>
      <c r="D210" s="15" t="s">
        <v>24</v>
      </c>
      <c r="E210" s="12">
        <v>7</v>
      </c>
      <c r="F210" s="14">
        <v>9.1883400000000002</v>
      </c>
      <c r="G210" s="14">
        <v>0</v>
      </c>
      <c r="H210" s="14">
        <v>2.0745594874828119E-2</v>
      </c>
      <c r="I210" s="14">
        <v>1.5103255876139645</v>
      </c>
      <c r="J210" s="14">
        <v>1.1952094956802013</v>
      </c>
      <c r="K210" s="14">
        <v>0</v>
      </c>
    </row>
    <row r="211" spans="1:11">
      <c r="A211" s="8">
        <v>8</v>
      </c>
      <c r="B211" s="22">
        <v>38546</v>
      </c>
      <c r="C211" s="12">
        <v>2005</v>
      </c>
      <c r="D211" s="15" t="s">
        <v>24</v>
      </c>
      <c r="E211" s="12">
        <v>7</v>
      </c>
      <c r="F211" s="14">
        <v>6.8234500000000002</v>
      </c>
      <c r="G211" s="14">
        <v>0.22398926748276479</v>
      </c>
      <c r="H211" s="14">
        <v>0</v>
      </c>
      <c r="I211" s="14">
        <v>1.3478209380882993</v>
      </c>
      <c r="J211" s="14">
        <v>8.3841461891660918E-2</v>
      </c>
      <c r="K211" s="14">
        <v>0</v>
      </c>
    </row>
    <row r="212" spans="1:11">
      <c r="A212" s="8">
        <v>15</v>
      </c>
      <c r="B212" s="22">
        <v>38546</v>
      </c>
      <c r="C212" s="12">
        <v>2005</v>
      </c>
      <c r="D212" s="15" t="s">
        <v>24</v>
      </c>
      <c r="E212" s="12">
        <v>7</v>
      </c>
      <c r="F212" s="14">
        <v>6.5940000000000003</v>
      </c>
      <c r="G212" s="14">
        <v>8.1678241124154005E-2</v>
      </c>
      <c r="H212" s="14">
        <v>0</v>
      </c>
      <c r="I212" s="14">
        <v>0.86828323754374181</v>
      </c>
      <c r="J212" s="14">
        <v>1.6562899544123075</v>
      </c>
      <c r="K212" s="14">
        <v>0</v>
      </c>
    </row>
    <row r="213" spans="1:11">
      <c r="A213" s="8">
        <v>6</v>
      </c>
      <c r="B213" s="22">
        <v>38587</v>
      </c>
      <c r="C213" s="12">
        <v>2005</v>
      </c>
      <c r="D213" s="15" t="s">
        <v>25</v>
      </c>
      <c r="E213" s="12">
        <v>8</v>
      </c>
      <c r="F213" s="14">
        <v>10.99231</v>
      </c>
      <c r="G213" s="14">
        <v>0.60173292313488025</v>
      </c>
      <c r="H213" s="14">
        <v>0</v>
      </c>
      <c r="I213" s="14">
        <v>1.8401485337826042</v>
      </c>
      <c r="J213" s="14">
        <v>1.4566681935065244</v>
      </c>
      <c r="K213" s="14">
        <v>0</v>
      </c>
    </row>
    <row r="214" spans="1:11">
      <c r="A214" s="8">
        <v>8</v>
      </c>
      <c r="B214" s="22">
        <v>38587</v>
      </c>
      <c r="C214" s="12">
        <v>2005</v>
      </c>
      <c r="D214" s="15" t="s">
        <v>25</v>
      </c>
      <c r="E214" s="12">
        <v>8</v>
      </c>
      <c r="F214" s="14">
        <v>14.17001</v>
      </c>
      <c r="G214" s="14">
        <v>8.0201922087827671E-2</v>
      </c>
      <c r="H214" s="14">
        <v>0</v>
      </c>
      <c r="I214" s="14">
        <v>3.9987197838434696</v>
      </c>
      <c r="J214" s="14">
        <v>0.50005374550592474</v>
      </c>
      <c r="K214" s="14">
        <v>0</v>
      </c>
    </row>
    <row r="215" spans="1:11">
      <c r="A215" s="8">
        <v>15</v>
      </c>
      <c r="B215" s="22">
        <v>38587</v>
      </c>
      <c r="C215" s="12">
        <v>2005</v>
      </c>
      <c r="D215" s="15" t="s">
        <v>25</v>
      </c>
      <c r="E215" s="12">
        <v>8</v>
      </c>
      <c r="F215" s="14">
        <v>6.8003099999999996</v>
      </c>
      <c r="G215" s="14">
        <v>0.1147946506801357</v>
      </c>
      <c r="H215" s="14">
        <v>0</v>
      </c>
      <c r="I215" s="14">
        <v>1.7388751621715719</v>
      </c>
      <c r="J215" s="14">
        <v>0.50856905371325678</v>
      </c>
      <c r="K215" s="14">
        <v>0</v>
      </c>
    </row>
    <row r="216" spans="1:11">
      <c r="A216" s="8">
        <v>6</v>
      </c>
      <c r="B216" s="22">
        <v>38608</v>
      </c>
      <c r="C216" s="12">
        <v>2005</v>
      </c>
      <c r="D216" s="15" t="s">
        <v>26</v>
      </c>
      <c r="E216" s="12">
        <v>9</v>
      </c>
      <c r="F216" s="14">
        <v>6.3655600000000003</v>
      </c>
      <c r="G216" s="14">
        <v>4.2090178730071877E-2</v>
      </c>
      <c r="H216" s="14">
        <v>0</v>
      </c>
      <c r="I216" s="14">
        <v>1.6728158400312214</v>
      </c>
      <c r="J216" s="14">
        <v>0.62658324406109644</v>
      </c>
      <c r="K216" s="14">
        <v>0</v>
      </c>
    </row>
    <row r="217" spans="1:11">
      <c r="A217" s="8">
        <v>8</v>
      </c>
      <c r="B217" s="22">
        <v>38609</v>
      </c>
      <c r="C217" s="12">
        <v>2005</v>
      </c>
      <c r="D217" s="15" t="s">
        <v>26</v>
      </c>
      <c r="E217" s="12">
        <v>9</v>
      </c>
      <c r="F217" s="14">
        <v>21.48677</v>
      </c>
      <c r="G217" s="14">
        <v>9.8819929831887074E-2</v>
      </c>
      <c r="H217" s="14">
        <v>0</v>
      </c>
      <c r="I217" s="14">
        <v>6.490350490553765</v>
      </c>
      <c r="J217" s="14">
        <v>0.30245862444202321</v>
      </c>
      <c r="K217" s="14">
        <v>0</v>
      </c>
    </row>
    <row r="218" spans="1:11">
      <c r="A218" s="8">
        <v>15</v>
      </c>
      <c r="B218" s="22">
        <v>38609</v>
      </c>
      <c r="C218" s="12">
        <v>2005</v>
      </c>
      <c r="D218" s="15" t="s">
        <v>26</v>
      </c>
      <c r="E218" s="12">
        <v>9</v>
      </c>
      <c r="F218" s="14">
        <v>7.8046199999999999</v>
      </c>
      <c r="G218" s="14">
        <v>5.8628224743520488E-2</v>
      </c>
      <c r="H218" s="14">
        <v>0</v>
      </c>
      <c r="I218" s="14">
        <v>1.7586461901358286</v>
      </c>
      <c r="J218" s="14">
        <v>0.84152385633623017</v>
      </c>
      <c r="K218" s="14">
        <v>0</v>
      </c>
    </row>
    <row r="219" spans="1:11">
      <c r="A219" s="8">
        <v>6</v>
      </c>
      <c r="B219" s="22">
        <v>38636</v>
      </c>
      <c r="C219" s="12">
        <v>2005</v>
      </c>
      <c r="D219" s="15" t="s">
        <v>14</v>
      </c>
      <c r="E219" s="12">
        <v>10</v>
      </c>
      <c r="F219" s="14">
        <v>7.0763999999999996</v>
      </c>
      <c r="G219" s="14">
        <v>1E-4</v>
      </c>
      <c r="H219" s="14">
        <v>1E-4</v>
      </c>
      <c r="I219" s="14">
        <v>3.0167000000000002</v>
      </c>
      <c r="J219" s="14">
        <v>8.8300000000000003E-2</v>
      </c>
      <c r="K219" s="14">
        <v>1E-4</v>
      </c>
    </row>
    <row r="220" spans="1:11">
      <c r="A220" s="8">
        <v>8</v>
      </c>
      <c r="B220" s="22">
        <v>38642</v>
      </c>
      <c r="C220" s="12">
        <v>2005</v>
      </c>
      <c r="D220" s="15" t="s">
        <v>14</v>
      </c>
      <c r="E220" s="12">
        <v>10</v>
      </c>
      <c r="F220" s="14">
        <v>6.02</v>
      </c>
      <c r="G220" s="14">
        <v>1E-4</v>
      </c>
      <c r="H220" s="14">
        <v>1E-4</v>
      </c>
      <c r="I220" s="14">
        <v>1.9277</v>
      </c>
      <c r="J220" s="14">
        <v>9.5399999999999999E-2</v>
      </c>
      <c r="K220" s="14">
        <v>1E-4</v>
      </c>
    </row>
    <row r="221" spans="1:11">
      <c r="A221" s="8">
        <v>15</v>
      </c>
      <c r="B221" s="22">
        <v>38637</v>
      </c>
      <c r="C221" s="12">
        <v>2005</v>
      </c>
      <c r="D221" s="15" t="s">
        <v>14</v>
      </c>
      <c r="E221" s="12">
        <v>10</v>
      </c>
      <c r="F221" s="14">
        <v>8.5502000000000002</v>
      </c>
      <c r="G221" s="14">
        <v>1E-4</v>
      </c>
      <c r="H221" s="14">
        <v>1E-4</v>
      </c>
      <c r="I221" s="14">
        <v>3.1316000000000002</v>
      </c>
      <c r="J221" s="14">
        <v>0.223</v>
      </c>
      <c r="K221" s="14">
        <v>1E-4</v>
      </c>
    </row>
    <row r="222" spans="1:11">
      <c r="A222" s="8">
        <v>6</v>
      </c>
      <c r="B222" s="22">
        <v>38671</v>
      </c>
      <c r="C222" s="12">
        <v>2005</v>
      </c>
      <c r="D222" s="15" t="s">
        <v>16</v>
      </c>
      <c r="E222" s="12">
        <v>11</v>
      </c>
      <c r="F222" s="14">
        <v>4.6013000000000002</v>
      </c>
      <c r="G222" s="14">
        <v>1E-4</v>
      </c>
      <c r="H222" s="14">
        <v>4.2099999999999999E-2</v>
      </c>
      <c r="I222" s="14">
        <v>1.3718999999999999</v>
      </c>
      <c r="J222" s="14">
        <v>1.7399999999999999E-2</v>
      </c>
      <c r="K222" s="14">
        <v>1E-4</v>
      </c>
    </row>
    <row r="223" spans="1:11">
      <c r="A223" s="8">
        <v>8</v>
      </c>
      <c r="B223" s="22">
        <v>38670</v>
      </c>
      <c r="C223" s="12">
        <v>2005</v>
      </c>
      <c r="D223" s="15" t="s">
        <v>16</v>
      </c>
      <c r="E223" s="12">
        <v>11</v>
      </c>
      <c r="F223" s="14">
        <v>1.0083</v>
      </c>
      <c r="G223" s="14">
        <v>1E-4</v>
      </c>
      <c r="H223" s="14">
        <v>1E-4</v>
      </c>
      <c r="I223" s="14">
        <v>0.2135</v>
      </c>
      <c r="J223" s="14">
        <v>4.5999999999999999E-3</v>
      </c>
      <c r="K223" s="14">
        <v>1E-4</v>
      </c>
    </row>
    <row r="224" spans="1:11">
      <c r="A224" s="8">
        <v>15</v>
      </c>
      <c r="B224" s="22">
        <v>38670</v>
      </c>
      <c r="C224" s="12">
        <v>2005</v>
      </c>
      <c r="D224" s="15" t="s">
        <v>16</v>
      </c>
      <c r="E224" s="12">
        <v>11</v>
      </c>
      <c r="F224" s="14">
        <v>2.6530999999999998</v>
      </c>
      <c r="G224" s="14">
        <v>1E-4</v>
      </c>
      <c r="H224" s="14">
        <v>1.5699999999999999E-2</v>
      </c>
      <c r="I224" s="14">
        <v>0.73670000000000002</v>
      </c>
      <c r="J224" s="14">
        <v>8.3999999999999995E-3</v>
      </c>
      <c r="K224" s="14">
        <v>1E-4</v>
      </c>
    </row>
    <row r="225" spans="1:11">
      <c r="A225" s="8">
        <v>6</v>
      </c>
      <c r="B225" s="22">
        <v>38707</v>
      </c>
      <c r="C225" s="12">
        <v>2005</v>
      </c>
      <c r="D225" s="15" t="s">
        <v>17</v>
      </c>
      <c r="E225" s="12">
        <v>12</v>
      </c>
      <c r="F225" s="14">
        <v>6.2308000000000003</v>
      </c>
      <c r="G225" s="14">
        <v>3.5999999999999997E-2</v>
      </c>
      <c r="H225" s="14">
        <v>1E-4</v>
      </c>
      <c r="I225" s="14">
        <v>1.5968</v>
      </c>
      <c r="J225" s="14">
        <v>3.5799999999999998E-2</v>
      </c>
      <c r="K225" s="14">
        <v>1E-4</v>
      </c>
    </row>
    <row r="226" spans="1:11">
      <c r="A226" s="8">
        <v>8</v>
      </c>
      <c r="B226" s="22">
        <v>38706</v>
      </c>
      <c r="C226" s="12">
        <v>2005</v>
      </c>
      <c r="D226" s="15" t="s">
        <v>17</v>
      </c>
      <c r="E226" s="12">
        <v>12</v>
      </c>
      <c r="F226" s="14">
        <v>2.7450999999999999</v>
      </c>
      <c r="G226" s="14">
        <v>2.4E-2</v>
      </c>
      <c r="H226" s="14">
        <v>1E-4</v>
      </c>
      <c r="I226" s="14">
        <v>0.68820000000000003</v>
      </c>
      <c r="J226" s="14">
        <v>8.0000000000000002E-3</v>
      </c>
      <c r="K226" s="14">
        <v>1E-4</v>
      </c>
    </row>
    <row r="227" spans="1:11">
      <c r="A227" s="8">
        <v>15</v>
      </c>
      <c r="B227" s="22">
        <v>38706</v>
      </c>
      <c r="C227" s="12">
        <v>2005</v>
      </c>
      <c r="D227" s="15" t="s">
        <v>17</v>
      </c>
      <c r="E227" s="12">
        <v>12</v>
      </c>
      <c r="F227" s="14">
        <v>7.9623999999999997</v>
      </c>
      <c r="G227" s="14">
        <v>2.8799999999999999E-2</v>
      </c>
      <c r="H227" s="14">
        <v>1E-4</v>
      </c>
      <c r="I227" s="14">
        <v>2.1614</v>
      </c>
      <c r="J227" s="14">
        <v>3.7900000000000003E-2</v>
      </c>
      <c r="K227" s="14">
        <v>1E-4</v>
      </c>
    </row>
    <row r="228" spans="1:11">
      <c r="A228" s="12">
        <v>6</v>
      </c>
      <c r="B228" s="22">
        <v>38734</v>
      </c>
      <c r="C228" s="12">
        <v>2006</v>
      </c>
      <c r="D228" s="11" t="s">
        <v>18</v>
      </c>
      <c r="E228" s="12">
        <v>1</v>
      </c>
      <c r="F228" s="14">
        <v>4.1159999999999997</v>
      </c>
      <c r="G228" s="14">
        <v>0.12620000000000001</v>
      </c>
      <c r="H228" s="14">
        <v>1E-4</v>
      </c>
      <c r="I228" s="14">
        <v>1.2539</v>
      </c>
      <c r="J228" s="14">
        <v>3.9699999999999999E-2</v>
      </c>
      <c r="K228" s="14">
        <v>1E-4</v>
      </c>
    </row>
    <row r="229" spans="1:11">
      <c r="A229" s="12">
        <v>8</v>
      </c>
      <c r="B229" s="22">
        <v>38740</v>
      </c>
      <c r="C229" s="12">
        <v>2006</v>
      </c>
      <c r="D229" s="11" t="s">
        <v>18</v>
      </c>
      <c r="E229" s="12">
        <v>1</v>
      </c>
      <c r="F229" s="14">
        <v>3.9529999999999998</v>
      </c>
      <c r="G229" s="14">
        <v>0.14749999999999999</v>
      </c>
      <c r="H229" s="14">
        <v>1E-4</v>
      </c>
      <c r="I229" s="14">
        <v>0.97970000000000002</v>
      </c>
      <c r="J229" s="14">
        <v>2.6200000000000001E-2</v>
      </c>
      <c r="K229" s="14">
        <v>1E-4</v>
      </c>
    </row>
    <row r="230" spans="1:11">
      <c r="A230" s="12">
        <v>15</v>
      </c>
      <c r="B230" s="22">
        <v>38737</v>
      </c>
      <c r="C230" s="12">
        <v>2006</v>
      </c>
      <c r="D230" s="11" t="s">
        <v>18</v>
      </c>
      <c r="E230" s="12">
        <v>1</v>
      </c>
      <c r="F230" s="14">
        <v>3.8660999999999999</v>
      </c>
      <c r="G230" s="14">
        <v>0.12429999999999999</v>
      </c>
      <c r="H230" s="14">
        <v>1E-4</v>
      </c>
      <c r="I230" s="14">
        <v>0.9083</v>
      </c>
      <c r="J230" s="14">
        <v>3.2399999999999998E-2</v>
      </c>
      <c r="K230" s="14">
        <v>1E-4</v>
      </c>
    </row>
    <row r="231" spans="1:11">
      <c r="A231" s="12">
        <v>6</v>
      </c>
      <c r="B231" s="22">
        <v>38762</v>
      </c>
      <c r="C231" s="15">
        <v>2006</v>
      </c>
      <c r="D231" s="11" t="s">
        <v>28</v>
      </c>
      <c r="E231" s="15">
        <v>2</v>
      </c>
      <c r="F231" s="14">
        <v>7.2595999999999998</v>
      </c>
      <c r="G231" s="14">
        <v>3.0599999999999999E-2</v>
      </c>
      <c r="H231" s="14">
        <v>6.2700000000000006E-2</v>
      </c>
      <c r="I231" s="14">
        <v>2.2505000000000002</v>
      </c>
      <c r="J231" s="14">
        <v>5.5599999999999997E-2</v>
      </c>
      <c r="K231" s="14">
        <v>1E-4</v>
      </c>
    </row>
    <row r="232" spans="1:11">
      <c r="A232" s="12">
        <v>8</v>
      </c>
      <c r="B232" s="22">
        <v>38763</v>
      </c>
      <c r="C232" s="15">
        <v>2006</v>
      </c>
      <c r="D232" s="11" t="s">
        <v>28</v>
      </c>
      <c r="E232" s="15">
        <v>2</v>
      </c>
      <c r="F232" s="14">
        <v>2.5998999999999999</v>
      </c>
      <c r="G232" s="14">
        <v>5.5100000000000003E-2</v>
      </c>
      <c r="H232" s="14">
        <v>1E-4</v>
      </c>
      <c r="I232" s="14">
        <v>0.77929999999999999</v>
      </c>
      <c r="J232" s="14">
        <v>2.7900000000000001E-2</v>
      </c>
      <c r="K232" s="14">
        <v>1E-4</v>
      </c>
    </row>
    <row r="233" spans="1:11">
      <c r="A233" s="12">
        <v>15</v>
      </c>
      <c r="B233" s="22">
        <v>38763</v>
      </c>
      <c r="C233" s="15">
        <v>2006</v>
      </c>
      <c r="D233" s="11" t="s">
        <v>28</v>
      </c>
      <c r="E233" s="15">
        <v>2</v>
      </c>
      <c r="F233" s="14">
        <v>4.6071</v>
      </c>
      <c r="G233" s="14">
        <v>3.2000000000000001E-2</v>
      </c>
      <c r="H233" s="14">
        <v>1E-4</v>
      </c>
      <c r="I233" s="14">
        <v>1.4321999999999999</v>
      </c>
      <c r="J233" s="14">
        <v>4.4900000000000002E-2</v>
      </c>
      <c r="K233" s="14">
        <v>1E-4</v>
      </c>
    </row>
    <row r="234" spans="1:11">
      <c r="A234" s="12">
        <v>6</v>
      </c>
      <c r="B234" s="22">
        <v>38789</v>
      </c>
      <c r="C234" s="12">
        <v>2006</v>
      </c>
      <c r="D234" s="11" t="s">
        <v>29</v>
      </c>
      <c r="E234" s="15">
        <v>3</v>
      </c>
      <c r="F234" s="14">
        <v>4.0525000000000002</v>
      </c>
      <c r="G234" s="14">
        <v>1E-4</v>
      </c>
      <c r="H234" s="14">
        <v>8.5800000000000001E-2</v>
      </c>
      <c r="I234" s="14">
        <v>1.4258</v>
      </c>
      <c r="J234" s="14">
        <v>2.1700000000000001E-2</v>
      </c>
      <c r="K234" s="14">
        <v>1E-4</v>
      </c>
    </row>
    <row r="235" spans="1:11">
      <c r="A235" s="12">
        <v>8</v>
      </c>
      <c r="B235" s="22">
        <v>38792</v>
      </c>
      <c r="C235" s="12">
        <v>2006</v>
      </c>
      <c r="D235" s="11" t="s">
        <v>29</v>
      </c>
      <c r="E235" s="15">
        <v>3</v>
      </c>
      <c r="F235" s="14">
        <v>3.1962999999999999</v>
      </c>
      <c r="G235" s="14">
        <v>2.69E-2</v>
      </c>
      <c r="H235" s="14">
        <v>1E-4</v>
      </c>
      <c r="I235" s="14">
        <v>1.1153</v>
      </c>
      <c r="J235" s="14">
        <v>1.8200000000000001E-2</v>
      </c>
      <c r="K235" s="14">
        <v>1E-4</v>
      </c>
    </row>
    <row r="236" spans="1:11">
      <c r="A236" s="12">
        <v>15</v>
      </c>
      <c r="B236" s="22">
        <v>38792</v>
      </c>
      <c r="C236" s="12">
        <v>2006</v>
      </c>
      <c r="D236" s="11" t="s">
        <v>29</v>
      </c>
      <c r="E236" s="15">
        <v>3</v>
      </c>
      <c r="F236" s="14">
        <v>4.2167000000000003</v>
      </c>
      <c r="G236" s="14">
        <v>1E-4</v>
      </c>
      <c r="H236" s="14">
        <v>5.5399999999999998E-2</v>
      </c>
      <c r="I236" s="14">
        <v>1.4429000000000001</v>
      </c>
      <c r="J236" s="14">
        <v>2.1299999999999999E-2</v>
      </c>
      <c r="K236" s="14">
        <v>1E-4</v>
      </c>
    </row>
    <row r="237" spans="1:11">
      <c r="A237" s="12">
        <v>6</v>
      </c>
      <c r="B237" s="9">
        <v>38825</v>
      </c>
      <c r="C237" s="12">
        <v>2006</v>
      </c>
      <c r="D237" s="11" t="s">
        <v>30</v>
      </c>
      <c r="E237" s="12">
        <v>4</v>
      </c>
      <c r="F237" s="14">
        <v>4.0721999999999996</v>
      </c>
      <c r="G237" s="14">
        <v>8.6E-3</v>
      </c>
      <c r="H237" s="14">
        <v>0.38629999999999998</v>
      </c>
      <c r="I237" s="14">
        <v>1.9837</v>
      </c>
      <c r="J237" s="14">
        <v>9.5299999999999996E-2</v>
      </c>
      <c r="K237" s="14">
        <v>1E-4</v>
      </c>
    </row>
    <row r="238" spans="1:11">
      <c r="A238" s="12">
        <v>8</v>
      </c>
      <c r="B238" s="9">
        <v>38826</v>
      </c>
      <c r="C238" s="12">
        <v>2006</v>
      </c>
      <c r="D238" s="11" t="s">
        <v>30</v>
      </c>
      <c r="E238" s="12">
        <v>4</v>
      </c>
      <c r="F238" s="14">
        <v>0.61629999999999996</v>
      </c>
      <c r="G238" s="14">
        <v>1.1599999999999999E-2</v>
      </c>
      <c r="H238" s="14">
        <v>1E-4</v>
      </c>
      <c r="I238" s="14">
        <v>8.5000000000000006E-2</v>
      </c>
      <c r="J238" s="14">
        <v>8.0000000000000002E-3</v>
      </c>
      <c r="K238" s="14">
        <v>1E-4</v>
      </c>
    </row>
    <row r="239" spans="1:11">
      <c r="A239" s="12">
        <v>15</v>
      </c>
      <c r="B239" s="9">
        <v>38826</v>
      </c>
      <c r="C239" s="12">
        <v>2006</v>
      </c>
      <c r="D239" s="11" t="s">
        <v>30</v>
      </c>
      <c r="E239" s="12">
        <v>4</v>
      </c>
      <c r="F239" s="14">
        <v>3.2526000000000002</v>
      </c>
      <c r="G239" s="14">
        <v>3.3799999999999997E-2</v>
      </c>
      <c r="H239" s="14">
        <v>0.44719999999999999</v>
      </c>
      <c r="I239" s="14">
        <v>1.3798999999999999</v>
      </c>
      <c r="J239" s="14">
        <v>6.0600000000000001E-2</v>
      </c>
      <c r="K239" s="14">
        <v>1E-4</v>
      </c>
    </row>
    <row r="240" spans="1:11">
      <c r="A240" s="12">
        <v>6</v>
      </c>
      <c r="B240" s="9">
        <v>38852</v>
      </c>
      <c r="C240" s="12">
        <v>2006</v>
      </c>
      <c r="D240" s="11" t="s">
        <v>31</v>
      </c>
      <c r="E240" s="12">
        <v>5</v>
      </c>
      <c r="F240" s="14">
        <v>5.1787999999999998</v>
      </c>
      <c r="G240" s="14">
        <v>4.9299999999999997E-2</v>
      </c>
      <c r="H240" s="14">
        <v>0.58630000000000004</v>
      </c>
      <c r="I240" s="14">
        <v>2.1124999999999998</v>
      </c>
      <c r="J240" s="14">
        <v>0.1966</v>
      </c>
      <c r="K240" s="14">
        <v>1E-4</v>
      </c>
    </row>
    <row r="241" spans="1:11">
      <c r="A241" s="12">
        <v>8</v>
      </c>
      <c r="B241" s="9">
        <v>38853</v>
      </c>
      <c r="C241" s="12">
        <v>2006</v>
      </c>
      <c r="D241" s="11" t="s">
        <v>31</v>
      </c>
      <c r="E241" s="12">
        <v>5</v>
      </c>
      <c r="F241" s="14">
        <v>8.0970999999999993</v>
      </c>
      <c r="G241" s="14">
        <v>2.2499999999999999E-2</v>
      </c>
      <c r="H241" s="14">
        <v>1.0871</v>
      </c>
      <c r="I241" s="14">
        <v>3.5886999999999998</v>
      </c>
      <c r="J241" s="14">
        <v>0.2019</v>
      </c>
      <c r="K241" s="14">
        <v>1E-4</v>
      </c>
    </row>
    <row r="242" spans="1:11">
      <c r="A242" s="12">
        <v>15</v>
      </c>
      <c r="B242" s="9">
        <v>38853</v>
      </c>
      <c r="C242" s="12">
        <v>2006</v>
      </c>
      <c r="D242" s="11" t="s">
        <v>31</v>
      </c>
      <c r="E242" s="12">
        <v>5</v>
      </c>
      <c r="F242" s="14">
        <v>5.1483999999999996</v>
      </c>
      <c r="G242" s="14">
        <v>2.5999999999999999E-2</v>
      </c>
      <c r="H242" s="14">
        <v>0.81230000000000002</v>
      </c>
      <c r="I242" s="14">
        <v>2.0773999999999999</v>
      </c>
      <c r="J242" s="14">
        <v>0.1968</v>
      </c>
      <c r="K242" s="14">
        <v>1E-4</v>
      </c>
    </row>
    <row r="243" spans="1:11">
      <c r="A243" s="12">
        <v>6</v>
      </c>
      <c r="B243" s="9">
        <v>38883</v>
      </c>
      <c r="C243" s="12">
        <v>2006</v>
      </c>
      <c r="D243" s="11" t="s">
        <v>32</v>
      </c>
      <c r="E243" s="12">
        <v>6</v>
      </c>
      <c r="F243" s="14">
        <v>18.313400000000001</v>
      </c>
      <c r="G243" s="14">
        <v>0.14269999999999999</v>
      </c>
      <c r="H243" s="14">
        <v>1.3349</v>
      </c>
      <c r="I243" s="14">
        <v>7.1950000000000003</v>
      </c>
      <c r="J243" s="14">
        <v>0.47249999999999998</v>
      </c>
      <c r="K243" s="14">
        <v>1E-4</v>
      </c>
    </row>
    <row r="244" spans="1:11">
      <c r="A244" s="12">
        <v>8</v>
      </c>
      <c r="B244" s="9">
        <v>38884</v>
      </c>
      <c r="C244" s="12">
        <v>2006</v>
      </c>
      <c r="D244" s="11" t="s">
        <v>32</v>
      </c>
      <c r="E244" s="12">
        <v>6</v>
      </c>
      <c r="F244" s="14">
        <v>6.8802000000000003</v>
      </c>
      <c r="G244" s="14">
        <v>2.8899999999999999E-2</v>
      </c>
      <c r="H244" s="14">
        <v>0.23680000000000001</v>
      </c>
      <c r="I244" s="14">
        <v>2.1678999999999999</v>
      </c>
      <c r="J244" s="14">
        <v>0.14610000000000001</v>
      </c>
      <c r="K244" s="14">
        <v>1E-4</v>
      </c>
    </row>
    <row r="245" spans="1:11">
      <c r="A245" s="12">
        <v>15</v>
      </c>
      <c r="B245" s="9">
        <v>38884</v>
      </c>
      <c r="C245" s="12">
        <v>2006</v>
      </c>
      <c r="D245" s="11" t="s">
        <v>32</v>
      </c>
      <c r="E245" s="12">
        <v>6</v>
      </c>
      <c r="F245" s="14">
        <v>13.961499999999999</v>
      </c>
      <c r="G245" s="14">
        <v>8.2199999999999995E-2</v>
      </c>
      <c r="H245" s="14">
        <v>1.3380000000000001</v>
      </c>
      <c r="I245" s="14">
        <v>5.5434000000000001</v>
      </c>
      <c r="J245" s="14">
        <v>0.46560000000000001</v>
      </c>
      <c r="K245" s="14">
        <v>1E-4</v>
      </c>
    </row>
    <row r="246" spans="1:11">
      <c r="A246" s="12">
        <v>6</v>
      </c>
      <c r="B246" s="9">
        <v>38916</v>
      </c>
      <c r="C246" s="12">
        <v>2006</v>
      </c>
      <c r="D246" s="11" t="s">
        <v>33</v>
      </c>
      <c r="E246" s="12">
        <v>7</v>
      </c>
      <c r="F246" s="14">
        <v>11.2727</v>
      </c>
      <c r="G246" s="14">
        <v>0.1656</v>
      </c>
      <c r="H246" s="14">
        <v>1E-4</v>
      </c>
      <c r="I246" s="14">
        <v>1.0936999999999999</v>
      </c>
      <c r="J246" s="14">
        <v>1.3785000000000001</v>
      </c>
      <c r="K246" s="14">
        <v>1E-4</v>
      </c>
    </row>
    <row r="247" spans="1:11">
      <c r="A247" s="12">
        <v>8</v>
      </c>
      <c r="B247" s="9">
        <v>38915</v>
      </c>
      <c r="C247" s="12">
        <v>2006</v>
      </c>
      <c r="D247" s="11" t="s">
        <v>33</v>
      </c>
      <c r="E247" s="12">
        <v>7</v>
      </c>
      <c r="F247" s="14">
        <v>8.0587999999999997</v>
      </c>
      <c r="G247" s="14">
        <v>0.12989999999999999</v>
      </c>
      <c r="H247" s="14">
        <v>1E-4</v>
      </c>
      <c r="I247" s="14">
        <v>1.0764</v>
      </c>
      <c r="J247" s="14">
        <v>0.16539999999999999</v>
      </c>
      <c r="K247" s="14">
        <v>1E-4</v>
      </c>
    </row>
    <row r="248" spans="1:11">
      <c r="A248" s="12">
        <v>15</v>
      </c>
      <c r="B248" s="9">
        <v>38915</v>
      </c>
      <c r="C248" s="12">
        <v>2006</v>
      </c>
      <c r="D248" s="11" t="s">
        <v>33</v>
      </c>
      <c r="E248" s="12">
        <v>7</v>
      </c>
      <c r="F248" s="14">
        <v>6.4635999999999996</v>
      </c>
      <c r="G248" s="14">
        <v>5.7099999999999998E-2</v>
      </c>
      <c r="H248" s="14">
        <v>1E-4</v>
      </c>
      <c r="I248" s="14">
        <v>0.68200000000000005</v>
      </c>
      <c r="J248" s="14">
        <v>0.71579999999999999</v>
      </c>
      <c r="K248" s="14">
        <v>1E-4</v>
      </c>
    </row>
    <row r="249" spans="1:11">
      <c r="A249" s="12">
        <v>6</v>
      </c>
      <c r="B249" s="9">
        <v>38953</v>
      </c>
      <c r="C249" s="12">
        <v>2006</v>
      </c>
      <c r="D249" s="11" t="s">
        <v>34</v>
      </c>
      <c r="E249" s="12">
        <v>8</v>
      </c>
      <c r="F249" s="14">
        <v>8.9014000000000006</v>
      </c>
      <c r="G249" s="14">
        <v>5.57E-2</v>
      </c>
      <c r="H249" s="14">
        <v>1E-4</v>
      </c>
      <c r="I249" s="14">
        <v>3.3713000000000002</v>
      </c>
      <c r="J249" s="14">
        <v>0.40050000000000002</v>
      </c>
      <c r="K249" s="14">
        <v>1E-4</v>
      </c>
    </row>
    <row r="250" spans="1:11">
      <c r="A250" s="12">
        <v>8</v>
      </c>
      <c r="B250" s="9">
        <v>38952</v>
      </c>
      <c r="C250" s="12">
        <v>2006</v>
      </c>
      <c r="D250" s="11" t="s">
        <v>34</v>
      </c>
      <c r="E250" s="12">
        <v>8</v>
      </c>
      <c r="F250" s="14">
        <v>6.9972000000000003</v>
      </c>
      <c r="G250" s="14">
        <v>2.8400000000000002E-2</v>
      </c>
      <c r="H250" s="14">
        <v>1E-4</v>
      </c>
      <c r="I250" s="14">
        <v>1.8351</v>
      </c>
      <c r="J250" s="14">
        <v>7.46E-2</v>
      </c>
      <c r="K250" s="14">
        <v>1E-4</v>
      </c>
    </row>
    <row r="251" spans="1:11">
      <c r="A251" s="12">
        <v>15</v>
      </c>
      <c r="B251" s="9">
        <v>38952</v>
      </c>
      <c r="C251" s="12">
        <v>2006</v>
      </c>
      <c r="D251" s="11" t="s">
        <v>34</v>
      </c>
      <c r="E251" s="12">
        <v>8</v>
      </c>
      <c r="F251" s="14">
        <v>7.4080000000000004</v>
      </c>
      <c r="G251" s="14">
        <v>4.3900000000000002E-2</v>
      </c>
      <c r="H251" s="14">
        <v>1E-4</v>
      </c>
      <c r="I251" s="14">
        <v>1.4823999999999999</v>
      </c>
      <c r="J251" s="14">
        <v>1.2624</v>
      </c>
      <c r="K251" s="14">
        <v>1E-4</v>
      </c>
    </row>
    <row r="252" spans="1:11">
      <c r="A252" s="12">
        <v>6</v>
      </c>
      <c r="B252" s="9">
        <v>38972</v>
      </c>
      <c r="C252" s="12">
        <v>2006</v>
      </c>
      <c r="D252" s="11" t="s">
        <v>35</v>
      </c>
      <c r="E252" s="12">
        <v>9</v>
      </c>
      <c r="F252" s="14">
        <v>12.767300000000001</v>
      </c>
      <c r="G252" s="14">
        <v>0.1047</v>
      </c>
      <c r="H252" s="14">
        <v>1E-4</v>
      </c>
      <c r="I252" s="14">
        <v>3.9758</v>
      </c>
      <c r="J252" s="14">
        <v>0.92810000000000004</v>
      </c>
      <c r="K252" s="14">
        <v>1E-4</v>
      </c>
    </row>
    <row r="253" spans="1:11">
      <c r="A253" s="12">
        <v>8</v>
      </c>
      <c r="B253" s="9">
        <v>38975</v>
      </c>
      <c r="C253" s="12">
        <v>2006</v>
      </c>
      <c r="D253" s="11" t="s">
        <v>35</v>
      </c>
      <c r="E253" s="12">
        <v>9</v>
      </c>
      <c r="F253" s="14">
        <v>8.2116000000000007</v>
      </c>
      <c r="G253" s="14">
        <v>0.1575</v>
      </c>
      <c r="H253" s="14">
        <v>1E-4</v>
      </c>
      <c r="I253" s="14">
        <v>2.4681000000000002</v>
      </c>
      <c r="J253" s="14">
        <v>0.1062</v>
      </c>
      <c r="K253" s="14">
        <v>1E-4</v>
      </c>
    </row>
    <row r="254" spans="1:11">
      <c r="A254" s="12">
        <v>15</v>
      </c>
      <c r="B254" s="9">
        <v>38975</v>
      </c>
      <c r="C254" s="12">
        <v>2006</v>
      </c>
      <c r="D254" s="11" t="s">
        <v>35</v>
      </c>
      <c r="E254" s="12">
        <v>9</v>
      </c>
      <c r="F254" s="14">
        <v>6.4158999999999997</v>
      </c>
      <c r="G254" s="14">
        <v>8.7800000000000003E-2</v>
      </c>
      <c r="H254" s="14">
        <v>1E-4</v>
      </c>
      <c r="I254" s="14">
        <v>2.1070000000000002</v>
      </c>
      <c r="J254" s="14">
        <v>0.1731</v>
      </c>
      <c r="K254" s="14">
        <v>1E-4</v>
      </c>
    </row>
    <row r="255" spans="1:11">
      <c r="A255" s="12">
        <v>6</v>
      </c>
      <c r="B255" s="9">
        <v>39008</v>
      </c>
      <c r="C255" s="12">
        <v>2006</v>
      </c>
      <c r="D255" s="11" t="s">
        <v>36</v>
      </c>
      <c r="E255" s="12">
        <v>10</v>
      </c>
      <c r="F255" s="14">
        <v>9.7240000000000002</v>
      </c>
      <c r="G255" s="14">
        <v>7.9000000000000001E-2</v>
      </c>
      <c r="H255" s="14">
        <v>0.502</v>
      </c>
      <c r="I255" s="14">
        <v>4.2249999999999996</v>
      </c>
      <c r="J255" s="14">
        <v>0.48399999999999999</v>
      </c>
      <c r="K255" s="14">
        <v>9.9989999999999996E-4</v>
      </c>
    </row>
    <row r="256" spans="1:11">
      <c r="A256" s="12">
        <v>8</v>
      </c>
      <c r="B256" s="9">
        <v>39006</v>
      </c>
      <c r="C256" s="12">
        <v>2006</v>
      </c>
      <c r="D256" s="11" t="s">
        <v>36</v>
      </c>
      <c r="E256" s="12">
        <v>10</v>
      </c>
      <c r="F256" s="14">
        <v>3.0350000000000001</v>
      </c>
      <c r="G256" s="14">
        <v>4.2000000000000003E-2</v>
      </c>
      <c r="H256" s="14">
        <v>1.9E-2</v>
      </c>
      <c r="I256" s="14">
        <v>0.59399999999999997</v>
      </c>
      <c r="J256" s="14">
        <v>0.29599999999999999</v>
      </c>
      <c r="K256" s="14">
        <v>9.9989999999999996E-4</v>
      </c>
    </row>
    <row r="257" spans="1:11">
      <c r="A257" s="12">
        <v>15</v>
      </c>
      <c r="B257" s="9">
        <v>39006</v>
      </c>
      <c r="C257" s="12">
        <v>2006</v>
      </c>
      <c r="D257" s="11" t="s">
        <v>36</v>
      </c>
      <c r="E257" s="12">
        <v>10</v>
      </c>
      <c r="F257" s="14">
        <v>8.3379999999999992</v>
      </c>
      <c r="G257" s="14">
        <v>0.03</v>
      </c>
      <c r="H257" s="14">
        <v>0.54600000000000004</v>
      </c>
      <c r="I257" s="14">
        <v>3.86</v>
      </c>
      <c r="J257" s="14">
        <v>0.47499999999999998</v>
      </c>
      <c r="K257" s="14">
        <v>9.9989999999999996E-4</v>
      </c>
    </row>
    <row r="258" spans="1:11">
      <c r="A258" s="12">
        <v>6</v>
      </c>
      <c r="B258" s="9">
        <v>39035</v>
      </c>
      <c r="C258" s="12">
        <v>2006</v>
      </c>
      <c r="D258" s="11" t="s">
        <v>37</v>
      </c>
      <c r="E258" s="12">
        <v>11</v>
      </c>
      <c r="F258" s="14">
        <v>11.513999999999999</v>
      </c>
      <c r="G258" s="14">
        <v>9.9989999999999996E-4</v>
      </c>
      <c r="H258" s="14">
        <v>0.42599999999999999</v>
      </c>
      <c r="I258" s="14">
        <v>6.0190000000000001</v>
      </c>
      <c r="J258" s="14">
        <v>0.13300000000000001</v>
      </c>
      <c r="K258" s="14">
        <v>9.9989999999999996E-4</v>
      </c>
    </row>
    <row r="259" spans="1:11">
      <c r="A259" s="12">
        <v>8</v>
      </c>
      <c r="B259" s="9">
        <v>39041</v>
      </c>
      <c r="C259" s="12">
        <v>2006</v>
      </c>
      <c r="D259" s="11" t="s">
        <v>37</v>
      </c>
      <c r="E259" s="12">
        <v>11</v>
      </c>
      <c r="F259" s="14">
        <v>1.508</v>
      </c>
      <c r="G259" s="14">
        <v>3.7999999999999999E-2</v>
      </c>
      <c r="H259" s="14">
        <v>9.9989999999999996E-4</v>
      </c>
      <c r="I259" s="14">
        <v>0.16500000000000001</v>
      </c>
      <c r="J259" s="14">
        <v>8.9999999999999993E-3</v>
      </c>
      <c r="K259" s="14">
        <v>9.9989999999999996E-4</v>
      </c>
    </row>
    <row r="260" spans="1:11">
      <c r="A260" s="12">
        <v>15</v>
      </c>
      <c r="B260" s="9">
        <v>39041</v>
      </c>
      <c r="C260" s="12">
        <v>2006</v>
      </c>
      <c r="D260" s="11" t="s">
        <v>37</v>
      </c>
      <c r="E260" s="12">
        <v>11</v>
      </c>
      <c r="F260" s="14">
        <v>5.242</v>
      </c>
      <c r="G260" s="14">
        <v>6.7000000000000004E-2</v>
      </c>
      <c r="H260" s="14">
        <v>9.9989999999999996E-4</v>
      </c>
      <c r="I260" s="14">
        <v>1.601</v>
      </c>
      <c r="J260" s="14">
        <v>9.9000000000000005E-2</v>
      </c>
      <c r="K260" s="14">
        <v>9.9989999999999996E-4</v>
      </c>
    </row>
    <row r="261" spans="1:11">
      <c r="A261" s="12">
        <v>6</v>
      </c>
      <c r="B261" s="22">
        <v>39063</v>
      </c>
      <c r="C261" s="15">
        <v>2006</v>
      </c>
      <c r="D261" s="11" t="s">
        <v>38</v>
      </c>
      <c r="E261" s="15">
        <v>12</v>
      </c>
      <c r="F261" s="14">
        <v>7.4880000000000004</v>
      </c>
      <c r="G261" s="14">
        <v>0.20100000000000001</v>
      </c>
      <c r="H261" s="14">
        <v>0.52100000000000002</v>
      </c>
      <c r="I261" s="14">
        <v>2.8029999999999999</v>
      </c>
      <c r="J261" s="14">
        <v>0.151</v>
      </c>
      <c r="K261" s="14">
        <v>9.9989999999999996E-4</v>
      </c>
    </row>
    <row r="262" spans="1:11">
      <c r="A262" s="12">
        <v>8</v>
      </c>
      <c r="B262" s="22">
        <v>39062</v>
      </c>
      <c r="C262" s="15">
        <v>2006</v>
      </c>
      <c r="D262" s="11" t="s">
        <v>38</v>
      </c>
      <c r="E262" s="15">
        <v>12</v>
      </c>
      <c r="F262" s="14">
        <v>3.0649999999999999</v>
      </c>
      <c r="G262" s="14">
        <v>0.27900000000000003</v>
      </c>
      <c r="H262" s="14">
        <v>4.8000000000000001E-2</v>
      </c>
      <c r="I262" s="14">
        <v>0.61299999999999999</v>
      </c>
      <c r="J262" s="14">
        <v>2.5000000000000001E-2</v>
      </c>
      <c r="K262" s="14">
        <v>9.9989999999999996E-4</v>
      </c>
    </row>
    <row r="263" spans="1:11">
      <c r="A263" s="12">
        <v>15</v>
      </c>
      <c r="B263" s="22">
        <v>39062</v>
      </c>
      <c r="C263" s="15">
        <v>2006</v>
      </c>
      <c r="D263" s="11" t="s">
        <v>38</v>
      </c>
      <c r="E263" s="15">
        <v>12</v>
      </c>
      <c r="F263" s="14">
        <v>6.2370000000000001</v>
      </c>
      <c r="G263" s="14">
        <v>0.35499999999999998</v>
      </c>
      <c r="H263" s="14">
        <v>0.27900000000000003</v>
      </c>
      <c r="I263" s="14">
        <v>2.0379999999999998</v>
      </c>
      <c r="J263" s="14">
        <v>0.1</v>
      </c>
      <c r="K263" s="14">
        <v>9.9989999999999996E-4</v>
      </c>
    </row>
    <row r="264" spans="1:11">
      <c r="A264" s="15">
        <v>6</v>
      </c>
      <c r="B264" s="22">
        <v>39100</v>
      </c>
      <c r="C264" s="15">
        <v>2007</v>
      </c>
      <c r="D264" s="11" t="s">
        <v>39</v>
      </c>
      <c r="E264" s="15">
        <v>1</v>
      </c>
      <c r="F264" s="14">
        <v>17.344999999999999</v>
      </c>
      <c r="G264" s="14">
        <v>0.13100000000000001</v>
      </c>
      <c r="H264" s="14">
        <v>0.437</v>
      </c>
      <c r="I264" s="14">
        <v>7.6349999999999998</v>
      </c>
      <c r="J264" s="14">
        <v>0.48599999999999999</v>
      </c>
      <c r="K264" s="14">
        <v>9.9989999999999996E-4</v>
      </c>
    </row>
    <row r="265" spans="1:11">
      <c r="A265" s="15">
        <v>8</v>
      </c>
      <c r="B265" s="22">
        <v>39100</v>
      </c>
      <c r="C265" s="15">
        <v>2007</v>
      </c>
      <c r="D265" s="11" t="s">
        <v>39</v>
      </c>
      <c r="E265" s="15">
        <v>1</v>
      </c>
      <c r="F265" s="14">
        <v>1.1359999999999999</v>
      </c>
      <c r="G265" s="14">
        <v>6.5000000000000002E-2</v>
      </c>
      <c r="H265" s="14">
        <v>9.9989999999999996E-4</v>
      </c>
      <c r="I265" s="14">
        <v>9.9989999999999996E-4</v>
      </c>
      <c r="J265" s="14">
        <v>8.9999999999999993E-3</v>
      </c>
      <c r="K265" s="14">
        <v>9.9989999999999996E-4</v>
      </c>
    </row>
    <row r="266" spans="1:11">
      <c r="A266" s="15">
        <v>15</v>
      </c>
      <c r="B266" s="22">
        <v>39100</v>
      </c>
      <c r="C266" s="15">
        <v>2007</v>
      </c>
      <c r="D266" s="11" t="s">
        <v>39</v>
      </c>
      <c r="E266" s="15">
        <v>1</v>
      </c>
      <c r="F266" s="14">
        <v>5.3250000000000002</v>
      </c>
      <c r="G266" s="14">
        <v>0.19400000000000001</v>
      </c>
      <c r="H266" s="14">
        <v>9.9989999999999996E-4</v>
      </c>
      <c r="I266" s="14">
        <v>1.5329999999999999</v>
      </c>
      <c r="J266" s="14">
        <v>4.4999999999999998E-2</v>
      </c>
      <c r="K266" s="14">
        <v>9.9989999999999996E-4</v>
      </c>
    </row>
    <row r="267" spans="1:11">
      <c r="A267" s="15">
        <v>6</v>
      </c>
      <c r="B267" s="22">
        <v>39134</v>
      </c>
      <c r="C267" s="15">
        <v>2007</v>
      </c>
      <c r="D267" s="11" t="s">
        <v>28</v>
      </c>
      <c r="E267" s="15">
        <v>2</v>
      </c>
      <c r="F267" s="14">
        <v>4.9550000000000001</v>
      </c>
      <c r="G267" s="14">
        <v>0.08</v>
      </c>
      <c r="H267" s="14">
        <v>9.9989999999999996E-4</v>
      </c>
      <c r="I267" s="14">
        <v>1.337</v>
      </c>
      <c r="J267" s="14">
        <v>4.7E-2</v>
      </c>
      <c r="K267" s="14">
        <v>9.9989999999999996E-4</v>
      </c>
    </row>
    <row r="268" spans="1:11">
      <c r="A268" s="15">
        <v>8</v>
      </c>
      <c r="B268" s="22">
        <v>39135</v>
      </c>
      <c r="C268" s="15">
        <v>2007</v>
      </c>
      <c r="D268" s="11" t="s">
        <v>28</v>
      </c>
      <c r="E268" s="15">
        <v>2</v>
      </c>
      <c r="F268" s="14">
        <v>3.0470000000000002</v>
      </c>
      <c r="G268" s="14">
        <v>3.2000000000000001E-2</v>
      </c>
      <c r="H268" s="14">
        <v>9.9989999999999996E-4</v>
      </c>
      <c r="I268" s="14">
        <v>0.91900000000000004</v>
      </c>
      <c r="J268" s="14">
        <v>1.4E-2</v>
      </c>
      <c r="K268" s="14">
        <v>9.9989999999999996E-4</v>
      </c>
    </row>
    <row r="269" spans="1:11">
      <c r="A269" s="15">
        <v>15</v>
      </c>
      <c r="B269" s="22">
        <v>39135</v>
      </c>
      <c r="C269" s="15">
        <v>2007</v>
      </c>
      <c r="D269" s="11" t="s">
        <v>28</v>
      </c>
      <c r="E269" s="15">
        <v>2</v>
      </c>
      <c r="F269" s="14">
        <v>3.0609999999999999</v>
      </c>
      <c r="G269" s="14">
        <v>4.7E-2</v>
      </c>
      <c r="H269" s="14">
        <v>3.2000000000000001E-2</v>
      </c>
      <c r="I269" s="14">
        <v>0.80300000000000005</v>
      </c>
      <c r="J269" s="14">
        <v>2.9000000000000001E-2</v>
      </c>
      <c r="K269" s="14">
        <v>9.9989999999999996E-4</v>
      </c>
    </row>
    <row r="270" spans="1:11">
      <c r="A270" s="15">
        <v>6</v>
      </c>
      <c r="B270" s="22">
        <v>39154</v>
      </c>
      <c r="C270" s="15">
        <v>2007</v>
      </c>
      <c r="D270" s="11" t="s">
        <v>29</v>
      </c>
      <c r="E270" s="15">
        <v>3</v>
      </c>
      <c r="F270" s="14">
        <v>2.3919999999999999</v>
      </c>
      <c r="G270" s="14">
        <v>4.1000000000000002E-2</v>
      </c>
      <c r="H270" s="14">
        <v>3.7999999999999999E-2</v>
      </c>
      <c r="I270" s="14">
        <v>0.79600000000000004</v>
      </c>
      <c r="J270" s="14">
        <v>1.7999999999999999E-2</v>
      </c>
      <c r="K270" s="14">
        <v>9.9989999999999996E-4</v>
      </c>
    </row>
    <row r="271" spans="1:11">
      <c r="A271" s="15">
        <v>8</v>
      </c>
      <c r="B271" s="22">
        <v>39153</v>
      </c>
      <c r="C271" s="15">
        <v>2007</v>
      </c>
      <c r="D271" s="11" t="s">
        <v>29</v>
      </c>
      <c r="E271" s="15">
        <v>3</v>
      </c>
      <c r="F271" s="14">
        <v>1.5880000000000001</v>
      </c>
      <c r="G271" s="14">
        <v>0.02</v>
      </c>
      <c r="H271" s="14">
        <v>0.02</v>
      </c>
      <c r="I271" s="14">
        <v>0.502</v>
      </c>
      <c r="J271" s="14">
        <v>0.03</v>
      </c>
      <c r="K271" s="14">
        <v>9.9989999999999996E-4</v>
      </c>
    </row>
    <row r="272" spans="1:11">
      <c r="A272" s="15">
        <v>15</v>
      </c>
      <c r="B272" s="22">
        <v>39153</v>
      </c>
      <c r="C272" s="15">
        <v>2007</v>
      </c>
      <c r="D272" s="11" t="s">
        <v>29</v>
      </c>
      <c r="E272" s="15">
        <v>3</v>
      </c>
      <c r="F272" s="14">
        <v>1.9370000000000001</v>
      </c>
      <c r="G272" s="14">
        <v>5.8000000000000003E-2</v>
      </c>
      <c r="H272" s="14">
        <v>7.3999999999999996E-2</v>
      </c>
      <c r="I272" s="14">
        <v>0.754</v>
      </c>
      <c r="J272" s="14">
        <v>2.8000000000000001E-2</v>
      </c>
      <c r="K272" s="14">
        <v>9.9989999999999996E-4</v>
      </c>
    </row>
    <row r="273" spans="1:11">
      <c r="A273" s="15">
        <v>6</v>
      </c>
      <c r="B273" s="22">
        <v>39190</v>
      </c>
      <c r="C273" s="15">
        <v>2007</v>
      </c>
      <c r="D273" s="11" t="s">
        <v>30</v>
      </c>
      <c r="E273" s="15">
        <v>4</v>
      </c>
      <c r="F273" s="14">
        <v>5.9420000000000002</v>
      </c>
      <c r="G273" s="14">
        <v>7.3999999999999996E-2</v>
      </c>
      <c r="H273" s="14">
        <v>9.9989999999999996E-4</v>
      </c>
      <c r="I273" s="14">
        <v>2.7189999999999999</v>
      </c>
      <c r="J273" s="14">
        <v>3.5999999999999997E-2</v>
      </c>
      <c r="K273" s="14">
        <v>9.9989999999999996E-4</v>
      </c>
    </row>
    <row r="274" spans="1:11">
      <c r="A274" s="15">
        <v>8</v>
      </c>
      <c r="B274" s="22">
        <v>39191</v>
      </c>
      <c r="C274" s="15">
        <v>2007</v>
      </c>
      <c r="D274" s="11" t="s">
        <v>30</v>
      </c>
      <c r="E274" s="15">
        <v>4</v>
      </c>
      <c r="F274" s="14">
        <v>2.1269999999999998</v>
      </c>
      <c r="G274" s="14">
        <v>3.6999999999999998E-2</v>
      </c>
      <c r="H274" s="14">
        <v>9.9989999999999996E-4</v>
      </c>
      <c r="I274" s="14">
        <v>0.61</v>
      </c>
      <c r="J274" s="14">
        <v>8.0000000000000002E-3</v>
      </c>
      <c r="K274" s="14">
        <v>9.9989999999999996E-4</v>
      </c>
    </row>
    <row r="275" spans="1:11">
      <c r="A275" s="15">
        <v>15</v>
      </c>
      <c r="B275" s="22">
        <v>39191</v>
      </c>
      <c r="C275" s="15">
        <v>2007</v>
      </c>
      <c r="D275" s="11" t="s">
        <v>30</v>
      </c>
      <c r="E275" s="15">
        <v>4</v>
      </c>
      <c r="F275" s="14">
        <v>4.8029999999999999</v>
      </c>
      <c r="G275" s="14">
        <v>8.5000000000000006E-2</v>
      </c>
      <c r="H275" s="14">
        <v>3.5000000000000003E-2</v>
      </c>
      <c r="I275" s="14">
        <v>1.8280000000000001</v>
      </c>
      <c r="J275" s="14">
        <v>0.02</v>
      </c>
      <c r="K275" s="14">
        <v>9.9989999999999996E-4</v>
      </c>
    </row>
    <row r="276" spans="1:11">
      <c r="A276" s="15">
        <v>6</v>
      </c>
      <c r="B276" s="22">
        <v>39217</v>
      </c>
      <c r="C276" s="15">
        <v>2007</v>
      </c>
      <c r="D276" s="11" t="s">
        <v>31</v>
      </c>
      <c r="E276" s="15">
        <v>5</v>
      </c>
      <c r="F276" s="14">
        <v>9.2240000000000002</v>
      </c>
      <c r="G276" s="14">
        <v>0.17299999999999999</v>
      </c>
      <c r="H276" s="14">
        <v>1.74</v>
      </c>
      <c r="I276" s="14">
        <v>3.351</v>
      </c>
      <c r="J276" s="14">
        <v>0.16800000000000001</v>
      </c>
      <c r="K276" s="14">
        <v>1.7000000000000001E-2</v>
      </c>
    </row>
    <row r="277" spans="1:11">
      <c r="A277" s="15">
        <v>8</v>
      </c>
      <c r="B277" s="22">
        <v>39216</v>
      </c>
      <c r="C277" s="15">
        <v>2007</v>
      </c>
      <c r="D277" s="11" t="s">
        <v>31</v>
      </c>
      <c r="E277" s="15">
        <v>5</v>
      </c>
      <c r="F277" s="14">
        <v>17.225000000000001</v>
      </c>
      <c r="G277" s="14">
        <v>3.4000000000000002E-2</v>
      </c>
      <c r="H277" s="14">
        <v>2.0859999999999999</v>
      </c>
      <c r="I277" s="14">
        <v>9.141</v>
      </c>
      <c r="J277" s="14">
        <v>0.19900000000000001</v>
      </c>
      <c r="K277" s="14">
        <v>9.9989999999999996E-4</v>
      </c>
    </row>
    <row r="278" spans="1:11">
      <c r="A278" s="15">
        <v>15</v>
      </c>
      <c r="B278" s="22">
        <v>39216</v>
      </c>
      <c r="C278" s="15">
        <v>2007</v>
      </c>
      <c r="D278" s="11" t="s">
        <v>31</v>
      </c>
      <c r="E278" s="15">
        <v>5</v>
      </c>
      <c r="F278" s="14">
        <v>9.6329999999999991</v>
      </c>
      <c r="G278" s="14">
        <v>6.3E-2</v>
      </c>
      <c r="H278" s="14">
        <v>1.5389999999999999</v>
      </c>
      <c r="I278" s="14">
        <v>4.2359999999999998</v>
      </c>
      <c r="J278" s="14">
        <v>0.17499999999999999</v>
      </c>
      <c r="K278" s="14">
        <v>9.9989999999999996E-4</v>
      </c>
    </row>
    <row r="279" spans="1:11">
      <c r="A279" s="15">
        <v>6</v>
      </c>
      <c r="B279" s="22">
        <v>39246</v>
      </c>
      <c r="C279" s="15">
        <v>2007</v>
      </c>
      <c r="D279" s="11" t="s">
        <v>32</v>
      </c>
      <c r="E279" s="15">
        <v>6</v>
      </c>
      <c r="F279" s="14">
        <v>24.803000000000001</v>
      </c>
      <c r="G279" s="14">
        <v>6.0999999999999999E-2</v>
      </c>
      <c r="H279" s="14">
        <v>6.4279999999999999</v>
      </c>
      <c r="I279" s="14">
        <v>7.9210000000000003</v>
      </c>
      <c r="J279" s="14">
        <v>0.34100000000000003</v>
      </c>
      <c r="K279" s="14">
        <v>9.9989999999999996E-4</v>
      </c>
    </row>
    <row r="280" spans="1:11">
      <c r="A280" s="15">
        <v>8</v>
      </c>
      <c r="B280" s="22">
        <v>39248</v>
      </c>
      <c r="C280" s="15">
        <v>2007</v>
      </c>
      <c r="D280" s="11" t="s">
        <v>32</v>
      </c>
      <c r="E280" s="15">
        <v>6</v>
      </c>
      <c r="F280" s="14">
        <v>12.871</v>
      </c>
      <c r="G280" s="14">
        <v>0.16800000000000001</v>
      </c>
      <c r="H280" s="14">
        <v>0.93600000000000005</v>
      </c>
      <c r="I280" s="14">
        <v>4.6159999999999997</v>
      </c>
      <c r="J280" s="14">
        <v>0.20799999999999999</v>
      </c>
      <c r="K280" s="14">
        <v>9.9989999999999996E-4</v>
      </c>
    </row>
    <row r="281" spans="1:11">
      <c r="A281" s="15">
        <v>15</v>
      </c>
      <c r="B281" s="22">
        <v>39248</v>
      </c>
      <c r="C281" s="15">
        <v>2007</v>
      </c>
      <c r="D281" s="11" t="s">
        <v>32</v>
      </c>
      <c r="E281" s="15">
        <v>6</v>
      </c>
      <c r="F281" s="14">
        <v>18.126999999999999</v>
      </c>
      <c r="G281" s="14">
        <v>0.125</v>
      </c>
      <c r="H281" s="14">
        <v>3.0190000000000001</v>
      </c>
      <c r="I281" s="14">
        <v>6.6719999999999997</v>
      </c>
      <c r="J281" s="14">
        <v>0.218</v>
      </c>
      <c r="K281" s="14">
        <v>1.2999999999999999E-2</v>
      </c>
    </row>
    <row r="282" spans="1:11">
      <c r="A282" s="15">
        <v>6</v>
      </c>
      <c r="B282" s="22">
        <v>39280</v>
      </c>
      <c r="C282" s="15">
        <v>2007</v>
      </c>
      <c r="D282" s="11" t="s">
        <v>33</v>
      </c>
      <c r="E282" s="15">
        <v>7</v>
      </c>
      <c r="F282" s="14">
        <v>13.331</v>
      </c>
      <c r="G282" s="14">
        <v>0.156</v>
      </c>
      <c r="H282" s="14">
        <v>2.3E-2</v>
      </c>
      <c r="I282" s="14">
        <v>1.0920000000000001</v>
      </c>
      <c r="J282" s="14">
        <v>1.8049999999999999</v>
      </c>
      <c r="K282" s="14">
        <v>9.9989999999999996E-4</v>
      </c>
    </row>
    <row r="283" spans="1:11">
      <c r="A283" s="15">
        <v>8</v>
      </c>
      <c r="B283" s="22">
        <v>39279</v>
      </c>
      <c r="C283" s="15">
        <v>2007</v>
      </c>
      <c r="D283" s="11" t="s">
        <v>33</v>
      </c>
      <c r="E283" s="15">
        <v>7</v>
      </c>
      <c r="F283" s="14">
        <v>6.2880000000000003</v>
      </c>
      <c r="G283" s="14">
        <v>9.2999999999999999E-2</v>
      </c>
      <c r="H283" s="14">
        <v>9.9989999999999996E-4</v>
      </c>
      <c r="I283" s="14">
        <v>1.3819999999999999</v>
      </c>
      <c r="J283" s="14">
        <v>4.5999999999999999E-2</v>
      </c>
      <c r="K283" s="14">
        <v>9.9989999999999996E-4</v>
      </c>
    </row>
    <row r="284" spans="1:11">
      <c r="A284" s="15">
        <v>15</v>
      </c>
      <c r="B284" s="22">
        <v>39279</v>
      </c>
      <c r="C284" s="15">
        <v>2007</v>
      </c>
      <c r="D284" s="11" t="s">
        <v>33</v>
      </c>
      <c r="E284" s="15">
        <v>7</v>
      </c>
      <c r="F284" s="14">
        <v>4.6980000000000004</v>
      </c>
      <c r="G284" s="14">
        <v>3.3000000000000002E-2</v>
      </c>
      <c r="H284" s="14">
        <v>9.9989999999999996E-4</v>
      </c>
      <c r="I284" s="14">
        <v>1.2709999999999999</v>
      </c>
      <c r="J284" s="14">
        <v>0.20899999999999999</v>
      </c>
      <c r="K284" s="14">
        <v>9.9989999999999996E-4</v>
      </c>
    </row>
    <row r="285" spans="1:11">
      <c r="A285" s="15">
        <v>6</v>
      </c>
      <c r="B285" s="22">
        <v>39308</v>
      </c>
      <c r="C285" s="15">
        <v>2007</v>
      </c>
      <c r="D285" s="11" t="s">
        <v>34</v>
      </c>
      <c r="E285" s="15">
        <v>8</v>
      </c>
      <c r="F285" s="14">
        <v>15.651999999999999</v>
      </c>
      <c r="G285" s="14">
        <v>0.111</v>
      </c>
      <c r="H285" s="14">
        <v>9.9989999999999996E-4</v>
      </c>
      <c r="I285" s="14">
        <v>1.524</v>
      </c>
      <c r="J285" s="14">
        <v>2.359</v>
      </c>
      <c r="K285" s="14">
        <v>9.9989999999999996E-4</v>
      </c>
    </row>
    <row r="286" spans="1:11">
      <c r="A286" s="15">
        <v>8</v>
      </c>
      <c r="B286" s="22">
        <v>39308</v>
      </c>
      <c r="C286" s="15">
        <v>2007</v>
      </c>
      <c r="D286" s="11" t="s">
        <v>34</v>
      </c>
      <c r="E286" s="15">
        <v>8</v>
      </c>
      <c r="F286" s="14">
        <v>10.67</v>
      </c>
      <c r="G286" s="14">
        <v>9.9989999999999996E-4</v>
      </c>
      <c r="H286" s="14">
        <v>9.9999000000000008E-4</v>
      </c>
      <c r="I286" s="14">
        <v>3.1709999999999998</v>
      </c>
      <c r="J286" s="14">
        <v>0.17799999999999999</v>
      </c>
      <c r="K286" s="14">
        <v>9.9989999999999996E-4</v>
      </c>
    </row>
    <row r="287" spans="1:11">
      <c r="A287" s="15">
        <v>15</v>
      </c>
      <c r="B287" s="22">
        <v>39308</v>
      </c>
      <c r="C287" s="15">
        <v>2007</v>
      </c>
      <c r="D287" s="11" t="s">
        <v>34</v>
      </c>
      <c r="E287" s="15">
        <v>8</v>
      </c>
      <c r="F287" s="14">
        <v>9.2789999999999999</v>
      </c>
      <c r="G287" s="14">
        <v>2.7E-2</v>
      </c>
      <c r="H287" s="14">
        <v>9.9999000000000008E-4</v>
      </c>
      <c r="I287" s="14">
        <v>0.83599999999999997</v>
      </c>
      <c r="J287" s="14">
        <v>1.653</v>
      </c>
      <c r="K287" s="14">
        <v>9.9989999999999996E-4</v>
      </c>
    </row>
    <row r="288" spans="1:11">
      <c r="A288" s="15">
        <v>6</v>
      </c>
      <c r="B288" s="22">
        <v>39336</v>
      </c>
      <c r="C288" s="15">
        <v>2007</v>
      </c>
      <c r="D288" s="11" t="s">
        <v>40</v>
      </c>
      <c r="E288" s="15">
        <v>9</v>
      </c>
      <c r="F288" s="14">
        <v>12.808</v>
      </c>
      <c r="G288" s="14">
        <v>0.52800000000000002</v>
      </c>
      <c r="H288" s="14">
        <v>9.9989999999999996E-4</v>
      </c>
      <c r="I288" s="14">
        <v>1.018</v>
      </c>
      <c r="J288" s="14">
        <v>2.0089999999999999</v>
      </c>
      <c r="K288" s="14">
        <v>9.9989999999999996E-4</v>
      </c>
    </row>
    <row r="289" spans="1:11">
      <c r="A289" s="15">
        <v>8</v>
      </c>
      <c r="B289" s="22">
        <v>39335</v>
      </c>
      <c r="C289" s="15">
        <v>2007</v>
      </c>
      <c r="D289" s="11" t="s">
        <v>40</v>
      </c>
      <c r="E289" s="15">
        <v>9</v>
      </c>
      <c r="F289" s="14">
        <v>5.8520000000000003</v>
      </c>
      <c r="G289" s="14">
        <v>9.9989999999999996E-4</v>
      </c>
      <c r="H289" s="14">
        <v>9.9989999999999996E-4</v>
      </c>
      <c r="I289" s="14">
        <v>1.738</v>
      </c>
      <c r="J289" s="14">
        <v>6.3E-2</v>
      </c>
      <c r="K289" s="14">
        <v>9.9989999999999996E-4</v>
      </c>
    </row>
    <row r="290" spans="1:11">
      <c r="A290" s="15">
        <v>15</v>
      </c>
      <c r="B290" s="22">
        <v>39335</v>
      </c>
      <c r="C290" s="15">
        <v>2007</v>
      </c>
      <c r="D290" s="11" t="s">
        <v>40</v>
      </c>
      <c r="E290" s="15">
        <v>9</v>
      </c>
      <c r="F290" s="14">
        <v>8.2789999999999999</v>
      </c>
      <c r="G290" s="14">
        <v>0.752</v>
      </c>
      <c r="H290" s="14">
        <v>9.9989999999999996E-4</v>
      </c>
      <c r="I290" s="14">
        <v>0.623</v>
      </c>
      <c r="J290" s="14">
        <v>1.1559999999999999</v>
      </c>
      <c r="K290" s="14">
        <v>9.9989999999999996E-4</v>
      </c>
    </row>
    <row r="291" spans="1:11">
      <c r="A291" s="15">
        <v>6</v>
      </c>
      <c r="B291" s="22">
        <v>39370</v>
      </c>
      <c r="C291" s="15">
        <v>2007</v>
      </c>
      <c r="D291" s="11" t="s">
        <v>36</v>
      </c>
      <c r="E291" s="15">
        <v>10</v>
      </c>
      <c r="F291" s="14">
        <v>7.6589999999999998</v>
      </c>
      <c r="G291" s="14">
        <v>9.9989999999999996E-4</v>
      </c>
      <c r="H291" s="14">
        <v>4.2999999999999997E-2</v>
      </c>
      <c r="I291" s="14">
        <v>1.3560000000000001</v>
      </c>
      <c r="J291" s="14">
        <v>1.6639999999999999</v>
      </c>
      <c r="K291" s="14">
        <v>9.9989999999999996E-4</v>
      </c>
    </row>
    <row r="292" spans="1:11">
      <c r="A292" s="15">
        <v>8</v>
      </c>
      <c r="B292" s="22">
        <v>39370</v>
      </c>
      <c r="C292" s="15">
        <v>2007</v>
      </c>
      <c r="D292" s="11" t="s">
        <v>36</v>
      </c>
      <c r="E292" s="15">
        <v>10</v>
      </c>
      <c r="F292" s="14">
        <v>1.9419999999999999</v>
      </c>
      <c r="G292" s="14">
        <v>9.9989999999999996E-4</v>
      </c>
      <c r="H292" s="14">
        <v>9.9989999999999996E-4</v>
      </c>
      <c r="I292" s="14">
        <v>0.27500000000000002</v>
      </c>
      <c r="J292" s="14">
        <v>1.2E-2</v>
      </c>
      <c r="K292" s="14">
        <v>9.9989999999999996E-4</v>
      </c>
    </row>
    <row r="293" spans="1:11">
      <c r="A293" s="15">
        <v>15</v>
      </c>
      <c r="B293" s="22">
        <v>39370</v>
      </c>
      <c r="C293" s="15">
        <v>2007</v>
      </c>
      <c r="D293" s="11" t="s">
        <v>36</v>
      </c>
      <c r="E293" s="15">
        <v>10</v>
      </c>
      <c r="F293" s="14">
        <v>6.4880000000000004</v>
      </c>
      <c r="G293" s="14">
        <v>9.9989999999999996E-4</v>
      </c>
      <c r="H293" s="14">
        <v>9.9989999999999996E-4</v>
      </c>
      <c r="I293" s="14">
        <v>2.1659999999999999</v>
      </c>
      <c r="J293" s="14">
        <v>0.41199999999999998</v>
      </c>
      <c r="K293" s="14">
        <v>9.9989999999999996E-4</v>
      </c>
    </row>
    <row r="294" spans="1:11">
      <c r="A294" s="15">
        <v>6</v>
      </c>
      <c r="B294" s="22">
        <v>39400</v>
      </c>
      <c r="C294" s="15">
        <v>2007</v>
      </c>
      <c r="D294" s="11" t="s">
        <v>37</v>
      </c>
      <c r="E294" s="15">
        <v>11</v>
      </c>
      <c r="F294" s="14">
        <v>4.7519999999999998</v>
      </c>
      <c r="G294" s="14">
        <v>2.7E-2</v>
      </c>
      <c r="H294" s="14">
        <v>0.14899999999999999</v>
      </c>
      <c r="I294" s="14">
        <v>0.90800000000000003</v>
      </c>
      <c r="J294" s="14">
        <v>6.4000000000000001E-2</v>
      </c>
      <c r="K294" s="14">
        <v>9.9989999999999996E-4</v>
      </c>
    </row>
    <row r="295" spans="1:11">
      <c r="A295" s="15">
        <v>8</v>
      </c>
      <c r="B295" s="22">
        <v>39400</v>
      </c>
      <c r="C295" s="15">
        <v>2007</v>
      </c>
      <c r="D295" s="11" t="s">
        <v>37</v>
      </c>
      <c r="E295" s="15">
        <v>11</v>
      </c>
      <c r="F295" s="14">
        <v>0.77700000000000002</v>
      </c>
      <c r="G295" s="14">
        <v>0.01</v>
      </c>
      <c r="H295" s="14">
        <v>9.9989999999999996E-4</v>
      </c>
      <c r="I295" s="14">
        <v>0.13200000000000001</v>
      </c>
      <c r="J295" s="14">
        <v>3.0000000000000001E-3</v>
      </c>
      <c r="K295" s="14">
        <v>9.9989999999999996E-4</v>
      </c>
    </row>
    <row r="296" spans="1:11">
      <c r="A296" s="15">
        <v>15</v>
      </c>
      <c r="B296" s="22">
        <v>39400</v>
      </c>
      <c r="C296" s="15">
        <v>2007</v>
      </c>
      <c r="D296" s="11" t="s">
        <v>37</v>
      </c>
      <c r="E296" s="15">
        <v>11</v>
      </c>
      <c r="F296" s="14">
        <v>5.4020000000000001</v>
      </c>
      <c r="G296" s="14">
        <v>0.06</v>
      </c>
      <c r="H296" s="14">
        <v>9.9989999999999996E-4</v>
      </c>
      <c r="I296" s="14">
        <v>0.53500000000000003</v>
      </c>
      <c r="J296" s="14">
        <v>2.1999999999999999E-2</v>
      </c>
      <c r="K296" s="14">
        <v>9.9989999999999996E-4</v>
      </c>
    </row>
    <row r="297" spans="1:11">
      <c r="A297" s="15">
        <v>6</v>
      </c>
      <c r="B297" s="22">
        <v>39427</v>
      </c>
      <c r="C297" s="15">
        <v>2007</v>
      </c>
      <c r="D297" s="11" t="s">
        <v>38</v>
      </c>
      <c r="E297" s="15">
        <v>12</v>
      </c>
      <c r="F297" s="14">
        <v>2.9740000000000002</v>
      </c>
      <c r="G297" s="14">
        <v>2.4E-2</v>
      </c>
      <c r="H297" s="14">
        <v>9.9989999999999996E-4</v>
      </c>
      <c r="I297" s="14">
        <v>0.91100000000000003</v>
      </c>
      <c r="J297" s="14">
        <v>0.02</v>
      </c>
      <c r="K297" s="14">
        <v>9.9989999999999996E-4</v>
      </c>
    </row>
    <row r="298" spans="1:11">
      <c r="A298" s="15">
        <v>8</v>
      </c>
      <c r="B298" s="22">
        <v>39434</v>
      </c>
      <c r="C298" s="15">
        <v>2007</v>
      </c>
      <c r="D298" s="11" t="s">
        <v>38</v>
      </c>
      <c r="E298" s="15">
        <v>12</v>
      </c>
      <c r="F298" s="14">
        <v>5.484</v>
      </c>
      <c r="G298" s="14">
        <v>8.4000000000000005E-2</v>
      </c>
      <c r="H298" s="14">
        <v>9.9989999999999996E-4</v>
      </c>
      <c r="I298" s="14">
        <v>1.7</v>
      </c>
      <c r="J298" s="14">
        <v>1.2999999999999999E-2</v>
      </c>
      <c r="K298" s="14">
        <v>9.9989999999999996E-4</v>
      </c>
    </row>
    <row r="299" spans="1:11">
      <c r="A299" s="15">
        <v>15</v>
      </c>
      <c r="B299" s="22">
        <v>39434</v>
      </c>
      <c r="C299" s="15">
        <v>2007</v>
      </c>
      <c r="D299" s="11" t="s">
        <v>38</v>
      </c>
      <c r="E299" s="15">
        <v>12</v>
      </c>
      <c r="F299" s="14">
        <v>8.7189999999999994</v>
      </c>
      <c r="G299" s="14">
        <v>0.318</v>
      </c>
      <c r="H299" s="14">
        <v>9.9989999999999996E-4</v>
      </c>
      <c r="I299" s="14">
        <v>2.7570000000000001</v>
      </c>
      <c r="J299" s="14">
        <v>6.4000000000000001E-2</v>
      </c>
      <c r="K299" s="14">
        <v>9.9989999999999996E-4</v>
      </c>
    </row>
    <row r="300" spans="1:11">
      <c r="A300" s="15">
        <v>6</v>
      </c>
      <c r="B300" s="22">
        <v>39462</v>
      </c>
      <c r="C300" s="15">
        <v>2008</v>
      </c>
      <c r="D300" s="11" t="s">
        <v>39</v>
      </c>
      <c r="E300" s="15">
        <v>1</v>
      </c>
      <c r="F300" s="23">
        <v>4.6150000000000002</v>
      </c>
      <c r="G300" s="23">
        <v>0.14299999999999999</v>
      </c>
      <c r="H300" s="23">
        <v>9.9989999999999996E-4</v>
      </c>
      <c r="I300" s="23">
        <v>0.84899999999999998</v>
      </c>
      <c r="J300" s="23">
        <v>8.7999999999999995E-2</v>
      </c>
      <c r="K300" s="23">
        <v>9.9989999999999996E-4</v>
      </c>
    </row>
    <row r="301" spans="1:11">
      <c r="A301" s="15">
        <v>8</v>
      </c>
      <c r="B301" s="22">
        <v>39463</v>
      </c>
      <c r="C301" s="15">
        <v>2008</v>
      </c>
      <c r="D301" s="11" t="s">
        <v>39</v>
      </c>
      <c r="E301" s="15">
        <v>1</v>
      </c>
      <c r="F301" s="23">
        <v>1.212</v>
      </c>
      <c r="G301" s="23">
        <v>0.04</v>
      </c>
      <c r="H301" s="23">
        <v>9.9989999999999996E-4</v>
      </c>
      <c r="I301" s="23">
        <v>0.33</v>
      </c>
      <c r="J301" s="23">
        <v>0.01</v>
      </c>
      <c r="K301" s="23">
        <v>9.9989999999999996E-4</v>
      </c>
    </row>
    <row r="302" spans="1:11">
      <c r="A302" s="15">
        <v>15</v>
      </c>
      <c r="B302" s="22">
        <v>39463</v>
      </c>
      <c r="C302" s="15">
        <v>2008</v>
      </c>
      <c r="D302" s="11" t="s">
        <v>39</v>
      </c>
      <c r="E302" s="15">
        <v>1</v>
      </c>
      <c r="F302" s="23">
        <v>5.5389999999999997</v>
      </c>
      <c r="G302" s="23">
        <v>0.183</v>
      </c>
      <c r="H302" s="23">
        <v>9.9989999999999996E-4</v>
      </c>
      <c r="I302" s="23">
        <v>1.4410000000000001</v>
      </c>
      <c r="J302" s="23">
        <v>0.106</v>
      </c>
      <c r="K302" s="23">
        <v>9.9989999999999996E-4</v>
      </c>
    </row>
    <row r="303" spans="1:11">
      <c r="A303" s="15">
        <v>6</v>
      </c>
      <c r="B303" s="22">
        <v>39490</v>
      </c>
      <c r="C303" s="15">
        <v>2008</v>
      </c>
      <c r="D303" s="11" t="s">
        <v>28</v>
      </c>
      <c r="E303" s="15">
        <v>2</v>
      </c>
      <c r="F303" s="23">
        <v>3.996</v>
      </c>
      <c r="G303" s="23">
        <v>9.4E-2</v>
      </c>
      <c r="H303" s="23">
        <v>9.7000000000000003E-2</v>
      </c>
      <c r="I303" s="23">
        <v>1.121</v>
      </c>
      <c r="J303" s="23">
        <v>0.11</v>
      </c>
      <c r="K303" s="23">
        <v>9.9989999999999996E-4</v>
      </c>
    </row>
    <row r="304" spans="1:11">
      <c r="A304" s="15">
        <v>8</v>
      </c>
      <c r="B304" s="22">
        <v>39493</v>
      </c>
      <c r="C304" s="15">
        <v>2008</v>
      </c>
      <c r="D304" s="11" t="s">
        <v>28</v>
      </c>
      <c r="E304" s="15">
        <v>2</v>
      </c>
      <c r="F304" s="23">
        <v>1.27</v>
      </c>
      <c r="G304" s="23">
        <v>6.6000000000000003E-2</v>
      </c>
      <c r="H304" s="23">
        <v>9.9989999999999996E-4</v>
      </c>
      <c r="I304" s="23">
        <v>0.25600000000000001</v>
      </c>
      <c r="J304" s="23">
        <v>1.0999999999999999E-2</v>
      </c>
      <c r="K304" s="23">
        <v>9.9989999999999996E-4</v>
      </c>
    </row>
    <row r="305" spans="1:11">
      <c r="A305" s="15">
        <v>15</v>
      </c>
      <c r="B305" s="22">
        <v>39493</v>
      </c>
      <c r="C305" s="15">
        <v>2008</v>
      </c>
      <c r="D305" s="11" t="s">
        <v>28</v>
      </c>
      <c r="E305" s="15">
        <v>2</v>
      </c>
      <c r="F305" s="23">
        <v>4.3520000000000003</v>
      </c>
      <c r="G305" s="23">
        <v>0.161</v>
      </c>
      <c r="H305" s="23">
        <v>9.9989999999999996E-4</v>
      </c>
      <c r="I305" s="23">
        <v>1.3</v>
      </c>
      <c r="J305" s="23">
        <v>3.4000000000000002E-2</v>
      </c>
      <c r="K305" s="23">
        <v>9.9989999999999996E-4</v>
      </c>
    </row>
    <row r="306" spans="1:11">
      <c r="A306" s="15">
        <v>6</v>
      </c>
      <c r="B306" s="22">
        <v>39517</v>
      </c>
      <c r="C306" s="15">
        <v>2008</v>
      </c>
      <c r="D306" s="11" t="s">
        <v>29</v>
      </c>
      <c r="E306" s="15">
        <v>3</v>
      </c>
      <c r="F306" s="24">
        <v>2.3260000000000001</v>
      </c>
      <c r="G306" s="23">
        <v>4.2999999999999997E-2</v>
      </c>
      <c r="H306" s="23">
        <v>2.7E-2</v>
      </c>
      <c r="I306" s="23">
        <v>0.61199999999999999</v>
      </c>
      <c r="J306" s="23">
        <v>6.0999999999999999E-2</v>
      </c>
      <c r="K306" s="23">
        <v>9.9989999999999996E-4</v>
      </c>
    </row>
    <row r="307" spans="1:11">
      <c r="A307" s="15">
        <v>8</v>
      </c>
      <c r="B307" s="22">
        <v>39517</v>
      </c>
      <c r="C307" s="15">
        <v>2008</v>
      </c>
      <c r="D307" s="11" t="s">
        <v>29</v>
      </c>
      <c r="E307" s="15">
        <v>3</v>
      </c>
      <c r="F307" s="24">
        <v>1.3839999999999999</v>
      </c>
      <c r="G307" s="23">
        <v>4.7E-2</v>
      </c>
      <c r="H307" s="23">
        <v>9.9989999999999996E-4</v>
      </c>
      <c r="I307" s="23">
        <v>0.30199999999999999</v>
      </c>
      <c r="J307" s="23">
        <v>1.4E-2</v>
      </c>
      <c r="K307" s="23">
        <v>9.9989999999999996E-4</v>
      </c>
    </row>
    <row r="308" spans="1:11">
      <c r="A308" s="15">
        <v>15</v>
      </c>
      <c r="B308" s="22">
        <v>39517</v>
      </c>
      <c r="C308" s="15">
        <v>2008</v>
      </c>
      <c r="D308" s="11" t="s">
        <v>29</v>
      </c>
      <c r="E308" s="15">
        <v>3</v>
      </c>
      <c r="F308" s="24">
        <v>2.589</v>
      </c>
      <c r="G308" s="23">
        <v>5.2999999999999999E-2</v>
      </c>
      <c r="H308" s="23">
        <v>9.9989999999999996E-4</v>
      </c>
      <c r="I308" s="23">
        <v>0.59299999999999997</v>
      </c>
      <c r="J308" s="23">
        <v>2.9000000000000001E-2</v>
      </c>
      <c r="K308" s="23">
        <v>9.9989999999999996E-4</v>
      </c>
    </row>
    <row r="309" spans="1:11">
      <c r="A309" s="15">
        <v>6</v>
      </c>
      <c r="B309" s="22">
        <v>39553</v>
      </c>
      <c r="C309" s="15">
        <v>2008</v>
      </c>
      <c r="D309" s="11" t="s">
        <v>30</v>
      </c>
      <c r="E309" s="15">
        <v>4</v>
      </c>
      <c r="F309" s="24">
        <v>3.3140000000000001</v>
      </c>
      <c r="G309" s="23">
        <v>1.4E-2</v>
      </c>
      <c r="H309" s="23">
        <v>0.255</v>
      </c>
      <c r="I309" s="23">
        <v>1.528</v>
      </c>
      <c r="J309" s="23">
        <v>6.6000000000000003E-2</v>
      </c>
      <c r="K309" s="23">
        <v>9.9989999999999996E-4</v>
      </c>
    </row>
    <row r="310" spans="1:11">
      <c r="A310" s="15">
        <v>8</v>
      </c>
      <c r="B310" s="22">
        <v>39552</v>
      </c>
      <c r="C310" s="15">
        <v>2008</v>
      </c>
      <c r="D310" s="11" t="s">
        <v>30</v>
      </c>
      <c r="E310" s="15">
        <v>4</v>
      </c>
      <c r="F310" s="24">
        <v>1.2050000000000001</v>
      </c>
      <c r="G310" s="23">
        <v>2.7E-2</v>
      </c>
      <c r="H310" s="23">
        <v>9.9989999999999996E-4</v>
      </c>
      <c r="I310" s="23">
        <v>0.20200000000000001</v>
      </c>
      <c r="J310" s="23">
        <v>7.0000000000000001E-3</v>
      </c>
      <c r="K310" s="23">
        <v>9.9989999999999996E-4</v>
      </c>
    </row>
    <row r="311" spans="1:11">
      <c r="A311" s="15">
        <v>15</v>
      </c>
      <c r="B311" s="22">
        <v>39552</v>
      </c>
      <c r="C311" s="15">
        <v>2008</v>
      </c>
      <c r="D311" s="11" t="s">
        <v>30</v>
      </c>
      <c r="E311" s="15">
        <v>4</v>
      </c>
      <c r="F311" s="24">
        <v>4.49</v>
      </c>
      <c r="G311" s="23">
        <v>1.4999999999999999E-2</v>
      </c>
      <c r="H311" s="23">
        <v>0.254</v>
      </c>
      <c r="I311" s="23">
        <v>2.3069999999999999</v>
      </c>
      <c r="J311" s="23">
        <v>2.8000000000000001E-2</v>
      </c>
      <c r="K311" s="23">
        <v>9.9989999999999996E-4</v>
      </c>
    </row>
    <row r="312" spans="1:11">
      <c r="A312" s="15">
        <v>6</v>
      </c>
      <c r="B312" s="22">
        <v>39582</v>
      </c>
      <c r="C312" s="15">
        <v>2008</v>
      </c>
      <c r="D312" s="11" t="s">
        <v>31</v>
      </c>
      <c r="E312" s="15">
        <v>5</v>
      </c>
      <c r="F312" s="24">
        <v>2.105</v>
      </c>
      <c r="G312" s="23">
        <v>8.1000000000000003E-2</v>
      </c>
      <c r="H312" s="23">
        <v>5.8000000000000003E-2</v>
      </c>
      <c r="I312" s="23">
        <v>0.63700000000000001</v>
      </c>
      <c r="J312" s="23">
        <v>2.8000000000000001E-2</v>
      </c>
      <c r="K312" s="23">
        <v>9.9989999999999996E-4</v>
      </c>
    </row>
    <row r="313" spans="1:11">
      <c r="A313" s="15">
        <v>8</v>
      </c>
      <c r="B313" s="22">
        <v>39583</v>
      </c>
      <c r="C313" s="15">
        <v>2008</v>
      </c>
      <c r="D313" s="11" t="s">
        <v>31</v>
      </c>
      <c r="E313" s="15">
        <v>5</v>
      </c>
      <c r="F313" s="24">
        <v>2.3159999999999998</v>
      </c>
      <c r="G313" s="23">
        <v>5.6000000000000001E-2</v>
      </c>
      <c r="H313" s="23">
        <v>5.6000000000000001E-2</v>
      </c>
      <c r="I313" s="23">
        <v>0.73699999999999999</v>
      </c>
      <c r="J313" s="23">
        <v>0.04</v>
      </c>
      <c r="K313" s="23">
        <v>9.9989999999999996E-4</v>
      </c>
    </row>
    <row r="314" spans="1:11">
      <c r="A314" s="15">
        <v>15</v>
      </c>
      <c r="B314" s="22">
        <v>39583</v>
      </c>
      <c r="C314" s="15">
        <v>2008</v>
      </c>
      <c r="D314" s="11" t="s">
        <v>31</v>
      </c>
      <c r="E314" s="15">
        <v>5</v>
      </c>
      <c r="F314" s="24">
        <v>7.4509999999999996</v>
      </c>
      <c r="G314" s="23">
        <v>5.8999999999999997E-2</v>
      </c>
      <c r="H314" s="23">
        <v>0.625</v>
      </c>
      <c r="I314" s="23">
        <v>3.044</v>
      </c>
      <c r="J314" s="23">
        <v>0.17699999999999999</v>
      </c>
      <c r="K314" s="23">
        <v>9.9989999999999996E-4</v>
      </c>
    </row>
    <row r="315" spans="1:11">
      <c r="A315" s="15">
        <v>6</v>
      </c>
      <c r="B315" s="22">
        <v>39616</v>
      </c>
      <c r="C315" s="15">
        <v>2008</v>
      </c>
      <c r="D315" s="11" t="s">
        <v>32</v>
      </c>
      <c r="E315" s="15">
        <v>6</v>
      </c>
      <c r="F315" s="24">
        <v>7.9009999999999998</v>
      </c>
      <c r="G315" s="23">
        <v>0.04</v>
      </c>
      <c r="H315" s="23">
        <v>9.9989999999999996E-4</v>
      </c>
      <c r="I315" s="23">
        <v>2.069</v>
      </c>
      <c r="J315" s="23">
        <v>0.64800000000000002</v>
      </c>
      <c r="K315" s="23">
        <v>9.9989999999999996E-4</v>
      </c>
    </row>
    <row r="316" spans="1:11">
      <c r="A316" s="15">
        <v>8</v>
      </c>
      <c r="B316" s="22">
        <v>39617</v>
      </c>
      <c r="C316" s="15">
        <v>2008</v>
      </c>
      <c r="D316" s="11" t="s">
        <v>32</v>
      </c>
      <c r="E316" s="15">
        <v>6</v>
      </c>
      <c r="F316" s="24">
        <v>2.8180000000000001</v>
      </c>
      <c r="G316" s="23">
        <v>2.8000000000000001E-2</v>
      </c>
      <c r="H316" s="23">
        <v>9.9989999999999996E-4</v>
      </c>
      <c r="I316" s="23">
        <v>0.52500000000000002</v>
      </c>
      <c r="J316" s="23">
        <v>8.9999999999999993E-3</v>
      </c>
      <c r="K316" s="23">
        <v>9.9989999999999996E-4</v>
      </c>
    </row>
    <row r="317" spans="1:11">
      <c r="A317" s="15">
        <v>15</v>
      </c>
      <c r="B317" s="22">
        <v>39617</v>
      </c>
      <c r="C317" s="15">
        <v>2008</v>
      </c>
      <c r="D317" s="11" t="s">
        <v>32</v>
      </c>
      <c r="E317" s="15">
        <v>6</v>
      </c>
      <c r="F317" s="24">
        <v>4.1379999999999999</v>
      </c>
      <c r="G317" s="23">
        <v>3.9E-2</v>
      </c>
      <c r="H317" s="23">
        <v>9.9989999999999996E-4</v>
      </c>
      <c r="I317" s="23">
        <v>0.83</v>
      </c>
      <c r="J317" s="23">
        <v>0.39400000000000002</v>
      </c>
      <c r="K317" s="23">
        <v>9.9989999999999996E-4</v>
      </c>
    </row>
    <row r="318" spans="1:11">
      <c r="A318" s="15">
        <v>6</v>
      </c>
      <c r="B318" s="22">
        <v>39644</v>
      </c>
      <c r="C318" s="15">
        <v>2008</v>
      </c>
      <c r="D318" s="11" t="s">
        <v>33</v>
      </c>
      <c r="E318" s="15">
        <v>7</v>
      </c>
      <c r="F318" s="24">
        <v>6.5490000000000004</v>
      </c>
      <c r="G318" s="23">
        <v>0.26900000000000002</v>
      </c>
      <c r="H318" s="23">
        <v>3.9E-2</v>
      </c>
      <c r="I318" s="23">
        <v>1.234</v>
      </c>
      <c r="J318" s="23">
        <v>1.1579999999999999</v>
      </c>
      <c r="K318" s="23">
        <v>9.9989999999999996E-4</v>
      </c>
    </row>
    <row r="319" spans="1:11">
      <c r="A319" s="15">
        <v>8</v>
      </c>
      <c r="B319" s="22">
        <v>39645</v>
      </c>
      <c r="C319" s="15">
        <v>2008</v>
      </c>
      <c r="D319" s="11" t="s">
        <v>33</v>
      </c>
      <c r="E319" s="15">
        <v>7</v>
      </c>
      <c r="F319" s="24">
        <v>3.5419999999999998</v>
      </c>
      <c r="G319" s="23">
        <v>0.189</v>
      </c>
      <c r="H319" s="23">
        <v>9.9989999999999996E-4</v>
      </c>
      <c r="I319" s="23">
        <v>0.68400000000000005</v>
      </c>
      <c r="J319" s="23">
        <v>1.7999999999999999E-2</v>
      </c>
      <c r="K319" s="23">
        <v>9.9989999999999996E-4</v>
      </c>
    </row>
    <row r="320" spans="1:11">
      <c r="A320" s="15">
        <v>15</v>
      </c>
      <c r="B320" s="22">
        <v>39645</v>
      </c>
      <c r="C320" s="15">
        <v>2008</v>
      </c>
      <c r="D320" s="11" t="s">
        <v>33</v>
      </c>
      <c r="E320" s="15">
        <v>7</v>
      </c>
      <c r="F320" s="24">
        <v>4.4009999999999998</v>
      </c>
      <c r="G320" s="23">
        <v>9.4E-2</v>
      </c>
      <c r="H320" s="23">
        <v>3.2000000000000001E-2</v>
      </c>
      <c r="I320" s="23">
        <v>1.4019999999999999</v>
      </c>
      <c r="J320" s="23">
        <v>0.30099999999999999</v>
      </c>
      <c r="K320" s="23">
        <v>9.9989999999999996E-4</v>
      </c>
    </row>
    <row r="321" spans="1:11">
      <c r="A321" s="15">
        <v>6</v>
      </c>
      <c r="B321" s="22">
        <v>39672</v>
      </c>
      <c r="C321" s="15">
        <v>2008</v>
      </c>
      <c r="D321" s="11" t="s">
        <v>34</v>
      </c>
      <c r="E321" s="15">
        <v>8</v>
      </c>
      <c r="F321" s="24">
        <v>6.8209999999999997</v>
      </c>
      <c r="G321" s="23">
        <v>0.51800000000000002</v>
      </c>
      <c r="H321" s="23">
        <v>9.9989999999999996E-4</v>
      </c>
      <c r="I321" s="23">
        <v>0.52400000000000002</v>
      </c>
      <c r="J321" s="23">
        <v>1.6379999999999999</v>
      </c>
      <c r="K321" s="23">
        <v>9.9989999999999996E-4</v>
      </c>
    </row>
    <row r="322" spans="1:11">
      <c r="A322" s="15">
        <v>8</v>
      </c>
      <c r="B322" s="22">
        <v>39672</v>
      </c>
      <c r="C322" s="15">
        <v>2008</v>
      </c>
      <c r="D322" s="11" t="s">
        <v>34</v>
      </c>
      <c r="E322" s="15">
        <v>8</v>
      </c>
      <c r="F322" s="24">
        <v>7.8410000000000002</v>
      </c>
      <c r="G322" s="23">
        <v>0.998</v>
      </c>
      <c r="H322" s="23">
        <v>9.9989999999999996E-4</v>
      </c>
      <c r="I322" s="23">
        <v>1.599</v>
      </c>
      <c r="J322" s="23">
        <v>1.7000000000000001E-2</v>
      </c>
      <c r="K322" s="23">
        <v>9.9989999999999996E-4</v>
      </c>
    </row>
    <row r="323" spans="1:11">
      <c r="A323" s="15">
        <v>15</v>
      </c>
      <c r="B323" s="22">
        <v>39672</v>
      </c>
      <c r="C323" s="15">
        <v>2008</v>
      </c>
      <c r="D323" s="11" t="s">
        <v>34</v>
      </c>
      <c r="E323" s="15">
        <v>8</v>
      </c>
      <c r="F323" s="24">
        <v>4.0529999999999999</v>
      </c>
      <c r="G323" s="23">
        <v>1.0760000000000001</v>
      </c>
      <c r="H323" s="23">
        <v>9.9989999999999996E-4</v>
      </c>
      <c r="I323" s="23">
        <v>0.45100000000000001</v>
      </c>
      <c r="J323" s="23">
        <v>6.9000000000000006E-2</v>
      </c>
      <c r="K323" s="23">
        <v>9.9989999999999996E-4</v>
      </c>
    </row>
    <row r="324" spans="1:11">
      <c r="A324" s="15">
        <v>6</v>
      </c>
      <c r="B324" s="22">
        <v>39709</v>
      </c>
      <c r="C324" s="15">
        <v>2008</v>
      </c>
      <c r="D324" s="11" t="s">
        <v>40</v>
      </c>
      <c r="E324" s="15">
        <v>9</v>
      </c>
      <c r="F324" s="23">
        <v>18.856000000000002</v>
      </c>
      <c r="G324" s="23">
        <v>1.7999999999999999E-2</v>
      </c>
      <c r="H324" s="23">
        <v>2.1429999999999998</v>
      </c>
      <c r="I324" s="23">
        <v>7.125</v>
      </c>
      <c r="J324" s="23">
        <v>1.276</v>
      </c>
      <c r="K324" s="23">
        <v>9.9989999999999996E-4</v>
      </c>
    </row>
    <row r="325" spans="1:11">
      <c r="A325" s="15">
        <v>8</v>
      </c>
      <c r="B325" s="22">
        <v>39709</v>
      </c>
      <c r="C325" s="15">
        <v>2008</v>
      </c>
      <c r="D325" s="11" t="s">
        <v>40</v>
      </c>
      <c r="E325" s="15">
        <v>9</v>
      </c>
      <c r="F325" s="23">
        <v>4.0910000000000002</v>
      </c>
      <c r="G325" s="23">
        <v>0.02</v>
      </c>
      <c r="H325" s="23">
        <v>0.13200000000000001</v>
      </c>
      <c r="I325" s="23">
        <v>1.6579999999999999</v>
      </c>
      <c r="J325" s="23">
        <v>6.8000000000000005E-2</v>
      </c>
      <c r="K325" s="23">
        <v>9.9989999999999996E-4</v>
      </c>
    </row>
    <row r="326" spans="1:11">
      <c r="A326" s="15">
        <v>15</v>
      </c>
      <c r="B326" s="22">
        <v>39709</v>
      </c>
      <c r="C326" s="15">
        <v>2008</v>
      </c>
      <c r="D326" s="11" t="s">
        <v>40</v>
      </c>
      <c r="E326" s="15">
        <v>9</v>
      </c>
      <c r="F326" s="23">
        <v>9.84</v>
      </c>
      <c r="G326" s="23">
        <v>9.8000000000000004E-2</v>
      </c>
      <c r="H326" s="23">
        <v>9.9989999999999996E-4</v>
      </c>
      <c r="I326" s="23">
        <v>3.669</v>
      </c>
      <c r="J326" s="23">
        <v>0.1</v>
      </c>
      <c r="K326" s="23">
        <v>9.9989999999999996E-4</v>
      </c>
    </row>
    <row r="327" spans="1:11">
      <c r="A327" s="15">
        <v>6</v>
      </c>
      <c r="B327" s="22">
        <v>39737</v>
      </c>
      <c r="C327" s="15">
        <v>2008</v>
      </c>
      <c r="D327" s="11" t="s">
        <v>36</v>
      </c>
      <c r="E327" s="15">
        <v>10</v>
      </c>
      <c r="F327" s="23">
        <v>8.9269999999999996</v>
      </c>
      <c r="G327" s="23">
        <v>2.7E-2</v>
      </c>
      <c r="H327" s="23">
        <v>0.86399999999999999</v>
      </c>
      <c r="I327" s="23">
        <v>3.32</v>
      </c>
      <c r="J327" s="23">
        <v>0.68400000000000005</v>
      </c>
      <c r="K327" s="23">
        <v>9.9989999999999996E-4</v>
      </c>
    </row>
    <row r="328" spans="1:11">
      <c r="A328" s="15">
        <v>8</v>
      </c>
      <c r="B328" s="22">
        <v>39735</v>
      </c>
      <c r="C328" s="15">
        <v>2008</v>
      </c>
      <c r="D328" s="11" t="s">
        <v>36</v>
      </c>
      <c r="E328" s="15">
        <v>10</v>
      </c>
      <c r="F328" s="23">
        <v>10.298</v>
      </c>
      <c r="G328" s="23">
        <v>1.2999999999999999E-2</v>
      </c>
      <c r="H328" s="23">
        <v>1.2150000000000001</v>
      </c>
      <c r="I328" s="23">
        <v>4.141</v>
      </c>
      <c r="J328" s="23">
        <v>0.71</v>
      </c>
      <c r="K328" s="23">
        <v>9.9989999999999996E-4</v>
      </c>
    </row>
    <row r="329" spans="1:11">
      <c r="A329" s="15">
        <v>15</v>
      </c>
      <c r="B329" s="22">
        <v>39735</v>
      </c>
      <c r="C329" s="15">
        <v>2008</v>
      </c>
      <c r="D329" s="11" t="s">
        <v>36</v>
      </c>
      <c r="E329" s="15">
        <v>10</v>
      </c>
      <c r="F329" s="23">
        <v>2.0609999999999999</v>
      </c>
      <c r="G329" s="23">
        <v>9.9989999999999996E-4</v>
      </c>
      <c r="H329" s="23">
        <v>9.9989999999999996E-4</v>
      </c>
      <c r="I329" s="23">
        <v>0.78400000000000003</v>
      </c>
      <c r="J329" s="23">
        <v>1.2E-2</v>
      </c>
      <c r="K329" s="23">
        <v>9.9989999999999996E-4</v>
      </c>
    </row>
    <row r="330" spans="1:11">
      <c r="A330" s="15">
        <v>6</v>
      </c>
      <c r="B330" s="22">
        <v>39763</v>
      </c>
      <c r="C330" s="15">
        <v>2008</v>
      </c>
      <c r="D330" s="11" t="s">
        <v>37</v>
      </c>
      <c r="E330" s="15">
        <v>11</v>
      </c>
      <c r="F330" s="23">
        <v>2.73</v>
      </c>
      <c r="G330" s="23">
        <v>1.4999999999999999E-2</v>
      </c>
      <c r="H330" s="23">
        <v>9.9989999999999996E-4</v>
      </c>
      <c r="I330" s="23">
        <v>0.82</v>
      </c>
      <c r="J330" s="23">
        <v>2.5000000000000001E-2</v>
      </c>
      <c r="K330" s="23">
        <v>9.9989999999999996E-4</v>
      </c>
    </row>
    <row r="331" spans="1:11">
      <c r="A331" s="15">
        <v>8</v>
      </c>
      <c r="B331" s="22">
        <v>39769</v>
      </c>
      <c r="C331" s="15">
        <v>2008</v>
      </c>
      <c r="D331" s="11" t="s">
        <v>37</v>
      </c>
      <c r="E331" s="15">
        <v>11</v>
      </c>
      <c r="F331" s="23">
        <v>0.91900000000000004</v>
      </c>
      <c r="G331" s="23">
        <v>9.9989999999999996E-4</v>
      </c>
      <c r="H331" s="23">
        <v>8.0000000000000002E-3</v>
      </c>
      <c r="I331" s="23">
        <v>0.223</v>
      </c>
      <c r="J331" s="23">
        <v>5.0000000000000001E-3</v>
      </c>
      <c r="K331" s="23">
        <v>9.9989999999999996E-4</v>
      </c>
    </row>
    <row r="332" spans="1:11">
      <c r="A332" s="15">
        <v>15</v>
      </c>
      <c r="B332" s="22">
        <v>39769</v>
      </c>
      <c r="C332" s="15">
        <v>2008</v>
      </c>
      <c r="D332" s="11" t="s">
        <v>37</v>
      </c>
      <c r="E332" s="15">
        <v>11</v>
      </c>
      <c r="F332" s="23">
        <v>3.798</v>
      </c>
      <c r="G332" s="23">
        <v>3.3000000000000002E-2</v>
      </c>
      <c r="H332" s="23">
        <v>0.05</v>
      </c>
      <c r="I332" s="23">
        <v>1.2450000000000001</v>
      </c>
      <c r="J332" s="23">
        <v>2.3E-2</v>
      </c>
      <c r="K332" s="23">
        <v>9.9989999999999996E-4</v>
      </c>
    </row>
    <row r="333" spans="1:11">
      <c r="A333" s="15">
        <v>6</v>
      </c>
      <c r="B333" s="22">
        <v>39797</v>
      </c>
      <c r="C333" s="15">
        <v>2008</v>
      </c>
      <c r="D333" s="11" t="s">
        <v>38</v>
      </c>
      <c r="E333" s="15">
        <v>12</v>
      </c>
      <c r="F333" s="23">
        <v>3.5739999999999998</v>
      </c>
      <c r="G333" s="23">
        <v>0.111</v>
      </c>
      <c r="H333" s="23">
        <v>9.9989999999999996E-4</v>
      </c>
      <c r="I333" s="23">
        <v>0.95699999999999996</v>
      </c>
      <c r="J333" s="23">
        <v>0.02</v>
      </c>
      <c r="K333" s="23">
        <v>9.9989999999999996E-4</v>
      </c>
    </row>
    <row r="334" spans="1:11">
      <c r="A334" s="15">
        <v>8</v>
      </c>
      <c r="B334" s="22">
        <v>39797</v>
      </c>
      <c r="C334" s="15">
        <v>2008</v>
      </c>
      <c r="D334" s="11" t="s">
        <v>38</v>
      </c>
      <c r="E334" s="15">
        <v>12</v>
      </c>
      <c r="F334" s="23">
        <v>0.628</v>
      </c>
      <c r="G334" s="23">
        <v>2.5999999999999999E-2</v>
      </c>
      <c r="H334" s="23">
        <v>9.9989999999999996E-4</v>
      </c>
      <c r="I334" s="23">
        <v>0.16</v>
      </c>
      <c r="J334" s="23">
        <v>9.9989999999999996E-4</v>
      </c>
      <c r="K334" s="23">
        <v>9.9989999999999996E-4</v>
      </c>
    </row>
    <row r="335" spans="1:11">
      <c r="A335" s="15">
        <v>15</v>
      </c>
      <c r="B335" s="22">
        <v>39797</v>
      </c>
      <c r="C335" s="15">
        <v>2008</v>
      </c>
      <c r="D335" s="11" t="s">
        <v>38</v>
      </c>
      <c r="E335" s="15">
        <v>12</v>
      </c>
      <c r="F335" s="23">
        <v>2.6560000000000001</v>
      </c>
      <c r="G335" s="23">
        <v>9.5000000000000001E-2</v>
      </c>
      <c r="H335" s="23">
        <v>9.9989999999999996E-4</v>
      </c>
      <c r="I335" s="23">
        <v>0.56799999999999995</v>
      </c>
      <c r="J335" s="23">
        <v>8.0000000000000002E-3</v>
      </c>
      <c r="K335" s="23">
        <v>9.9989999999999996E-4</v>
      </c>
    </row>
    <row r="336" spans="1:11">
      <c r="A336" s="15">
        <v>6</v>
      </c>
      <c r="B336" s="22">
        <v>39825</v>
      </c>
      <c r="C336" s="15">
        <v>2009</v>
      </c>
      <c r="D336" s="11" t="s">
        <v>39</v>
      </c>
      <c r="E336" s="12">
        <v>1</v>
      </c>
      <c r="F336" s="23">
        <v>5.0339999999999998</v>
      </c>
      <c r="G336" s="23">
        <v>0.11</v>
      </c>
      <c r="H336" s="23">
        <v>9.9989999999999996E-4</v>
      </c>
      <c r="I336" s="23">
        <v>1.3440000000000001</v>
      </c>
      <c r="J336" s="23">
        <v>4.4999999999999998E-2</v>
      </c>
      <c r="K336" s="23">
        <v>9.9989999999999996E-4</v>
      </c>
    </row>
    <row r="337" spans="1:11">
      <c r="A337" s="15">
        <v>8</v>
      </c>
      <c r="B337" s="22">
        <v>39826</v>
      </c>
      <c r="C337" s="15">
        <v>2009</v>
      </c>
      <c r="D337" s="11" t="s">
        <v>39</v>
      </c>
      <c r="E337" s="12">
        <v>1</v>
      </c>
      <c r="F337" s="23">
        <v>1.4219999999999999</v>
      </c>
      <c r="G337" s="23">
        <v>2.1000000000000001E-2</v>
      </c>
      <c r="H337" s="23">
        <v>9.9989999999999996E-4</v>
      </c>
      <c r="I337" s="23">
        <v>0.39200000000000002</v>
      </c>
      <c r="J337" s="23">
        <v>5.0000000000000001E-3</v>
      </c>
      <c r="K337" s="23">
        <v>9.9989999999999996E-4</v>
      </c>
    </row>
    <row r="338" spans="1:11">
      <c r="A338" s="15">
        <v>15</v>
      </c>
      <c r="B338" s="22">
        <v>39826</v>
      </c>
      <c r="C338" s="15">
        <v>2009</v>
      </c>
      <c r="D338" s="11" t="s">
        <v>39</v>
      </c>
      <c r="E338" s="12">
        <v>1</v>
      </c>
      <c r="F338" s="23">
        <v>3.698</v>
      </c>
      <c r="G338" s="23">
        <v>9.6000000000000002E-2</v>
      </c>
      <c r="H338" s="23">
        <v>9.9989999999999996E-4</v>
      </c>
      <c r="I338" s="23">
        <v>0.94299999999999995</v>
      </c>
      <c r="J338" s="23">
        <v>8.9999999999999993E-3</v>
      </c>
      <c r="K338" s="23">
        <v>9.9989999999999996E-4</v>
      </c>
    </row>
    <row r="339" spans="1:11">
      <c r="A339" s="12">
        <v>6</v>
      </c>
      <c r="B339" s="22">
        <v>39854</v>
      </c>
      <c r="C339" s="15">
        <v>2009</v>
      </c>
      <c r="D339" s="11" t="s">
        <v>28</v>
      </c>
      <c r="E339" s="12">
        <v>2</v>
      </c>
      <c r="F339" s="23">
        <v>3.08</v>
      </c>
      <c r="G339" s="23">
        <v>3.7999999999999999E-2</v>
      </c>
      <c r="H339" s="23">
        <v>1.7999999999999999E-2</v>
      </c>
      <c r="I339" s="23">
        <v>0.92400000000000004</v>
      </c>
      <c r="J339" s="23">
        <v>1.9E-2</v>
      </c>
      <c r="K339" s="23">
        <v>9.9989999999999996E-4</v>
      </c>
    </row>
    <row r="340" spans="1:11">
      <c r="A340" s="12">
        <v>8</v>
      </c>
      <c r="B340" s="22">
        <v>39855</v>
      </c>
      <c r="C340" s="15">
        <v>2009</v>
      </c>
      <c r="D340" s="11" t="s">
        <v>28</v>
      </c>
      <c r="E340" s="12">
        <v>2</v>
      </c>
      <c r="F340" s="23">
        <v>2.1640000000000001</v>
      </c>
      <c r="G340" s="23">
        <v>1.2E-2</v>
      </c>
      <c r="H340" s="23">
        <v>9.9989999999999996E-4</v>
      </c>
      <c r="I340" s="23">
        <v>0.79800000000000004</v>
      </c>
      <c r="J340" s="23">
        <v>1.4999999999999999E-2</v>
      </c>
      <c r="K340" s="23">
        <v>9.9989999999999996E-4</v>
      </c>
    </row>
    <row r="341" spans="1:11">
      <c r="A341" s="12">
        <v>15</v>
      </c>
      <c r="B341" s="22">
        <v>39855</v>
      </c>
      <c r="C341" s="15">
        <v>2009</v>
      </c>
      <c r="D341" s="11" t="s">
        <v>28</v>
      </c>
      <c r="E341" s="12">
        <v>2</v>
      </c>
      <c r="F341" s="23">
        <v>2.4750000000000001</v>
      </c>
      <c r="G341" s="23">
        <v>3.6999999999999998E-2</v>
      </c>
      <c r="H341" s="23">
        <v>1E-3</v>
      </c>
      <c r="I341" s="23">
        <v>0.84899999999999998</v>
      </c>
      <c r="J341" s="23">
        <v>1.7999999999999999E-2</v>
      </c>
      <c r="K341" s="23">
        <v>9.9989999999999996E-4</v>
      </c>
    </row>
    <row r="342" spans="1:11">
      <c r="A342" s="12">
        <v>6</v>
      </c>
      <c r="B342" s="22">
        <v>39890</v>
      </c>
      <c r="C342" s="15">
        <v>2009</v>
      </c>
      <c r="D342" s="11" t="s">
        <v>29</v>
      </c>
      <c r="E342" s="12">
        <v>3</v>
      </c>
      <c r="F342" s="23">
        <v>5.8040000000000003</v>
      </c>
      <c r="G342" s="25">
        <v>9.9989999999999996E-4</v>
      </c>
      <c r="H342" s="25">
        <v>1E-3</v>
      </c>
      <c r="I342" s="25">
        <v>2.5910000000000002</v>
      </c>
      <c r="J342" s="25">
        <v>3.3000000000000002E-2</v>
      </c>
      <c r="K342" s="25">
        <v>9.9989999999999996E-4</v>
      </c>
    </row>
    <row r="343" spans="1:11">
      <c r="A343" s="12">
        <v>8</v>
      </c>
      <c r="B343" s="22">
        <v>39888</v>
      </c>
      <c r="C343" s="15">
        <v>2009</v>
      </c>
      <c r="D343" s="11" t="s">
        <v>29</v>
      </c>
      <c r="E343" s="12">
        <v>3</v>
      </c>
      <c r="F343" s="23">
        <v>1.9910000000000001</v>
      </c>
      <c r="G343" s="25">
        <v>4.1000000000000002E-2</v>
      </c>
      <c r="H343" s="25">
        <v>9.9989999999999996E-4</v>
      </c>
      <c r="I343" s="25">
        <v>0.65400000000000003</v>
      </c>
      <c r="J343" s="25">
        <v>1.4999999999999999E-2</v>
      </c>
      <c r="K343" s="25">
        <v>9.9989999999999996E-4</v>
      </c>
    </row>
    <row r="344" spans="1:11">
      <c r="A344" s="12">
        <v>15</v>
      </c>
      <c r="B344" s="22">
        <v>39888</v>
      </c>
      <c r="C344" s="15">
        <v>2009</v>
      </c>
      <c r="D344" s="11" t="s">
        <v>29</v>
      </c>
      <c r="E344" s="12">
        <v>3</v>
      </c>
      <c r="F344" s="23">
        <v>3.77</v>
      </c>
      <c r="G344" s="25">
        <v>2.5000000000000001E-2</v>
      </c>
      <c r="H344" s="25">
        <v>1E-3</v>
      </c>
      <c r="I344" s="25">
        <v>1.5780000000000001</v>
      </c>
      <c r="J344" s="25">
        <v>2.1999999999999999E-2</v>
      </c>
      <c r="K344" s="25">
        <v>9.9989999999999996E-4</v>
      </c>
    </row>
    <row r="345" spans="1:11">
      <c r="A345" s="12">
        <v>6</v>
      </c>
      <c r="B345" s="22">
        <v>39920</v>
      </c>
      <c r="C345" s="15">
        <v>2009</v>
      </c>
      <c r="D345" s="11" t="s">
        <v>30</v>
      </c>
      <c r="E345" s="12">
        <v>4</v>
      </c>
      <c r="F345" s="23">
        <v>1.2190000000000001</v>
      </c>
      <c r="G345" s="25">
        <v>6.0000000000000001E-3</v>
      </c>
      <c r="H345" s="25">
        <v>9.9989999999999996E-4</v>
      </c>
      <c r="I345" s="25">
        <v>0.192</v>
      </c>
      <c r="J345" s="25">
        <v>2.3E-2</v>
      </c>
      <c r="K345" s="25">
        <v>9.9989999999999996E-4</v>
      </c>
    </row>
    <row r="346" spans="1:11">
      <c r="A346" s="12">
        <v>8</v>
      </c>
      <c r="B346" s="22">
        <v>39916</v>
      </c>
      <c r="C346" s="15">
        <v>2009</v>
      </c>
      <c r="D346" s="11" t="s">
        <v>30</v>
      </c>
      <c r="E346" s="12">
        <v>4</v>
      </c>
      <c r="F346" s="23">
        <v>0.41199999999999998</v>
      </c>
      <c r="G346" s="25">
        <v>1.7000000000000001E-2</v>
      </c>
      <c r="H346" s="25">
        <v>9.9989999999999996E-4</v>
      </c>
      <c r="I346" s="25">
        <v>5.3999999999999999E-2</v>
      </c>
      <c r="J346" s="25">
        <v>8.9999999999999993E-3</v>
      </c>
      <c r="K346" s="25">
        <v>9.9989999999999996E-4</v>
      </c>
    </row>
    <row r="347" spans="1:11">
      <c r="A347" s="12">
        <v>15</v>
      </c>
      <c r="B347" s="22">
        <v>39916</v>
      </c>
      <c r="C347" s="15">
        <v>2009</v>
      </c>
      <c r="D347" s="11" t="s">
        <v>30</v>
      </c>
      <c r="E347" s="12">
        <v>4</v>
      </c>
      <c r="F347" s="23">
        <v>1.7949999999999999</v>
      </c>
      <c r="G347" s="25">
        <v>2.1000000000000001E-2</v>
      </c>
      <c r="H347" s="25">
        <v>9.9989999999999996E-4</v>
      </c>
      <c r="I347" s="25">
        <v>0.193</v>
      </c>
      <c r="J347" s="25">
        <v>2.5999999999999999E-2</v>
      </c>
      <c r="K347" s="25">
        <v>9.9989999999999996E-4</v>
      </c>
    </row>
    <row r="348" spans="1:11">
      <c r="A348" s="12">
        <v>6</v>
      </c>
      <c r="B348" s="22">
        <v>39945</v>
      </c>
      <c r="C348" s="15">
        <v>2009</v>
      </c>
      <c r="D348" s="11" t="s">
        <v>31</v>
      </c>
      <c r="E348" s="12">
        <v>5</v>
      </c>
      <c r="F348" s="23">
        <v>8.4529999999999994</v>
      </c>
      <c r="G348" s="25">
        <v>2.7E-2</v>
      </c>
      <c r="H348" s="25">
        <v>1.502</v>
      </c>
      <c r="I348" s="25">
        <v>3.5009999999999999</v>
      </c>
      <c r="J348" s="25">
        <v>0.14899999999999999</v>
      </c>
      <c r="K348" s="25">
        <v>9.9989999999999996E-4</v>
      </c>
    </row>
    <row r="349" spans="1:11">
      <c r="A349" s="12">
        <v>8</v>
      </c>
      <c r="B349" s="22">
        <v>39946</v>
      </c>
      <c r="C349" s="15">
        <v>2009</v>
      </c>
      <c r="D349" s="11" t="s">
        <v>31</v>
      </c>
      <c r="E349" s="12">
        <v>5</v>
      </c>
      <c r="F349" s="23">
        <v>0.33900000000000002</v>
      </c>
      <c r="G349" s="25">
        <v>9.9989999999999996E-4</v>
      </c>
      <c r="H349" s="25">
        <v>9.9989999999999996E-4</v>
      </c>
      <c r="I349" s="25">
        <v>3.4000000000000002E-2</v>
      </c>
      <c r="J349" s="25">
        <v>9.9989999999999996E-4</v>
      </c>
      <c r="K349" s="25">
        <v>9.9989999999999996E-4</v>
      </c>
    </row>
    <row r="350" spans="1:11">
      <c r="A350" s="12">
        <v>15</v>
      </c>
      <c r="B350" s="22">
        <v>39946</v>
      </c>
      <c r="C350" s="15">
        <v>2009</v>
      </c>
      <c r="D350" s="11" t="s">
        <v>31</v>
      </c>
      <c r="E350" s="12">
        <v>5</v>
      </c>
      <c r="F350" s="23">
        <v>7.6669999999999998</v>
      </c>
      <c r="G350" s="25">
        <v>4.3999999999999997E-2</v>
      </c>
      <c r="H350" s="25">
        <v>1.1679999999999999</v>
      </c>
      <c r="I350" s="25">
        <v>3.2650000000000001</v>
      </c>
      <c r="J350" s="25">
        <v>0.16400000000000001</v>
      </c>
      <c r="K350" s="25">
        <v>9.9989999999999996E-4</v>
      </c>
    </row>
    <row r="351" spans="1:11">
      <c r="A351" s="15">
        <v>6</v>
      </c>
      <c r="B351" s="22">
        <v>39980</v>
      </c>
      <c r="C351" s="15">
        <v>2009</v>
      </c>
      <c r="D351" s="11" t="s">
        <v>32</v>
      </c>
      <c r="E351" s="12">
        <v>6</v>
      </c>
      <c r="F351" s="23">
        <v>15.779</v>
      </c>
      <c r="G351" s="25">
        <v>9.0999999999999998E-2</v>
      </c>
      <c r="H351" s="25">
        <v>3.258</v>
      </c>
      <c r="I351" s="25">
        <v>5.782</v>
      </c>
      <c r="J351" s="25">
        <v>0.246</v>
      </c>
      <c r="K351" s="25">
        <v>1E-3</v>
      </c>
    </row>
    <row r="352" spans="1:11">
      <c r="A352" s="15">
        <v>8</v>
      </c>
      <c r="B352" s="22">
        <v>39983</v>
      </c>
      <c r="C352" s="15">
        <v>2009</v>
      </c>
      <c r="D352" s="11" t="s">
        <v>32</v>
      </c>
      <c r="E352" s="12">
        <v>6</v>
      </c>
      <c r="F352" s="23">
        <v>2.0019999999999998</v>
      </c>
      <c r="G352" s="25">
        <v>5.8999999999999997E-2</v>
      </c>
      <c r="H352" s="25">
        <v>1E-3</v>
      </c>
      <c r="I352" s="25">
        <v>0.308</v>
      </c>
      <c r="J352" s="25">
        <v>1.4999999999999999E-2</v>
      </c>
      <c r="K352" s="25">
        <v>9.9989999999999996E-4</v>
      </c>
    </row>
    <row r="353" spans="1:11">
      <c r="A353" s="15">
        <v>15</v>
      </c>
      <c r="B353" s="22">
        <v>39983</v>
      </c>
      <c r="C353" s="15">
        <v>2009</v>
      </c>
      <c r="D353" s="11" t="s">
        <v>32</v>
      </c>
      <c r="E353" s="12">
        <v>6</v>
      </c>
      <c r="F353" s="23">
        <v>8.2710000000000008</v>
      </c>
      <c r="G353" s="25">
        <v>0.14399999999999999</v>
      </c>
      <c r="H353" s="25">
        <v>0.39700000000000002</v>
      </c>
      <c r="I353" s="25">
        <v>2.641</v>
      </c>
      <c r="J353" s="25">
        <v>0.61299999999999999</v>
      </c>
      <c r="K353" s="25">
        <v>1E-3</v>
      </c>
    </row>
    <row r="354" spans="1:11">
      <c r="A354" s="15">
        <v>6</v>
      </c>
      <c r="B354" s="22">
        <v>40007</v>
      </c>
      <c r="C354" s="15">
        <v>2009</v>
      </c>
      <c r="D354" s="11" t="s">
        <v>33</v>
      </c>
      <c r="E354" s="12">
        <v>7</v>
      </c>
      <c r="F354" s="23">
        <v>9.7100000000000009</v>
      </c>
      <c r="G354" s="25">
        <v>0.123</v>
      </c>
      <c r="H354" s="25">
        <v>0.17299999999999999</v>
      </c>
      <c r="I354" s="25">
        <v>2.665</v>
      </c>
      <c r="J354" s="25">
        <v>1.454</v>
      </c>
      <c r="K354" s="25">
        <v>1E-3</v>
      </c>
    </row>
    <row r="355" spans="1:11">
      <c r="A355" s="15">
        <v>8</v>
      </c>
      <c r="B355" s="22">
        <v>40007</v>
      </c>
      <c r="C355" s="15">
        <v>2009</v>
      </c>
      <c r="D355" s="11" t="s">
        <v>33</v>
      </c>
      <c r="E355" s="12">
        <v>7</v>
      </c>
      <c r="F355" s="23">
        <v>1.663</v>
      </c>
      <c r="G355" s="25">
        <v>8.3000000000000004E-2</v>
      </c>
      <c r="H355" s="25">
        <v>9.9989999999999996E-4</v>
      </c>
      <c r="I355" s="25">
        <v>0.13300000000000001</v>
      </c>
      <c r="J355" s="25">
        <v>1.4999999999999999E-2</v>
      </c>
      <c r="K355" s="25">
        <v>9.9989999999999996E-4</v>
      </c>
    </row>
    <row r="356" spans="1:11">
      <c r="A356" s="15">
        <v>15</v>
      </c>
      <c r="B356" s="22">
        <v>40007</v>
      </c>
      <c r="C356" s="15">
        <v>2009</v>
      </c>
      <c r="D356" s="11" t="s">
        <v>33</v>
      </c>
      <c r="E356" s="12">
        <v>7</v>
      </c>
      <c r="F356" s="23">
        <v>12.875999999999999</v>
      </c>
      <c r="G356" s="25">
        <v>0.18099999999999999</v>
      </c>
      <c r="H356" s="25">
        <v>0.44700000000000001</v>
      </c>
      <c r="I356" s="25">
        <v>3.9950000000000001</v>
      </c>
      <c r="J356" s="25">
        <v>1.4670000000000001</v>
      </c>
      <c r="K356" s="25">
        <v>1E-3</v>
      </c>
    </row>
    <row r="357" spans="1:11">
      <c r="A357" s="15">
        <v>6</v>
      </c>
      <c r="B357" s="22">
        <v>40043</v>
      </c>
      <c r="C357" s="15">
        <v>2009</v>
      </c>
      <c r="D357" s="11" t="s">
        <v>34</v>
      </c>
      <c r="E357" s="12">
        <v>8</v>
      </c>
      <c r="F357" s="23">
        <v>8.4060000000000006</v>
      </c>
      <c r="G357" s="25">
        <v>0.13200000000000001</v>
      </c>
      <c r="H357" s="25">
        <v>1E-3</v>
      </c>
      <c r="I357" s="25">
        <v>1.0189999999999999</v>
      </c>
      <c r="J357" s="25">
        <v>1.5780000000000001</v>
      </c>
      <c r="K357" s="25">
        <v>1E-3</v>
      </c>
    </row>
    <row r="358" spans="1:11">
      <c r="A358" s="15">
        <v>8</v>
      </c>
      <c r="B358" s="22">
        <v>40042</v>
      </c>
      <c r="C358" s="15">
        <v>2009</v>
      </c>
      <c r="D358" s="11" t="s">
        <v>34</v>
      </c>
      <c r="E358" s="12">
        <v>8</v>
      </c>
      <c r="F358" s="23">
        <v>3.9969999999999999</v>
      </c>
      <c r="G358" s="25">
        <v>5.2999999999999999E-2</v>
      </c>
      <c r="H358" s="25">
        <v>1E-3</v>
      </c>
      <c r="I358" s="25">
        <v>1.022</v>
      </c>
      <c r="J358" s="25">
        <v>6.2E-2</v>
      </c>
      <c r="K358" s="25">
        <v>9.9989999999999996E-4</v>
      </c>
    </row>
    <row r="359" spans="1:11">
      <c r="A359" s="15">
        <v>15</v>
      </c>
      <c r="B359" s="22">
        <v>40042</v>
      </c>
      <c r="C359" s="15">
        <v>2009</v>
      </c>
      <c r="D359" s="11" t="s">
        <v>34</v>
      </c>
      <c r="E359" s="12">
        <v>8</v>
      </c>
      <c r="F359" s="23">
        <v>4.3540000000000001</v>
      </c>
      <c r="G359" s="25">
        <v>0.12</v>
      </c>
      <c r="H359" s="25">
        <v>9.9989999999999996E-4</v>
      </c>
      <c r="I359" s="25">
        <v>0.63100000000000001</v>
      </c>
      <c r="J359" s="25">
        <v>0.97599999999999998</v>
      </c>
      <c r="K359" s="25">
        <v>9.9989999999999996E-4</v>
      </c>
    </row>
    <row r="360" spans="1:11">
      <c r="A360" s="15">
        <v>6</v>
      </c>
      <c r="B360" s="22">
        <v>40070</v>
      </c>
      <c r="C360" s="15">
        <v>2009</v>
      </c>
      <c r="D360" s="11" t="s">
        <v>40</v>
      </c>
      <c r="E360" s="12">
        <v>9</v>
      </c>
      <c r="F360" s="23">
        <v>15.342000000000001</v>
      </c>
      <c r="G360" s="25">
        <v>0.42499999999999999</v>
      </c>
      <c r="H360" s="25">
        <v>1E-3</v>
      </c>
      <c r="I360" s="25">
        <v>3.8159999999999998</v>
      </c>
      <c r="J360" s="25">
        <v>0.51700000000000002</v>
      </c>
      <c r="K360" s="25">
        <v>9.9989999999999996E-4</v>
      </c>
    </row>
    <row r="361" spans="1:11">
      <c r="A361" s="15">
        <v>8</v>
      </c>
      <c r="B361" s="22">
        <v>40071</v>
      </c>
      <c r="C361" s="15">
        <v>2009</v>
      </c>
      <c r="D361" s="11" t="s">
        <v>40</v>
      </c>
      <c r="E361" s="12">
        <v>9</v>
      </c>
      <c r="F361" s="23">
        <v>3.0209999999999999</v>
      </c>
      <c r="G361" s="25">
        <v>1.4999999999999999E-2</v>
      </c>
      <c r="H361" s="25">
        <v>1E-3</v>
      </c>
      <c r="I361" s="25">
        <v>0.58399999999999996</v>
      </c>
      <c r="J361" s="25">
        <v>3.2000000000000001E-2</v>
      </c>
      <c r="K361" s="25">
        <v>9.9989999999999996E-4</v>
      </c>
    </row>
    <row r="362" spans="1:11">
      <c r="A362" s="15">
        <v>15</v>
      </c>
      <c r="B362" s="22">
        <v>40071</v>
      </c>
      <c r="C362" s="15">
        <v>2009</v>
      </c>
      <c r="D362" s="11" t="s">
        <v>40</v>
      </c>
      <c r="E362" s="12">
        <v>9</v>
      </c>
      <c r="F362" s="23">
        <v>5.6849999999999996</v>
      </c>
      <c r="G362" s="25">
        <v>6.0999999999999999E-2</v>
      </c>
      <c r="H362" s="25">
        <v>1E-3</v>
      </c>
      <c r="I362" s="25">
        <v>1.2270000000000001</v>
      </c>
      <c r="J362" s="25">
        <v>0.41099999999999998</v>
      </c>
      <c r="K362" s="25">
        <v>9.9989999999999996E-4</v>
      </c>
    </row>
    <row r="363" spans="1:11">
      <c r="A363" s="15">
        <v>6</v>
      </c>
      <c r="B363" s="22">
        <v>40099</v>
      </c>
      <c r="C363" s="15">
        <v>2009</v>
      </c>
      <c r="D363" s="11" t="s">
        <v>36</v>
      </c>
      <c r="E363" s="12">
        <v>10</v>
      </c>
      <c r="F363" s="23">
        <v>7.2110000000000003</v>
      </c>
      <c r="G363" s="25">
        <v>2.8000000000000001E-2</v>
      </c>
      <c r="H363" s="25">
        <v>0.11899999999999999</v>
      </c>
      <c r="I363" s="25">
        <v>4.6539999999999999</v>
      </c>
      <c r="J363" s="25">
        <v>0.97099999999999997</v>
      </c>
      <c r="K363" s="25">
        <v>9.9989999999999996E-4</v>
      </c>
    </row>
    <row r="364" spans="1:11">
      <c r="A364" s="15">
        <v>8</v>
      </c>
      <c r="B364" s="22">
        <v>40100</v>
      </c>
      <c r="C364" s="15">
        <v>2009</v>
      </c>
      <c r="D364" s="11" t="s">
        <v>36</v>
      </c>
      <c r="E364" s="12">
        <v>10</v>
      </c>
      <c r="F364" s="23">
        <v>1.18</v>
      </c>
      <c r="G364" s="25">
        <v>1.2999999999999999E-2</v>
      </c>
      <c r="H364" s="25">
        <v>1E-3</v>
      </c>
      <c r="I364" s="25">
        <v>0.309</v>
      </c>
      <c r="J364" s="25">
        <v>8.9999999999999993E-3</v>
      </c>
      <c r="K364" s="25">
        <v>9.9989999999999996E-4</v>
      </c>
    </row>
    <row r="365" spans="1:11">
      <c r="A365" s="15">
        <v>15</v>
      </c>
      <c r="B365" s="22">
        <v>40100</v>
      </c>
      <c r="C365" s="15">
        <v>2009</v>
      </c>
      <c r="D365" s="11" t="s">
        <v>36</v>
      </c>
      <c r="E365" s="12">
        <v>10</v>
      </c>
      <c r="F365" s="23">
        <v>5.5419999999999998</v>
      </c>
      <c r="G365" s="25">
        <v>8.2000000000000003E-2</v>
      </c>
      <c r="H365" s="25">
        <v>9.9989999999999996E-4</v>
      </c>
      <c r="I365" s="25">
        <v>1.643</v>
      </c>
      <c r="J365" s="25">
        <v>8.5000000000000006E-2</v>
      </c>
      <c r="K365" s="25">
        <v>9.9989999999999996E-4</v>
      </c>
    </row>
    <row r="366" spans="1:11">
      <c r="A366" s="15">
        <v>6</v>
      </c>
      <c r="B366" s="22">
        <v>40133</v>
      </c>
      <c r="C366" s="15">
        <v>2009</v>
      </c>
      <c r="D366" s="11" t="s">
        <v>37</v>
      </c>
      <c r="E366" s="12">
        <v>11</v>
      </c>
      <c r="F366" s="23">
        <v>3.5150000000000001</v>
      </c>
      <c r="G366" s="25">
        <v>3.9E-2</v>
      </c>
      <c r="H366" s="25">
        <v>9.9989999999999996E-4</v>
      </c>
      <c r="I366" s="25">
        <v>0.82099999999999995</v>
      </c>
      <c r="J366" s="25">
        <v>3.7999999999999999E-2</v>
      </c>
      <c r="K366" s="25">
        <v>9.9989999999999996E-4</v>
      </c>
    </row>
    <row r="367" spans="1:11">
      <c r="A367" s="15">
        <v>8</v>
      </c>
      <c r="B367" s="22">
        <v>40133</v>
      </c>
      <c r="C367" s="15">
        <v>2009</v>
      </c>
      <c r="D367" s="11" t="s">
        <v>37</v>
      </c>
      <c r="E367" s="12">
        <v>11</v>
      </c>
      <c r="F367" s="23">
        <v>2.919</v>
      </c>
      <c r="G367" s="25">
        <v>0.113</v>
      </c>
      <c r="H367" s="25">
        <v>1E-3</v>
      </c>
      <c r="I367" s="25">
        <v>0.80100000000000005</v>
      </c>
      <c r="J367" s="25">
        <v>4.1000000000000002E-2</v>
      </c>
      <c r="K367" s="25">
        <v>9.9989999999999996E-4</v>
      </c>
    </row>
    <row r="368" spans="1:11">
      <c r="A368" s="15">
        <v>15</v>
      </c>
      <c r="B368" s="22">
        <v>40133</v>
      </c>
      <c r="C368" s="15">
        <v>2009</v>
      </c>
      <c r="D368" s="11" t="s">
        <v>37</v>
      </c>
      <c r="E368" s="12">
        <v>11</v>
      </c>
      <c r="F368" s="23">
        <v>3.758</v>
      </c>
      <c r="G368" s="25">
        <v>7.0999999999999994E-2</v>
      </c>
      <c r="H368" s="25">
        <v>1E-3</v>
      </c>
      <c r="I368" s="25">
        <v>1.129</v>
      </c>
      <c r="J368" s="25">
        <v>4.1000000000000002E-2</v>
      </c>
      <c r="K368" s="25">
        <v>9.9989999999999996E-4</v>
      </c>
    </row>
    <row r="369" spans="1:11">
      <c r="A369" s="15">
        <v>6</v>
      </c>
      <c r="B369" s="22">
        <v>40161</v>
      </c>
      <c r="C369" s="15">
        <v>2009</v>
      </c>
      <c r="D369" s="11" t="s">
        <v>38</v>
      </c>
      <c r="E369" s="12">
        <v>12</v>
      </c>
      <c r="F369" s="23">
        <v>2.84</v>
      </c>
      <c r="G369" s="25">
        <v>0.15</v>
      </c>
      <c r="H369" s="25">
        <v>0.02</v>
      </c>
      <c r="I369" s="25">
        <v>0.45800000000000002</v>
      </c>
      <c r="J369" s="25">
        <v>2.1000000000000001E-2</v>
      </c>
      <c r="K369" s="25">
        <v>9.9989999999999996E-4</v>
      </c>
    </row>
    <row r="370" spans="1:11">
      <c r="A370" s="15">
        <v>8</v>
      </c>
      <c r="B370" s="22">
        <v>40161</v>
      </c>
      <c r="C370" s="15">
        <v>2009</v>
      </c>
      <c r="D370" s="11" t="s">
        <v>38</v>
      </c>
      <c r="E370" s="12">
        <v>12</v>
      </c>
      <c r="F370" s="23">
        <v>2.5099999999999998</v>
      </c>
      <c r="G370" s="25">
        <v>4.8000000000000001E-2</v>
      </c>
      <c r="H370" s="25">
        <v>9.9989999999999996E-4</v>
      </c>
      <c r="I370" s="25">
        <v>0.63800000000000001</v>
      </c>
      <c r="J370" s="25">
        <v>1.0999999999999999E-2</v>
      </c>
      <c r="K370" s="25">
        <v>9.9989999999999996E-4</v>
      </c>
    </row>
    <row r="371" spans="1:11">
      <c r="A371" s="15">
        <v>15</v>
      </c>
      <c r="B371" s="22">
        <v>40161</v>
      </c>
      <c r="C371" s="15">
        <v>2009</v>
      </c>
      <c r="D371" s="11" t="s">
        <v>38</v>
      </c>
      <c r="E371" s="12">
        <v>12</v>
      </c>
      <c r="F371" s="23">
        <v>1.82</v>
      </c>
      <c r="G371" s="25">
        <v>7.0000000000000007E-2</v>
      </c>
      <c r="H371" s="25">
        <v>9.9989999999999996E-4</v>
      </c>
      <c r="I371" s="25">
        <v>0.31900000000000001</v>
      </c>
      <c r="J371" s="25">
        <v>8.9999999999999993E-3</v>
      </c>
      <c r="K371" s="25">
        <v>9.9989999999999996E-4</v>
      </c>
    </row>
    <row r="372" spans="1:11">
      <c r="A372" s="15">
        <v>6</v>
      </c>
      <c r="B372" s="19">
        <v>40197</v>
      </c>
      <c r="C372" s="15">
        <v>2010</v>
      </c>
      <c r="D372" s="11" t="s">
        <v>39</v>
      </c>
      <c r="E372" s="15">
        <v>1</v>
      </c>
      <c r="F372" s="26">
        <v>4.9989999999999997</v>
      </c>
      <c r="G372" s="18">
        <v>8.9699249999999994E-2</v>
      </c>
      <c r="H372" s="18">
        <v>0</v>
      </c>
      <c r="I372" s="18">
        <v>1.9752213749999998</v>
      </c>
      <c r="J372" s="18">
        <v>2.1874625000000002E-2</v>
      </c>
      <c r="K372" s="18">
        <v>0</v>
      </c>
    </row>
    <row r="373" spans="1:11">
      <c r="A373" s="15">
        <v>8</v>
      </c>
      <c r="B373" s="19">
        <v>40197</v>
      </c>
      <c r="C373" s="15">
        <v>2010</v>
      </c>
      <c r="D373" s="11" t="s">
        <v>39</v>
      </c>
      <c r="E373" s="15">
        <v>1</v>
      </c>
      <c r="F373" s="26">
        <v>5.9050000000000002</v>
      </c>
      <c r="G373" s="18">
        <v>0.11726499999999999</v>
      </c>
      <c r="H373" s="18">
        <v>0</v>
      </c>
      <c r="I373" s="18">
        <v>2.4125623749999998</v>
      </c>
      <c r="J373" s="18">
        <v>1.5281125E-2</v>
      </c>
      <c r="K373" s="18">
        <v>0</v>
      </c>
    </row>
    <row r="374" spans="1:11">
      <c r="A374" s="15">
        <v>15</v>
      </c>
      <c r="B374" s="19">
        <v>40197</v>
      </c>
      <c r="C374" s="15">
        <v>2010</v>
      </c>
      <c r="D374" s="11" t="s">
        <v>39</v>
      </c>
      <c r="E374" s="15">
        <v>1</v>
      </c>
      <c r="F374" s="26">
        <v>4.7960000000000003</v>
      </c>
      <c r="G374" s="18">
        <v>0.172687375</v>
      </c>
      <c r="H374" s="18">
        <v>0</v>
      </c>
      <c r="I374" s="18">
        <v>1.8365761249999999</v>
      </c>
      <c r="J374" s="18">
        <v>2.3786000000000002E-2</v>
      </c>
      <c r="K374" s="18">
        <v>0</v>
      </c>
    </row>
    <row r="375" spans="1:11">
      <c r="A375" s="15">
        <v>6</v>
      </c>
      <c r="B375" s="19">
        <v>40225</v>
      </c>
      <c r="C375" s="15">
        <v>2010</v>
      </c>
      <c r="D375" s="11" t="s">
        <v>28</v>
      </c>
      <c r="E375" s="15">
        <v>2</v>
      </c>
      <c r="F375" s="26">
        <v>12.962999999999999</v>
      </c>
      <c r="G375" s="18">
        <v>0.40162474999999997</v>
      </c>
      <c r="H375" s="18">
        <v>0</v>
      </c>
      <c r="I375" s="18">
        <v>5.6583409999999992</v>
      </c>
      <c r="J375" s="18">
        <v>7.0670750000000004E-2</v>
      </c>
      <c r="K375" s="18">
        <v>0</v>
      </c>
    </row>
    <row r="376" spans="1:11">
      <c r="A376" s="15">
        <v>8</v>
      </c>
      <c r="B376" s="19">
        <v>40225</v>
      </c>
      <c r="C376" s="15">
        <v>2010</v>
      </c>
      <c r="D376" s="11" t="s">
        <v>28</v>
      </c>
      <c r="E376" s="15">
        <v>2</v>
      </c>
      <c r="F376" s="26">
        <v>6.0780000000000003</v>
      </c>
      <c r="G376" s="18">
        <v>1.2885874999999998E-2</v>
      </c>
      <c r="H376" s="18">
        <v>0</v>
      </c>
      <c r="I376" s="18">
        <v>1.420873625</v>
      </c>
      <c r="J376" s="18">
        <v>0.17010137499999997</v>
      </c>
      <c r="K376" s="18">
        <v>0</v>
      </c>
    </row>
    <row r="377" spans="1:11">
      <c r="A377" s="15">
        <v>15</v>
      </c>
      <c r="B377" s="19">
        <v>40225</v>
      </c>
      <c r="C377" s="15">
        <v>2010</v>
      </c>
      <c r="D377" s="11" t="s">
        <v>28</v>
      </c>
      <c r="E377" s="15">
        <v>2</v>
      </c>
      <c r="F377" s="26">
        <v>6.5510000000000002</v>
      </c>
      <c r="G377" s="18">
        <v>3.4054999999999995E-2</v>
      </c>
      <c r="H377" s="18">
        <v>0</v>
      </c>
      <c r="I377" s="18">
        <v>1.2893794999999997</v>
      </c>
      <c r="J377" s="18">
        <v>4.7679625000000003E-2</v>
      </c>
      <c r="K377" s="18">
        <v>0</v>
      </c>
    </row>
    <row r="378" spans="1:11">
      <c r="A378" s="15">
        <v>6</v>
      </c>
      <c r="B378" s="19">
        <v>40254</v>
      </c>
      <c r="C378" s="15">
        <v>2010</v>
      </c>
      <c r="D378" s="11" t="s">
        <v>29</v>
      </c>
      <c r="E378" s="15">
        <v>3</v>
      </c>
      <c r="F378" s="26">
        <v>6.1379999999999999</v>
      </c>
      <c r="G378" s="18">
        <v>0</v>
      </c>
      <c r="H378" s="18">
        <v>0</v>
      </c>
      <c r="I378" s="18">
        <v>2.5625428749999997</v>
      </c>
      <c r="J378" s="18">
        <v>5.5063624999999984E-2</v>
      </c>
      <c r="K378" s="18">
        <v>0</v>
      </c>
    </row>
    <row r="379" spans="1:11">
      <c r="A379" s="15">
        <v>8</v>
      </c>
      <c r="B379" s="19">
        <v>40255</v>
      </c>
      <c r="C379" s="15">
        <v>2010</v>
      </c>
      <c r="D379" s="11" t="s">
        <v>29</v>
      </c>
      <c r="E379" s="15">
        <v>3</v>
      </c>
      <c r="F379" s="26">
        <v>6.1959999999999997</v>
      </c>
      <c r="G379" s="18">
        <v>6.8309499999999995E-2</v>
      </c>
      <c r="H379" s="18">
        <v>0</v>
      </c>
      <c r="I379" s="18">
        <v>2.6467047499999996</v>
      </c>
      <c r="J379" s="18">
        <v>7.8760374999999994E-2</v>
      </c>
      <c r="K379" s="18">
        <v>0</v>
      </c>
    </row>
    <row r="380" spans="1:11">
      <c r="A380" s="15">
        <v>15</v>
      </c>
      <c r="B380" s="19">
        <v>40255</v>
      </c>
      <c r="C380" s="15">
        <v>2010</v>
      </c>
      <c r="D380" s="11" t="s">
        <v>29</v>
      </c>
      <c r="E380" s="15">
        <v>3</v>
      </c>
      <c r="F380" s="26">
        <v>6.1070000000000002</v>
      </c>
      <c r="G380" s="18">
        <v>2.5503999999999999E-2</v>
      </c>
      <c r="H380" s="18">
        <v>0</v>
      </c>
      <c r="I380" s="18">
        <v>2.5867329999999997</v>
      </c>
      <c r="J380" s="18">
        <v>8.5736499999999993E-2</v>
      </c>
      <c r="K380" s="18">
        <v>0</v>
      </c>
    </row>
    <row r="381" spans="1:11">
      <c r="A381" s="15">
        <v>6</v>
      </c>
      <c r="B381" s="19">
        <v>40280</v>
      </c>
      <c r="C381" s="15">
        <v>2010</v>
      </c>
      <c r="D381" s="11" t="s">
        <v>30</v>
      </c>
      <c r="E381" s="15">
        <v>4</v>
      </c>
      <c r="F381" s="26">
        <v>2.9020000000000001</v>
      </c>
      <c r="G381" s="18">
        <v>0</v>
      </c>
      <c r="H381" s="18">
        <v>0</v>
      </c>
      <c r="I381" s="18">
        <v>1.0030531250000001</v>
      </c>
      <c r="J381" s="18">
        <v>3.3315749999999998E-2</v>
      </c>
      <c r="K381" s="18">
        <v>0</v>
      </c>
    </row>
    <row r="382" spans="1:11">
      <c r="A382" s="15">
        <v>8</v>
      </c>
      <c r="B382" s="19">
        <v>40281</v>
      </c>
      <c r="C382" s="15">
        <v>2010</v>
      </c>
      <c r="D382" s="11" t="s">
        <v>30</v>
      </c>
      <c r="E382" s="15">
        <v>4</v>
      </c>
      <c r="F382" s="26">
        <v>0.80500000000000005</v>
      </c>
      <c r="G382" s="18">
        <v>2.9824375000000004E-2</v>
      </c>
      <c r="H382" s="18">
        <v>0</v>
      </c>
      <c r="I382" s="18">
        <v>0.15340712499999998</v>
      </c>
      <c r="J382" s="18">
        <v>6.3816250000000001E-3</v>
      </c>
      <c r="K382" s="18">
        <v>0</v>
      </c>
    </row>
    <row r="383" spans="1:11">
      <c r="A383" s="15">
        <v>15</v>
      </c>
      <c r="B383" s="19">
        <v>40281</v>
      </c>
      <c r="C383" s="15">
        <v>2010</v>
      </c>
      <c r="D383" s="11" t="s">
        <v>30</v>
      </c>
      <c r="E383" s="15">
        <v>4</v>
      </c>
      <c r="F383" s="26">
        <v>1.873</v>
      </c>
      <c r="G383" s="18">
        <v>0.14003712500000001</v>
      </c>
      <c r="H383" s="18">
        <v>0</v>
      </c>
      <c r="I383" s="18">
        <v>0.43758524999999993</v>
      </c>
      <c r="J383" s="18">
        <v>1.3408500000000002E-2</v>
      </c>
      <c r="K383" s="18">
        <v>0</v>
      </c>
    </row>
    <row r="384" spans="1:11">
      <c r="A384" s="15">
        <v>6</v>
      </c>
      <c r="B384" s="22">
        <v>40315</v>
      </c>
      <c r="C384" s="15">
        <v>2010</v>
      </c>
      <c r="D384" s="11" t="s">
        <v>31</v>
      </c>
      <c r="E384" s="15">
        <v>5</v>
      </c>
      <c r="F384" s="27">
        <v>6.8540000000000001</v>
      </c>
      <c r="G384" s="18">
        <v>0.11470087499999998</v>
      </c>
      <c r="H384" s="18">
        <v>0.81112087499999985</v>
      </c>
      <c r="I384" s="18">
        <v>3.84321175</v>
      </c>
      <c r="J384" s="18">
        <v>0.23109987499999998</v>
      </c>
      <c r="K384" s="18">
        <v>4.4747874999999999E-2</v>
      </c>
    </row>
    <row r="385" spans="1:11">
      <c r="A385" s="15">
        <v>8</v>
      </c>
      <c r="B385" s="22">
        <v>40317</v>
      </c>
      <c r="C385" s="15">
        <v>2010</v>
      </c>
      <c r="D385" s="11" t="s">
        <v>31</v>
      </c>
      <c r="E385" s="15">
        <v>5</v>
      </c>
      <c r="F385" s="27">
        <v>1.6919999999999999</v>
      </c>
      <c r="G385" s="18">
        <v>1.661325E-2</v>
      </c>
      <c r="H385" s="18">
        <v>0</v>
      </c>
      <c r="I385" s="18">
        <v>0.55132612499999989</v>
      </c>
      <c r="J385" s="18">
        <v>2.2913999999999997E-2</v>
      </c>
      <c r="K385" s="18">
        <v>0</v>
      </c>
    </row>
    <row r="386" spans="1:11">
      <c r="A386" s="15">
        <v>15</v>
      </c>
      <c r="B386" s="22">
        <v>40317</v>
      </c>
      <c r="C386" s="15">
        <v>2010</v>
      </c>
      <c r="D386" s="11" t="s">
        <v>31</v>
      </c>
      <c r="E386" s="15">
        <v>5</v>
      </c>
      <c r="F386" s="27">
        <v>4.1239999999999997</v>
      </c>
      <c r="G386" s="18">
        <v>1.7090500000000002E-2</v>
      </c>
      <c r="H386" s="18">
        <v>0.52261687499999987</v>
      </c>
      <c r="I386" s="18">
        <v>2.1057296249999999</v>
      </c>
      <c r="J386" s="18">
        <v>0.41578087499999988</v>
      </c>
      <c r="K386" s="18">
        <v>0</v>
      </c>
    </row>
    <row r="387" spans="1:11">
      <c r="A387" s="15">
        <v>6</v>
      </c>
      <c r="B387" s="22">
        <v>40344</v>
      </c>
      <c r="C387" s="15">
        <v>2010</v>
      </c>
      <c r="D387" s="11" t="s">
        <v>32</v>
      </c>
      <c r="E387" s="15">
        <v>6</v>
      </c>
      <c r="F387" s="27">
        <v>9.5589999999999993</v>
      </c>
      <c r="G387" s="18">
        <v>0.172917875</v>
      </c>
      <c r="H387" s="18">
        <v>0</v>
      </c>
      <c r="I387" s="18">
        <v>2.0582235</v>
      </c>
      <c r="J387" s="18">
        <v>1.2212901249999997</v>
      </c>
      <c r="K387" s="18">
        <v>0</v>
      </c>
    </row>
    <row r="388" spans="1:11">
      <c r="A388" s="15">
        <v>8</v>
      </c>
      <c r="B388" s="22">
        <v>40345</v>
      </c>
      <c r="C388" s="15">
        <v>2010</v>
      </c>
      <c r="D388" s="11" t="s">
        <v>32</v>
      </c>
      <c r="E388" s="15">
        <v>6</v>
      </c>
      <c r="F388" s="27">
        <v>4.774</v>
      </c>
      <c r="G388" s="18">
        <v>0.17781674999999997</v>
      </c>
      <c r="H388" s="18">
        <v>0</v>
      </c>
      <c r="I388" s="18">
        <v>1.3392356249999999</v>
      </c>
      <c r="J388" s="18">
        <v>8.3474999999999994E-2</v>
      </c>
      <c r="K388" s="18">
        <v>0</v>
      </c>
    </row>
    <row r="389" spans="1:11">
      <c r="A389" s="15">
        <v>15</v>
      </c>
      <c r="B389" s="22">
        <v>40345</v>
      </c>
      <c r="C389" s="15">
        <v>2010</v>
      </c>
      <c r="D389" s="11" t="s">
        <v>32</v>
      </c>
      <c r="E389" s="15">
        <v>6</v>
      </c>
      <c r="F389" s="27">
        <v>3.863</v>
      </c>
      <c r="G389" s="18">
        <v>8.1293500000000005E-2</v>
      </c>
      <c r="H389" s="18">
        <v>7.1072499999999997E-2</v>
      </c>
      <c r="I389" s="18">
        <v>0.90657987500000015</v>
      </c>
      <c r="J389" s="18">
        <v>0.91202050000000012</v>
      </c>
      <c r="K389" s="18">
        <v>0</v>
      </c>
    </row>
    <row r="390" spans="1:11">
      <c r="A390" s="15">
        <v>6</v>
      </c>
      <c r="B390" s="22">
        <v>40374</v>
      </c>
      <c r="C390" s="15">
        <v>2010</v>
      </c>
      <c r="D390" s="11" t="s">
        <v>33</v>
      </c>
      <c r="E390" s="15">
        <v>7</v>
      </c>
      <c r="F390" s="27">
        <v>7.5309999999999997</v>
      </c>
      <c r="G390" s="18">
        <v>0.12337099999999999</v>
      </c>
      <c r="H390" s="18">
        <v>2.6966624999999998E-2</v>
      </c>
      <c r="I390" s="18">
        <v>0.98062062499999991</v>
      </c>
      <c r="J390" s="18">
        <v>1.8868426250000001</v>
      </c>
      <c r="K390" s="18">
        <v>0</v>
      </c>
    </row>
    <row r="391" spans="1:11">
      <c r="A391" s="15">
        <v>8</v>
      </c>
      <c r="B391" s="22">
        <v>40374</v>
      </c>
      <c r="C391" s="15">
        <v>2010</v>
      </c>
      <c r="D391" s="11" t="s">
        <v>33</v>
      </c>
      <c r="E391" s="15">
        <v>7</v>
      </c>
      <c r="F391" s="27">
        <v>5.3780000000000001</v>
      </c>
      <c r="G391" s="18">
        <v>0.28138974999999999</v>
      </c>
      <c r="H391" s="18">
        <v>0</v>
      </c>
      <c r="I391" s="18">
        <v>1.9705622499999997</v>
      </c>
      <c r="J391" s="18">
        <v>9.4454125E-2</v>
      </c>
      <c r="K391" s="18">
        <v>0</v>
      </c>
    </row>
    <row r="392" spans="1:11">
      <c r="A392" s="15">
        <v>15</v>
      </c>
      <c r="B392" s="22">
        <v>40374</v>
      </c>
      <c r="C392" s="15">
        <v>2010</v>
      </c>
      <c r="D392" s="11" t="s">
        <v>33</v>
      </c>
      <c r="E392" s="15">
        <v>7</v>
      </c>
      <c r="F392" s="27">
        <v>5.258</v>
      </c>
      <c r="G392" s="18">
        <v>0.20745437500000002</v>
      </c>
      <c r="H392" s="18">
        <v>2.6513999999999999E-2</v>
      </c>
      <c r="I392" s="18">
        <v>1.6579238750000003</v>
      </c>
      <c r="J392" s="18">
        <v>0.72480949999999988</v>
      </c>
      <c r="K392" s="18">
        <v>0</v>
      </c>
    </row>
    <row r="393" spans="1:11">
      <c r="A393" s="15">
        <v>6</v>
      </c>
      <c r="B393" s="22">
        <v>40407</v>
      </c>
      <c r="C393" s="15">
        <v>2010</v>
      </c>
      <c r="D393" s="11" t="s">
        <v>34</v>
      </c>
      <c r="E393" s="15">
        <v>8</v>
      </c>
      <c r="F393" s="27">
        <v>6.5019999999999998</v>
      </c>
      <c r="G393" s="18">
        <v>0.29048337499999999</v>
      </c>
      <c r="H393" s="18">
        <v>0</v>
      </c>
      <c r="I393" s="18">
        <v>1.7452052499999997</v>
      </c>
      <c r="J393" s="18">
        <v>1.2353462500000001</v>
      </c>
      <c r="K393" s="18">
        <v>0</v>
      </c>
    </row>
    <row r="394" spans="1:11">
      <c r="A394" s="15">
        <v>8</v>
      </c>
      <c r="B394" s="22">
        <v>40409</v>
      </c>
      <c r="C394" s="15">
        <v>2010</v>
      </c>
      <c r="D394" s="11" t="s">
        <v>34</v>
      </c>
      <c r="E394" s="15">
        <v>8</v>
      </c>
      <c r="F394" s="27">
        <v>6.0250000000000004</v>
      </c>
      <c r="G394" s="18">
        <v>0.45027587499999994</v>
      </c>
      <c r="H394" s="18">
        <v>0</v>
      </c>
      <c r="I394" s="18">
        <v>2.0735653749999998</v>
      </c>
      <c r="J394" s="18">
        <v>8.6458624999999997E-2</v>
      </c>
      <c r="K394" s="18">
        <v>0</v>
      </c>
    </row>
    <row r="395" spans="1:11">
      <c r="A395" s="15">
        <v>15</v>
      </c>
      <c r="B395" s="22">
        <v>40409</v>
      </c>
      <c r="C395" s="15">
        <v>2010</v>
      </c>
      <c r="D395" s="11" t="s">
        <v>34</v>
      </c>
      <c r="E395" s="15">
        <v>8</v>
      </c>
      <c r="F395" s="27">
        <v>7.1319999999999997</v>
      </c>
      <c r="G395" s="18">
        <v>0.11062099999999998</v>
      </c>
      <c r="H395" s="18">
        <v>0</v>
      </c>
      <c r="I395" s="18">
        <v>3.0616693750000001</v>
      </c>
      <c r="J395" s="18">
        <v>0.42832524999999994</v>
      </c>
      <c r="K395" s="18">
        <v>0</v>
      </c>
    </row>
    <row r="396" spans="1:11">
      <c r="A396" s="15">
        <v>6</v>
      </c>
      <c r="B396" s="22">
        <v>40436</v>
      </c>
      <c r="C396" s="15">
        <v>2010</v>
      </c>
      <c r="D396" s="11" t="s">
        <v>40</v>
      </c>
      <c r="E396" s="15">
        <v>9</v>
      </c>
      <c r="F396" s="27">
        <v>8.3450000000000006</v>
      </c>
      <c r="G396" s="18">
        <v>0.13136600000000001</v>
      </c>
      <c r="H396" s="18">
        <v>6.0940124999999998E-2</v>
      </c>
      <c r="I396" s="18">
        <v>3.6247561249999998</v>
      </c>
      <c r="J396" s="18">
        <v>0.608402</v>
      </c>
      <c r="K396" s="18">
        <v>0</v>
      </c>
    </row>
    <row r="397" spans="1:11">
      <c r="A397" s="15">
        <v>8</v>
      </c>
      <c r="B397" s="22">
        <v>40434</v>
      </c>
      <c r="C397" s="15">
        <v>2010</v>
      </c>
      <c r="D397" s="11" t="s">
        <v>40</v>
      </c>
      <c r="E397" s="15">
        <v>9</v>
      </c>
      <c r="F397" s="27">
        <v>6.6950000000000003</v>
      </c>
      <c r="G397" s="18">
        <v>5.3241875000000001E-2</v>
      </c>
      <c r="H397" s="18">
        <v>0</v>
      </c>
      <c r="I397" s="18">
        <v>2.5509623750000006</v>
      </c>
      <c r="J397" s="18">
        <v>9.3220249999999991E-2</v>
      </c>
      <c r="K397" s="18">
        <v>0</v>
      </c>
    </row>
    <row r="398" spans="1:11">
      <c r="A398" s="15">
        <v>15</v>
      </c>
      <c r="B398" s="22">
        <v>40434</v>
      </c>
      <c r="C398" s="15">
        <v>2010</v>
      </c>
      <c r="D398" s="11" t="s">
        <v>40</v>
      </c>
      <c r="E398" s="15">
        <v>9</v>
      </c>
      <c r="F398" s="27">
        <v>5.4589999999999996</v>
      </c>
      <c r="G398" s="18">
        <v>4.2189625000000001E-2</v>
      </c>
      <c r="H398" s="18">
        <v>0</v>
      </c>
      <c r="I398" s="18">
        <v>1.8076376249999999</v>
      </c>
      <c r="J398" s="18">
        <v>0.73892062499999989</v>
      </c>
      <c r="K398" s="18">
        <v>0</v>
      </c>
    </row>
    <row r="399" spans="1:11">
      <c r="A399" s="15">
        <v>6</v>
      </c>
      <c r="B399" s="22">
        <v>40464</v>
      </c>
      <c r="C399" s="15">
        <v>2010</v>
      </c>
      <c r="D399" s="11" t="s">
        <v>36</v>
      </c>
      <c r="E399" s="15">
        <v>10</v>
      </c>
      <c r="F399" s="26">
        <v>6.468</v>
      </c>
      <c r="G399" s="18">
        <v>8.3711499999999994E-2</v>
      </c>
      <c r="H399" s="18">
        <v>0</v>
      </c>
      <c r="I399" s="18">
        <v>2.4023811249999998</v>
      </c>
      <c r="J399" s="18">
        <v>0.27667025000000001</v>
      </c>
      <c r="K399" s="18">
        <v>0</v>
      </c>
    </row>
    <row r="400" spans="1:11">
      <c r="A400" s="15">
        <v>8</v>
      </c>
      <c r="B400" s="22">
        <v>40463</v>
      </c>
      <c r="C400" s="15">
        <v>2010</v>
      </c>
      <c r="D400" s="11" t="s">
        <v>36</v>
      </c>
      <c r="E400" s="15">
        <v>10</v>
      </c>
      <c r="F400" s="26">
        <v>3.1059999999999999</v>
      </c>
      <c r="G400" s="18">
        <v>2.2666374999999999E-2</v>
      </c>
      <c r="H400" s="18">
        <v>0</v>
      </c>
      <c r="I400" s="18">
        <v>0.60815112500000001</v>
      </c>
      <c r="J400" s="18">
        <v>2.9628374999999998E-2</v>
      </c>
      <c r="K400" s="18">
        <v>0</v>
      </c>
    </row>
    <row r="401" spans="1:11">
      <c r="A401" s="15">
        <v>15</v>
      </c>
      <c r="B401" s="22">
        <v>40463</v>
      </c>
      <c r="C401" s="15">
        <v>2010</v>
      </c>
      <c r="D401" s="11" t="s">
        <v>36</v>
      </c>
      <c r="E401" s="15">
        <v>10</v>
      </c>
      <c r="F401" s="26">
        <v>3.3380000000000001</v>
      </c>
      <c r="G401" s="18">
        <v>1.5332000000000002E-2</v>
      </c>
      <c r="H401" s="18">
        <v>0</v>
      </c>
      <c r="I401" s="18">
        <v>0.50218775000000004</v>
      </c>
      <c r="J401" s="18">
        <v>0.1522995</v>
      </c>
      <c r="K401" s="18">
        <v>0</v>
      </c>
    </row>
    <row r="402" spans="1:11">
      <c r="A402" s="15">
        <v>6</v>
      </c>
      <c r="B402" s="22">
        <v>40498</v>
      </c>
      <c r="C402" s="15">
        <v>2010</v>
      </c>
      <c r="D402" s="11" t="s">
        <v>37</v>
      </c>
      <c r="E402" s="15">
        <v>11</v>
      </c>
      <c r="F402" s="26">
        <v>1.373</v>
      </c>
      <c r="G402" s="18">
        <v>4.6619749999999995E-2</v>
      </c>
      <c r="H402" s="18">
        <v>0</v>
      </c>
      <c r="I402" s="18">
        <v>0.24493424999999996</v>
      </c>
      <c r="J402" s="18">
        <v>1.5401875000000001E-2</v>
      </c>
      <c r="K402" s="18">
        <v>0</v>
      </c>
    </row>
    <row r="403" spans="1:11">
      <c r="A403" s="15">
        <v>8</v>
      </c>
      <c r="B403" s="22">
        <v>40500</v>
      </c>
      <c r="C403" s="15">
        <v>2010</v>
      </c>
      <c r="D403" s="11" t="s">
        <v>37</v>
      </c>
      <c r="E403" s="15">
        <v>11</v>
      </c>
      <c r="F403" s="26">
        <v>2.5230000000000001</v>
      </c>
      <c r="G403" s="18">
        <v>6.6786125000000016E-2</v>
      </c>
      <c r="H403" s="18">
        <v>0</v>
      </c>
      <c r="I403" s="18">
        <v>0.54801999999999995</v>
      </c>
      <c r="J403" s="18">
        <v>1.3466000000000001E-2</v>
      </c>
      <c r="K403" s="18">
        <v>0</v>
      </c>
    </row>
    <row r="404" spans="1:11">
      <c r="A404" s="15">
        <v>15</v>
      </c>
      <c r="B404" s="22">
        <v>40500</v>
      </c>
      <c r="C404" s="15">
        <v>2010</v>
      </c>
      <c r="D404" s="11" t="s">
        <v>37</v>
      </c>
      <c r="E404" s="15">
        <v>11</v>
      </c>
      <c r="F404" s="26">
        <v>3.8769999999999998</v>
      </c>
      <c r="G404" s="18">
        <v>0.23588512499999995</v>
      </c>
      <c r="H404" s="18">
        <v>0</v>
      </c>
      <c r="I404" s="18">
        <v>0.92351037500000011</v>
      </c>
      <c r="J404" s="18">
        <v>0.14167325</v>
      </c>
      <c r="K404" s="18">
        <v>0</v>
      </c>
    </row>
    <row r="405" spans="1:11">
      <c r="A405" s="15">
        <v>6</v>
      </c>
      <c r="B405" s="22">
        <v>40520</v>
      </c>
      <c r="C405" s="15">
        <v>2010</v>
      </c>
      <c r="D405" s="11" t="s">
        <v>38</v>
      </c>
      <c r="E405" s="15">
        <v>12</v>
      </c>
      <c r="F405" s="26">
        <v>3.7120000000000002</v>
      </c>
      <c r="G405" s="18">
        <v>1.8746799999999997E-2</v>
      </c>
      <c r="H405" s="18">
        <v>0.19244220000000001</v>
      </c>
      <c r="I405" s="18">
        <v>1.552262</v>
      </c>
      <c r="J405" s="18">
        <v>0.20973059999999999</v>
      </c>
      <c r="K405" s="18">
        <v>0</v>
      </c>
    </row>
    <row r="406" spans="1:11">
      <c r="A406" s="15">
        <v>8</v>
      </c>
      <c r="B406" s="22">
        <v>40521</v>
      </c>
      <c r="C406" s="15">
        <v>2010</v>
      </c>
      <c r="D406" s="11" t="s">
        <v>38</v>
      </c>
      <c r="E406" s="15">
        <v>12</v>
      </c>
      <c r="F406" s="26">
        <v>1.1579999999999999</v>
      </c>
      <c r="G406" s="18">
        <v>0</v>
      </c>
      <c r="H406" s="18">
        <v>0</v>
      </c>
      <c r="I406" s="18">
        <v>0.29790074999999999</v>
      </c>
      <c r="J406" s="18">
        <v>1.3161124999999999E-2</v>
      </c>
      <c r="K406" s="18">
        <v>0</v>
      </c>
    </row>
    <row r="407" spans="1:11">
      <c r="A407" s="15">
        <v>15</v>
      </c>
      <c r="B407" s="22">
        <v>40521</v>
      </c>
      <c r="C407" s="15">
        <v>2010</v>
      </c>
      <c r="D407" s="11" t="s">
        <v>38</v>
      </c>
      <c r="E407" s="15">
        <v>12</v>
      </c>
      <c r="F407" s="26">
        <v>3.177</v>
      </c>
      <c r="G407" s="18">
        <v>4.8404875E-2</v>
      </c>
      <c r="H407" s="18">
        <v>0.150901125</v>
      </c>
      <c r="I407" s="18">
        <v>1.1805088749999999</v>
      </c>
      <c r="J407" s="18">
        <v>8.2773374999999969E-2</v>
      </c>
      <c r="K407" s="18">
        <v>0</v>
      </c>
    </row>
    <row r="408" spans="1:11">
      <c r="A408" s="15">
        <v>6</v>
      </c>
      <c r="B408" s="22">
        <v>40562</v>
      </c>
      <c r="C408" s="15">
        <v>2011</v>
      </c>
      <c r="D408" s="11" t="s">
        <v>39</v>
      </c>
      <c r="E408" s="15">
        <v>1</v>
      </c>
      <c r="F408" s="26">
        <v>2.3679999999999999</v>
      </c>
      <c r="G408" s="18">
        <v>3.8716624999999998E-2</v>
      </c>
      <c r="H408" s="18">
        <v>1.6514999999999998E-2</v>
      </c>
      <c r="I408" s="18">
        <v>0.6569546249999999</v>
      </c>
      <c r="J408" s="18">
        <v>1.0345E-2</v>
      </c>
      <c r="K408" s="18">
        <v>0</v>
      </c>
    </row>
    <row r="409" spans="1:11">
      <c r="A409" s="15">
        <v>8</v>
      </c>
      <c r="B409" s="22">
        <v>40563</v>
      </c>
      <c r="C409" s="15">
        <v>2011</v>
      </c>
      <c r="D409" s="11" t="s">
        <v>39</v>
      </c>
      <c r="E409" s="15">
        <v>1</v>
      </c>
      <c r="F409" s="26">
        <v>2.976</v>
      </c>
      <c r="G409" s="18">
        <v>2.8506499999999997E-2</v>
      </c>
      <c r="H409" s="18">
        <v>0</v>
      </c>
      <c r="I409" s="18">
        <v>1.1207971249999999</v>
      </c>
      <c r="J409" s="18">
        <v>1.1605625E-2</v>
      </c>
      <c r="K409" s="18">
        <v>0</v>
      </c>
    </row>
    <row r="410" spans="1:11">
      <c r="A410" s="15">
        <v>15</v>
      </c>
      <c r="B410" s="22">
        <v>40563</v>
      </c>
      <c r="C410" s="15">
        <v>2011</v>
      </c>
      <c r="D410" s="11" t="s">
        <v>39</v>
      </c>
      <c r="E410" s="15">
        <v>1</v>
      </c>
      <c r="F410" s="26">
        <v>3.0059999999999998</v>
      </c>
      <c r="G410" s="18">
        <v>7.6381624999999995E-2</v>
      </c>
      <c r="H410" s="18">
        <v>0</v>
      </c>
      <c r="I410" s="18">
        <v>0.97548137499999998</v>
      </c>
      <c r="J410" s="18">
        <v>2.4199374999999999E-2</v>
      </c>
      <c r="K410" s="18">
        <v>0</v>
      </c>
    </row>
    <row r="411" spans="1:11">
      <c r="A411" s="15">
        <v>6</v>
      </c>
      <c r="B411" s="22">
        <v>40591</v>
      </c>
      <c r="C411" s="15">
        <v>2011</v>
      </c>
      <c r="D411" s="11" t="s">
        <v>28</v>
      </c>
      <c r="E411" s="15">
        <v>2</v>
      </c>
      <c r="F411" s="26">
        <v>1.8620000000000001</v>
      </c>
      <c r="G411" s="18">
        <v>0.14291262499999999</v>
      </c>
      <c r="H411" s="18">
        <v>1.8867749999999999E-2</v>
      </c>
      <c r="I411" s="18">
        <v>0.6824572499999999</v>
      </c>
      <c r="J411" s="18">
        <v>1.6084374999999998E-2</v>
      </c>
      <c r="K411" s="18">
        <v>0</v>
      </c>
    </row>
    <row r="412" spans="1:11">
      <c r="A412" s="15">
        <v>8</v>
      </c>
      <c r="B412" s="22">
        <v>40598</v>
      </c>
      <c r="C412" s="15">
        <v>2011</v>
      </c>
      <c r="D412" s="11" t="s">
        <v>28</v>
      </c>
      <c r="E412" s="15">
        <v>2</v>
      </c>
      <c r="F412" s="26">
        <v>4.9710000000000001</v>
      </c>
      <c r="G412" s="18">
        <v>6.3637374999999996E-2</v>
      </c>
      <c r="H412" s="18">
        <v>0</v>
      </c>
      <c r="I412" s="18">
        <v>2.0230118749999999</v>
      </c>
      <c r="J412" s="18">
        <v>2.3078624999999998E-2</v>
      </c>
      <c r="K412" s="18">
        <v>0</v>
      </c>
    </row>
    <row r="413" spans="1:11">
      <c r="A413" s="15">
        <v>15</v>
      </c>
      <c r="B413" s="22">
        <v>40598</v>
      </c>
      <c r="C413" s="15">
        <v>2011</v>
      </c>
      <c r="D413" s="11" t="s">
        <v>28</v>
      </c>
      <c r="E413" s="15">
        <v>2</v>
      </c>
      <c r="F413" s="26">
        <v>2.8839999999999999</v>
      </c>
      <c r="G413" s="18">
        <v>6.588200000000001E-2</v>
      </c>
      <c r="H413" s="18">
        <v>0</v>
      </c>
      <c r="I413" s="18">
        <v>1.0552923750000001</v>
      </c>
      <c r="J413" s="18">
        <v>1.073525E-2</v>
      </c>
      <c r="K413" s="18">
        <v>0</v>
      </c>
    </row>
    <row r="414" spans="1:11">
      <c r="A414" s="15">
        <v>6</v>
      </c>
      <c r="B414" s="22">
        <v>40619</v>
      </c>
      <c r="C414" s="15">
        <v>2011</v>
      </c>
      <c r="D414" s="11" t="s">
        <v>29</v>
      </c>
      <c r="E414" s="15">
        <v>3</v>
      </c>
      <c r="F414" s="26">
        <v>1.2869999999999999</v>
      </c>
      <c r="G414" s="18">
        <v>0</v>
      </c>
      <c r="H414" s="18">
        <v>0</v>
      </c>
      <c r="I414" s="18">
        <v>0.46725375000000008</v>
      </c>
      <c r="J414" s="18">
        <v>1.0146624999999999E-2</v>
      </c>
      <c r="K414" s="18">
        <v>0</v>
      </c>
    </row>
    <row r="415" spans="1:11">
      <c r="A415" s="15">
        <v>8</v>
      </c>
      <c r="B415" s="22">
        <v>40617</v>
      </c>
      <c r="C415" s="15">
        <v>2011</v>
      </c>
      <c r="D415" s="11" t="s">
        <v>29</v>
      </c>
      <c r="E415" s="15">
        <v>3</v>
      </c>
      <c r="F415" s="26">
        <v>2.1829999999999998</v>
      </c>
      <c r="G415" s="18">
        <v>6.9755999999999985E-2</v>
      </c>
      <c r="H415" s="18">
        <v>0</v>
      </c>
      <c r="I415" s="18">
        <v>0.8618627499999999</v>
      </c>
      <c r="J415" s="18">
        <v>9.0141249999999996E-3</v>
      </c>
      <c r="K415" s="18">
        <v>0</v>
      </c>
    </row>
    <row r="416" spans="1:11">
      <c r="A416" s="15">
        <v>15</v>
      </c>
      <c r="B416" s="22">
        <v>40617</v>
      </c>
      <c r="C416" s="15">
        <v>2011</v>
      </c>
      <c r="D416" s="11" t="s">
        <v>29</v>
      </c>
      <c r="E416" s="15">
        <v>3</v>
      </c>
      <c r="F416" s="26">
        <v>2.274</v>
      </c>
      <c r="G416" s="18">
        <v>3.2497374999999995E-2</v>
      </c>
      <c r="H416" s="18">
        <v>0</v>
      </c>
      <c r="I416" s="18">
        <v>1.0012592499999999</v>
      </c>
      <c r="J416" s="18">
        <v>1.3963375E-2</v>
      </c>
      <c r="K416" s="18">
        <v>0</v>
      </c>
    </row>
    <row r="417" spans="1:11">
      <c r="A417" s="15">
        <v>6</v>
      </c>
      <c r="B417" s="22">
        <v>40646</v>
      </c>
      <c r="C417" s="15">
        <v>2011</v>
      </c>
      <c r="D417" s="11" t="s">
        <v>30</v>
      </c>
      <c r="E417" s="15">
        <v>4</v>
      </c>
      <c r="F417" s="26">
        <v>1.804</v>
      </c>
      <c r="G417" s="18">
        <v>7.2535500000000003E-2</v>
      </c>
      <c r="H417" s="18">
        <v>0</v>
      </c>
      <c r="I417" s="18">
        <v>0.15437962499999999</v>
      </c>
      <c r="J417" s="18">
        <v>1.16375E-2</v>
      </c>
      <c r="K417" s="18">
        <v>0</v>
      </c>
    </row>
    <row r="418" spans="1:11">
      <c r="A418" s="15">
        <v>8</v>
      </c>
      <c r="B418" s="22">
        <v>40647</v>
      </c>
      <c r="C418" s="15">
        <v>2011</v>
      </c>
      <c r="D418" s="11" t="s">
        <v>30</v>
      </c>
      <c r="E418" s="15">
        <v>4</v>
      </c>
      <c r="F418" s="26">
        <v>1.5169999999999999</v>
      </c>
      <c r="G418" s="18">
        <v>7.8067624999999988E-2</v>
      </c>
      <c r="H418" s="18">
        <v>0</v>
      </c>
      <c r="I418" s="18">
        <v>0.20082874999999997</v>
      </c>
      <c r="J418" s="18">
        <v>6.4710000000000002E-3</v>
      </c>
      <c r="K418" s="18">
        <v>0</v>
      </c>
    </row>
    <row r="419" spans="1:11">
      <c r="A419" s="15">
        <v>15</v>
      </c>
      <c r="B419" s="22">
        <v>40647</v>
      </c>
      <c r="C419" s="15">
        <v>2011</v>
      </c>
      <c r="D419" s="11" t="s">
        <v>30</v>
      </c>
      <c r="E419" s="15">
        <v>4</v>
      </c>
      <c r="F419" s="26">
        <v>1.119</v>
      </c>
      <c r="G419" s="18">
        <v>0.10485512499999999</v>
      </c>
      <c r="H419" s="18">
        <v>0</v>
      </c>
      <c r="I419" s="18">
        <v>0.136097</v>
      </c>
      <c r="J419" s="18">
        <v>9.8975E-3</v>
      </c>
      <c r="K419" s="18">
        <v>0</v>
      </c>
    </row>
    <row r="420" spans="1:11">
      <c r="A420" s="15">
        <v>6</v>
      </c>
      <c r="B420" s="22">
        <v>40681</v>
      </c>
      <c r="C420" s="15">
        <v>2011</v>
      </c>
      <c r="D420" s="11" t="s">
        <v>31</v>
      </c>
      <c r="E420" s="15">
        <v>5</v>
      </c>
      <c r="F420" s="26">
        <v>3.1560000000000001</v>
      </c>
      <c r="G420" s="18">
        <v>3.750574999999999E-2</v>
      </c>
      <c r="H420" s="18">
        <v>0.182752625</v>
      </c>
      <c r="I420" s="18">
        <v>1.3817578749999997</v>
      </c>
      <c r="J420" s="18">
        <v>0.34382800000000008</v>
      </c>
      <c r="K420" s="18">
        <v>0</v>
      </c>
    </row>
    <row r="421" spans="1:11">
      <c r="A421" s="15">
        <v>8</v>
      </c>
      <c r="B421" s="22">
        <v>40682</v>
      </c>
      <c r="C421" s="15">
        <v>2011</v>
      </c>
      <c r="D421" s="11" t="s">
        <v>31</v>
      </c>
      <c r="E421" s="15">
        <v>5</v>
      </c>
      <c r="F421" s="26">
        <v>1.4690000000000001</v>
      </c>
      <c r="G421" s="18">
        <v>0</v>
      </c>
      <c r="H421" s="18">
        <v>0</v>
      </c>
      <c r="I421" s="18">
        <v>0.168544375</v>
      </c>
      <c r="J421" s="18">
        <v>1.1472624999999997E-2</v>
      </c>
      <c r="K421" s="18">
        <v>0</v>
      </c>
    </row>
    <row r="422" spans="1:11">
      <c r="A422" s="15">
        <v>15</v>
      </c>
      <c r="B422" s="22">
        <v>40682</v>
      </c>
      <c r="C422" s="15">
        <v>2011</v>
      </c>
      <c r="D422" s="11" t="s">
        <v>31</v>
      </c>
      <c r="E422" s="15">
        <v>5</v>
      </c>
      <c r="F422" s="26">
        <v>0.86399999999999999</v>
      </c>
      <c r="G422" s="18">
        <v>1.9861875000000001E-2</v>
      </c>
      <c r="H422" s="18">
        <v>0</v>
      </c>
      <c r="I422" s="18">
        <v>0.25125249999999999</v>
      </c>
      <c r="J422" s="18">
        <v>7.544625000000001E-3</v>
      </c>
      <c r="K422" s="18">
        <v>0</v>
      </c>
    </row>
    <row r="423" spans="1:11">
      <c r="A423" s="15">
        <v>6</v>
      </c>
      <c r="B423" s="22">
        <v>40709</v>
      </c>
      <c r="C423" s="15">
        <v>2011</v>
      </c>
      <c r="D423" s="11" t="s">
        <v>32</v>
      </c>
      <c r="E423" s="15">
        <v>6</v>
      </c>
      <c r="F423" s="26">
        <v>4.5199999999999996</v>
      </c>
      <c r="G423" s="18">
        <v>4.0893624999999996E-2</v>
      </c>
      <c r="H423" s="18">
        <v>0</v>
      </c>
      <c r="I423" s="18">
        <v>1.0741095000000001</v>
      </c>
      <c r="J423" s="18">
        <v>0.86125874999999985</v>
      </c>
      <c r="K423" s="18">
        <v>2.6443749999999995E-2</v>
      </c>
    </row>
    <row r="424" spans="1:11">
      <c r="A424" s="15">
        <v>8</v>
      </c>
      <c r="B424" s="22">
        <v>40709</v>
      </c>
      <c r="C424" s="15">
        <v>2011</v>
      </c>
      <c r="D424" s="11" t="s">
        <v>32</v>
      </c>
      <c r="E424" s="15">
        <v>6</v>
      </c>
      <c r="F424" s="26">
        <v>5.7460000000000004</v>
      </c>
      <c r="G424" s="18">
        <v>8.3745749999999994E-2</v>
      </c>
      <c r="H424" s="18">
        <v>0</v>
      </c>
      <c r="I424" s="18">
        <v>1.8019009999999998</v>
      </c>
      <c r="J424" s="18">
        <v>0.10052474999999998</v>
      </c>
      <c r="K424" s="18">
        <v>0</v>
      </c>
    </row>
    <row r="425" spans="1:11">
      <c r="A425" s="15">
        <v>15</v>
      </c>
      <c r="B425" s="22">
        <v>40709</v>
      </c>
      <c r="C425" s="15">
        <v>2011</v>
      </c>
      <c r="D425" s="11" t="s">
        <v>32</v>
      </c>
      <c r="E425" s="15">
        <v>6</v>
      </c>
      <c r="F425" s="26">
        <v>2.988</v>
      </c>
      <c r="G425" s="18">
        <v>0</v>
      </c>
      <c r="H425" s="18">
        <v>0</v>
      </c>
      <c r="I425" s="18">
        <v>0.48424337499999986</v>
      </c>
      <c r="J425" s="18">
        <v>0.35061874999999992</v>
      </c>
      <c r="K425" s="18">
        <v>0</v>
      </c>
    </row>
    <row r="426" spans="1:11">
      <c r="A426" s="15">
        <v>6</v>
      </c>
      <c r="B426" s="22">
        <v>40735</v>
      </c>
      <c r="C426" s="15">
        <v>2011</v>
      </c>
      <c r="D426" s="11" t="s">
        <v>33</v>
      </c>
      <c r="E426" s="15">
        <v>7</v>
      </c>
      <c r="F426" s="26">
        <v>1.407</v>
      </c>
      <c r="G426" s="18">
        <v>7.1704375000000001E-2</v>
      </c>
      <c r="H426" s="18">
        <v>0</v>
      </c>
      <c r="I426" s="18">
        <v>0.32336862499999997</v>
      </c>
      <c r="J426" s="18">
        <v>0.13803262499999999</v>
      </c>
      <c r="K426" s="18">
        <v>0</v>
      </c>
    </row>
    <row r="427" spans="1:11">
      <c r="A427" s="15">
        <v>8</v>
      </c>
      <c r="B427" s="22">
        <v>40736</v>
      </c>
      <c r="C427" s="15">
        <v>2011</v>
      </c>
      <c r="D427" s="11" t="s">
        <v>33</v>
      </c>
      <c r="E427" s="15">
        <v>7</v>
      </c>
      <c r="F427" s="26">
        <v>3.21</v>
      </c>
      <c r="G427" s="18">
        <v>2.247E-2</v>
      </c>
      <c r="H427" s="18">
        <v>0</v>
      </c>
      <c r="I427" s="18">
        <v>0.97207462499999997</v>
      </c>
      <c r="J427" s="18">
        <v>5.6336999999999991E-2</v>
      </c>
      <c r="K427" s="18">
        <v>0</v>
      </c>
    </row>
    <row r="428" spans="1:11">
      <c r="A428" s="15">
        <v>15</v>
      </c>
      <c r="B428" s="22">
        <v>40736</v>
      </c>
      <c r="C428" s="15">
        <v>2011</v>
      </c>
      <c r="D428" s="11" t="s">
        <v>33</v>
      </c>
      <c r="E428" s="15">
        <v>7</v>
      </c>
      <c r="F428" s="26">
        <v>1.7130000000000001</v>
      </c>
      <c r="G428" s="18">
        <v>3.1142124999999996E-2</v>
      </c>
      <c r="H428" s="18">
        <v>0</v>
      </c>
      <c r="I428" s="18">
        <v>0.73017437500000004</v>
      </c>
      <c r="J428" s="18">
        <v>0.10397324999999999</v>
      </c>
      <c r="K428" s="18">
        <v>0</v>
      </c>
    </row>
    <row r="429" spans="1:11">
      <c r="A429" s="15">
        <v>6</v>
      </c>
      <c r="B429" s="22">
        <v>40771</v>
      </c>
      <c r="C429" s="15">
        <v>2011</v>
      </c>
      <c r="D429" s="11" t="s">
        <v>34</v>
      </c>
      <c r="E429" s="15">
        <v>8</v>
      </c>
      <c r="F429" s="26">
        <v>2.86</v>
      </c>
      <c r="G429" s="18">
        <v>0.14200312500000001</v>
      </c>
      <c r="H429" s="18">
        <v>0</v>
      </c>
      <c r="I429" s="18">
        <v>1.070613625</v>
      </c>
      <c r="J429" s="18">
        <v>0.2015825</v>
      </c>
      <c r="K429" s="18">
        <v>0</v>
      </c>
    </row>
    <row r="430" spans="1:11">
      <c r="A430" s="15">
        <v>8</v>
      </c>
      <c r="B430" s="22">
        <v>40772</v>
      </c>
      <c r="C430" s="15">
        <v>2011</v>
      </c>
      <c r="D430" s="11" t="s">
        <v>34</v>
      </c>
      <c r="E430" s="15">
        <v>8</v>
      </c>
      <c r="F430" s="26">
        <v>22.92</v>
      </c>
      <c r="G430" s="18">
        <v>7.3881625000000006E-2</v>
      </c>
      <c r="H430" s="18">
        <v>0</v>
      </c>
      <c r="I430" s="18">
        <v>9.429306875</v>
      </c>
      <c r="J430" s="18">
        <v>0.46562537500000001</v>
      </c>
      <c r="K430" s="18">
        <v>0</v>
      </c>
    </row>
    <row r="431" spans="1:11">
      <c r="A431" s="15">
        <v>15</v>
      </c>
      <c r="B431" s="22">
        <v>40772</v>
      </c>
      <c r="C431" s="15">
        <v>2011</v>
      </c>
      <c r="D431" s="11" t="s">
        <v>34</v>
      </c>
      <c r="E431" s="15">
        <v>8</v>
      </c>
      <c r="F431" s="26">
        <v>1.569</v>
      </c>
      <c r="G431" s="18">
        <v>0.34744012499999993</v>
      </c>
      <c r="H431" s="18">
        <v>0</v>
      </c>
      <c r="I431" s="18">
        <v>0.24858587500000004</v>
      </c>
      <c r="J431" s="18">
        <v>0.31423174999999998</v>
      </c>
      <c r="K431" s="18">
        <v>0</v>
      </c>
    </row>
    <row r="432" spans="1:11">
      <c r="A432" s="15">
        <v>6</v>
      </c>
      <c r="B432" s="22">
        <v>40799</v>
      </c>
      <c r="C432" s="15">
        <v>2011</v>
      </c>
      <c r="D432" s="11" t="s">
        <v>40</v>
      </c>
      <c r="E432" s="15">
        <v>9</v>
      </c>
      <c r="F432" s="26">
        <v>6.6159999999999997</v>
      </c>
      <c r="G432" s="18">
        <v>0.10002900000000001</v>
      </c>
      <c r="H432" s="18">
        <v>0</v>
      </c>
      <c r="I432" s="18">
        <v>1.642322625</v>
      </c>
      <c r="J432" s="18">
        <v>1.7577207500000001</v>
      </c>
      <c r="K432" s="18">
        <v>0</v>
      </c>
    </row>
    <row r="433" spans="1:11">
      <c r="A433" s="15">
        <v>8</v>
      </c>
      <c r="B433" s="22">
        <v>40798</v>
      </c>
      <c r="C433" s="15">
        <v>2011</v>
      </c>
      <c r="D433" s="11" t="s">
        <v>40</v>
      </c>
      <c r="E433" s="15">
        <v>9</v>
      </c>
      <c r="F433" s="26">
        <v>10.555999999999999</v>
      </c>
      <c r="G433" s="18">
        <v>0</v>
      </c>
      <c r="H433" s="18">
        <v>0</v>
      </c>
      <c r="I433" s="18">
        <v>4.2810331250000004</v>
      </c>
      <c r="J433" s="18">
        <v>0.17965900000000001</v>
      </c>
      <c r="K433" s="18">
        <v>0</v>
      </c>
    </row>
    <row r="434" spans="1:11">
      <c r="A434" s="15">
        <v>15</v>
      </c>
      <c r="B434" s="22">
        <v>40798</v>
      </c>
      <c r="C434" s="15">
        <v>2011</v>
      </c>
      <c r="D434" s="11" t="s">
        <v>40</v>
      </c>
      <c r="E434" s="15">
        <v>9</v>
      </c>
      <c r="F434" s="26">
        <v>5.335</v>
      </c>
      <c r="G434" s="18">
        <v>4.074825E-2</v>
      </c>
      <c r="H434" s="18">
        <v>0</v>
      </c>
      <c r="I434" s="18">
        <v>1.9934081249999998</v>
      </c>
      <c r="J434" s="18">
        <v>0.51705262499999993</v>
      </c>
      <c r="K434" s="18">
        <v>0</v>
      </c>
    </row>
    <row r="435" spans="1:11">
      <c r="A435" s="15">
        <v>6</v>
      </c>
      <c r="B435" s="22">
        <v>40827</v>
      </c>
      <c r="C435" s="15">
        <v>2011</v>
      </c>
      <c r="D435" s="11" t="s">
        <v>36</v>
      </c>
      <c r="E435" s="15">
        <v>10</v>
      </c>
      <c r="F435" s="27">
        <v>3.1709999999999998</v>
      </c>
      <c r="G435" s="18">
        <v>0.16441449999999999</v>
      </c>
      <c r="H435" s="18">
        <v>0</v>
      </c>
      <c r="I435" s="18">
        <v>0.34522187500000001</v>
      </c>
      <c r="J435" s="18">
        <v>0.28199487500000003</v>
      </c>
      <c r="K435" s="18">
        <v>0</v>
      </c>
    </row>
    <row r="436" spans="1:11">
      <c r="A436" s="15">
        <v>8</v>
      </c>
      <c r="B436" s="22">
        <v>40829</v>
      </c>
      <c r="C436" s="15">
        <v>2011</v>
      </c>
      <c r="D436" s="11" t="s">
        <v>36</v>
      </c>
      <c r="E436" s="15">
        <v>10</v>
      </c>
      <c r="F436" s="27">
        <v>1.8959999999999999</v>
      </c>
      <c r="G436" s="18">
        <v>3.9905875E-2</v>
      </c>
      <c r="H436" s="18">
        <v>0</v>
      </c>
      <c r="I436" s="18">
        <v>0.71342474999999994</v>
      </c>
      <c r="J436" s="18">
        <v>3.0916250000000003E-2</v>
      </c>
      <c r="K436" s="18">
        <v>0</v>
      </c>
    </row>
    <row r="437" spans="1:11">
      <c r="A437" s="15">
        <v>15</v>
      </c>
      <c r="B437" s="22">
        <v>40829</v>
      </c>
      <c r="C437" s="15">
        <v>2011</v>
      </c>
      <c r="D437" s="11" t="s">
        <v>36</v>
      </c>
      <c r="E437" s="15">
        <v>10</v>
      </c>
      <c r="F437" s="27">
        <v>1.623</v>
      </c>
      <c r="G437" s="18">
        <v>4.7863624999999993E-2</v>
      </c>
      <c r="H437" s="18">
        <v>0</v>
      </c>
      <c r="I437" s="18">
        <v>0.31274024999999994</v>
      </c>
      <c r="J437" s="18">
        <v>2.7736749999999998E-2</v>
      </c>
      <c r="K437" s="18">
        <v>0</v>
      </c>
    </row>
    <row r="438" spans="1:11">
      <c r="A438" s="15">
        <v>6</v>
      </c>
      <c r="B438" s="28">
        <v>40862</v>
      </c>
      <c r="C438" s="15">
        <v>2011</v>
      </c>
      <c r="D438" s="11" t="s">
        <v>37</v>
      </c>
      <c r="E438" s="15">
        <v>11</v>
      </c>
      <c r="F438" s="27">
        <v>7.1029999999999998</v>
      </c>
      <c r="G438" s="18">
        <v>9.4812625000000011E-2</v>
      </c>
      <c r="H438" s="18">
        <v>3.2169749999999997E-2</v>
      </c>
      <c r="I438" s="18">
        <v>2.6951581249999994</v>
      </c>
      <c r="J438" s="18">
        <v>0.16696212499999999</v>
      </c>
      <c r="K438" s="18">
        <v>0</v>
      </c>
    </row>
    <row r="439" spans="1:11">
      <c r="A439" s="15">
        <v>8</v>
      </c>
      <c r="B439" s="28">
        <v>40865</v>
      </c>
      <c r="C439" s="15">
        <v>2011</v>
      </c>
      <c r="D439" s="11" t="s">
        <v>37</v>
      </c>
      <c r="E439" s="15">
        <v>11</v>
      </c>
      <c r="F439" s="27">
        <v>1.5029999999999999</v>
      </c>
      <c r="G439" s="18">
        <v>3.2680750000000001E-2</v>
      </c>
      <c r="H439" s="18">
        <v>2.1779124999999996E-2</v>
      </c>
      <c r="I439" s="18">
        <v>0.38642887500000001</v>
      </c>
      <c r="J439" s="18">
        <v>1.2982875E-2</v>
      </c>
      <c r="K439" s="18">
        <v>0</v>
      </c>
    </row>
    <row r="440" spans="1:11">
      <c r="A440" s="15">
        <v>15</v>
      </c>
      <c r="B440" s="28">
        <v>40865</v>
      </c>
      <c r="C440" s="15">
        <v>2011</v>
      </c>
      <c r="D440" s="11" t="s">
        <v>37</v>
      </c>
      <c r="E440" s="15">
        <v>11</v>
      </c>
      <c r="F440" s="27">
        <v>4.1970000000000001</v>
      </c>
      <c r="G440" s="18">
        <v>0.15777012499999998</v>
      </c>
      <c r="H440" s="18">
        <v>6.1637750000000005E-2</v>
      </c>
      <c r="I440" s="18">
        <v>1.3542453750000001</v>
      </c>
      <c r="J440" s="18">
        <v>4.3196375000000002E-2</v>
      </c>
      <c r="K440" s="18">
        <v>0</v>
      </c>
    </row>
    <row r="441" spans="1:11">
      <c r="A441" s="15">
        <v>6</v>
      </c>
      <c r="B441" s="28">
        <v>40891</v>
      </c>
      <c r="C441" s="15">
        <v>2011</v>
      </c>
      <c r="D441" s="11" t="s">
        <v>38</v>
      </c>
      <c r="E441" s="15">
        <v>12</v>
      </c>
      <c r="F441" s="27">
        <v>4.149</v>
      </c>
      <c r="G441" s="18">
        <v>0.63355312500000005</v>
      </c>
      <c r="H441" s="18">
        <v>0</v>
      </c>
      <c r="I441" s="18">
        <v>0.89984549999999996</v>
      </c>
      <c r="J441" s="18">
        <v>3.1641124999999992E-2</v>
      </c>
      <c r="K441" s="18">
        <v>0</v>
      </c>
    </row>
    <row r="442" spans="1:11">
      <c r="A442" s="15">
        <v>8</v>
      </c>
      <c r="B442" s="28">
        <v>40891</v>
      </c>
      <c r="C442" s="15">
        <v>2011</v>
      </c>
      <c r="D442" s="11" t="s">
        <v>38</v>
      </c>
      <c r="E442" s="15">
        <v>12</v>
      </c>
      <c r="F442" s="27">
        <v>0.69399999999999995</v>
      </c>
      <c r="G442" s="18">
        <v>5.4474874999999992E-2</v>
      </c>
      <c r="H442" s="18">
        <v>0</v>
      </c>
      <c r="I442" s="18">
        <v>0.12335012499999998</v>
      </c>
      <c r="J442" s="18">
        <v>0</v>
      </c>
      <c r="K442" s="18">
        <v>0</v>
      </c>
    </row>
    <row r="443" spans="1:11">
      <c r="A443" s="15">
        <v>15</v>
      </c>
      <c r="B443" s="28">
        <v>40891</v>
      </c>
      <c r="C443" s="15">
        <v>2011</v>
      </c>
      <c r="D443" s="11" t="s">
        <v>38</v>
      </c>
      <c r="E443" s="15">
        <v>12</v>
      </c>
      <c r="F443" s="27">
        <v>3.49</v>
      </c>
      <c r="G443" s="18">
        <v>0.21386425000000001</v>
      </c>
      <c r="H443" s="18">
        <v>0</v>
      </c>
      <c r="I443" s="18">
        <v>0.68382912500000004</v>
      </c>
      <c r="J443" s="18">
        <v>3.9792750000000002E-2</v>
      </c>
      <c r="K443" s="18">
        <v>0</v>
      </c>
    </row>
    <row r="444" spans="1:11">
      <c r="A444" s="15">
        <v>6</v>
      </c>
      <c r="B444" s="22">
        <v>40919</v>
      </c>
      <c r="C444" s="15">
        <v>2012</v>
      </c>
      <c r="D444" s="11" t="s">
        <v>39</v>
      </c>
      <c r="E444" s="15">
        <v>1</v>
      </c>
      <c r="F444" s="29">
        <v>5.1779999999999999</v>
      </c>
      <c r="G444" s="18">
        <v>7.1964874999999998E-2</v>
      </c>
      <c r="H444" s="18">
        <v>0</v>
      </c>
      <c r="I444" s="18">
        <v>2.2151856249999997</v>
      </c>
      <c r="J444" s="18">
        <v>2.0210749999999996E-2</v>
      </c>
      <c r="K444" s="18">
        <v>0</v>
      </c>
    </row>
    <row r="445" spans="1:11">
      <c r="A445" s="15">
        <v>8</v>
      </c>
      <c r="B445" s="22">
        <v>40919</v>
      </c>
      <c r="C445" s="15">
        <v>2012</v>
      </c>
      <c r="D445" s="11" t="s">
        <v>39</v>
      </c>
      <c r="E445" s="15">
        <v>1</v>
      </c>
      <c r="F445" s="29">
        <v>1.081</v>
      </c>
      <c r="G445" s="18">
        <v>8.4749500000000005E-2</v>
      </c>
      <c r="H445" s="18">
        <v>0</v>
      </c>
      <c r="I445" s="18">
        <v>0.22859924999999995</v>
      </c>
      <c r="J445" s="18">
        <v>9.3997499999999984E-3</v>
      </c>
      <c r="K445" s="18">
        <v>0</v>
      </c>
    </row>
    <row r="446" spans="1:11">
      <c r="A446" s="15">
        <v>15</v>
      </c>
      <c r="B446" s="22">
        <v>40919</v>
      </c>
      <c r="C446" s="15">
        <v>2012</v>
      </c>
      <c r="D446" s="11" t="s">
        <v>39</v>
      </c>
      <c r="E446" s="15">
        <v>1</v>
      </c>
      <c r="F446" s="29">
        <v>3.7160000000000002</v>
      </c>
      <c r="G446" s="18">
        <v>4.7310499999999991E-2</v>
      </c>
      <c r="H446" s="18">
        <v>0</v>
      </c>
      <c r="I446" s="18">
        <v>1.4648356249999999</v>
      </c>
      <c r="J446" s="18">
        <v>1.9422374999999999E-2</v>
      </c>
      <c r="K446" s="18">
        <v>0</v>
      </c>
    </row>
    <row r="447" spans="1:11">
      <c r="A447" s="15">
        <v>6</v>
      </c>
      <c r="B447" s="22">
        <v>40962</v>
      </c>
      <c r="C447" s="15">
        <v>2012</v>
      </c>
      <c r="D447" s="11" t="s">
        <v>28</v>
      </c>
      <c r="E447" s="15">
        <v>2</v>
      </c>
      <c r="F447" s="29">
        <v>3.669</v>
      </c>
      <c r="G447" s="18">
        <v>7.4891125000000003E-2</v>
      </c>
      <c r="H447" s="18">
        <v>0</v>
      </c>
      <c r="I447" s="18">
        <v>1.988811125</v>
      </c>
      <c r="J447" s="18">
        <v>3.5093249999999993E-2</v>
      </c>
      <c r="K447" s="18">
        <v>0</v>
      </c>
    </row>
    <row r="448" spans="1:11">
      <c r="A448" s="15">
        <v>8</v>
      </c>
      <c r="B448" s="22">
        <v>40960</v>
      </c>
      <c r="C448" s="15">
        <v>2012</v>
      </c>
      <c r="D448" s="11" t="s">
        <v>28</v>
      </c>
      <c r="E448" s="15">
        <v>2</v>
      </c>
      <c r="F448" s="29">
        <v>1.252</v>
      </c>
      <c r="G448" s="18">
        <v>0.13405287499999999</v>
      </c>
      <c r="H448" s="18">
        <v>0</v>
      </c>
      <c r="I448" s="18">
        <v>0.31244724999999995</v>
      </c>
      <c r="J448" s="18">
        <v>2.4071750000000003E-2</v>
      </c>
      <c r="K448" s="18">
        <v>0</v>
      </c>
    </row>
    <row r="449" spans="1:11">
      <c r="A449" s="15">
        <v>15</v>
      </c>
      <c r="B449" s="22">
        <v>40960</v>
      </c>
      <c r="C449" s="15">
        <v>2012</v>
      </c>
      <c r="D449" s="11" t="s">
        <v>28</v>
      </c>
      <c r="E449" s="15">
        <v>2</v>
      </c>
      <c r="F449" s="29">
        <v>3.2050000000000001</v>
      </c>
      <c r="G449" s="18">
        <v>9.0903125000000001E-2</v>
      </c>
      <c r="H449" s="18">
        <v>8.5333624999999982E-2</v>
      </c>
      <c r="I449" s="18">
        <v>1.5878133749999999</v>
      </c>
      <c r="J449" s="18">
        <v>4.4421249999999995E-2</v>
      </c>
      <c r="K449" s="18">
        <v>0</v>
      </c>
    </row>
    <row r="450" spans="1:11">
      <c r="A450" s="15">
        <v>6</v>
      </c>
      <c r="B450" s="22">
        <v>40980</v>
      </c>
      <c r="C450" s="15">
        <v>2012</v>
      </c>
      <c r="D450" s="11" t="s">
        <v>29</v>
      </c>
      <c r="E450" s="15">
        <v>3</v>
      </c>
      <c r="F450" s="29">
        <v>2.4209999999999998</v>
      </c>
      <c r="G450" s="18">
        <v>3.9877749999999997E-2</v>
      </c>
      <c r="H450" s="18">
        <v>2.7142625E-2</v>
      </c>
      <c r="I450" s="18">
        <v>1.1943785</v>
      </c>
      <c r="J450" s="18">
        <v>5.052412500000001E-2</v>
      </c>
      <c r="K450" s="18">
        <v>0</v>
      </c>
    </row>
    <row r="451" spans="1:11">
      <c r="A451" s="15">
        <v>8</v>
      </c>
      <c r="B451" s="22">
        <v>40982</v>
      </c>
      <c r="C451" s="15">
        <v>2012</v>
      </c>
      <c r="D451" s="11" t="s">
        <v>29</v>
      </c>
      <c r="E451" s="15">
        <v>3</v>
      </c>
      <c r="F451" s="29">
        <v>1.1220000000000001</v>
      </c>
      <c r="G451" s="18">
        <v>8.1064250000000004E-2</v>
      </c>
      <c r="H451" s="18">
        <v>0</v>
      </c>
      <c r="I451" s="18">
        <v>0.34624874999999994</v>
      </c>
      <c r="J451" s="18">
        <v>1.9312625E-2</v>
      </c>
      <c r="K451" s="18">
        <v>0</v>
      </c>
    </row>
    <row r="452" spans="1:11">
      <c r="A452" s="15">
        <v>15</v>
      </c>
      <c r="B452" s="22">
        <v>40982</v>
      </c>
      <c r="C452" s="15">
        <v>2012</v>
      </c>
      <c r="D452" s="11" t="s">
        <v>29</v>
      </c>
      <c r="E452" s="15">
        <v>3</v>
      </c>
      <c r="F452" s="29">
        <v>0.95699999999999996</v>
      </c>
      <c r="G452" s="18">
        <v>0.10089724999999999</v>
      </c>
      <c r="H452" s="18">
        <v>0</v>
      </c>
      <c r="I452" s="18">
        <v>0.20874224999999996</v>
      </c>
      <c r="J452" s="18">
        <v>1.6431874999999999E-2</v>
      </c>
      <c r="K452" s="18">
        <v>0</v>
      </c>
    </row>
    <row r="453" spans="1:11">
      <c r="A453" s="15">
        <v>6</v>
      </c>
      <c r="B453" s="22">
        <v>41015</v>
      </c>
      <c r="C453" s="15">
        <v>2012</v>
      </c>
      <c r="D453" s="11" t="s">
        <v>30</v>
      </c>
      <c r="E453" s="15">
        <v>4</v>
      </c>
      <c r="F453" s="26">
        <v>2.6419999999999999</v>
      </c>
      <c r="G453" s="18">
        <v>2.7193874999999999E-2</v>
      </c>
      <c r="H453" s="18">
        <v>0</v>
      </c>
      <c r="I453" s="18">
        <v>1.1063207499999999</v>
      </c>
      <c r="J453" s="18">
        <v>2.3458000000000003E-2</v>
      </c>
      <c r="K453" s="18">
        <v>0</v>
      </c>
    </row>
    <row r="454" spans="1:11">
      <c r="A454" s="15">
        <v>8</v>
      </c>
      <c r="B454" s="22">
        <v>41016</v>
      </c>
      <c r="C454" s="15">
        <v>2012</v>
      </c>
      <c r="D454" s="11" t="s">
        <v>30</v>
      </c>
      <c r="E454" s="15">
        <v>4</v>
      </c>
      <c r="F454" s="26">
        <v>1.998</v>
      </c>
      <c r="G454" s="18">
        <v>0.11751112499999999</v>
      </c>
      <c r="H454" s="18">
        <v>0</v>
      </c>
      <c r="I454" s="18">
        <v>0.75936224999999991</v>
      </c>
      <c r="J454" s="18">
        <v>2.0338124999999995E-2</v>
      </c>
      <c r="K454" s="18">
        <v>0</v>
      </c>
    </row>
    <row r="455" spans="1:11">
      <c r="A455" s="15">
        <v>15</v>
      </c>
      <c r="B455" s="22">
        <v>41016</v>
      </c>
      <c r="C455" s="15">
        <v>2012</v>
      </c>
      <c r="D455" s="11" t="s">
        <v>30</v>
      </c>
      <c r="E455" s="15">
        <v>4</v>
      </c>
      <c r="F455" s="26">
        <v>1.831</v>
      </c>
      <c r="G455" s="18">
        <v>5.9922374999999993E-2</v>
      </c>
      <c r="H455" s="18">
        <v>0</v>
      </c>
      <c r="I455" s="18">
        <v>0.59995362499999993</v>
      </c>
      <c r="J455" s="18">
        <v>2.4456749999999996E-2</v>
      </c>
      <c r="K455" s="18">
        <v>0</v>
      </c>
    </row>
    <row r="456" spans="1:11">
      <c r="A456" s="15">
        <v>6</v>
      </c>
      <c r="B456" s="22">
        <v>41045</v>
      </c>
      <c r="C456" s="15">
        <v>2012</v>
      </c>
      <c r="D456" s="11" t="s">
        <v>31</v>
      </c>
      <c r="E456" s="15">
        <v>5</v>
      </c>
      <c r="F456" s="26">
        <v>4.5250000000000004</v>
      </c>
      <c r="G456" s="18">
        <v>0.12234762500000003</v>
      </c>
      <c r="H456" s="18">
        <v>0.1656395</v>
      </c>
      <c r="I456" s="18">
        <v>2.35994875</v>
      </c>
      <c r="J456" s="18">
        <v>7.7995875000000006E-2</v>
      </c>
      <c r="K456" s="18">
        <v>0</v>
      </c>
    </row>
    <row r="457" spans="1:11">
      <c r="A457" s="15">
        <v>8</v>
      </c>
      <c r="B457" s="22">
        <v>41051</v>
      </c>
      <c r="C457" s="15">
        <v>2012</v>
      </c>
      <c r="D457" s="11" t="s">
        <v>31</v>
      </c>
      <c r="E457" s="15">
        <v>5</v>
      </c>
      <c r="F457" s="26">
        <v>2.125</v>
      </c>
      <c r="G457" s="18">
        <v>3.6962999999999996E-2</v>
      </c>
      <c r="H457" s="18">
        <v>0</v>
      </c>
      <c r="I457" s="18">
        <v>0.76894612500000015</v>
      </c>
      <c r="J457" s="18">
        <v>1.6594500000000002E-2</v>
      </c>
      <c r="K457" s="18">
        <v>0</v>
      </c>
    </row>
    <row r="458" spans="1:11">
      <c r="A458" s="15">
        <v>15</v>
      </c>
      <c r="B458" s="22">
        <v>41051</v>
      </c>
      <c r="C458" s="15">
        <v>2012</v>
      </c>
      <c r="D458" s="11" t="s">
        <v>31</v>
      </c>
      <c r="E458" s="15">
        <v>5</v>
      </c>
      <c r="F458" s="26">
        <v>7.6310000000000002</v>
      </c>
      <c r="G458" s="18">
        <v>3.179474999999999E-2</v>
      </c>
      <c r="H458" s="18">
        <v>1.0569808749999998</v>
      </c>
      <c r="I458" s="18">
        <v>4.6660288750000003</v>
      </c>
      <c r="J458" s="18">
        <v>0.13724700000000001</v>
      </c>
      <c r="K458" s="18">
        <v>0</v>
      </c>
    </row>
    <row r="459" spans="1:11">
      <c r="A459" s="15">
        <v>6</v>
      </c>
      <c r="B459" s="22">
        <v>41073</v>
      </c>
      <c r="C459" s="15">
        <v>2012</v>
      </c>
      <c r="D459" s="11" t="s">
        <v>32</v>
      </c>
      <c r="E459" s="15">
        <v>6</v>
      </c>
      <c r="F459" s="26">
        <v>13.755000000000001</v>
      </c>
      <c r="G459" s="18">
        <v>0.21984887499999997</v>
      </c>
      <c r="H459" s="18">
        <v>0.43689312499999999</v>
      </c>
      <c r="I459" s="18">
        <v>4.346654375</v>
      </c>
      <c r="J459" s="18">
        <v>0.22710575</v>
      </c>
      <c r="K459" s="18">
        <v>0</v>
      </c>
    </row>
    <row r="460" spans="1:11">
      <c r="A460" s="15">
        <v>8</v>
      </c>
      <c r="B460" s="22">
        <v>41080</v>
      </c>
      <c r="C460" s="15">
        <v>2012</v>
      </c>
      <c r="D460" s="11" t="s">
        <v>32</v>
      </c>
      <c r="E460" s="15">
        <v>6</v>
      </c>
      <c r="F460" s="26">
        <v>2.5510000000000002</v>
      </c>
      <c r="G460" s="18">
        <v>3.5827375000000002E-2</v>
      </c>
      <c r="H460" s="18">
        <v>8.2688250000000005E-2</v>
      </c>
      <c r="I460" s="18">
        <v>1.184563625</v>
      </c>
      <c r="J460" s="18">
        <v>5.4044500000000009E-2</v>
      </c>
      <c r="K460" s="18">
        <v>0</v>
      </c>
    </row>
    <row r="461" spans="1:11">
      <c r="A461" s="15">
        <v>15</v>
      </c>
      <c r="B461" s="22">
        <v>41080</v>
      </c>
      <c r="C461" s="15">
        <v>2012</v>
      </c>
      <c r="D461" s="11" t="s">
        <v>32</v>
      </c>
      <c r="E461" s="15">
        <v>6</v>
      </c>
      <c r="F461" s="26">
        <v>3.3330000000000002</v>
      </c>
      <c r="G461" s="18">
        <v>4.9978874999999999E-2</v>
      </c>
      <c r="H461" s="18">
        <v>0.24990237500000001</v>
      </c>
      <c r="I461" s="18">
        <v>1.5035845000000001</v>
      </c>
      <c r="J461" s="18">
        <v>0.33559624999999993</v>
      </c>
      <c r="K461" s="18">
        <v>0</v>
      </c>
    </row>
    <row r="462" spans="1:11">
      <c r="A462" s="15">
        <v>6</v>
      </c>
      <c r="B462" s="22">
        <v>41107</v>
      </c>
      <c r="C462" s="15">
        <v>2012</v>
      </c>
      <c r="D462" s="11" t="s">
        <v>33</v>
      </c>
      <c r="E462" s="15">
        <v>7</v>
      </c>
      <c r="F462" s="26">
        <v>7.46</v>
      </c>
      <c r="G462" s="18">
        <v>0.35189600000000004</v>
      </c>
      <c r="H462" s="18">
        <v>0</v>
      </c>
      <c r="I462" s="18">
        <v>1.3055807500000001</v>
      </c>
      <c r="J462" s="18">
        <v>2.22117875</v>
      </c>
      <c r="K462" s="18">
        <v>0</v>
      </c>
    </row>
    <row r="463" spans="1:11">
      <c r="A463" s="15">
        <v>8</v>
      </c>
      <c r="B463" s="22">
        <v>41106</v>
      </c>
      <c r="C463" s="15">
        <v>2012</v>
      </c>
      <c r="D463" s="11" t="s">
        <v>33</v>
      </c>
      <c r="E463" s="15">
        <v>7</v>
      </c>
      <c r="F463" s="26">
        <v>6.9989999999999997</v>
      </c>
      <c r="G463" s="18">
        <v>3.2604624999999998E-2</v>
      </c>
      <c r="H463" s="18">
        <v>0</v>
      </c>
      <c r="I463" s="18">
        <v>2.7819926249999996</v>
      </c>
      <c r="J463" s="18">
        <v>5.1892499999999994E-2</v>
      </c>
      <c r="K463" s="18">
        <v>0</v>
      </c>
    </row>
    <row r="464" spans="1:11">
      <c r="A464" s="15">
        <v>15</v>
      </c>
      <c r="B464" s="22">
        <v>41106</v>
      </c>
      <c r="C464" s="15">
        <v>2012</v>
      </c>
      <c r="D464" s="11" t="s">
        <v>33</v>
      </c>
      <c r="E464" s="15">
        <v>7</v>
      </c>
      <c r="F464" s="26">
        <v>6.0439999999999996</v>
      </c>
      <c r="G464" s="18">
        <v>9.8703874999999996E-2</v>
      </c>
      <c r="H464" s="18">
        <v>0</v>
      </c>
      <c r="I464" s="18">
        <v>1.2998034999999997</v>
      </c>
      <c r="J464" s="18">
        <v>1.5827722499999999</v>
      </c>
      <c r="K464" s="18">
        <v>0</v>
      </c>
    </row>
    <row r="465" spans="1:11">
      <c r="A465" s="15">
        <v>6</v>
      </c>
      <c r="B465" s="22">
        <v>41135</v>
      </c>
      <c r="C465" s="15">
        <v>2012</v>
      </c>
      <c r="D465" s="11" t="s">
        <v>34</v>
      </c>
      <c r="E465" s="15">
        <v>8</v>
      </c>
      <c r="F465" s="26">
        <v>5.58</v>
      </c>
      <c r="G465" s="18">
        <v>0.75351912499999996</v>
      </c>
      <c r="H465" s="18">
        <v>0</v>
      </c>
      <c r="I465" s="18">
        <v>1.3556585000000001</v>
      </c>
      <c r="J465" s="18">
        <v>0.88631074999999993</v>
      </c>
      <c r="K465" s="18">
        <v>0</v>
      </c>
    </row>
    <row r="466" spans="1:11">
      <c r="A466" s="15">
        <v>8</v>
      </c>
      <c r="B466" s="22">
        <v>41137</v>
      </c>
      <c r="C466" s="15">
        <v>2012</v>
      </c>
      <c r="D466" s="11" t="s">
        <v>34</v>
      </c>
      <c r="E466" s="15">
        <v>8</v>
      </c>
      <c r="F466" s="26">
        <v>13.215999999999999</v>
      </c>
      <c r="G466" s="18">
        <v>5.9300374999999995E-2</v>
      </c>
      <c r="H466" s="18">
        <v>0</v>
      </c>
      <c r="I466" s="18">
        <v>6.919854374999999</v>
      </c>
      <c r="J466" s="18">
        <v>7.3703624999999995E-2</v>
      </c>
      <c r="K466" s="18">
        <v>0</v>
      </c>
    </row>
    <row r="467" spans="1:11">
      <c r="A467" s="15">
        <v>15</v>
      </c>
      <c r="B467" s="22">
        <v>41137</v>
      </c>
      <c r="C467" s="15">
        <v>2012</v>
      </c>
      <c r="D467" s="11" t="s">
        <v>34</v>
      </c>
      <c r="E467" s="15">
        <v>8</v>
      </c>
      <c r="F467" s="26">
        <v>7.7359999999999998</v>
      </c>
      <c r="G467" s="18">
        <v>2.5932330000000001</v>
      </c>
      <c r="H467" s="18">
        <v>0</v>
      </c>
      <c r="I467" s="18">
        <v>1.2451540000000001</v>
      </c>
      <c r="J467" s="18">
        <v>0.17205637500000001</v>
      </c>
      <c r="K467" s="18">
        <v>0</v>
      </c>
    </row>
    <row r="468" spans="1:11">
      <c r="A468" s="15">
        <v>6</v>
      </c>
      <c r="B468" s="22">
        <v>41164</v>
      </c>
      <c r="C468" s="15">
        <v>2012</v>
      </c>
      <c r="D468" s="11" t="s">
        <v>40</v>
      </c>
      <c r="E468" s="15">
        <v>9</v>
      </c>
      <c r="F468" s="26">
        <v>12.352</v>
      </c>
      <c r="G468" s="18">
        <v>0</v>
      </c>
      <c r="H468" s="18">
        <v>0</v>
      </c>
      <c r="I468" s="18">
        <v>7.5408633749999989</v>
      </c>
      <c r="J468" s="18">
        <v>1.2310730000000001</v>
      </c>
      <c r="K468" s="18">
        <v>0</v>
      </c>
    </row>
    <row r="469" spans="1:11">
      <c r="A469" s="15">
        <v>8</v>
      </c>
      <c r="B469" s="22">
        <v>41163</v>
      </c>
      <c r="C469" s="15">
        <v>2012</v>
      </c>
      <c r="D469" s="11" t="s">
        <v>40</v>
      </c>
      <c r="E469" s="15">
        <v>9</v>
      </c>
      <c r="F469" s="26">
        <v>15.667999999999999</v>
      </c>
      <c r="G469" s="18">
        <v>4.4621871249999998</v>
      </c>
      <c r="H469" s="18">
        <v>0</v>
      </c>
      <c r="I469" s="18">
        <v>3.16244675</v>
      </c>
      <c r="J469" s="18">
        <v>0.10775099999999997</v>
      </c>
      <c r="K469" s="18">
        <v>0</v>
      </c>
    </row>
    <row r="470" spans="1:11">
      <c r="A470" s="15">
        <v>15</v>
      </c>
      <c r="B470" s="22">
        <v>41163</v>
      </c>
      <c r="C470" s="15">
        <v>2012</v>
      </c>
      <c r="D470" s="11" t="s">
        <v>40</v>
      </c>
      <c r="E470" s="15">
        <v>9</v>
      </c>
      <c r="F470" s="26">
        <v>9.2889999999999997</v>
      </c>
      <c r="G470" s="18">
        <v>1.7925757499999999</v>
      </c>
      <c r="H470" s="18">
        <v>0</v>
      </c>
      <c r="I470" s="18">
        <v>2.5038612500000004</v>
      </c>
      <c r="J470" s="18">
        <v>0.9588376249999998</v>
      </c>
      <c r="K470" s="18">
        <v>2.3968124999999996E-2</v>
      </c>
    </row>
    <row r="471" spans="1:11">
      <c r="A471" s="15">
        <v>6</v>
      </c>
      <c r="B471" s="22">
        <v>41199</v>
      </c>
      <c r="C471" s="15">
        <v>2012</v>
      </c>
      <c r="D471" s="11" t="s">
        <v>36</v>
      </c>
      <c r="E471" s="15">
        <v>10</v>
      </c>
      <c r="F471" s="26">
        <v>6.0670000000000002</v>
      </c>
      <c r="G471" s="18">
        <v>0</v>
      </c>
      <c r="H471" s="18">
        <v>0</v>
      </c>
      <c r="I471" s="18">
        <v>3.2005636249999996</v>
      </c>
      <c r="J471" s="18">
        <v>0.23599874999999998</v>
      </c>
      <c r="K471" s="18">
        <v>0</v>
      </c>
    </row>
    <row r="472" spans="1:11">
      <c r="A472" s="15">
        <v>8</v>
      </c>
      <c r="B472" s="22">
        <v>41199</v>
      </c>
      <c r="C472" s="15">
        <v>2012</v>
      </c>
      <c r="D472" s="11" t="s">
        <v>36</v>
      </c>
      <c r="E472" s="15">
        <v>10</v>
      </c>
      <c r="F472" s="26">
        <v>1.466</v>
      </c>
      <c r="G472" s="18">
        <v>0</v>
      </c>
      <c r="H472" s="18">
        <v>0</v>
      </c>
      <c r="I472" s="18">
        <v>0.4113695</v>
      </c>
      <c r="J472" s="18">
        <v>7.595499999999999E-3</v>
      </c>
      <c r="K472" s="18">
        <v>0</v>
      </c>
    </row>
    <row r="473" spans="1:11">
      <c r="A473" s="15">
        <v>15</v>
      </c>
      <c r="B473" s="22">
        <v>41199</v>
      </c>
      <c r="C473" s="15">
        <v>2012</v>
      </c>
      <c r="D473" s="11" t="s">
        <v>36</v>
      </c>
      <c r="E473" s="15">
        <v>10</v>
      </c>
      <c r="F473" s="26">
        <v>9.5060000000000002</v>
      </c>
      <c r="G473" s="18">
        <v>0</v>
      </c>
      <c r="H473" s="18">
        <v>3.7365000000000002E-2</v>
      </c>
      <c r="I473" s="18">
        <v>6.0468192499999995</v>
      </c>
      <c r="J473" s="18">
        <v>0.13887612500000002</v>
      </c>
      <c r="K473" s="18">
        <v>0</v>
      </c>
    </row>
    <row r="474" spans="1:11">
      <c r="A474" s="15">
        <v>6</v>
      </c>
      <c r="B474" s="22">
        <v>41225</v>
      </c>
      <c r="C474" s="15">
        <v>2012</v>
      </c>
      <c r="D474" s="11" t="s">
        <v>37</v>
      </c>
      <c r="E474" s="15">
        <v>11</v>
      </c>
      <c r="F474" s="26">
        <v>7.7229999999999999</v>
      </c>
      <c r="G474" s="18">
        <v>7.5187000000000004E-2</v>
      </c>
      <c r="H474" s="18">
        <v>0</v>
      </c>
      <c r="I474" s="18">
        <v>2.5338873749999995</v>
      </c>
      <c r="J474" s="18">
        <v>5.5605124999999998E-2</v>
      </c>
      <c r="K474" s="18">
        <v>0</v>
      </c>
    </row>
    <row r="475" spans="1:11">
      <c r="A475" s="15">
        <v>8</v>
      </c>
      <c r="B475" s="22">
        <v>41225</v>
      </c>
      <c r="C475" s="15">
        <v>2012</v>
      </c>
      <c r="D475" s="11" t="s">
        <v>37</v>
      </c>
      <c r="E475" s="15">
        <v>11</v>
      </c>
      <c r="F475" s="26">
        <v>2.4769999999999999</v>
      </c>
      <c r="G475" s="18">
        <v>0</v>
      </c>
      <c r="H475" s="18">
        <v>0</v>
      </c>
      <c r="I475" s="18">
        <v>0.66442650000000003</v>
      </c>
      <c r="J475" s="18">
        <v>1.6650249999999998E-2</v>
      </c>
      <c r="K475" s="18">
        <v>0</v>
      </c>
    </row>
    <row r="476" spans="1:11">
      <c r="A476" s="15">
        <v>15</v>
      </c>
      <c r="B476" s="22">
        <v>41225</v>
      </c>
      <c r="C476" s="15">
        <v>2012</v>
      </c>
      <c r="D476" s="11" t="s">
        <v>37</v>
      </c>
      <c r="E476" s="15">
        <v>11</v>
      </c>
      <c r="F476" s="26">
        <v>8.2490000000000006</v>
      </c>
      <c r="G476" s="18">
        <v>0</v>
      </c>
      <c r="H476" s="18">
        <v>0</v>
      </c>
      <c r="I476" s="18">
        <v>3.2002238749999994</v>
      </c>
      <c r="J476" s="18">
        <v>3.9661000000000002E-2</v>
      </c>
      <c r="K476" s="18">
        <v>0</v>
      </c>
    </row>
    <row r="477" spans="1:11">
      <c r="A477" s="15">
        <v>6</v>
      </c>
      <c r="B477" s="22">
        <v>41254</v>
      </c>
      <c r="C477" s="15">
        <v>2012</v>
      </c>
      <c r="D477" s="11" t="s">
        <v>38</v>
      </c>
      <c r="E477" s="15">
        <v>12</v>
      </c>
      <c r="F477" s="26">
        <v>3.5219999999999998</v>
      </c>
      <c r="G477" s="18">
        <v>5.2222999999999999E-2</v>
      </c>
      <c r="H477" s="18">
        <v>0</v>
      </c>
      <c r="I477" s="18">
        <v>1.7608033749999998</v>
      </c>
      <c r="J477" s="18">
        <v>0</v>
      </c>
      <c r="K477" s="18">
        <v>0</v>
      </c>
    </row>
    <row r="478" spans="1:11">
      <c r="A478" s="15">
        <v>8</v>
      </c>
      <c r="B478" s="22">
        <v>41255</v>
      </c>
      <c r="C478" s="15">
        <v>2012</v>
      </c>
      <c r="D478" s="11" t="s">
        <v>38</v>
      </c>
      <c r="E478" s="15">
        <v>12</v>
      </c>
      <c r="F478" s="26">
        <v>1.3089999999999999</v>
      </c>
      <c r="G478" s="18">
        <v>5.7485250000000002E-2</v>
      </c>
      <c r="H478" s="18">
        <v>0</v>
      </c>
      <c r="I478" s="18">
        <v>0.34291074999999993</v>
      </c>
      <c r="J478" s="18">
        <v>0</v>
      </c>
      <c r="K478" s="18">
        <v>0</v>
      </c>
    </row>
    <row r="479" spans="1:11">
      <c r="A479" s="15">
        <v>15</v>
      </c>
      <c r="B479" s="22">
        <v>41255</v>
      </c>
      <c r="C479" s="15">
        <v>2012</v>
      </c>
      <c r="D479" s="11" t="s">
        <v>38</v>
      </c>
      <c r="E479" s="15">
        <v>12</v>
      </c>
      <c r="F479" s="26">
        <v>2.9049999999999998</v>
      </c>
      <c r="G479" s="18">
        <v>8.7256249999999994E-2</v>
      </c>
      <c r="H479" s="18">
        <v>0</v>
      </c>
      <c r="I479" s="18">
        <v>1.3219664999999998</v>
      </c>
      <c r="J479" s="18">
        <v>3.6334125000000002E-2</v>
      </c>
      <c r="K479" s="18">
        <v>0</v>
      </c>
    </row>
    <row r="480" spans="1:11">
      <c r="A480" s="15">
        <v>6</v>
      </c>
      <c r="B480" s="22">
        <v>41288</v>
      </c>
      <c r="C480" s="15">
        <v>2013</v>
      </c>
      <c r="D480" s="11" t="s">
        <v>39</v>
      </c>
      <c r="E480" s="15">
        <v>1</v>
      </c>
      <c r="F480" s="26">
        <v>2.8029999999999999</v>
      </c>
      <c r="G480" s="18">
        <v>5.4873875000000003E-2</v>
      </c>
      <c r="H480" s="18">
        <v>0</v>
      </c>
      <c r="I480" s="18">
        <v>1.2843416249999997</v>
      </c>
      <c r="J480" s="18">
        <v>9.3828749999999989E-3</v>
      </c>
      <c r="K480" s="18">
        <v>0</v>
      </c>
    </row>
    <row r="481" spans="1:11">
      <c r="A481" s="15">
        <v>8</v>
      </c>
      <c r="B481" s="22">
        <v>41297</v>
      </c>
      <c r="C481" s="15">
        <v>2013</v>
      </c>
      <c r="D481" s="11" t="s">
        <v>39</v>
      </c>
      <c r="E481" s="15">
        <v>1</v>
      </c>
      <c r="F481" s="26">
        <v>1.788</v>
      </c>
      <c r="G481" s="18">
        <v>0</v>
      </c>
      <c r="H481" s="18">
        <v>0</v>
      </c>
      <c r="I481" s="18">
        <v>0.74756487500000013</v>
      </c>
      <c r="J481" s="18">
        <v>1.9498624999999995E-2</v>
      </c>
      <c r="K481" s="18">
        <v>0</v>
      </c>
    </row>
    <row r="482" spans="1:11">
      <c r="A482" s="15">
        <v>15</v>
      </c>
      <c r="B482" s="22">
        <v>41297</v>
      </c>
      <c r="C482" s="15">
        <v>2013</v>
      </c>
      <c r="D482" s="11" t="s">
        <v>39</v>
      </c>
      <c r="E482" s="15">
        <v>1</v>
      </c>
      <c r="F482" s="26">
        <v>5.1769999999999996</v>
      </c>
      <c r="G482" s="18">
        <v>0</v>
      </c>
      <c r="H482" s="18">
        <v>0</v>
      </c>
      <c r="I482" s="18">
        <v>2.9764596249999995</v>
      </c>
      <c r="J482" s="18">
        <v>4.8152374999999997E-2</v>
      </c>
      <c r="K482" s="18">
        <v>0</v>
      </c>
    </row>
    <row r="483" spans="1:11">
      <c r="A483" s="15">
        <v>6</v>
      </c>
      <c r="B483" s="22">
        <v>41318</v>
      </c>
      <c r="C483" s="15">
        <v>2013</v>
      </c>
      <c r="D483" s="11" t="s">
        <v>28</v>
      </c>
      <c r="E483" s="15">
        <v>2</v>
      </c>
      <c r="F483" s="30">
        <v>9.032</v>
      </c>
      <c r="G483" s="18">
        <v>0</v>
      </c>
      <c r="H483" s="18">
        <v>0</v>
      </c>
      <c r="I483" s="18">
        <v>5.3088947499999994</v>
      </c>
      <c r="J483" s="18">
        <v>6.1393249999999989E-2</v>
      </c>
      <c r="K483" s="18">
        <v>0</v>
      </c>
    </row>
    <row r="484" spans="1:11">
      <c r="A484" s="15">
        <v>8</v>
      </c>
      <c r="B484" s="22">
        <v>41319</v>
      </c>
      <c r="C484" s="15">
        <v>2013</v>
      </c>
      <c r="D484" s="11" t="s">
        <v>28</v>
      </c>
      <c r="E484" s="15">
        <v>2</v>
      </c>
      <c r="F484" s="30">
        <v>2.504</v>
      </c>
      <c r="G484" s="18">
        <v>8.3030124999999996E-2</v>
      </c>
      <c r="H484" s="18">
        <v>0</v>
      </c>
      <c r="I484" s="18">
        <v>1.1919569999999999</v>
      </c>
      <c r="J484" s="18">
        <v>1.4317625E-2</v>
      </c>
      <c r="K484" s="18">
        <v>0</v>
      </c>
    </row>
    <row r="485" spans="1:11">
      <c r="A485" s="15">
        <v>15</v>
      </c>
      <c r="B485" s="22">
        <v>41319</v>
      </c>
      <c r="C485" s="15">
        <v>2013</v>
      </c>
      <c r="D485" s="11" t="s">
        <v>28</v>
      </c>
      <c r="E485" s="15">
        <v>2</v>
      </c>
      <c r="F485" s="30">
        <v>7.0979999999999999</v>
      </c>
      <c r="G485" s="18">
        <v>5.2084833333333316E-2</v>
      </c>
      <c r="H485" s="18">
        <v>0</v>
      </c>
      <c r="I485" s="18">
        <v>4.2619478333333323</v>
      </c>
      <c r="J485" s="18">
        <v>4.6821333333333333E-2</v>
      </c>
      <c r="K485" s="18">
        <v>0</v>
      </c>
    </row>
    <row r="486" spans="1:11">
      <c r="A486" s="15">
        <v>6</v>
      </c>
      <c r="B486" s="22">
        <v>41344</v>
      </c>
      <c r="C486" s="15">
        <v>2013</v>
      </c>
      <c r="D486" s="11" t="s">
        <v>29</v>
      </c>
      <c r="E486" s="15">
        <v>3</v>
      </c>
      <c r="F486" s="30">
        <v>9.4570000000000007</v>
      </c>
      <c r="G486" s="18">
        <v>6.772475E-2</v>
      </c>
      <c r="H486" s="18">
        <v>0</v>
      </c>
      <c r="I486" s="18">
        <v>5.8173021249999994</v>
      </c>
      <c r="J486" s="18">
        <v>0</v>
      </c>
      <c r="K486" s="18">
        <v>0</v>
      </c>
    </row>
    <row r="487" spans="1:11">
      <c r="A487" s="15">
        <v>8</v>
      </c>
      <c r="B487" s="22">
        <v>41346</v>
      </c>
      <c r="C487" s="15">
        <v>2013</v>
      </c>
      <c r="D487" s="11" t="s">
        <v>29</v>
      </c>
      <c r="E487" s="15">
        <v>3</v>
      </c>
      <c r="F487" s="30">
        <v>9.9120000000000008</v>
      </c>
      <c r="G487" s="18">
        <v>0</v>
      </c>
      <c r="H487" s="18">
        <v>0</v>
      </c>
      <c r="I487" s="18">
        <v>6.5046553750000005</v>
      </c>
      <c r="J487" s="18">
        <v>5.6287624999999994E-2</v>
      </c>
      <c r="K487" s="18">
        <v>0</v>
      </c>
    </row>
    <row r="488" spans="1:11">
      <c r="A488" s="15">
        <v>15</v>
      </c>
      <c r="B488" s="22">
        <v>41346</v>
      </c>
      <c r="C488" s="15">
        <v>2013</v>
      </c>
      <c r="D488" s="11" t="s">
        <v>29</v>
      </c>
      <c r="E488" s="15">
        <v>3</v>
      </c>
      <c r="F488" s="30">
        <v>9.0190000000000001</v>
      </c>
      <c r="G488" s="18">
        <v>0</v>
      </c>
      <c r="H488" s="18">
        <v>0</v>
      </c>
      <c r="I488" s="18">
        <v>5.8565148750000002</v>
      </c>
      <c r="J488" s="18">
        <v>4.7948499999999998E-2</v>
      </c>
      <c r="K488" s="18">
        <v>0</v>
      </c>
    </row>
    <row r="489" spans="1:11">
      <c r="A489" s="15">
        <v>6</v>
      </c>
      <c r="B489" s="22">
        <v>41379</v>
      </c>
      <c r="C489" s="15">
        <v>2013</v>
      </c>
      <c r="D489" s="11" t="s">
        <v>30</v>
      </c>
      <c r="E489" s="15">
        <v>4</v>
      </c>
      <c r="F489" s="31">
        <v>0.59499999999999997</v>
      </c>
      <c r="G489" s="18">
        <v>0</v>
      </c>
      <c r="H489" s="18">
        <v>0</v>
      </c>
      <c r="I489" s="18">
        <v>0.36882712499999998</v>
      </c>
      <c r="J489" s="18">
        <v>1.3293625E-2</v>
      </c>
      <c r="K489" s="18">
        <v>0</v>
      </c>
    </row>
    <row r="490" spans="1:11">
      <c r="A490" s="15">
        <v>8</v>
      </c>
      <c r="B490" s="22">
        <v>41380</v>
      </c>
      <c r="C490" s="15">
        <v>2013</v>
      </c>
      <c r="D490" s="11" t="s">
        <v>30</v>
      </c>
      <c r="E490" s="15">
        <v>4</v>
      </c>
      <c r="F490" s="31">
        <v>0.70699999999999996</v>
      </c>
      <c r="G490" s="18">
        <v>0</v>
      </c>
      <c r="H490" s="18">
        <v>0</v>
      </c>
      <c r="I490" s="18">
        <v>0.12105000000000002</v>
      </c>
      <c r="J490" s="18">
        <v>1.3810749999999998E-2</v>
      </c>
      <c r="K490" s="18">
        <v>0</v>
      </c>
    </row>
    <row r="491" spans="1:11">
      <c r="A491" s="15">
        <v>15</v>
      </c>
      <c r="B491" s="22">
        <v>41380</v>
      </c>
      <c r="C491" s="15">
        <v>2013</v>
      </c>
      <c r="D491" s="11" t="s">
        <v>30</v>
      </c>
      <c r="E491" s="15">
        <v>4</v>
      </c>
      <c r="F491" s="31">
        <v>0.377</v>
      </c>
      <c r="G491" s="18">
        <v>0</v>
      </c>
      <c r="H491" s="18">
        <v>0</v>
      </c>
      <c r="I491" s="18">
        <v>0.22333187499999999</v>
      </c>
      <c r="J491" s="18">
        <v>0</v>
      </c>
      <c r="K491" s="18">
        <v>0</v>
      </c>
    </row>
    <row r="492" spans="1:11">
      <c r="A492" s="15">
        <v>6</v>
      </c>
      <c r="B492" s="22">
        <v>41408</v>
      </c>
      <c r="C492" s="15">
        <v>2013</v>
      </c>
      <c r="D492" s="11" t="s">
        <v>31</v>
      </c>
      <c r="E492" s="15">
        <v>5</v>
      </c>
      <c r="F492" s="31">
        <v>0.69199999999999995</v>
      </c>
      <c r="G492" s="18">
        <v>2.5223374999999999E-2</v>
      </c>
      <c r="H492" s="18">
        <v>0</v>
      </c>
      <c r="I492" s="18">
        <v>0.21921062500000002</v>
      </c>
      <c r="J492" s="18">
        <v>1.7391500000000001E-2</v>
      </c>
      <c r="K492" s="18">
        <v>0</v>
      </c>
    </row>
    <row r="493" spans="1:11">
      <c r="A493" s="15">
        <v>8</v>
      </c>
      <c r="B493" s="22">
        <v>41407</v>
      </c>
      <c r="C493" s="15">
        <v>2013</v>
      </c>
      <c r="D493" s="11" t="s">
        <v>31</v>
      </c>
      <c r="E493" s="15">
        <v>5</v>
      </c>
      <c r="F493" s="31">
        <v>1.17</v>
      </c>
      <c r="G493" s="18">
        <v>0</v>
      </c>
      <c r="H493" s="18">
        <v>0</v>
      </c>
      <c r="I493" s="18">
        <v>7.1371124999999994E-2</v>
      </c>
      <c r="J493" s="18">
        <v>0</v>
      </c>
      <c r="K493" s="18">
        <v>0</v>
      </c>
    </row>
    <row r="494" spans="1:11">
      <c r="A494" s="15">
        <v>15</v>
      </c>
      <c r="B494" s="22">
        <v>41407</v>
      </c>
      <c r="C494" s="15">
        <v>2013</v>
      </c>
      <c r="D494" s="11" t="s">
        <v>31</v>
      </c>
      <c r="E494" s="15">
        <v>5</v>
      </c>
      <c r="F494" s="31">
        <v>0.76100000000000001</v>
      </c>
      <c r="G494" s="18">
        <v>5.2428749999999996E-2</v>
      </c>
      <c r="H494" s="18">
        <v>0</v>
      </c>
      <c r="I494" s="18">
        <v>0.14191675000000001</v>
      </c>
      <c r="J494" s="18">
        <v>1.35485E-2</v>
      </c>
      <c r="K494" s="18">
        <v>0</v>
      </c>
    </row>
    <row r="495" spans="1:11">
      <c r="A495" s="15">
        <v>6</v>
      </c>
      <c r="B495" s="22">
        <v>41436</v>
      </c>
      <c r="C495" s="15">
        <v>2013</v>
      </c>
      <c r="D495" s="11" t="s">
        <v>32</v>
      </c>
      <c r="E495" s="15">
        <v>6</v>
      </c>
      <c r="F495" s="31">
        <v>10.188000000000001</v>
      </c>
      <c r="G495" s="18">
        <v>0</v>
      </c>
      <c r="H495" s="18">
        <v>0</v>
      </c>
      <c r="I495" s="18">
        <v>5.9548275000000004</v>
      </c>
      <c r="J495" s="18">
        <v>9.686800000000001E-2</v>
      </c>
      <c r="K495" s="18">
        <v>0</v>
      </c>
    </row>
    <row r="496" spans="1:11">
      <c r="A496" s="15">
        <v>8</v>
      </c>
      <c r="B496" s="22">
        <v>41437</v>
      </c>
      <c r="C496" s="15">
        <v>2013</v>
      </c>
      <c r="D496" s="11" t="s">
        <v>32</v>
      </c>
      <c r="E496" s="15">
        <v>6</v>
      </c>
      <c r="F496" s="31">
        <v>4.4930000000000003</v>
      </c>
      <c r="G496" s="18">
        <v>0.13520399999999999</v>
      </c>
      <c r="H496" s="18">
        <v>0</v>
      </c>
      <c r="I496" s="18">
        <v>1.3955762499999995</v>
      </c>
      <c r="J496" s="18">
        <v>1.8965375E-2</v>
      </c>
      <c r="K496" s="18">
        <v>0</v>
      </c>
    </row>
    <row r="497" spans="1:11">
      <c r="A497" s="15">
        <v>15</v>
      </c>
      <c r="B497" s="22">
        <v>41437</v>
      </c>
      <c r="C497" s="15">
        <v>2013</v>
      </c>
      <c r="D497" s="11" t="s">
        <v>32</v>
      </c>
      <c r="E497" s="15">
        <v>6</v>
      </c>
      <c r="F497" s="31">
        <v>3.3330000000000002</v>
      </c>
      <c r="G497" s="18">
        <v>5.8493125000000007E-2</v>
      </c>
      <c r="H497" s="18">
        <v>0</v>
      </c>
      <c r="I497" s="18">
        <v>1.5380359999999997</v>
      </c>
      <c r="J497" s="18">
        <v>4.1266625000000001E-2</v>
      </c>
      <c r="K497" s="18">
        <v>0</v>
      </c>
    </row>
    <row r="498" spans="1:11">
      <c r="A498" s="15">
        <v>6</v>
      </c>
      <c r="B498" s="22">
        <v>41470</v>
      </c>
      <c r="C498" s="15">
        <v>2013</v>
      </c>
      <c r="D498" s="11" t="s">
        <v>33</v>
      </c>
      <c r="E498" s="15">
        <v>7</v>
      </c>
      <c r="F498" s="31">
        <v>4.2619999999999996</v>
      </c>
      <c r="G498" s="18">
        <v>0.21942025000000001</v>
      </c>
      <c r="H498" s="18">
        <v>0</v>
      </c>
      <c r="I498" s="18">
        <v>0.58448999999999995</v>
      </c>
      <c r="J498" s="18">
        <v>1.6311482499999999</v>
      </c>
      <c r="K498" s="18">
        <v>0</v>
      </c>
    </row>
    <row r="499" spans="1:11">
      <c r="A499" s="15">
        <v>8</v>
      </c>
      <c r="B499" s="22">
        <v>41470</v>
      </c>
      <c r="C499" s="15">
        <v>2013</v>
      </c>
      <c r="D499" s="11" t="s">
        <v>33</v>
      </c>
      <c r="E499" s="15">
        <v>7</v>
      </c>
      <c r="F499" s="31">
        <v>4.1459999999999999</v>
      </c>
      <c r="G499" s="18">
        <v>0.17816137499999998</v>
      </c>
      <c r="H499" s="18">
        <v>0</v>
      </c>
      <c r="I499" s="18">
        <v>1.2132586249999997</v>
      </c>
      <c r="J499" s="18">
        <v>5.3456999999999998E-2</v>
      </c>
      <c r="K499" s="18">
        <v>0</v>
      </c>
    </row>
    <row r="500" spans="1:11">
      <c r="A500" s="15">
        <v>15</v>
      </c>
      <c r="B500" s="22">
        <v>41470</v>
      </c>
      <c r="C500" s="15">
        <v>2013</v>
      </c>
      <c r="D500" s="11" t="s">
        <v>33</v>
      </c>
      <c r="E500" s="15">
        <v>7</v>
      </c>
      <c r="F500" s="31">
        <v>3.3679999999999999</v>
      </c>
      <c r="G500" s="18">
        <v>4.7196624999999992E-2</v>
      </c>
      <c r="H500" s="18">
        <v>0</v>
      </c>
      <c r="I500" s="18">
        <v>1.116895</v>
      </c>
      <c r="J500" s="18">
        <v>0.29614099999999999</v>
      </c>
      <c r="K500" s="18">
        <v>0</v>
      </c>
    </row>
    <row r="501" spans="1:11">
      <c r="A501" s="15">
        <v>6</v>
      </c>
      <c r="B501" s="22">
        <v>41498</v>
      </c>
      <c r="C501" s="15">
        <v>2013</v>
      </c>
      <c r="D501" s="11" t="s">
        <v>34</v>
      </c>
      <c r="E501" s="15">
        <v>8</v>
      </c>
      <c r="F501" s="31">
        <v>3.323</v>
      </c>
      <c r="G501" s="18">
        <v>0.105514</v>
      </c>
      <c r="H501" s="18">
        <v>0</v>
      </c>
      <c r="I501" s="18">
        <v>0.86965412499999994</v>
      </c>
      <c r="J501" s="18">
        <v>0.7917361249999999</v>
      </c>
      <c r="K501" s="18">
        <v>0</v>
      </c>
    </row>
    <row r="502" spans="1:11">
      <c r="A502" s="15">
        <v>8</v>
      </c>
      <c r="B502" s="22">
        <v>41498</v>
      </c>
      <c r="C502" s="15">
        <v>2013</v>
      </c>
      <c r="D502" s="11" t="s">
        <v>34</v>
      </c>
      <c r="E502" s="15">
        <v>8</v>
      </c>
      <c r="F502" s="31">
        <v>3.33</v>
      </c>
      <c r="G502" s="18">
        <v>0.14407937499999998</v>
      </c>
      <c r="H502" s="18">
        <v>0</v>
      </c>
      <c r="I502" s="18">
        <v>1.1862837500000001</v>
      </c>
      <c r="J502" s="18">
        <v>2.8969749999999999E-2</v>
      </c>
      <c r="K502" s="18">
        <v>0</v>
      </c>
    </row>
    <row r="503" spans="1:11">
      <c r="A503" s="15">
        <v>15</v>
      </c>
      <c r="B503" s="22">
        <v>41498</v>
      </c>
      <c r="C503" s="15">
        <v>2013</v>
      </c>
      <c r="D503" s="11" t="s">
        <v>34</v>
      </c>
      <c r="E503" s="15">
        <v>8</v>
      </c>
      <c r="F503" s="31">
        <v>1.9870000000000001</v>
      </c>
      <c r="G503" s="18">
        <v>0.23078237500000001</v>
      </c>
      <c r="H503" s="18">
        <v>0</v>
      </c>
      <c r="I503" s="18">
        <v>0.56287425000000002</v>
      </c>
      <c r="J503" s="18">
        <v>0.212019875</v>
      </c>
      <c r="K503" s="18">
        <v>0</v>
      </c>
    </row>
    <row r="504" spans="1:11">
      <c r="A504" s="15">
        <v>6</v>
      </c>
      <c r="B504" s="22">
        <v>41535</v>
      </c>
      <c r="C504" s="15">
        <v>2013</v>
      </c>
      <c r="D504" s="11" t="s">
        <v>40</v>
      </c>
      <c r="E504" s="15">
        <v>9</v>
      </c>
      <c r="F504" s="31">
        <v>1.4730000000000001</v>
      </c>
      <c r="G504" s="18">
        <v>4.1458749999999996E-2</v>
      </c>
      <c r="H504" s="18">
        <v>0</v>
      </c>
      <c r="I504" s="18">
        <v>0.58542100000000008</v>
      </c>
      <c r="J504" s="18">
        <v>2.492925E-2</v>
      </c>
      <c r="K504" s="18">
        <v>0</v>
      </c>
    </row>
    <row r="505" spans="1:11">
      <c r="A505" s="15">
        <v>8</v>
      </c>
      <c r="B505" s="22">
        <v>41535</v>
      </c>
      <c r="C505" s="15">
        <v>2013</v>
      </c>
      <c r="D505" s="11" t="s">
        <v>40</v>
      </c>
      <c r="E505" s="15">
        <v>9</v>
      </c>
      <c r="F505" s="31">
        <v>2.9580000000000002</v>
      </c>
      <c r="G505" s="18">
        <v>0</v>
      </c>
      <c r="H505" s="18">
        <v>0</v>
      </c>
      <c r="I505" s="18">
        <v>1.2632656249999998</v>
      </c>
      <c r="J505" s="18">
        <v>5.1277875000000007E-2</v>
      </c>
      <c r="K505" s="18">
        <v>0</v>
      </c>
    </row>
    <row r="506" spans="1:11">
      <c r="A506" s="15">
        <v>15</v>
      </c>
      <c r="B506" s="22">
        <v>41535</v>
      </c>
      <c r="C506" s="15">
        <v>2013</v>
      </c>
      <c r="D506" s="11" t="s">
        <v>40</v>
      </c>
      <c r="E506" s="15">
        <v>9</v>
      </c>
      <c r="F506" s="31">
        <v>2.5760000000000001</v>
      </c>
      <c r="G506" s="18">
        <v>5.5762999999999993E-2</v>
      </c>
      <c r="H506" s="18">
        <v>0</v>
      </c>
      <c r="I506" s="18">
        <v>1.1704380000000001</v>
      </c>
      <c r="J506" s="18">
        <v>6.8153624999999995E-2</v>
      </c>
      <c r="K506" s="18">
        <v>0</v>
      </c>
    </row>
    <row r="507" spans="1:11">
      <c r="A507" s="15">
        <v>6</v>
      </c>
      <c r="B507" s="22">
        <v>41569</v>
      </c>
      <c r="C507" s="15">
        <v>2013</v>
      </c>
      <c r="D507" s="11" t="s">
        <v>36</v>
      </c>
      <c r="E507" s="15">
        <v>10</v>
      </c>
      <c r="F507" s="26">
        <v>1.5389999999999999</v>
      </c>
      <c r="G507" s="18">
        <v>5.199612499999999E-2</v>
      </c>
      <c r="H507" s="18">
        <v>0</v>
      </c>
      <c r="I507" s="18">
        <v>6.3442125000000002E-2</v>
      </c>
      <c r="J507" s="18">
        <v>0</v>
      </c>
      <c r="K507" s="18">
        <v>0</v>
      </c>
    </row>
    <row r="508" spans="1:11">
      <c r="A508" s="15">
        <v>8</v>
      </c>
      <c r="B508" s="22">
        <v>406810</v>
      </c>
      <c r="C508" s="15">
        <v>2013</v>
      </c>
      <c r="D508" s="11" t="s">
        <v>36</v>
      </c>
      <c r="E508" s="15">
        <v>10</v>
      </c>
      <c r="F508" s="26">
        <v>0.92200000000000004</v>
      </c>
      <c r="G508" s="18">
        <v>0</v>
      </c>
      <c r="H508" s="18">
        <v>0</v>
      </c>
      <c r="I508" s="18">
        <v>0.12221799999999998</v>
      </c>
      <c r="J508" s="18">
        <v>0</v>
      </c>
      <c r="K508" s="18">
        <v>0</v>
      </c>
    </row>
    <row r="509" spans="1:11">
      <c r="A509" s="15">
        <v>15</v>
      </c>
      <c r="B509" s="22">
        <v>406810</v>
      </c>
      <c r="C509" s="15">
        <v>2013</v>
      </c>
      <c r="D509" s="11" t="s">
        <v>36</v>
      </c>
      <c r="E509" s="15">
        <v>10</v>
      </c>
      <c r="F509" s="26">
        <v>1.8380000000000001</v>
      </c>
      <c r="G509" s="18">
        <v>4.0808749999999991E-2</v>
      </c>
      <c r="H509" s="18">
        <v>0</v>
      </c>
      <c r="I509" s="18">
        <v>0.255803375</v>
      </c>
      <c r="J509" s="18">
        <v>0</v>
      </c>
      <c r="K509" s="18">
        <v>0</v>
      </c>
    </row>
    <row r="510" spans="1:11">
      <c r="A510" s="15">
        <v>6</v>
      </c>
      <c r="B510" s="22">
        <v>41599</v>
      </c>
      <c r="C510" s="15">
        <v>2013</v>
      </c>
      <c r="D510" s="11" t="s">
        <v>37</v>
      </c>
      <c r="E510" s="15">
        <v>11</v>
      </c>
      <c r="F510" s="26">
        <v>2.1930000000000001</v>
      </c>
      <c r="G510" s="18">
        <v>0.15699399999999999</v>
      </c>
      <c r="H510" s="18">
        <v>0</v>
      </c>
      <c r="I510" s="18">
        <v>0.44691249999999993</v>
      </c>
      <c r="J510" s="18">
        <v>8.6479999999999994E-3</v>
      </c>
      <c r="K510" s="18">
        <v>0</v>
      </c>
    </row>
    <row r="511" spans="1:11">
      <c r="A511" s="15">
        <v>8</v>
      </c>
      <c r="B511" s="22">
        <v>41599</v>
      </c>
      <c r="C511" s="15">
        <v>2013</v>
      </c>
      <c r="D511" s="11" t="s">
        <v>37</v>
      </c>
      <c r="E511" s="15">
        <v>11</v>
      </c>
      <c r="F511" s="26">
        <v>0.51</v>
      </c>
      <c r="G511" s="18">
        <v>0</v>
      </c>
      <c r="H511" s="18">
        <v>0</v>
      </c>
      <c r="I511" s="18">
        <v>0.108892875</v>
      </c>
      <c r="J511" s="18">
        <v>0</v>
      </c>
      <c r="K511" s="18">
        <v>0</v>
      </c>
    </row>
    <row r="512" spans="1:11">
      <c r="A512" s="15">
        <v>15</v>
      </c>
      <c r="B512" s="22">
        <v>41599</v>
      </c>
      <c r="C512" s="15">
        <v>2013</v>
      </c>
      <c r="D512" s="11" t="s">
        <v>37</v>
      </c>
      <c r="E512" s="15">
        <v>11</v>
      </c>
      <c r="F512" s="26">
        <v>1.6080000000000001</v>
      </c>
      <c r="G512" s="18">
        <v>1.2926874999999999E-2</v>
      </c>
      <c r="H512" s="18">
        <v>0</v>
      </c>
      <c r="I512" s="18">
        <v>0.35915974999999994</v>
      </c>
      <c r="J512" s="18">
        <v>4.9793750000000003E-3</v>
      </c>
      <c r="K512" s="18">
        <v>0</v>
      </c>
    </row>
    <row r="513" spans="1:12">
      <c r="A513" s="15">
        <v>6</v>
      </c>
      <c r="B513" s="22">
        <v>41624</v>
      </c>
      <c r="C513" s="15">
        <v>2013</v>
      </c>
      <c r="D513" s="11" t="s">
        <v>38</v>
      </c>
      <c r="E513" s="15">
        <v>12</v>
      </c>
      <c r="F513" s="26">
        <v>4.742</v>
      </c>
      <c r="G513" s="18">
        <v>3.6453999999999993E-2</v>
      </c>
      <c r="H513" s="18">
        <v>0</v>
      </c>
      <c r="I513" s="18">
        <v>1.9930667499999999</v>
      </c>
      <c r="J513" s="18">
        <v>0</v>
      </c>
      <c r="K513" s="18">
        <v>0</v>
      </c>
    </row>
    <row r="514" spans="1:12">
      <c r="A514" s="15">
        <v>8</v>
      </c>
      <c r="B514" s="22">
        <v>41627</v>
      </c>
      <c r="C514" s="15">
        <v>2013</v>
      </c>
      <c r="D514" s="11" t="s">
        <v>38</v>
      </c>
      <c r="E514" s="15">
        <v>12</v>
      </c>
      <c r="F514" s="26">
        <v>1.417</v>
      </c>
      <c r="G514" s="18">
        <v>8.0112249999999996E-2</v>
      </c>
      <c r="H514" s="18">
        <v>0</v>
      </c>
      <c r="I514" s="18">
        <v>0.41722912499999998</v>
      </c>
      <c r="J514" s="18">
        <v>7.4692499999999993E-3</v>
      </c>
      <c r="K514" s="18">
        <v>0</v>
      </c>
    </row>
    <row r="515" spans="1:12">
      <c r="A515" s="15">
        <v>15</v>
      </c>
      <c r="B515" s="22">
        <v>41627</v>
      </c>
      <c r="C515" s="15">
        <v>2013</v>
      </c>
      <c r="D515" s="11" t="s">
        <v>38</v>
      </c>
      <c r="E515" s="15">
        <v>12</v>
      </c>
      <c r="F515" s="26">
        <v>3.1640000000000001</v>
      </c>
      <c r="G515" s="18">
        <v>5.9317124999999984E-2</v>
      </c>
      <c r="H515" s="18">
        <v>0</v>
      </c>
      <c r="I515" s="18">
        <v>1.1139265</v>
      </c>
      <c r="J515" s="18">
        <v>9.1658750000000021E-3</v>
      </c>
      <c r="K515" s="18">
        <v>0</v>
      </c>
    </row>
    <row r="516" spans="1:12">
      <c r="A516" s="15">
        <v>6</v>
      </c>
      <c r="B516" s="22">
        <v>41654</v>
      </c>
      <c r="C516" s="15">
        <v>2014</v>
      </c>
      <c r="D516" s="11" t="s">
        <v>39</v>
      </c>
      <c r="E516" s="15">
        <v>1</v>
      </c>
      <c r="F516" s="26">
        <v>2.57</v>
      </c>
      <c r="G516" s="18">
        <v>6.0505624999999987E-2</v>
      </c>
      <c r="H516" s="18">
        <v>0</v>
      </c>
      <c r="I516" s="18">
        <v>1.0897259999999998</v>
      </c>
      <c r="J516" s="18">
        <v>1.2909624999999997E-2</v>
      </c>
      <c r="K516" s="18">
        <v>0</v>
      </c>
    </row>
    <row r="517" spans="1:12">
      <c r="A517" s="15">
        <v>8</v>
      </c>
      <c r="B517" s="22">
        <v>41655</v>
      </c>
      <c r="C517" s="15">
        <v>2014</v>
      </c>
      <c r="D517" s="11" t="s">
        <v>39</v>
      </c>
      <c r="E517" s="15">
        <v>1</v>
      </c>
      <c r="F517" s="26">
        <v>1.9390000000000001</v>
      </c>
      <c r="G517" s="18">
        <v>4.7891249999999996E-2</v>
      </c>
      <c r="H517" s="18">
        <v>0</v>
      </c>
      <c r="I517" s="18">
        <v>0.83379287499999999</v>
      </c>
      <c r="J517" s="18">
        <v>1.041775E-2</v>
      </c>
      <c r="K517" s="18">
        <v>0</v>
      </c>
    </row>
    <row r="518" spans="1:12">
      <c r="A518" s="15">
        <v>15</v>
      </c>
      <c r="B518" s="22">
        <v>41655</v>
      </c>
      <c r="C518" s="15">
        <v>2014</v>
      </c>
      <c r="D518" s="11" t="s">
        <v>39</v>
      </c>
      <c r="E518" s="15">
        <v>1</v>
      </c>
      <c r="F518" s="26">
        <v>2.8519999999999999</v>
      </c>
      <c r="G518" s="18">
        <v>9.7167249999999997E-2</v>
      </c>
      <c r="H518" s="18">
        <v>0</v>
      </c>
      <c r="I518" s="18">
        <v>1.10187575</v>
      </c>
      <c r="J518" s="18">
        <v>2.2926249999999995E-2</v>
      </c>
      <c r="K518" s="18">
        <v>0</v>
      </c>
    </row>
    <row r="519" spans="1:12">
      <c r="A519" s="15">
        <v>6</v>
      </c>
      <c r="B519" s="22">
        <v>41688</v>
      </c>
      <c r="C519" s="15">
        <v>2014</v>
      </c>
      <c r="D519" s="11" t="s">
        <v>28</v>
      </c>
      <c r="E519" s="15">
        <v>2</v>
      </c>
      <c r="F519" s="26">
        <v>5.194</v>
      </c>
      <c r="G519" s="18">
        <v>0.10904712499999999</v>
      </c>
      <c r="H519" s="18">
        <v>0</v>
      </c>
      <c r="I519" s="18">
        <v>2.1479910000000006</v>
      </c>
      <c r="J519" s="18">
        <v>2.8799624999999999E-2</v>
      </c>
      <c r="K519" s="18">
        <v>0</v>
      </c>
    </row>
    <row r="520" spans="1:12">
      <c r="A520" s="15">
        <v>8</v>
      </c>
      <c r="B520" s="22">
        <v>41690</v>
      </c>
      <c r="C520" s="15">
        <v>2014</v>
      </c>
      <c r="D520" s="11" t="s">
        <v>28</v>
      </c>
      <c r="E520" s="15">
        <v>2</v>
      </c>
      <c r="F520" s="26">
        <v>2.6349999999999998</v>
      </c>
      <c r="G520" s="18">
        <v>6.2707499999999999E-2</v>
      </c>
      <c r="H520" s="18">
        <v>0</v>
      </c>
      <c r="I520" s="18">
        <v>0.98751750000000005</v>
      </c>
      <c r="J520" s="18">
        <v>3.3908125000000004E-2</v>
      </c>
      <c r="K520" s="18">
        <v>0</v>
      </c>
    </row>
    <row r="521" spans="1:12">
      <c r="A521" s="15">
        <v>15</v>
      </c>
      <c r="B521" s="22">
        <v>41690</v>
      </c>
      <c r="C521" s="15">
        <v>2014</v>
      </c>
      <c r="D521" s="11" t="s">
        <v>28</v>
      </c>
      <c r="E521" s="15">
        <v>2</v>
      </c>
      <c r="F521" s="26">
        <v>2.0369999999999999</v>
      </c>
      <c r="G521" s="18">
        <v>5.0547750000000002E-2</v>
      </c>
      <c r="H521" s="18">
        <v>0</v>
      </c>
      <c r="I521" s="18">
        <v>0.80476624999999979</v>
      </c>
      <c r="J521" s="18">
        <v>2.3821999999999996E-2</v>
      </c>
      <c r="K521" s="18">
        <v>0</v>
      </c>
    </row>
    <row r="522" spans="1:12">
      <c r="A522" s="32">
        <v>6</v>
      </c>
      <c r="B522" s="33">
        <v>41719</v>
      </c>
      <c r="C522" s="32">
        <v>2014</v>
      </c>
      <c r="D522" s="34" t="s">
        <v>29</v>
      </c>
      <c r="E522" s="15">
        <v>3</v>
      </c>
      <c r="F522" s="35">
        <v>3.532</v>
      </c>
      <c r="G522" s="36">
        <v>6.6729250000000004E-2</v>
      </c>
      <c r="H522" s="36">
        <v>0</v>
      </c>
      <c r="I522" s="36">
        <v>1.64696</v>
      </c>
      <c r="J522" s="36">
        <v>1.9767374999999997E-2</v>
      </c>
      <c r="K522" s="36">
        <v>0</v>
      </c>
      <c r="L522" s="37"/>
    </row>
    <row r="523" spans="1:12">
      <c r="A523" s="15">
        <v>8</v>
      </c>
      <c r="B523" s="22">
        <v>41718</v>
      </c>
      <c r="C523" s="15">
        <v>2014</v>
      </c>
      <c r="D523" s="11" t="s">
        <v>29</v>
      </c>
      <c r="E523" s="15">
        <v>3</v>
      </c>
      <c r="F523" s="26">
        <v>3.2989999999999999</v>
      </c>
      <c r="G523" s="18">
        <v>8.9904749999999992E-2</v>
      </c>
      <c r="H523" s="18">
        <v>0</v>
      </c>
      <c r="I523" s="18">
        <v>1.3240952500000001</v>
      </c>
      <c r="J523" s="18">
        <v>3.8516624999999999E-2</v>
      </c>
      <c r="K523" s="18">
        <v>0</v>
      </c>
    </row>
    <row r="524" spans="1:12">
      <c r="A524" s="15">
        <v>15</v>
      </c>
      <c r="B524" s="22">
        <v>41718</v>
      </c>
      <c r="C524" s="15">
        <v>2014</v>
      </c>
      <c r="D524" s="11" t="s">
        <v>29</v>
      </c>
      <c r="E524" s="15">
        <v>3</v>
      </c>
      <c r="F524" s="26">
        <v>5.0549999999999997</v>
      </c>
      <c r="G524" s="18">
        <v>6.8582624999999994E-2</v>
      </c>
      <c r="H524" s="18">
        <v>0</v>
      </c>
      <c r="I524" s="18">
        <v>2.4427641250000001</v>
      </c>
      <c r="J524" s="18">
        <v>4.3438375000000008E-2</v>
      </c>
      <c r="K524" s="18">
        <v>0</v>
      </c>
    </row>
    <row r="525" spans="1:12">
      <c r="A525" s="15">
        <v>6</v>
      </c>
      <c r="B525" s="22">
        <v>41747</v>
      </c>
      <c r="C525" s="15">
        <v>2014</v>
      </c>
      <c r="D525" s="11" t="s">
        <v>30</v>
      </c>
      <c r="E525" s="15">
        <v>4</v>
      </c>
      <c r="F525" s="38">
        <v>3.5249999999999999</v>
      </c>
      <c r="G525" s="18">
        <v>3.5647999999999999E-2</v>
      </c>
      <c r="H525" s="18">
        <v>0</v>
      </c>
      <c r="I525" s="18">
        <v>1.6397242499999998</v>
      </c>
      <c r="J525" s="18">
        <v>2.7161999999999999E-2</v>
      </c>
      <c r="K525" s="18">
        <v>0</v>
      </c>
    </row>
    <row r="526" spans="1:12">
      <c r="A526" s="15">
        <v>8</v>
      </c>
      <c r="B526" s="22">
        <v>41750</v>
      </c>
      <c r="C526" s="15">
        <v>2014</v>
      </c>
      <c r="D526" s="11" t="s">
        <v>30</v>
      </c>
      <c r="E526" s="15">
        <v>4</v>
      </c>
      <c r="F526" s="38">
        <v>1.02</v>
      </c>
      <c r="G526" s="18">
        <v>1.88545E-2</v>
      </c>
      <c r="H526" s="18">
        <v>0</v>
      </c>
      <c r="I526" s="18">
        <v>0.303593375</v>
      </c>
      <c r="J526" s="18">
        <v>1.5872500000000001E-2</v>
      </c>
      <c r="K526" s="18">
        <v>0</v>
      </c>
    </row>
    <row r="527" spans="1:12">
      <c r="A527" s="15">
        <v>15</v>
      </c>
      <c r="B527" s="22">
        <v>41750</v>
      </c>
      <c r="C527" s="15">
        <v>2014</v>
      </c>
      <c r="D527" s="11" t="s">
        <v>30</v>
      </c>
      <c r="E527" s="15">
        <v>4</v>
      </c>
      <c r="F527" s="38">
        <v>2.5870000000000002</v>
      </c>
      <c r="G527" s="18">
        <v>0</v>
      </c>
      <c r="H527" s="18">
        <v>0</v>
      </c>
      <c r="I527" s="18">
        <v>1.1846015000000001</v>
      </c>
      <c r="J527" s="18">
        <v>0</v>
      </c>
      <c r="K527" s="18">
        <v>0</v>
      </c>
    </row>
    <row r="528" spans="1:12">
      <c r="A528" s="15">
        <v>6</v>
      </c>
      <c r="B528" s="22">
        <v>41772</v>
      </c>
      <c r="C528" s="15">
        <v>2014</v>
      </c>
      <c r="D528" s="11" t="s">
        <v>31</v>
      </c>
      <c r="E528" s="15">
        <v>5</v>
      </c>
      <c r="F528" s="38">
        <v>1.8720000000000001</v>
      </c>
      <c r="G528" s="18">
        <v>0</v>
      </c>
      <c r="H528" s="18">
        <v>0</v>
      </c>
      <c r="I528" s="18">
        <v>0.20579149999999996</v>
      </c>
      <c r="J528" s="18">
        <v>1.533725E-2</v>
      </c>
      <c r="K528" s="18">
        <v>0</v>
      </c>
    </row>
    <row r="529" spans="1:11">
      <c r="A529" s="15">
        <v>8</v>
      </c>
      <c r="B529" s="22">
        <v>41406</v>
      </c>
      <c r="C529" s="15">
        <v>2014</v>
      </c>
      <c r="D529" s="11" t="s">
        <v>31</v>
      </c>
      <c r="E529" s="15">
        <v>5</v>
      </c>
      <c r="F529" s="38">
        <v>1.1919999999999999</v>
      </c>
      <c r="G529" s="18">
        <v>0</v>
      </c>
      <c r="H529" s="18">
        <v>0</v>
      </c>
      <c r="I529" s="18">
        <v>0.18357124999999994</v>
      </c>
      <c r="J529" s="18">
        <v>0</v>
      </c>
      <c r="K529" s="18">
        <v>0</v>
      </c>
    </row>
    <row r="530" spans="1:11">
      <c r="A530" s="15">
        <v>15</v>
      </c>
      <c r="B530" s="22">
        <v>41406</v>
      </c>
      <c r="C530" s="15">
        <v>2014</v>
      </c>
      <c r="D530" s="11" t="s">
        <v>31</v>
      </c>
      <c r="E530" s="15">
        <v>5</v>
      </c>
      <c r="F530" s="38">
        <v>1.1439999999999999</v>
      </c>
      <c r="G530" s="18">
        <v>0</v>
      </c>
      <c r="H530" s="18">
        <v>0</v>
      </c>
      <c r="I530" s="18">
        <v>6.4500249999999981E-2</v>
      </c>
      <c r="J530" s="18">
        <v>0</v>
      </c>
      <c r="K530" s="18">
        <v>0</v>
      </c>
    </row>
    <row r="531" spans="1:11">
      <c r="A531" s="15">
        <v>6</v>
      </c>
      <c r="B531" s="22">
        <v>41808</v>
      </c>
      <c r="C531" s="15">
        <v>2014</v>
      </c>
      <c r="D531" s="11" t="s">
        <v>32</v>
      </c>
      <c r="E531" s="15">
        <v>6</v>
      </c>
      <c r="F531" s="38">
        <v>4.5490000000000004</v>
      </c>
      <c r="G531" s="18">
        <v>0.32144287500000002</v>
      </c>
      <c r="H531" s="18">
        <v>0</v>
      </c>
      <c r="I531" s="18">
        <v>1.2678983749999997</v>
      </c>
      <c r="J531" s="18">
        <v>0.25557012499999998</v>
      </c>
      <c r="K531" s="18">
        <v>0</v>
      </c>
    </row>
    <row r="532" spans="1:11">
      <c r="A532" s="15">
        <v>8</v>
      </c>
      <c r="B532" s="22">
        <v>41807</v>
      </c>
      <c r="C532" s="15">
        <v>2014</v>
      </c>
      <c r="D532" s="11" t="s">
        <v>32</v>
      </c>
      <c r="E532" s="15">
        <v>6</v>
      </c>
      <c r="F532" s="38">
        <v>2.823</v>
      </c>
      <c r="G532" s="18">
        <v>5.6033624999999997E-2</v>
      </c>
      <c r="H532" s="18">
        <v>0</v>
      </c>
      <c r="I532" s="18">
        <v>0.9740049999999999</v>
      </c>
      <c r="J532" s="18">
        <v>4.1104499999999995E-2</v>
      </c>
      <c r="K532" s="18">
        <v>0</v>
      </c>
    </row>
    <row r="533" spans="1:11">
      <c r="A533" s="15">
        <v>15</v>
      </c>
      <c r="B533" s="22">
        <v>41807</v>
      </c>
      <c r="C533" s="15">
        <v>2014</v>
      </c>
      <c r="D533" s="11" t="s">
        <v>32</v>
      </c>
      <c r="E533" s="15">
        <v>6</v>
      </c>
      <c r="F533" s="38">
        <v>2.129</v>
      </c>
      <c r="G533" s="18">
        <v>5.5231499999999996E-2</v>
      </c>
      <c r="H533" s="18">
        <v>0</v>
      </c>
      <c r="I533" s="18">
        <v>0.79169624999999988</v>
      </c>
      <c r="J533" s="18">
        <v>7.1636499999999992E-2</v>
      </c>
      <c r="K533" s="18">
        <v>0</v>
      </c>
    </row>
    <row r="534" spans="1:11">
      <c r="A534" s="15">
        <v>6</v>
      </c>
      <c r="B534" s="22">
        <v>41834</v>
      </c>
      <c r="C534" s="15">
        <v>2014</v>
      </c>
      <c r="D534" s="11" t="s">
        <v>33</v>
      </c>
      <c r="E534" s="15">
        <v>7</v>
      </c>
      <c r="F534" s="38">
        <v>1.706</v>
      </c>
      <c r="G534" s="18">
        <v>0.22016137499999999</v>
      </c>
      <c r="H534" s="18">
        <v>0</v>
      </c>
      <c r="I534" s="18">
        <v>0.35359487499999998</v>
      </c>
      <c r="J534" s="18">
        <v>4.3380499999999995E-2</v>
      </c>
      <c r="K534" s="18">
        <v>0</v>
      </c>
    </row>
    <row r="535" spans="1:11">
      <c r="A535" s="15">
        <v>8</v>
      </c>
      <c r="B535" s="22">
        <v>41837</v>
      </c>
      <c r="C535" s="15">
        <v>2014</v>
      </c>
      <c r="D535" s="11" t="s">
        <v>33</v>
      </c>
      <c r="E535" s="15">
        <v>7</v>
      </c>
      <c r="F535" s="38">
        <v>2.9140000000000001</v>
      </c>
      <c r="G535" s="18">
        <v>0.15629937500000002</v>
      </c>
      <c r="H535" s="18">
        <v>0</v>
      </c>
      <c r="I535" s="18">
        <v>0.49849137500000001</v>
      </c>
      <c r="J535" s="18">
        <v>1.727275E-2</v>
      </c>
      <c r="K535" s="18">
        <v>0</v>
      </c>
    </row>
    <row r="536" spans="1:11">
      <c r="A536" s="15">
        <v>15</v>
      </c>
      <c r="B536" s="22">
        <v>41837</v>
      </c>
      <c r="C536" s="15">
        <v>2014</v>
      </c>
      <c r="D536" s="11" t="s">
        <v>33</v>
      </c>
      <c r="E536" s="15">
        <v>7</v>
      </c>
      <c r="F536" s="38">
        <v>3.3260000000000001</v>
      </c>
      <c r="G536" s="18">
        <v>0.13892699999999997</v>
      </c>
      <c r="H536" s="18">
        <v>0</v>
      </c>
      <c r="I536" s="18">
        <v>1.259355875</v>
      </c>
      <c r="J536" s="18">
        <v>9.891875E-2</v>
      </c>
      <c r="K536" s="18">
        <v>0</v>
      </c>
    </row>
    <row r="537" spans="1:11">
      <c r="A537" s="15">
        <v>6</v>
      </c>
      <c r="B537" s="22">
        <v>41862</v>
      </c>
      <c r="C537" s="15">
        <v>2014</v>
      </c>
      <c r="D537" s="11" t="s">
        <v>34</v>
      </c>
      <c r="E537" s="15">
        <v>8</v>
      </c>
      <c r="F537" s="38">
        <v>2.972</v>
      </c>
      <c r="G537" s="18">
        <v>0.32487799999999994</v>
      </c>
      <c r="H537" s="18">
        <v>0</v>
      </c>
      <c r="I537" s="18">
        <v>0.24460299999999999</v>
      </c>
      <c r="J537" s="18">
        <v>1.2132106250000001</v>
      </c>
      <c r="K537" s="18">
        <v>0</v>
      </c>
    </row>
    <row r="538" spans="1:11">
      <c r="A538" s="15">
        <v>8</v>
      </c>
      <c r="B538" s="22">
        <v>41862</v>
      </c>
      <c r="C538" s="15">
        <v>2014</v>
      </c>
      <c r="D538" s="11" t="s">
        <v>34</v>
      </c>
      <c r="E538" s="15">
        <v>8</v>
      </c>
      <c r="F538" s="38">
        <v>4.1749999999999998</v>
      </c>
      <c r="G538" s="18">
        <v>7.7050999999999994E-2</v>
      </c>
      <c r="H538" s="18">
        <v>0</v>
      </c>
      <c r="I538" s="18">
        <v>1.3164909999999999</v>
      </c>
      <c r="J538" s="18">
        <v>6.1019999999999998E-2</v>
      </c>
      <c r="K538" s="18">
        <v>0</v>
      </c>
    </row>
    <row r="539" spans="1:11">
      <c r="A539" s="15">
        <v>15</v>
      </c>
      <c r="B539" s="22">
        <v>41862</v>
      </c>
      <c r="C539" s="15">
        <v>2014</v>
      </c>
      <c r="D539" s="11" t="s">
        <v>34</v>
      </c>
      <c r="E539" s="15">
        <v>8</v>
      </c>
      <c r="F539" s="38">
        <v>1.121</v>
      </c>
      <c r="G539" s="18">
        <v>3.4140875000000001E-2</v>
      </c>
      <c r="H539" s="18">
        <v>0</v>
      </c>
      <c r="I539" s="18">
        <v>0.36969475000000002</v>
      </c>
      <c r="J539" s="18">
        <v>0.14376799999999998</v>
      </c>
      <c r="K539" s="18">
        <v>0</v>
      </c>
    </row>
    <row r="540" spans="1:11">
      <c r="A540" s="15">
        <v>6</v>
      </c>
      <c r="B540" s="22">
        <v>41898</v>
      </c>
      <c r="C540" s="15">
        <v>2014</v>
      </c>
      <c r="D540" s="11" t="s">
        <v>40</v>
      </c>
      <c r="E540" s="15">
        <v>9</v>
      </c>
      <c r="F540" s="38">
        <v>3.35</v>
      </c>
      <c r="G540" s="18">
        <v>0.25814900000000002</v>
      </c>
      <c r="H540" s="18">
        <v>0</v>
      </c>
      <c r="I540" s="18">
        <v>0.63321974999999986</v>
      </c>
      <c r="J540" s="18">
        <v>3.8121624999999992E-2</v>
      </c>
      <c r="K540" s="18">
        <v>0</v>
      </c>
    </row>
    <row r="541" spans="1:11">
      <c r="A541" s="15">
        <v>8</v>
      </c>
      <c r="B541" s="22">
        <v>41897</v>
      </c>
      <c r="C541" s="15">
        <v>2014</v>
      </c>
      <c r="D541" s="11" t="s">
        <v>40</v>
      </c>
      <c r="E541" s="15">
        <v>9</v>
      </c>
      <c r="F541" s="38">
        <v>1.718</v>
      </c>
      <c r="G541" s="18">
        <v>3.4482499999999999E-2</v>
      </c>
      <c r="H541" s="18">
        <v>0</v>
      </c>
      <c r="I541" s="18">
        <v>0.38743212500000002</v>
      </c>
      <c r="J541" s="18">
        <v>1.6371875000000004E-2</v>
      </c>
      <c r="K541" s="18">
        <v>0</v>
      </c>
    </row>
    <row r="542" spans="1:11">
      <c r="A542" s="15">
        <v>15</v>
      </c>
      <c r="B542" s="22">
        <v>41897</v>
      </c>
      <c r="C542" s="15">
        <v>2014</v>
      </c>
      <c r="D542" s="11" t="s">
        <v>40</v>
      </c>
      <c r="E542" s="15">
        <v>9</v>
      </c>
      <c r="F542" s="38">
        <v>1.7669999999999999</v>
      </c>
      <c r="G542" s="18">
        <v>0</v>
      </c>
      <c r="H542" s="18">
        <v>0</v>
      </c>
      <c r="I542" s="18">
        <v>0.51165612500000002</v>
      </c>
      <c r="J542" s="18">
        <v>3.2613000000000003E-2</v>
      </c>
      <c r="K542" s="18">
        <v>0</v>
      </c>
    </row>
    <row r="543" spans="1:11">
      <c r="A543" s="15">
        <v>6</v>
      </c>
      <c r="B543" s="22">
        <v>41929</v>
      </c>
      <c r="C543" s="15">
        <v>2014</v>
      </c>
      <c r="D543" s="11" t="s">
        <v>36</v>
      </c>
      <c r="E543" s="15">
        <v>10</v>
      </c>
      <c r="F543" s="26">
        <v>1.51</v>
      </c>
      <c r="G543" s="18">
        <v>1.6669E-2</v>
      </c>
      <c r="H543" s="18">
        <v>0</v>
      </c>
      <c r="I543" s="18">
        <v>0.43258437500000002</v>
      </c>
      <c r="J543" s="18">
        <v>0</v>
      </c>
      <c r="K543" s="18">
        <v>0</v>
      </c>
    </row>
    <row r="544" spans="1:11">
      <c r="A544" s="15">
        <v>8</v>
      </c>
      <c r="B544" s="22">
        <v>41928</v>
      </c>
      <c r="C544" s="15">
        <v>2014</v>
      </c>
      <c r="D544" s="11" t="s">
        <v>36</v>
      </c>
      <c r="E544" s="15">
        <v>10</v>
      </c>
      <c r="F544" s="26">
        <v>1.224</v>
      </c>
      <c r="G544" s="18">
        <v>0</v>
      </c>
      <c r="H544" s="18">
        <v>0</v>
      </c>
      <c r="I544" s="18">
        <v>0.22581725000000002</v>
      </c>
      <c r="J544" s="18">
        <v>0</v>
      </c>
      <c r="K544" s="18">
        <v>0</v>
      </c>
    </row>
    <row r="545" spans="1:11">
      <c r="A545" s="15">
        <v>15</v>
      </c>
      <c r="B545" s="22">
        <v>41928</v>
      </c>
      <c r="C545" s="15">
        <v>2014</v>
      </c>
      <c r="D545" s="11" t="s">
        <v>36</v>
      </c>
      <c r="E545" s="15">
        <v>10</v>
      </c>
      <c r="F545" s="26">
        <v>2.0169999999999999</v>
      </c>
      <c r="G545" s="18">
        <v>2.2946874999999999E-2</v>
      </c>
      <c r="H545" s="18">
        <v>0</v>
      </c>
      <c r="I545" s="18">
        <v>0.42733824999999992</v>
      </c>
      <c r="J545" s="18">
        <v>1.41855E-2</v>
      </c>
      <c r="K545" s="18">
        <v>0</v>
      </c>
    </row>
    <row r="546" spans="1:11">
      <c r="A546" s="15">
        <v>6</v>
      </c>
      <c r="B546" s="22">
        <v>41953</v>
      </c>
      <c r="C546" s="15">
        <v>2014</v>
      </c>
      <c r="D546" s="11" t="s">
        <v>37</v>
      </c>
      <c r="E546" s="15">
        <v>11</v>
      </c>
      <c r="F546" s="26">
        <v>3.0049999999999999</v>
      </c>
      <c r="G546" s="18">
        <v>6.1075874999999995E-2</v>
      </c>
      <c r="H546" s="18">
        <v>0</v>
      </c>
      <c r="I546" s="18">
        <v>0.32425074999999998</v>
      </c>
      <c r="J546" s="18">
        <v>1.77935E-2</v>
      </c>
      <c r="K546" s="18">
        <v>0</v>
      </c>
    </row>
    <row r="547" spans="1:11">
      <c r="A547" s="15">
        <v>8</v>
      </c>
      <c r="B547" s="22">
        <v>41955</v>
      </c>
      <c r="C547" s="15">
        <v>2014</v>
      </c>
      <c r="D547" s="11" t="s">
        <v>37</v>
      </c>
      <c r="E547" s="15">
        <v>11</v>
      </c>
      <c r="F547" s="26">
        <v>0.77900000000000003</v>
      </c>
      <c r="G547" s="18">
        <v>0</v>
      </c>
      <c r="H547" s="18">
        <v>0</v>
      </c>
      <c r="I547" s="18">
        <v>0.10562362499999998</v>
      </c>
      <c r="J547" s="18">
        <v>0</v>
      </c>
      <c r="K547" s="18">
        <v>0</v>
      </c>
    </row>
    <row r="548" spans="1:11">
      <c r="A548" s="15">
        <v>15</v>
      </c>
      <c r="B548" s="22">
        <v>41955</v>
      </c>
      <c r="C548" s="15">
        <v>2014</v>
      </c>
      <c r="D548" s="11" t="s">
        <v>37</v>
      </c>
      <c r="E548" s="15">
        <v>11</v>
      </c>
      <c r="F548" s="26">
        <v>1.903</v>
      </c>
      <c r="G548" s="18">
        <v>4.5334625000000003E-2</v>
      </c>
      <c r="H548" s="18">
        <v>0</v>
      </c>
      <c r="I548" s="18">
        <v>0.16562974999999996</v>
      </c>
      <c r="J548" s="18">
        <v>9.1882500000000002E-3</v>
      </c>
      <c r="K548" s="18">
        <v>0</v>
      </c>
    </row>
    <row r="549" spans="1:11">
      <c r="A549" s="15">
        <v>6</v>
      </c>
      <c r="B549" s="22">
        <v>41988</v>
      </c>
      <c r="C549" s="15">
        <v>2014</v>
      </c>
      <c r="D549" s="11" t="s">
        <v>38</v>
      </c>
      <c r="E549" s="15">
        <v>12</v>
      </c>
      <c r="F549" s="26">
        <v>3.819</v>
      </c>
      <c r="G549" s="18">
        <v>0.23277450000000002</v>
      </c>
      <c r="H549" s="18">
        <v>0</v>
      </c>
      <c r="I549" s="18">
        <v>1.402434875</v>
      </c>
      <c r="J549" s="18">
        <v>0</v>
      </c>
      <c r="K549" s="18">
        <v>0</v>
      </c>
    </row>
    <row r="550" spans="1:11">
      <c r="A550" s="15">
        <v>8</v>
      </c>
      <c r="B550" s="22">
        <v>41992</v>
      </c>
      <c r="C550" s="15">
        <v>2014</v>
      </c>
      <c r="D550" s="11" t="s">
        <v>38</v>
      </c>
      <c r="E550" s="15">
        <v>12</v>
      </c>
      <c r="F550" s="26">
        <v>1.2869999999999999</v>
      </c>
      <c r="G550" s="18">
        <v>0.11462237499999998</v>
      </c>
      <c r="H550" s="18">
        <v>0</v>
      </c>
      <c r="I550" s="18">
        <v>0.26378712499999996</v>
      </c>
      <c r="J550" s="18">
        <v>0</v>
      </c>
      <c r="K550" s="18">
        <v>0</v>
      </c>
    </row>
    <row r="551" spans="1:11">
      <c r="A551" s="15">
        <v>15</v>
      </c>
      <c r="B551" s="22">
        <v>41992</v>
      </c>
      <c r="C551" s="15">
        <v>2014</v>
      </c>
      <c r="D551" s="11" t="s">
        <v>38</v>
      </c>
      <c r="E551" s="15">
        <v>12</v>
      </c>
      <c r="F551" s="26">
        <v>2.2200000000000002</v>
      </c>
      <c r="G551" s="18">
        <v>0.11047999999999999</v>
      </c>
      <c r="H551" s="18">
        <v>0</v>
      </c>
      <c r="I551" s="18">
        <v>0.61752200000000002</v>
      </c>
      <c r="J551" s="18">
        <v>1.5712874999999998E-2</v>
      </c>
      <c r="K551" s="18">
        <v>0</v>
      </c>
    </row>
  </sheetData>
  <autoFilter ref="L1:L551" xr:uid="{00000000-0009-0000-0000-000001000000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67"/>
  <sheetViews>
    <sheetView workbookViewId="0">
      <selection activeCell="S551" sqref="S551:V567"/>
    </sheetView>
  </sheetViews>
  <sheetFormatPr defaultColWidth="8.85546875" defaultRowHeight="15"/>
  <cols>
    <col min="2" max="2" width="21.85546875" customWidth="1"/>
  </cols>
  <sheetData>
    <row r="1" spans="1:18" ht="25.5">
      <c r="A1" s="2" t="s">
        <v>2</v>
      </c>
      <c r="B1" s="3" t="s">
        <v>3</v>
      </c>
      <c r="C1" s="4" t="s">
        <v>4</v>
      </c>
      <c r="D1" s="5" t="s">
        <v>5</v>
      </c>
      <c r="E1" s="4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39" t="s">
        <v>42</v>
      </c>
      <c r="M1" s="6" t="s">
        <v>7</v>
      </c>
      <c r="N1" s="6" t="s">
        <v>8</v>
      </c>
      <c r="O1" s="6" t="s">
        <v>9</v>
      </c>
      <c r="P1" s="6" t="s">
        <v>10</v>
      </c>
      <c r="Q1" s="6" t="s">
        <v>11</v>
      </c>
      <c r="R1" s="6" t="s">
        <v>12</v>
      </c>
    </row>
    <row r="2" spans="1:18">
      <c r="A2" s="41">
        <v>6</v>
      </c>
      <c r="B2" s="46">
        <v>36445</v>
      </c>
      <c r="C2" s="43">
        <v>1999</v>
      </c>
      <c r="D2" s="47" t="s">
        <v>14</v>
      </c>
      <c r="E2" s="45">
        <v>10</v>
      </c>
      <c r="F2" s="49">
        <v>3.5698365161440249</v>
      </c>
      <c r="G2" s="49">
        <v>3.7162682833333335E-2</v>
      </c>
      <c r="H2" s="44">
        <v>1.5403266500000002E-2</v>
      </c>
      <c r="I2" s="49">
        <v>0.97345581050000007</v>
      </c>
      <c r="J2" s="44">
        <v>0.12047614400000001</v>
      </c>
      <c r="K2" s="44" t="s">
        <v>15</v>
      </c>
    </row>
    <row r="3" spans="1:18">
      <c r="A3" s="8">
        <v>8</v>
      </c>
      <c r="B3" s="9">
        <v>36446</v>
      </c>
      <c r="C3" s="10">
        <v>1999</v>
      </c>
      <c r="D3" s="11" t="s">
        <v>14</v>
      </c>
      <c r="E3" s="12">
        <v>10</v>
      </c>
      <c r="F3" s="48">
        <v>0.68411831495979114</v>
      </c>
      <c r="G3" s="48">
        <v>0</v>
      </c>
      <c r="H3" s="42">
        <v>0</v>
      </c>
      <c r="I3" s="48">
        <v>0.15073272133333332</v>
      </c>
      <c r="J3" s="42">
        <v>0</v>
      </c>
      <c r="K3" s="42" t="s">
        <v>15</v>
      </c>
      <c r="L3" s="39" t="s">
        <v>44</v>
      </c>
      <c r="M3" s="40">
        <f>AVERAGE(F2:F10)</f>
        <v>2.0824106585264692</v>
      </c>
      <c r="N3" s="40">
        <f>AVERAGE(G2:G10)</f>
        <v>5.1745044722222223E-2</v>
      </c>
      <c r="O3" s="40">
        <f>AVERAGE(H2:H10)</f>
        <v>1.0941572962962963E-2</v>
      </c>
      <c r="P3" s="40">
        <f>AVERAGE(I2:I10)</f>
        <v>0.46398309103703705</v>
      </c>
      <c r="Q3" s="40">
        <f>AVERAGE(J2:J10)</f>
        <v>2.3614485981481484E-2</v>
      </c>
    </row>
    <row r="4" spans="1:18">
      <c r="A4" s="8">
        <v>15</v>
      </c>
      <c r="B4" s="9">
        <v>36445</v>
      </c>
      <c r="C4" s="10">
        <v>1999</v>
      </c>
      <c r="D4" s="11" t="s">
        <v>14</v>
      </c>
      <c r="E4" s="12">
        <v>10</v>
      </c>
      <c r="F4" s="48">
        <v>2.1260596804117222</v>
      </c>
      <c r="G4" s="48">
        <v>0</v>
      </c>
      <c r="H4" s="42">
        <v>0</v>
      </c>
      <c r="I4" s="48">
        <v>0.25964941783333334</v>
      </c>
      <c r="J4" s="48">
        <v>1.7418896999999999E-2</v>
      </c>
      <c r="K4" s="48" t="s">
        <v>15</v>
      </c>
    </row>
    <row r="5" spans="1:18">
      <c r="A5" s="8">
        <v>6</v>
      </c>
      <c r="B5" s="9">
        <v>36472</v>
      </c>
      <c r="C5" s="10">
        <v>1999</v>
      </c>
      <c r="D5" s="11" t="s">
        <v>16</v>
      </c>
      <c r="E5" s="10">
        <v>11</v>
      </c>
      <c r="F5" s="48">
        <v>2.4054250359482343</v>
      </c>
      <c r="G5" s="48">
        <v>2.42904075E-2</v>
      </c>
      <c r="H5" s="42">
        <v>2.8152886833333331E-2</v>
      </c>
      <c r="I5" s="48">
        <v>0.56843149333333343</v>
      </c>
      <c r="J5" s="48">
        <v>2.2977579666666664E-2</v>
      </c>
      <c r="K5" s="48" t="s">
        <v>15</v>
      </c>
    </row>
    <row r="6" spans="1:18">
      <c r="A6" s="8">
        <v>8</v>
      </c>
      <c r="B6" s="9">
        <v>36473</v>
      </c>
      <c r="C6" s="10">
        <v>1999</v>
      </c>
      <c r="D6" s="11" t="s">
        <v>16</v>
      </c>
      <c r="E6" s="10">
        <v>11</v>
      </c>
      <c r="F6" s="48">
        <v>0.3110645838477441</v>
      </c>
      <c r="G6" s="48">
        <v>0</v>
      </c>
      <c r="H6" s="42">
        <v>0</v>
      </c>
      <c r="I6" s="48">
        <v>8.7869832333333328E-2</v>
      </c>
      <c r="J6" s="48">
        <v>0</v>
      </c>
      <c r="K6" s="48" t="s">
        <v>15</v>
      </c>
    </row>
    <row r="7" spans="1:18">
      <c r="A7" s="8">
        <v>15</v>
      </c>
      <c r="B7" s="9">
        <v>36472</v>
      </c>
      <c r="C7" s="10">
        <v>1999</v>
      </c>
      <c r="D7" s="11" t="s">
        <v>16</v>
      </c>
      <c r="E7" s="10">
        <v>11</v>
      </c>
      <c r="F7" s="48">
        <v>1.3858617673943463</v>
      </c>
      <c r="G7" s="48">
        <v>1.6835813999999998E-2</v>
      </c>
      <c r="H7" s="42">
        <v>0</v>
      </c>
      <c r="I7" s="48">
        <v>0.17869869033333333</v>
      </c>
      <c r="J7" s="48">
        <v>7.0865236666666663E-3</v>
      </c>
      <c r="K7" s="48" t="s">
        <v>15</v>
      </c>
    </row>
    <row r="8" spans="1:18">
      <c r="A8" s="8">
        <v>6</v>
      </c>
      <c r="B8" s="9">
        <v>36501</v>
      </c>
      <c r="C8" s="10">
        <v>1999</v>
      </c>
      <c r="D8" s="11" t="s">
        <v>17</v>
      </c>
      <c r="E8" s="10">
        <v>12</v>
      </c>
      <c r="F8" s="48">
        <v>4.7679182065098988</v>
      </c>
      <c r="G8" s="48">
        <v>5.5952682666666663E-2</v>
      </c>
      <c r="H8" s="42">
        <v>4.3322807666666671E-2</v>
      </c>
      <c r="I8" s="48">
        <v>1.5410330740000004</v>
      </c>
      <c r="J8" s="48">
        <v>3.0529119000000004E-2</v>
      </c>
      <c r="K8" s="48" t="s">
        <v>15</v>
      </c>
    </row>
    <row r="9" spans="1:18">
      <c r="A9" s="8">
        <v>8</v>
      </c>
      <c r="B9" s="9">
        <v>36502</v>
      </c>
      <c r="C9" s="10">
        <v>1999</v>
      </c>
      <c r="D9" s="11" t="s">
        <v>17</v>
      </c>
      <c r="E9" s="10">
        <v>12</v>
      </c>
      <c r="F9" s="48">
        <v>0.21161475257447457</v>
      </c>
      <c r="G9" s="48">
        <v>0</v>
      </c>
      <c r="H9" s="42">
        <v>0</v>
      </c>
      <c r="I9" s="48">
        <v>4.3713193666666664E-2</v>
      </c>
      <c r="J9" s="48">
        <v>0</v>
      </c>
      <c r="K9" s="48" t="s">
        <v>15</v>
      </c>
    </row>
    <row r="10" spans="1:18">
      <c r="A10" s="8">
        <v>15</v>
      </c>
      <c r="B10" s="9">
        <v>36501</v>
      </c>
      <c r="C10" s="10">
        <v>1999</v>
      </c>
      <c r="D10" s="11" t="s">
        <v>17</v>
      </c>
      <c r="E10" s="10">
        <v>12</v>
      </c>
      <c r="F10" s="48">
        <v>3.2797970689479876</v>
      </c>
      <c r="G10" s="48">
        <v>0.33146381550000004</v>
      </c>
      <c r="H10" s="42">
        <v>1.1595195666666667E-2</v>
      </c>
      <c r="I10" s="48">
        <v>0.37226358599999998</v>
      </c>
      <c r="J10" s="48">
        <v>1.40421105E-2</v>
      </c>
      <c r="K10" s="48" t="s">
        <v>15</v>
      </c>
    </row>
    <row r="11" spans="1:18" ht="25.5">
      <c r="A11" s="41">
        <v>6</v>
      </c>
      <c r="B11" s="46">
        <v>36530</v>
      </c>
      <c r="C11" s="45">
        <v>2000</v>
      </c>
      <c r="D11" s="47" t="s">
        <v>18</v>
      </c>
      <c r="E11" s="43">
        <v>1</v>
      </c>
      <c r="F11" s="49">
        <v>3.2113695330360645</v>
      </c>
      <c r="G11" s="49">
        <v>0.10454679900000001</v>
      </c>
      <c r="H11" s="44">
        <v>0</v>
      </c>
      <c r="I11" s="49">
        <v>1.3133687546666666</v>
      </c>
      <c r="J11" s="49">
        <v>2.9915655333333332E-2</v>
      </c>
      <c r="K11" s="49" t="s">
        <v>15</v>
      </c>
      <c r="L11" s="39" t="s">
        <v>42</v>
      </c>
      <c r="M11" s="6" t="s">
        <v>7</v>
      </c>
      <c r="N11" s="6" t="s">
        <v>8</v>
      </c>
      <c r="O11" s="6" t="s">
        <v>9</v>
      </c>
      <c r="P11" s="6" t="s">
        <v>10</v>
      </c>
      <c r="Q11" s="6" t="s">
        <v>11</v>
      </c>
      <c r="R11" s="6" t="s">
        <v>12</v>
      </c>
    </row>
    <row r="12" spans="1:18">
      <c r="A12" s="8">
        <v>8</v>
      </c>
      <c r="B12" s="9">
        <v>36531</v>
      </c>
      <c r="C12" s="12">
        <v>2000</v>
      </c>
      <c r="D12" s="11" t="s">
        <v>18</v>
      </c>
      <c r="E12" s="10">
        <v>1</v>
      </c>
      <c r="F12" s="48">
        <v>0.42222455228107891</v>
      </c>
      <c r="G12" s="48">
        <v>7.935359166666666E-3</v>
      </c>
      <c r="H12" s="42">
        <v>0</v>
      </c>
      <c r="I12" s="48">
        <v>0.12130810133333333</v>
      </c>
      <c r="J12" s="48">
        <v>3.4739670000000001E-3</v>
      </c>
      <c r="K12" s="48" t="s">
        <v>15</v>
      </c>
      <c r="L12" s="39" t="s">
        <v>45</v>
      </c>
      <c r="M12" s="40">
        <f>AVERAGE(F11:F46)</f>
        <v>4.1215587866296373</v>
      </c>
      <c r="N12" s="40">
        <f t="shared" ref="N12:O12" si="0">AVERAGE(G11:G46)</f>
        <v>8.3045763709523809E-2</v>
      </c>
      <c r="O12" s="40">
        <f t="shared" si="0"/>
        <v>0.22751737815714282</v>
      </c>
      <c r="P12" s="40">
        <f>AVERAGE(I11:I46)</f>
        <v>1.1582331910047621</v>
      </c>
      <c r="Q12" s="40">
        <f>AVERAGE(J11:J46)</f>
        <v>0.16063988246523805</v>
      </c>
    </row>
    <row r="13" spans="1:18">
      <c r="A13" s="8">
        <v>15</v>
      </c>
      <c r="B13" s="9">
        <v>36530</v>
      </c>
      <c r="C13" s="12">
        <v>2000</v>
      </c>
      <c r="D13" s="11" t="s">
        <v>18</v>
      </c>
      <c r="E13" s="10">
        <v>1</v>
      </c>
      <c r="F13" s="48">
        <v>2.4582124693169112</v>
      </c>
      <c r="G13" s="48">
        <v>6.4497345500000011E-2</v>
      </c>
      <c r="H13" s="42">
        <v>4.6086515500000001E-2</v>
      </c>
      <c r="I13" s="48">
        <v>0.84912798500000009</v>
      </c>
      <c r="J13" s="48">
        <v>3.1601588999999999E-2</v>
      </c>
      <c r="K13" s="48" t="s">
        <v>15</v>
      </c>
    </row>
    <row r="14" spans="1:18">
      <c r="A14" s="8">
        <v>6</v>
      </c>
      <c r="B14" s="9">
        <v>36579</v>
      </c>
      <c r="C14" s="12">
        <v>2000</v>
      </c>
      <c r="D14" s="11" t="s">
        <v>19</v>
      </c>
      <c r="E14" s="12">
        <v>2</v>
      </c>
      <c r="F14" s="48">
        <v>2.0140819848751135</v>
      </c>
      <c r="G14" s="48">
        <v>4.8594443333333334E-2</v>
      </c>
      <c r="H14" s="42">
        <v>0</v>
      </c>
      <c r="I14" s="48">
        <v>0.61307109916666658</v>
      </c>
      <c r="J14" s="48">
        <v>4.5020465333333343E-2</v>
      </c>
      <c r="K14" s="48" t="s">
        <v>15</v>
      </c>
    </row>
    <row r="15" spans="1:18">
      <c r="A15" s="8">
        <v>8</v>
      </c>
      <c r="B15" s="9">
        <v>36578</v>
      </c>
      <c r="C15" s="12">
        <v>2000</v>
      </c>
      <c r="D15" s="11" t="s">
        <v>19</v>
      </c>
      <c r="E15" s="12">
        <v>2</v>
      </c>
      <c r="F15" s="48">
        <v>2.3171913009145619</v>
      </c>
      <c r="G15" s="48">
        <v>3.6569745500000007E-2</v>
      </c>
      <c r="H15" s="42">
        <v>0</v>
      </c>
      <c r="I15" s="48">
        <v>0.76498130850000012</v>
      </c>
      <c r="J15" s="48">
        <v>2.7099731166666668E-2</v>
      </c>
      <c r="K15" s="48" t="s">
        <v>15</v>
      </c>
    </row>
    <row r="16" spans="1:18">
      <c r="A16" s="8">
        <v>15</v>
      </c>
      <c r="B16" s="9">
        <v>36579</v>
      </c>
      <c r="C16" s="12">
        <v>2000</v>
      </c>
      <c r="D16" s="11" t="s">
        <v>19</v>
      </c>
      <c r="E16" s="12">
        <v>2</v>
      </c>
      <c r="F16" s="48">
        <v>2.1126904269730375</v>
      </c>
      <c r="G16" s="48">
        <v>7.7777841833333333E-2</v>
      </c>
      <c r="H16" s="42">
        <v>0</v>
      </c>
      <c r="I16" s="48">
        <v>0.73561549999999998</v>
      </c>
      <c r="J16" s="48">
        <v>3.7478335999999994E-2</v>
      </c>
      <c r="K16" s="48" t="s">
        <v>15</v>
      </c>
    </row>
    <row r="17" spans="1:11">
      <c r="A17" s="8">
        <v>6</v>
      </c>
      <c r="B17" s="9">
        <v>36598</v>
      </c>
      <c r="C17" s="12">
        <v>2000</v>
      </c>
      <c r="D17" s="11" t="s">
        <v>20</v>
      </c>
      <c r="E17" s="12">
        <v>3</v>
      </c>
      <c r="F17" s="48">
        <v>2.4864958323771345</v>
      </c>
      <c r="G17" s="48">
        <v>2.6547783666666668E-2</v>
      </c>
      <c r="H17" s="42">
        <v>3.4807287500000006E-2</v>
      </c>
      <c r="I17" s="48">
        <v>0.8636486596666666</v>
      </c>
      <c r="J17" s="48">
        <v>4.3798528000000003E-2</v>
      </c>
      <c r="K17" s="48" t="s">
        <v>15</v>
      </c>
    </row>
    <row r="18" spans="1:11">
      <c r="A18" s="8">
        <v>8</v>
      </c>
      <c r="B18" s="9">
        <v>36599</v>
      </c>
      <c r="C18" s="12">
        <v>2000</v>
      </c>
      <c r="D18" s="11" t="s">
        <v>20</v>
      </c>
      <c r="E18" s="12">
        <v>3</v>
      </c>
      <c r="F18" s="48">
        <v>0.61220145148561822</v>
      </c>
      <c r="G18" s="48">
        <v>1.4866624666666666E-2</v>
      </c>
      <c r="H18" s="42">
        <v>0</v>
      </c>
      <c r="I18" s="48">
        <v>9.7627194833333333E-2</v>
      </c>
      <c r="J18" s="48">
        <v>1.3364363000000001E-2</v>
      </c>
      <c r="K18" s="48" t="s">
        <v>15</v>
      </c>
    </row>
    <row r="19" spans="1:11">
      <c r="A19" s="8">
        <v>15</v>
      </c>
      <c r="B19" s="9">
        <v>36598</v>
      </c>
      <c r="C19" s="12">
        <v>2000</v>
      </c>
      <c r="D19" s="11" t="s">
        <v>20</v>
      </c>
      <c r="E19" s="12">
        <v>3</v>
      </c>
      <c r="F19" s="48">
        <v>1.8999130352897891</v>
      </c>
      <c r="G19" s="48">
        <v>0</v>
      </c>
      <c r="H19" s="42">
        <v>0</v>
      </c>
      <c r="I19" s="48">
        <v>0.82637558733333316</v>
      </c>
      <c r="J19" s="48">
        <v>3.2077951666666667E-2</v>
      </c>
      <c r="K19" s="48" t="s">
        <v>15</v>
      </c>
    </row>
    <row r="20" spans="1:11">
      <c r="A20" s="8">
        <v>6</v>
      </c>
      <c r="B20" s="9">
        <v>36627</v>
      </c>
      <c r="C20" s="12">
        <v>2000</v>
      </c>
      <c r="D20" s="15" t="s">
        <v>21</v>
      </c>
      <c r="E20" s="12">
        <v>4</v>
      </c>
      <c r="F20" s="48">
        <v>5.022326198879675</v>
      </c>
      <c r="G20" s="48">
        <v>7.0578505666666652E-2</v>
      </c>
      <c r="H20" s="42">
        <v>0</v>
      </c>
      <c r="I20" s="48">
        <v>1.7924839006666664</v>
      </c>
      <c r="J20" s="48">
        <v>0</v>
      </c>
      <c r="K20" s="48" t="s">
        <v>15</v>
      </c>
    </row>
    <row r="21" spans="1:11">
      <c r="A21" s="8">
        <v>8</v>
      </c>
      <c r="B21" s="9">
        <v>36626</v>
      </c>
      <c r="C21" s="12">
        <v>2000</v>
      </c>
      <c r="D21" s="15" t="s">
        <v>21</v>
      </c>
      <c r="E21" s="12">
        <v>4</v>
      </c>
      <c r="F21" s="48">
        <v>1.2058709934784821</v>
      </c>
      <c r="G21" s="48">
        <v>5.5080586500000001E-2</v>
      </c>
      <c r="H21" s="42">
        <v>0</v>
      </c>
      <c r="I21" s="48">
        <v>0.36183654816666666</v>
      </c>
      <c r="J21" s="48">
        <v>0</v>
      </c>
      <c r="K21" s="48" t="s">
        <v>15</v>
      </c>
    </row>
    <row r="22" spans="1:11">
      <c r="A22" s="8">
        <v>15</v>
      </c>
      <c r="B22" s="9">
        <v>36627</v>
      </c>
      <c r="C22" s="12">
        <v>2000</v>
      </c>
      <c r="D22" s="15" t="s">
        <v>21</v>
      </c>
      <c r="E22" s="12">
        <v>4</v>
      </c>
      <c r="F22" s="48">
        <v>1.4114651038746628</v>
      </c>
      <c r="G22" s="48">
        <v>2.1937004E-2</v>
      </c>
      <c r="H22" s="42">
        <v>0</v>
      </c>
      <c r="I22" s="48">
        <v>0.24913746500000003</v>
      </c>
      <c r="J22" s="48">
        <v>0</v>
      </c>
      <c r="K22" s="48" t="s">
        <v>15</v>
      </c>
    </row>
    <row r="23" spans="1:11">
      <c r="A23" s="8">
        <v>6</v>
      </c>
      <c r="B23" s="9">
        <v>36662</v>
      </c>
      <c r="C23" s="12">
        <v>2000</v>
      </c>
      <c r="D23" s="15" t="s">
        <v>22</v>
      </c>
      <c r="E23" s="12">
        <v>5</v>
      </c>
      <c r="F23" s="48">
        <v>11.531826484625775</v>
      </c>
      <c r="G23" s="48">
        <v>0.14703336266666667</v>
      </c>
      <c r="H23" s="42">
        <v>2.5866577715000001</v>
      </c>
      <c r="I23" s="48">
        <v>4.3771852110000005</v>
      </c>
      <c r="J23" s="48">
        <v>0.13445944299999998</v>
      </c>
      <c r="K23" s="48" t="s">
        <v>15</v>
      </c>
    </row>
    <row r="24" spans="1:11">
      <c r="A24" s="8">
        <v>8</v>
      </c>
      <c r="B24" s="9">
        <v>36663</v>
      </c>
      <c r="C24" s="12">
        <v>2000</v>
      </c>
      <c r="D24" s="15" t="s">
        <v>22</v>
      </c>
      <c r="E24" s="12">
        <v>5</v>
      </c>
      <c r="F24" s="48">
        <v>1.1071352573506272</v>
      </c>
      <c r="G24" s="48">
        <v>0</v>
      </c>
      <c r="H24" s="42">
        <v>0</v>
      </c>
      <c r="I24" s="48">
        <v>8.5917101833333329E-2</v>
      </c>
      <c r="J24" s="48">
        <v>8.2881233333333346E-3</v>
      </c>
      <c r="K24" s="48" t="s">
        <v>15</v>
      </c>
    </row>
    <row r="25" spans="1:11">
      <c r="A25" s="8">
        <v>15</v>
      </c>
      <c r="B25" s="9">
        <v>36662</v>
      </c>
      <c r="C25" s="12">
        <v>2000</v>
      </c>
      <c r="D25" s="15" t="s">
        <v>22</v>
      </c>
      <c r="E25" s="12">
        <v>5</v>
      </c>
      <c r="F25" s="48">
        <v>8.2380986981171329</v>
      </c>
      <c r="G25" s="48">
        <v>0.11640378833333333</v>
      </c>
      <c r="H25" s="42">
        <v>1.3921867714999998</v>
      </c>
      <c r="I25" s="48">
        <v>3.6005514678333332</v>
      </c>
      <c r="J25" s="48">
        <v>9.9368895833333332E-2</v>
      </c>
      <c r="K25" s="48" t="s">
        <v>15</v>
      </c>
    </row>
    <row r="26" spans="1:11">
      <c r="A26" s="8">
        <v>6</v>
      </c>
      <c r="B26" s="9">
        <v>36690</v>
      </c>
      <c r="C26" s="12">
        <v>2000</v>
      </c>
      <c r="D26" s="15" t="s">
        <v>23</v>
      </c>
      <c r="E26" s="12">
        <v>6</v>
      </c>
      <c r="F26" s="48">
        <v>13.424318765220505</v>
      </c>
      <c r="G26" s="48">
        <v>6.723905166666666E-2</v>
      </c>
      <c r="H26" s="42">
        <v>1.8143357185</v>
      </c>
      <c r="I26" s="48">
        <v>5.6608219929999999</v>
      </c>
      <c r="J26" s="48">
        <v>0.31851920516666671</v>
      </c>
      <c r="K26" s="48" t="s">
        <v>15</v>
      </c>
    </row>
    <row r="27" spans="1:11">
      <c r="A27" s="8">
        <v>8</v>
      </c>
      <c r="B27" s="9">
        <v>36692</v>
      </c>
      <c r="C27" s="12">
        <v>2000</v>
      </c>
      <c r="D27" s="15" t="s">
        <v>23</v>
      </c>
      <c r="E27" s="12">
        <v>6</v>
      </c>
      <c r="F27" s="48">
        <v>1.1666711014926385</v>
      </c>
      <c r="G27" s="48">
        <v>0</v>
      </c>
      <c r="H27" s="42">
        <v>0</v>
      </c>
      <c r="I27" s="48">
        <v>0.19910586150000001</v>
      </c>
      <c r="J27" s="48">
        <v>0</v>
      </c>
      <c r="K27" s="48" t="s">
        <v>15</v>
      </c>
    </row>
    <row r="28" spans="1:11">
      <c r="A28" s="8">
        <v>15</v>
      </c>
      <c r="B28" s="9">
        <v>36690</v>
      </c>
      <c r="C28" s="12">
        <v>2000</v>
      </c>
      <c r="D28" s="15" t="s">
        <v>23</v>
      </c>
      <c r="E28" s="12">
        <v>6</v>
      </c>
      <c r="F28" s="48">
        <v>11.750560627847415</v>
      </c>
      <c r="G28" s="48">
        <v>8.3240182666666662E-2</v>
      </c>
      <c r="H28" s="42">
        <v>1.8980156769999998</v>
      </c>
      <c r="I28" s="48">
        <v>5.2775857116666671</v>
      </c>
      <c r="J28" s="48">
        <v>0.14712603533333332</v>
      </c>
      <c r="K28" s="48" t="s">
        <v>15</v>
      </c>
    </row>
    <row r="29" spans="1:11">
      <c r="A29" s="8">
        <v>6</v>
      </c>
      <c r="B29" s="9">
        <v>36718</v>
      </c>
      <c r="C29" s="12">
        <v>2000</v>
      </c>
      <c r="D29" s="15" t="s">
        <v>24</v>
      </c>
      <c r="E29" s="12">
        <v>7</v>
      </c>
      <c r="F29" s="48">
        <v>7.6221527313395994</v>
      </c>
      <c r="G29" s="48">
        <v>9.5779926666666668E-2</v>
      </c>
      <c r="H29" s="42">
        <v>5.9741162000000007E-2</v>
      </c>
      <c r="I29" s="48">
        <v>1.6186786639999999</v>
      </c>
      <c r="J29" s="48">
        <v>0.62659155899999996</v>
      </c>
      <c r="K29" s="48" t="s">
        <v>15</v>
      </c>
    </row>
    <row r="30" spans="1:11">
      <c r="A30" s="8">
        <v>8</v>
      </c>
      <c r="B30" s="9">
        <v>36719</v>
      </c>
      <c r="C30" s="12">
        <v>2000</v>
      </c>
      <c r="D30" s="15" t="s">
        <v>24</v>
      </c>
      <c r="E30" s="12">
        <v>7</v>
      </c>
      <c r="F30" s="48">
        <v>1.0363606903029337</v>
      </c>
      <c r="G30" s="48">
        <v>5.7954068166666664E-2</v>
      </c>
      <c r="H30" s="42">
        <v>0</v>
      </c>
      <c r="I30" s="48">
        <v>9.9984896500000017E-2</v>
      </c>
      <c r="J30" s="48">
        <v>1.7252736166666668E-2</v>
      </c>
      <c r="K30" s="48" t="s">
        <v>15</v>
      </c>
    </row>
    <row r="31" spans="1:11">
      <c r="A31" s="8">
        <v>15</v>
      </c>
      <c r="B31" s="9">
        <v>36718</v>
      </c>
      <c r="C31" s="12">
        <v>2000</v>
      </c>
      <c r="D31" s="15" t="s">
        <v>24</v>
      </c>
      <c r="E31" s="12">
        <v>7</v>
      </c>
      <c r="F31" s="48">
        <v>7.445195757866248</v>
      </c>
      <c r="G31" s="48">
        <v>0.1653693416666667</v>
      </c>
      <c r="H31" s="42">
        <v>7.7695966999999991E-2</v>
      </c>
      <c r="I31" s="48">
        <v>1.9796614495000002</v>
      </c>
      <c r="J31" s="48">
        <v>0.4343788036666667</v>
      </c>
      <c r="K31" s="48" t="s">
        <v>15</v>
      </c>
    </row>
    <row r="32" spans="1:11">
      <c r="A32" s="8">
        <v>6</v>
      </c>
      <c r="B32" s="9">
        <v>36753</v>
      </c>
      <c r="C32" s="12">
        <v>2000</v>
      </c>
      <c r="D32" s="15" t="s">
        <v>25</v>
      </c>
      <c r="E32" s="12">
        <v>8</v>
      </c>
      <c r="F32" s="48">
        <v>12.145540664255593</v>
      </c>
      <c r="G32" s="48">
        <v>0.2813131213333333</v>
      </c>
      <c r="H32" s="42">
        <v>2.8212222499999998E-2</v>
      </c>
      <c r="I32" s="48">
        <v>2.2165540666666668</v>
      </c>
      <c r="J32" s="48">
        <v>1.1538234475000002</v>
      </c>
      <c r="K32" s="48" t="s">
        <v>15</v>
      </c>
    </row>
    <row r="33" spans="1:18">
      <c r="A33" s="8">
        <v>8</v>
      </c>
      <c r="B33" s="9">
        <v>36755</v>
      </c>
      <c r="C33" s="12">
        <v>2000</v>
      </c>
      <c r="D33" s="15" t="s">
        <v>25</v>
      </c>
      <c r="E33" s="12">
        <v>8</v>
      </c>
      <c r="F33" s="48">
        <v>1.4275565005543536</v>
      </c>
      <c r="G33" s="48">
        <v>0</v>
      </c>
      <c r="H33" s="42">
        <v>0</v>
      </c>
      <c r="I33" s="48">
        <v>0.38125440716666664</v>
      </c>
      <c r="J33" s="48">
        <v>1.3608310166666669E-2</v>
      </c>
      <c r="K33" s="48" t="s">
        <v>15</v>
      </c>
    </row>
    <row r="34" spans="1:18">
      <c r="A34" s="8">
        <v>15</v>
      </c>
      <c r="B34" s="9">
        <v>36753</v>
      </c>
      <c r="C34" s="12">
        <v>2000</v>
      </c>
      <c r="D34" s="15" t="s">
        <v>25</v>
      </c>
      <c r="E34" s="12">
        <v>8</v>
      </c>
      <c r="F34" s="48">
        <v>16.704231616920122</v>
      </c>
      <c r="G34" s="48">
        <v>0.19273199483333334</v>
      </c>
      <c r="H34" s="42">
        <v>0</v>
      </c>
      <c r="I34" s="48">
        <v>2.0732825433333333</v>
      </c>
      <c r="J34" s="48">
        <v>1.6519695373333332</v>
      </c>
      <c r="K34" s="48" t="s">
        <v>15</v>
      </c>
    </row>
    <row r="35" spans="1:18">
      <c r="A35" s="8">
        <v>6</v>
      </c>
      <c r="B35" s="9">
        <v>36781</v>
      </c>
      <c r="C35" s="12">
        <v>2000</v>
      </c>
      <c r="D35" s="15" t="s">
        <v>26</v>
      </c>
      <c r="E35" s="12">
        <v>9</v>
      </c>
      <c r="F35" s="48">
        <v>5.2565427098916953</v>
      </c>
      <c r="G35" s="48">
        <v>0.15664878083333333</v>
      </c>
      <c r="H35" s="42">
        <v>2.5369142500000001E-2</v>
      </c>
      <c r="I35" s="48">
        <v>1.1844637148333335</v>
      </c>
      <c r="J35" s="48">
        <v>0.37598108083333331</v>
      </c>
      <c r="K35" s="48" t="s">
        <v>15</v>
      </c>
    </row>
    <row r="36" spans="1:18">
      <c r="A36" s="8">
        <v>8</v>
      </c>
      <c r="B36" s="9">
        <v>36783</v>
      </c>
      <c r="C36" s="12">
        <v>2000</v>
      </c>
      <c r="D36" s="15" t="s">
        <v>26</v>
      </c>
      <c r="E36" s="12">
        <v>9</v>
      </c>
      <c r="F36" s="48">
        <v>1.9202883328733895</v>
      </c>
      <c r="G36" s="48">
        <v>0</v>
      </c>
      <c r="H36" s="42">
        <v>0</v>
      </c>
      <c r="I36" s="48">
        <v>0.39850095816666664</v>
      </c>
      <c r="J36" s="48">
        <v>2.3726404166666666E-2</v>
      </c>
      <c r="K36" s="48" t="s">
        <v>15</v>
      </c>
    </row>
    <row r="37" spans="1:18">
      <c r="A37" s="8">
        <v>15</v>
      </c>
      <c r="B37" s="9">
        <v>36781</v>
      </c>
      <c r="C37" s="12">
        <v>2000</v>
      </c>
      <c r="D37" s="15" t="s">
        <v>26</v>
      </c>
      <c r="E37" s="12">
        <v>9</v>
      </c>
      <c r="F37" s="48">
        <v>3.4888421874924349</v>
      </c>
      <c r="G37" s="48">
        <v>0.12090103349999999</v>
      </c>
      <c r="H37" s="42">
        <v>0</v>
      </c>
      <c r="I37" s="48">
        <v>0.76015939450000003</v>
      </c>
      <c r="J37" s="48">
        <v>0.29434883183333332</v>
      </c>
      <c r="K37" s="48" t="s">
        <v>15</v>
      </c>
    </row>
    <row r="38" spans="1:18">
      <c r="A38" s="8">
        <v>6</v>
      </c>
      <c r="B38" s="9">
        <v>36817</v>
      </c>
      <c r="C38" s="12">
        <v>2000</v>
      </c>
      <c r="D38" s="15" t="s">
        <v>14</v>
      </c>
      <c r="E38" s="12">
        <v>10</v>
      </c>
      <c r="F38" s="16">
        <v>3.4158372305855664</v>
      </c>
      <c r="G38" s="16">
        <v>8.5125505333333323E-2</v>
      </c>
      <c r="H38" s="16">
        <v>0</v>
      </c>
      <c r="I38" s="16">
        <v>0.31296293366666672</v>
      </c>
      <c r="J38" s="16">
        <v>2.1628269833333335E-2</v>
      </c>
      <c r="K38" s="16" t="s">
        <v>15</v>
      </c>
    </row>
    <row r="39" spans="1:18">
      <c r="A39" s="8">
        <v>8</v>
      </c>
      <c r="B39" s="9">
        <v>36815</v>
      </c>
      <c r="C39" s="12">
        <v>2000</v>
      </c>
      <c r="D39" s="15" t="s">
        <v>14</v>
      </c>
      <c r="E39" s="12">
        <v>10</v>
      </c>
      <c r="F39" s="16">
        <v>0.74574838611404204</v>
      </c>
      <c r="G39" s="16">
        <v>0</v>
      </c>
      <c r="H39" s="16">
        <v>0</v>
      </c>
      <c r="I39" s="16">
        <v>8.4663819333333321E-2</v>
      </c>
      <c r="J39" s="16">
        <v>0</v>
      </c>
      <c r="K39" s="16" t="s">
        <v>15</v>
      </c>
    </row>
    <row r="40" spans="1:18">
      <c r="A40" s="8">
        <v>15</v>
      </c>
      <c r="B40" s="9">
        <v>36817</v>
      </c>
      <c r="C40" s="12">
        <v>2000</v>
      </c>
      <c r="D40" s="15" t="s">
        <v>14</v>
      </c>
      <c r="E40" s="12">
        <v>10</v>
      </c>
      <c r="F40" s="16">
        <v>1.4058698228589261</v>
      </c>
      <c r="G40" s="16">
        <v>1.1763138666666666E-2</v>
      </c>
      <c r="H40" s="16">
        <v>0</v>
      </c>
      <c r="I40" s="16">
        <v>0.17209964166666666</v>
      </c>
      <c r="J40" s="16">
        <v>8.1944337833333332E-3</v>
      </c>
      <c r="K40" s="16" t="s">
        <v>15</v>
      </c>
    </row>
    <row r="41" spans="1:18">
      <c r="A41" s="8">
        <v>6</v>
      </c>
      <c r="B41" s="9">
        <v>36845</v>
      </c>
      <c r="C41" s="12">
        <v>2000</v>
      </c>
      <c r="D41" s="15" t="s">
        <v>16</v>
      </c>
      <c r="E41" s="12">
        <v>11</v>
      </c>
      <c r="F41" s="16">
        <v>3.0933376734382509</v>
      </c>
      <c r="G41" s="16">
        <v>0.34038041466666669</v>
      </c>
      <c r="H41" s="16">
        <v>0</v>
      </c>
      <c r="I41" s="16">
        <v>0.42752280849999996</v>
      </c>
      <c r="J41" s="16">
        <v>1.0428505500000001E-2</v>
      </c>
      <c r="K41" s="16" t="s">
        <v>15</v>
      </c>
    </row>
    <row r="42" spans="1:18">
      <c r="A42" s="8">
        <v>8</v>
      </c>
      <c r="B42" s="9">
        <v>36846</v>
      </c>
      <c r="C42" s="12">
        <v>2000</v>
      </c>
      <c r="D42" s="15" t="s">
        <v>16</v>
      </c>
      <c r="E42" s="12">
        <v>11</v>
      </c>
      <c r="F42" s="16">
        <v>0.53539094207744464</v>
      </c>
      <c r="G42" s="16">
        <v>4.7607227833333328E-2</v>
      </c>
      <c r="H42" s="16">
        <v>0</v>
      </c>
      <c r="I42" s="16">
        <v>7.153501683333334E-2</v>
      </c>
      <c r="J42" s="16">
        <v>0</v>
      </c>
      <c r="K42" s="16" t="s">
        <v>15</v>
      </c>
    </row>
    <row r="43" spans="1:18">
      <c r="A43" s="8">
        <v>15</v>
      </c>
      <c r="B43" s="9">
        <v>36845</v>
      </c>
      <c r="C43" s="12">
        <v>2000</v>
      </c>
      <c r="D43" s="15" t="s">
        <v>16</v>
      </c>
      <c r="E43" s="12">
        <v>11</v>
      </c>
      <c r="F43" s="16">
        <v>1.4195202317793862</v>
      </c>
      <c r="G43" s="16">
        <v>0.130005494</v>
      </c>
      <c r="H43" s="16">
        <v>0</v>
      </c>
      <c r="I43" s="16">
        <v>0.26097534983333337</v>
      </c>
      <c r="J43" s="16">
        <v>0</v>
      </c>
      <c r="K43" s="16" t="s">
        <v>15</v>
      </c>
    </row>
    <row r="44" spans="1:18">
      <c r="A44" s="8">
        <v>6</v>
      </c>
      <c r="B44" s="9">
        <v>36871</v>
      </c>
      <c r="C44" s="12">
        <v>2000</v>
      </c>
      <c r="D44" s="15" t="s">
        <v>17</v>
      </c>
      <c r="E44" s="12">
        <v>12</v>
      </c>
      <c r="F44" s="16">
        <v>2.1850567255155466</v>
      </c>
      <c r="G44" s="16">
        <v>0.18687191633333333</v>
      </c>
      <c r="H44" s="16">
        <v>0</v>
      </c>
      <c r="I44" s="16">
        <v>0.17106546083333335</v>
      </c>
      <c r="J44" s="16">
        <v>5.0969966666666667E-3</v>
      </c>
      <c r="K44" s="16" t="s">
        <v>15</v>
      </c>
    </row>
    <row r="45" spans="1:18">
      <c r="A45" s="8">
        <v>8</v>
      </c>
      <c r="B45" s="9">
        <v>36873</v>
      </c>
      <c r="C45" s="12">
        <v>2000</v>
      </c>
      <c r="D45" s="15" t="s">
        <v>17</v>
      </c>
      <c r="E45" s="12">
        <v>12</v>
      </c>
      <c r="F45" s="16">
        <v>2.077736344384836</v>
      </c>
      <c r="G45" s="16">
        <v>9.1301341833333327E-2</v>
      </c>
      <c r="H45" s="16">
        <v>0</v>
      </c>
      <c r="I45" s="16">
        <v>0.5350471086666666</v>
      </c>
      <c r="J45" s="16">
        <v>1.3774680666666667E-2</v>
      </c>
      <c r="K45" s="16" t="s">
        <v>15</v>
      </c>
    </row>
    <row r="46" spans="1:18">
      <c r="A46" s="8">
        <v>15</v>
      </c>
      <c r="B46" s="9">
        <v>36871</v>
      </c>
      <c r="C46" s="12">
        <v>2000</v>
      </c>
      <c r="D46" s="15" t="s">
        <v>17</v>
      </c>
      <c r="E46" s="12">
        <v>12</v>
      </c>
      <c r="F46" s="16">
        <v>4.0582539529803396</v>
      </c>
      <c r="G46" s="16"/>
      <c r="H46" s="16"/>
      <c r="I46" s="16"/>
      <c r="J46" s="16"/>
      <c r="K46" s="16"/>
    </row>
    <row r="47" spans="1:18" ht="25.5">
      <c r="A47" s="41">
        <v>6</v>
      </c>
      <c r="B47" s="46">
        <v>36901</v>
      </c>
      <c r="C47" s="45">
        <v>2001</v>
      </c>
      <c r="D47" s="50" t="s">
        <v>18</v>
      </c>
      <c r="E47" s="45">
        <v>1</v>
      </c>
      <c r="F47" s="51">
        <v>2.7547221587334612</v>
      </c>
      <c r="G47" s="51">
        <v>0.23899976716666665</v>
      </c>
      <c r="H47" s="51">
        <v>0</v>
      </c>
      <c r="I47" s="51">
        <v>0.65235760050000013</v>
      </c>
      <c r="J47" s="51">
        <v>3.9431800333333329E-2</v>
      </c>
      <c r="K47" s="51" t="s">
        <v>15</v>
      </c>
      <c r="L47" s="39" t="s">
        <v>42</v>
      </c>
      <c r="M47" s="6" t="s">
        <v>7</v>
      </c>
      <c r="N47" s="6" t="s">
        <v>8</v>
      </c>
      <c r="O47" s="6" t="s">
        <v>9</v>
      </c>
      <c r="P47" s="6" t="s">
        <v>10</v>
      </c>
      <c r="Q47" s="6" t="s">
        <v>11</v>
      </c>
      <c r="R47" s="6" t="s">
        <v>12</v>
      </c>
    </row>
    <row r="48" spans="1:18">
      <c r="A48" s="8">
        <v>8</v>
      </c>
      <c r="B48" s="9">
        <v>36902</v>
      </c>
      <c r="C48" s="12">
        <v>2001</v>
      </c>
      <c r="D48" s="15" t="s">
        <v>18</v>
      </c>
      <c r="E48" s="12">
        <v>1</v>
      </c>
      <c r="F48" s="16">
        <v>2.4730812884833537</v>
      </c>
      <c r="G48" s="16">
        <v>6.7604186166666663E-2</v>
      </c>
      <c r="H48" s="16">
        <v>0</v>
      </c>
      <c r="I48" s="16">
        <v>0.71212465633333333</v>
      </c>
      <c r="J48" s="16">
        <v>1.8109119666666666E-2</v>
      </c>
      <c r="K48" s="16" t="s">
        <v>15</v>
      </c>
      <c r="L48" s="39" t="s">
        <v>46</v>
      </c>
      <c r="M48" s="40">
        <f>AVERAGE(F47:F82)</f>
        <v>2.8857481058471661</v>
      </c>
      <c r="N48" s="40">
        <f t="shared" ref="N48:O48" si="1">AVERAGE(G47:G82)</f>
        <v>6.275781014619089E-2</v>
      </c>
      <c r="O48" s="40">
        <f t="shared" si="1"/>
        <v>0.18055750731465181</v>
      </c>
      <c r="P48" s="40">
        <f>AVERAGE(I47:I82)</f>
        <v>0.76754550407865296</v>
      </c>
      <c r="Q48" s="40">
        <f>AVERAGE(J47:J82)</f>
        <v>0.12389342288053987</v>
      </c>
    </row>
    <row r="49" spans="1:11">
      <c r="A49" s="8">
        <v>15</v>
      </c>
      <c r="B49" s="9">
        <v>36901</v>
      </c>
      <c r="C49" s="12">
        <v>2001</v>
      </c>
      <c r="D49" s="15" t="s">
        <v>18</v>
      </c>
      <c r="E49" s="12">
        <v>1</v>
      </c>
      <c r="F49" s="16">
        <v>3.6258114287200369</v>
      </c>
      <c r="G49" s="16">
        <v>0.40016707433333332</v>
      </c>
      <c r="H49" s="16">
        <v>3.55998275E-2</v>
      </c>
      <c r="I49" s="16">
        <v>0.72502974450000002</v>
      </c>
      <c r="J49" s="16">
        <v>3.5982049833333335E-2</v>
      </c>
      <c r="K49" s="16" t="s">
        <v>15</v>
      </c>
    </row>
    <row r="50" spans="1:11">
      <c r="A50" s="12">
        <v>6</v>
      </c>
      <c r="B50" s="9">
        <v>36928</v>
      </c>
      <c r="C50" s="12">
        <v>2001</v>
      </c>
      <c r="D50" s="11" t="s">
        <v>19</v>
      </c>
      <c r="E50" s="12">
        <v>2</v>
      </c>
      <c r="F50" s="16">
        <v>2.3890516644127744</v>
      </c>
      <c r="G50" s="16">
        <v>0.22911262099999999</v>
      </c>
      <c r="H50" s="16">
        <v>2.4353726833333332E-2</v>
      </c>
      <c r="I50" s="16">
        <v>0.3875091831666666</v>
      </c>
      <c r="J50" s="16">
        <v>2.9747611499999996E-2</v>
      </c>
      <c r="K50" s="16" t="s">
        <v>15</v>
      </c>
    </row>
    <row r="51" spans="1:11">
      <c r="A51" s="12">
        <v>8</v>
      </c>
      <c r="B51" s="9">
        <v>36929</v>
      </c>
      <c r="C51" s="12">
        <v>2001</v>
      </c>
      <c r="D51" s="11" t="s">
        <v>19</v>
      </c>
      <c r="E51" s="12">
        <v>2</v>
      </c>
      <c r="F51" s="16">
        <v>1.3636171179404875</v>
      </c>
      <c r="G51" s="16">
        <v>5.6799119333333328E-2</v>
      </c>
      <c r="H51" s="16">
        <v>0</v>
      </c>
      <c r="I51" s="16">
        <v>0.37175451533333331</v>
      </c>
      <c r="J51" s="16">
        <v>2.1724506833333334E-2</v>
      </c>
      <c r="K51" s="16" t="s">
        <v>15</v>
      </c>
    </row>
    <row r="52" spans="1:11">
      <c r="A52" s="12">
        <v>15</v>
      </c>
      <c r="B52" s="9">
        <v>36928</v>
      </c>
      <c r="C52" s="12">
        <v>2001</v>
      </c>
      <c r="D52" s="11" t="s">
        <v>19</v>
      </c>
      <c r="E52" s="12">
        <v>2</v>
      </c>
      <c r="F52" s="16">
        <v>2.701629826425525</v>
      </c>
      <c r="G52" s="16">
        <v>0.17924025933333337</v>
      </c>
      <c r="H52" s="16">
        <v>2.0205576666666666E-2</v>
      </c>
      <c r="I52" s="16">
        <v>0.8946008061666666</v>
      </c>
      <c r="J52" s="16">
        <v>2.8939032E-2</v>
      </c>
      <c r="K52" s="16" t="s">
        <v>15</v>
      </c>
    </row>
    <row r="53" spans="1:11">
      <c r="A53" s="8">
        <v>6</v>
      </c>
      <c r="B53" s="9">
        <v>36965</v>
      </c>
      <c r="C53" s="12">
        <v>2001</v>
      </c>
      <c r="D53" s="11" t="s">
        <v>20</v>
      </c>
      <c r="E53" s="12">
        <v>3</v>
      </c>
      <c r="F53" s="16">
        <v>2.9077453926478527</v>
      </c>
      <c r="G53" s="16">
        <v>0</v>
      </c>
      <c r="H53" s="16">
        <v>2.6463078333333331E-2</v>
      </c>
      <c r="I53" s="16">
        <v>0.64670687416666661</v>
      </c>
      <c r="J53" s="16">
        <v>0</v>
      </c>
      <c r="K53" s="16" t="s">
        <v>15</v>
      </c>
    </row>
    <row r="54" spans="1:11">
      <c r="A54" s="8">
        <v>8</v>
      </c>
      <c r="B54" s="9">
        <v>36962</v>
      </c>
      <c r="C54" s="12">
        <v>2001</v>
      </c>
      <c r="D54" s="11" t="s">
        <v>20</v>
      </c>
      <c r="E54" s="12">
        <v>3</v>
      </c>
      <c r="F54" s="16">
        <v>2.191786585873297</v>
      </c>
      <c r="G54" s="16">
        <v>3.0358056000000001E-2</v>
      </c>
      <c r="H54" s="16">
        <v>3.6429059166666666E-2</v>
      </c>
      <c r="I54" s="16">
        <v>0.80983299216666671</v>
      </c>
      <c r="J54" s="16">
        <v>5.8847143333333331E-2</v>
      </c>
      <c r="K54" s="16" t="s">
        <v>15</v>
      </c>
    </row>
    <row r="55" spans="1:11">
      <c r="A55" s="8">
        <v>15</v>
      </c>
      <c r="B55" s="9">
        <v>36964</v>
      </c>
      <c r="C55" s="12">
        <v>2001</v>
      </c>
      <c r="D55" s="11" t="s">
        <v>20</v>
      </c>
      <c r="E55" s="12">
        <v>3</v>
      </c>
      <c r="F55" s="16">
        <v>2.4905588595304975</v>
      </c>
      <c r="G55" s="16">
        <v>0</v>
      </c>
      <c r="H55" s="16">
        <v>3.2383331166666661E-2</v>
      </c>
      <c r="I55" s="16">
        <v>0.6404291396666667</v>
      </c>
      <c r="J55" s="16">
        <v>3.1447169499999997E-2</v>
      </c>
      <c r="K55" s="16" t="s">
        <v>15</v>
      </c>
    </row>
    <row r="56" spans="1:11">
      <c r="A56" s="8">
        <v>6</v>
      </c>
      <c r="B56" s="9">
        <v>37000</v>
      </c>
      <c r="C56" s="12">
        <v>2001</v>
      </c>
      <c r="D56" s="15" t="s">
        <v>21</v>
      </c>
      <c r="E56" s="12">
        <v>4</v>
      </c>
      <c r="F56" s="16">
        <v>4.814884497431553</v>
      </c>
      <c r="G56" s="16">
        <v>3.3507878333333331E-2</v>
      </c>
      <c r="H56" s="16">
        <v>0</v>
      </c>
      <c r="I56" s="16">
        <v>1.8293932446666668</v>
      </c>
      <c r="J56" s="16">
        <v>3.2302714333333336E-2</v>
      </c>
      <c r="K56" s="16" t="s">
        <v>15</v>
      </c>
    </row>
    <row r="57" spans="1:11">
      <c r="A57" s="8">
        <v>8</v>
      </c>
      <c r="B57" s="9">
        <v>36998</v>
      </c>
      <c r="C57" s="12">
        <v>2001</v>
      </c>
      <c r="D57" s="15" t="s">
        <v>21</v>
      </c>
      <c r="E57" s="12">
        <v>4</v>
      </c>
      <c r="F57" s="16">
        <v>0.60571313771529633</v>
      </c>
      <c r="G57" s="16">
        <v>0</v>
      </c>
      <c r="H57" s="16">
        <v>0</v>
      </c>
      <c r="I57" s="16">
        <v>0.10904752850000002</v>
      </c>
      <c r="J57" s="16">
        <v>0</v>
      </c>
      <c r="K57" s="16" t="s">
        <v>15</v>
      </c>
    </row>
    <row r="58" spans="1:11">
      <c r="A58" s="8">
        <v>15</v>
      </c>
      <c r="B58" s="9">
        <v>36997</v>
      </c>
      <c r="C58" s="12">
        <v>2001</v>
      </c>
      <c r="D58" s="15" t="s">
        <v>21</v>
      </c>
      <c r="E58" s="12">
        <v>4</v>
      </c>
      <c r="F58" s="16">
        <v>3.859447166535396</v>
      </c>
      <c r="G58" s="16">
        <v>4.0014568833333326E-2</v>
      </c>
      <c r="H58" s="16">
        <v>2.4801679666666666E-2</v>
      </c>
      <c r="I58" s="16">
        <v>2.0028922016666666</v>
      </c>
      <c r="J58" s="16">
        <v>4.9688588833333339E-2</v>
      </c>
      <c r="K58" s="16" t="s">
        <v>15</v>
      </c>
    </row>
    <row r="59" spans="1:11">
      <c r="A59" s="8">
        <v>6</v>
      </c>
      <c r="B59" s="9">
        <v>37026</v>
      </c>
      <c r="C59" s="12">
        <v>2001</v>
      </c>
      <c r="D59" s="15" t="s">
        <v>22</v>
      </c>
      <c r="E59" s="12">
        <v>5</v>
      </c>
      <c r="F59" s="16">
        <v>6.205030488723108</v>
      </c>
      <c r="G59" s="16">
        <v>0.18255582316666666</v>
      </c>
      <c r="H59" s="16">
        <v>1.0673403505000001</v>
      </c>
      <c r="I59" s="16">
        <v>2.432378433666667</v>
      </c>
      <c r="J59" s="16">
        <v>9.3394548999999979E-2</v>
      </c>
      <c r="K59" s="16" t="s">
        <v>15</v>
      </c>
    </row>
    <row r="60" spans="1:11">
      <c r="A60" s="8">
        <v>8</v>
      </c>
      <c r="B60" s="9">
        <v>37025</v>
      </c>
      <c r="C60" s="12">
        <v>2001</v>
      </c>
      <c r="D60" s="15" t="s">
        <v>22</v>
      </c>
      <c r="E60" s="12">
        <v>5</v>
      </c>
      <c r="F60" s="16">
        <v>0.86197970184224748</v>
      </c>
      <c r="G60" s="16">
        <v>1.9473211000000001E-2</v>
      </c>
      <c r="H60" s="16">
        <v>1.8322350666666664E-2</v>
      </c>
      <c r="I60" s="16">
        <v>0.14531766033333335</v>
      </c>
      <c r="J60" s="16">
        <v>2.3162086333333335E-2</v>
      </c>
      <c r="K60" s="16" t="s">
        <v>15</v>
      </c>
    </row>
    <row r="61" spans="1:11">
      <c r="A61" s="8">
        <v>15</v>
      </c>
      <c r="B61" s="9">
        <v>37026</v>
      </c>
      <c r="C61" s="12">
        <v>2001</v>
      </c>
      <c r="D61" s="15" t="s">
        <v>22</v>
      </c>
      <c r="E61" s="12">
        <v>5</v>
      </c>
      <c r="F61" s="16">
        <v>3.5794526957542616</v>
      </c>
      <c r="G61" s="16">
        <v>0.14204885216666666</v>
      </c>
      <c r="H61" s="16">
        <v>0.67914283166666667</v>
      </c>
      <c r="I61" s="16">
        <v>1.2700344473333331</v>
      </c>
      <c r="J61" s="16">
        <v>9.0210236499999999E-2</v>
      </c>
      <c r="K61" s="16" t="s">
        <v>15</v>
      </c>
    </row>
    <row r="62" spans="1:11">
      <c r="A62" s="8">
        <v>6</v>
      </c>
      <c r="B62" s="9">
        <v>37055</v>
      </c>
      <c r="C62" s="12">
        <v>2001</v>
      </c>
      <c r="D62" s="15" t="s">
        <v>23</v>
      </c>
      <c r="E62" s="12">
        <v>6</v>
      </c>
      <c r="F62" s="16">
        <v>8.4036698540666652</v>
      </c>
      <c r="G62" s="16">
        <v>8.5453528833333334E-2</v>
      </c>
      <c r="H62" s="16">
        <v>2.0982673668333329</v>
      </c>
      <c r="I62" s="16">
        <v>2.8457924576666667</v>
      </c>
      <c r="J62" s="16">
        <v>0.34684129299999994</v>
      </c>
      <c r="K62" s="16" t="s">
        <v>15</v>
      </c>
    </row>
    <row r="63" spans="1:11">
      <c r="A63" s="8">
        <v>8</v>
      </c>
      <c r="B63" s="9">
        <v>37054</v>
      </c>
      <c r="C63" s="12">
        <v>2001</v>
      </c>
      <c r="D63" s="15" t="s">
        <v>23</v>
      </c>
      <c r="E63" s="12">
        <v>6</v>
      </c>
      <c r="F63" s="16">
        <v>1.188037214238655</v>
      </c>
      <c r="G63" s="16">
        <v>1.7660223333333332E-2</v>
      </c>
      <c r="H63" s="16">
        <v>0</v>
      </c>
      <c r="I63" s="16">
        <v>7.1635342333333324E-2</v>
      </c>
      <c r="J63" s="16">
        <v>0</v>
      </c>
      <c r="K63" s="16" t="s">
        <v>15</v>
      </c>
    </row>
    <row r="64" spans="1:11">
      <c r="A64" s="8">
        <v>15</v>
      </c>
      <c r="B64" s="9">
        <v>37055</v>
      </c>
      <c r="C64" s="12">
        <v>2001</v>
      </c>
      <c r="D64" s="15" t="s">
        <v>23</v>
      </c>
      <c r="E64" s="12">
        <v>6</v>
      </c>
      <c r="F64" s="16">
        <v>8.4755321996998116</v>
      </c>
      <c r="G64" s="16">
        <v>6.9837660333333329E-2</v>
      </c>
      <c r="H64" s="16">
        <v>2.1621143263333331</v>
      </c>
      <c r="I64" s="16">
        <v>2.5393860103333332</v>
      </c>
      <c r="J64" s="16">
        <v>0.67165825583333327</v>
      </c>
      <c r="K64" s="16" t="s">
        <v>15</v>
      </c>
    </row>
    <row r="65" spans="1:11">
      <c r="A65" s="8">
        <v>6</v>
      </c>
      <c r="B65" s="9">
        <v>37092</v>
      </c>
      <c r="C65" s="12">
        <v>2001</v>
      </c>
      <c r="D65" s="15" t="s">
        <v>24</v>
      </c>
      <c r="E65" s="12">
        <v>7</v>
      </c>
      <c r="F65" s="16">
        <v>7.6810494233998599</v>
      </c>
      <c r="G65" s="16">
        <v>0.14524228516666668</v>
      </c>
      <c r="H65" s="16">
        <v>3.9213432499999999E-2</v>
      </c>
      <c r="I65" s="16">
        <v>1.0852984053333332</v>
      </c>
      <c r="J65" s="16">
        <v>0.80699274266666676</v>
      </c>
      <c r="K65" s="16" t="s">
        <v>15</v>
      </c>
    </row>
    <row r="66" spans="1:11">
      <c r="A66" s="8">
        <v>8</v>
      </c>
      <c r="B66" s="9">
        <v>37090</v>
      </c>
      <c r="C66" s="12">
        <v>2001</v>
      </c>
      <c r="D66" s="15" t="s">
        <v>24</v>
      </c>
      <c r="E66" s="12">
        <v>7</v>
      </c>
      <c r="F66" s="16">
        <v>1.0569016834841709</v>
      </c>
      <c r="G66" s="16">
        <v>4.9993234500000004E-2</v>
      </c>
      <c r="H66" s="16">
        <v>0</v>
      </c>
      <c r="I66" s="16">
        <v>0.14662430299999998</v>
      </c>
      <c r="J66" s="16">
        <v>1.2997760833333333E-2</v>
      </c>
      <c r="K66" s="16" t="s">
        <v>15</v>
      </c>
    </row>
    <row r="67" spans="1:11">
      <c r="A67" s="8">
        <v>15</v>
      </c>
      <c r="B67" s="9">
        <v>37092</v>
      </c>
      <c r="C67" s="12">
        <v>2001</v>
      </c>
      <c r="D67" s="15" t="s">
        <v>24</v>
      </c>
      <c r="E67" s="12">
        <v>7</v>
      </c>
      <c r="F67" s="16">
        <v>2.4321721252965971</v>
      </c>
      <c r="G67" s="16">
        <v>8.0701014500000015E-2</v>
      </c>
      <c r="H67" s="16">
        <v>1.9855642999999999E-2</v>
      </c>
      <c r="I67" s="16">
        <v>0.386620511</v>
      </c>
      <c r="J67" s="16">
        <v>0.54032798300000007</v>
      </c>
      <c r="K67" s="16" t="s">
        <v>15</v>
      </c>
    </row>
    <row r="68" spans="1:11">
      <c r="A68" s="8">
        <v>6</v>
      </c>
      <c r="B68" s="9">
        <v>37118</v>
      </c>
      <c r="C68" s="12">
        <v>2001</v>
      </c>
      <c r="D68" s="15" t="s">
        <v>25</v>
      </c>
      <c r="E68" s="12">
        <v>8</v>
      </c>
      <c r="F68" s="16">
        <v>2.9668356791150874</v>
      </c>
      <c r="G68" s="16">
        <v>0</v>
      </c>
      <c r="H68" s="16">
        <v>0</v>
      </c>
      <c r="I68" s="16">
        <v>0.4979255205</v>
      </c>
      <c r="J68" s="16">
        <v>0.70965646033333329</v>
      </c>
      <c r="K68" s="16" t="s">
        <v>15</v>
      </c>
    </row>
    <row r="69" spans="1:11">
      <c r="A69" s="8">
        <v>8</v>
      </c>
      <c r="B69" s="9">
        <v>37117</v>
      </c>
      <c r="C69" s="12">
        <v>2001</v>
      </c>
      <c r="D69" s="15" t="s">
        <v>25</v>
      </c>
      <c r="E69" s="12">
        <v>8</v>
      </c>
      <c r="F69" s="16">
        <v>0.75939941819857038</v>
      </c>
      <c r="G69" s="16">
        <v>2.7964501333333332E-2</v>
      </c>
      <c r="H69" s="16">
        <v>0</v>
      </c>
      <c r="I69" s="16">
        <v>7.2448324833333327E-2</v>
      </c>
      <c r="J69" s="16">
        <v>0</v>
      </c>
      <c r="K69" s="16" t="s">
        <v>15</v>
      </c>
    </row>
    <row r="70" spans="1:11">
      <c r="A70" s="8">
        <v>15</v>
      </c>
      <c r="B70" s="9">
        <v>37118</v>
      </c>
      <c r="C70" s="12">
        <v>2001</v>
      </c>
      <c r="D70" s="15" t="s">
        <v>25</v>
      </c>
      <c r="E70" s="12">
        <v>8</v>
      </c>
      <c r="F70" s="16">
        <v>5.5862372930010453</v>
      </c>
      <c r="G70" s="16">
        <v>0</v>
      </c>
      <c r="H70" s="16">
        <v>0</v>
      </c>
      <c r="I70" s="16">
        <v>1.5699339944999999</v>
      </c>
      <c r="J70" s="16">
        <v>0.26576455583333325</v>
      </c>
      <c r="K70" s="16" t="s">
        <v>15</v>
      </c>
    </row>
    <row r="71" spans="1:11">
      <c r="A71" s="8">
        <v>6</v>
      </c>
      <c r="B71" s="9">
        <v>37152</v>
      </c>
      <c r="C71" s="12">
        <v>2001</v>
      </c>
      <c r="D71" s="15" t="s">
        <v>26</v>
      </c>
      <c r="E71" s="12">
        <v>9</v>
      </c>
      <c r="F71" s="16">
        <v>6.3473835958746339</v>
      </c>
      <c r="G71" s="16">
        <v>0</v>
      </c>
      <c r="H71" s="16">
        <v>0</v>
      </c>
      <c r="I71" s="16">
        <v>1.6761167424999999</v>
      </c>
      <c r="J71" s="16">
        <v>0.17096649816666665</v>
      </c>
      <c r="K71" s="16" t="s">
        <v>15</v>
      </c>
    </row>
    <row r="72" spans="1:11">
      <c r="A72" s="8">
        <v>8</v>
      </c>
      <c r="B72" s="9">
        <v>37145</v>
      </c>
      <c r="C72" s="12">
        <v>2001</v>
      </c>
      <c r="D72" s="15" t="s">
        <v>26</v>
      </c>
      <c r="E72" s="12">
        <v>9</v>
      </c>
      <c r="F72" s="16">
        <v>3.1412798663020811</v>
      </c>
      <c r="G72" s="16">
        <v>3.6515861166666663E-2</v>
      </c>
      <c r="H72" s="16">
        <v>0</v>
      </c>
      <c r="I72" s="16">
        <v>0.20849442033333332</v>
      </c>
      <c r="J72" s="16">
        <v>4.026239483333334E-2</v>
      </c>
      <c r="K72" s="16" t="s">
        <v>15</v>
      </c>
    </row>
    <row r="73" spans="1:11">
      <c r="A73" s="8">
        <v>15</v>
      </c>
      <c r="B73" s="9">
        <v>37145</v>
      </c>
      <c r="C73" s="12">
        <v>2001</v>
      </c>
      <c r="D73" s="15" t="s">
        <v>26</v>
      </c>
      <c r="E73" s="12">
        <v>9</v>
      </c>
      <c r="F73" s="16">
        <v>3.0149514231719947</v>
      </c>
      <c r="G73" s="16">
        <v>2.9576942833333331E-2</v>
      </c>
      <c r="H73" s="16">
        <v>2.5951386833333333E-2</v>
      </c>
      <c r="I73" s="16">
        <v>0.52306319099999998</v>
      </c>
      <c r="J73" s="16">
        <v>0.14796187149999998</v>
      </c>
      <c r="K73" s="16" t="s">
        <v>15</v>
      </c>
    </row>
    <row r="74" spans="1:11">
      <c r="A74" s="8">
        <v>6</v>
      </c>
      <c r="B74" s="9">
        <v>37180</v>
      </c>
      <c r="C74" s="12">
        <v>2001</v>
      </c>
      <c r="D74" s="15" t="s">
        <v>14</v>
      </c>
      <c r="E74" s="12">
        <v>10</v>
      </c>
      <c r="F74" s="18">
        <v>1.0548604323549744</v>
      </c>
      <c r="G74" s="18">
        <v>1.0504989314444536E-2</v>
      </c>
      <c r="H74" s="18">
        <v>0</v>
      </c>
      <c r="I74" s="18">
        <v>9.3142629673298657E-2</v>
      </c>
      <c r="J74" s="18">
        <v>1.0048022541589258E-2</v>
      </c>
      <c r="K74" s="18" t="s">
        <v>27</v>
      </c>
    </row>
    <row r="75" spans="1:11">
      <c r="A75" s="8">
        <v>8</v>
      </c>
      <c r="B75" s="9">
        <v>37182</v>
      </c>
      <c r="C75" s="12">
        <v>2001</v>
      </c>
      <c r="D75" s="15" t="s">
        <v>14</v>
      </c>
      <c r="E75" s="12">
        <v>10</v>
      </c>
      <c r="F75" s="18">
        <v>0.34843414570771769</v>
      </c>
      <c r="G75" s="18">
        <v>0</v>
      </c>
      <c r="H75" s="18">
        <v>0</v>
      </c>
      <c r="I75" s="18">
        <v>5.3769445360710141E-2</v>
      </c>
      <c r="J75" s="18">
        <v>0</v>
      </c>
      <c r="K75" s="18" t="s">
        <v>27</v>
      </c>
    </row>
    <row r="76" spans="1:11">
      <c r="A76" s="8">
        <v>15</v>
      </c>
      <c r="B76" s="9">
        <v>37180</v>
      </c>
      <c r="C76" s="12">
        <v>2001</v>
      </c>
      <c r="D76" s="15" t="s">
        <v>14</v>
      </c>
      <c r="E76" s="12">
        <v>10</v>
      </c>
      <c r="F76" s="18">
        <v>0.65471596515874708</v>
      </c>
      <c r="G76" s="18">
        <v>0</v>
      </c>
      <c r="H76" s="18">
        <v>0</v>
      </c>
      <c r="I76" s="18">
        <v>6.5474439951816843E-2</v>
      </c>
      <c r="J76" s="18">
        <v>7.3458369834457724E-3</v>
      </c>
      <c r="K76" s="18" t="s">
        <v>27</v>
      </c>
    </row>
    <row r="77" spans="1:11">
      <c r="A77" s="8">
        <v>6</v>
      </c>
      <c r="B77" s="9">
        <v>37201</v>
      </c>
      <c r="C77" s="12">
        <v>2001</v>
      </c>
      <c r="D77" s="15" t="s">
        <v>16</v>
      </c>
      <c r="E77" s="12">
        <v>11</v>
      </c>
      <c r="F77" s="18">
        <v>1.5054241934185941</v>
      </c>
      <c r="G77" s="18">
        <v>9.5725066152988064E-3</v>
      </c>
      <c r="H77" s="18">
        <v>9.0687883461464357E-3</v>
      </c>
      <c r="I77" s="18">
        <v>0.41026282776830753</v>
      </c>
      <c r="J77" s="18">
        <v>2.9287663637416507E-2</v>
      </c>
      <c r="K77" s="18" t="s">
        <v>27</v>
      </c>
    </row>
    <row r="78" spans="1:11">
      <c r="A78" s="8">
        <v>8</v>
      </c>
      <c r="B78" s="9">
        <v>37202</v>
      </c>
      <c r="C78" s="12">
        <v>2001</v>
      </c>
      <c r="D78" s="15" t="s">
        <v>16</v>
      </c>
      <c r="E78" s="12">
        <v>11</v>
      </c>
      <c r="F78" s="18">
        <v>0.39829726707135099</v>
      </c>
      <c r="G78" s="18">
        <v>0</v>
      </c>
      <c r="H78" s="18">
        <v>0</v>
      </c>
      <c r="I78" s="18">
        <v>6.3796608848175312E-2</v>
      </c>
      <c r="J78" s="18">
        <v>0</v>
      </c>
      <c r="K78" s="18" t="s">
        <v>27</v>
      </c>
    </row>
    <row r="79" spans="1:11">
      <c r="A79" s="8">
        <v>15</v>
      </c>
      <c r="B79" s="9">
        <v>37201</v>
      </c>
      <c r="C79" s="12">
        <v>2001</v>
      </c>
      <c r="D79" s="15" t="s">
        <v>16</v>
      </c>
      <c r="E79" s="12">
        <v>11</v>
      </c>
      <c r="F79" s="18">
        <v>1.0344293256584844</v>
      </c>
      <c r="G79" s="18">
        <v>0</v>
      </c>
      <c r="H79" s="18">
        <v>0</v>
      </c>
      <c r="I79" s="18">
        <v>0.26077977908962741</v>
      </c>
      <c r="J79" s="18">
        <v>1.4687816461760818E-2</v>
      </c>
      <c r="K79" s="18" t="s">
        <v>27</v>
      </c>
    </row>
    <row r="80" spans="1:11">
      <c r="A80" s="8">
        <v>6</v>
      </c>
      <c r="B80" s="9">
        <v>37229</v>
      </c>
      <c r="C80" s="12">
        <v>2001</v>
      </c>
      <c r="D80" s="15" t="s">
        <v>17</v>
      </c>
      <c r="E80" s="12">
        <v>12</v>
      </c>
      <c r="F80" s="18">
        <v>1.5010388464070443</v>
      </c>
      <c r="G80" s="18">
        <v>0</v>
      </c>
      <c r="H80" s="18">
        <v>0</v>
      </c>
      <c r="I80" s="18">
        <v>0.4045568229436971</v>
      </c>
      <c r="J80" s="18">
        <v>8.4840371946834376E-3</v>
      </c>
      <c r="K80" s="18" t="s">
        <v>27</v>
      </c>
    </row>
    <row r="81" spans="1:18">
      <c r="A81" s="8">
        <v>8</v>
      </c>
      <c r="B81" s="9">
        <v>37230</v>
      </c>
      <c r="C81" s="12">
        <v>2001</v>
      </c>
      <c r="D81" s="15" t="s">
        <v>17</v>
      </c>
      <c r="E81" s="12">
        <v>12</v>
      </c>
      <c r="F81" s="18">
        <v>1.2760475538116831</v>
      </c>
      <c r="G81" s="18">
        <v>1.3619190353603674E-2</v>
      </c>
      <c r="H81" s="18">
        <v>0</v>
      </c>
      <c r="I81" s="18">
        <v>0.25956183761721729</v>
      </c>
      <c r="J81" s="18">
        <v>0</v>
      </c>
      <c r="K81" s="18" t="s">
        <v>27</v>
      </c>
    </row>
    <row r="82" spans="1:18">
      <c r="A82" s="8">
        <v>15</v>
      </c>
      <c r="B82" s="9">
        <v>37229</v>
      </c>
      <c r="C82" s="12">
        <v>2001</v>
      </c>
      <c r="D82" s="15" t="s">
        <v>17</v>
      </c>
      <c r="E82" s="12">
        <v>12</v>
      </c>
      <c r="F82" s="18">
        <v>2.2357222942910799</v>
      </c>
      <c r="G82" s="18"/>
      <c r="H82" s="18"/>
      <c r="I82" s="18"/>
      <c r="J82" s="18"/>
      <c r="K82" s="18"/>
    </row>
    <row r="83" spans="1:18" ht="25.5">
      <c r="A83" s="41">
        <v>6</v>
      </c>
      <c r="B83" s="46">
        <v>37271</v>
      </c>
      <c r="C83" s="45">
        <v>2002</v>
      </c>
      <c r="D83" s="50" t="s">
        <v>18</v>
      </c>
      <c r="E83" s="45">
        <v>1</v>
      </c>
      <c r="F83" s="52">
        <v>4.9784751047341471</v>
      </c>
      <c r="G83" s="52">
        <v>8.8394926725446257E-2</v>
      </c>
      <c r="H83" s="52">
        <v>1.6105364624729387E-2</v>
      </c>
      <c r="I83" s="52">
        <v>1.4927060997083461</v>
      </c>
      <c r="J83" s="52">
        <v>1.832988954156882E-2</v>
      </c>
      <c r="K83" s="52" t="s">
        <v>27</v>
      </c>
      <c r="L83" s="39" t="s">
        <v>42</v>
      </c>
      <c r="M83" s="6" t="s">
        <v>7</v>
      </c>
      <c r="N83" s="6" t="s">
        <v>8</v>
      </c>
      <c r="O83" s="6" t="s">
        <v>9</v>
      </c>
      <c r="P83" s="6" t="s">
        <v>10</v>
      </c>
      <c r="Q83" s="6" t="s">
        <v>11</v>
      </c>
      <c r="R83" s="6" t="s">
        <v>12</v>
      </c>
    </row>
    <row r="84" spans="1:18">
      <c r="A84" s="8">
        <v>8</v>
      </c>
      <c r="B84" s="9">
        <v>37272</v>
      </c>
      <c r="C84" s="12">
        <v>2002</v>
      </c>
      <c r="D84" s="15" t="s">
        <v>18</v>
      </c>
      <c r="E84" s="12">
        <v>1</v>
      </c>
      <c r="F84" s="18">
        <v>3.5602663218995922</v>
      </c>
      <c r="G84" s="18">
        <v>6.3157163779390221E-2</v>
      </c>
      <c r="H84" s="18">
        <v>0</v>
      </c>
      <c r="I84" s="18">
        <v>0.99087058903711889</v>
      </c>
      <c r="J84" s="18">
        <v>9.8623138931128226E-3</v>
      </c>
      <c r="K84" s="18" t="s">
        <v>27</v>
      </c>
      <c r="L84" s="39" t="s">
        <v>47</v>
      </c>
      <c r="M84" s="40">
        <f>AVERAGE(F83:F118)</f>
        <v>3.9501315976054476</v>
      </c>
      <c r="N84" s="40">
        <f t="shared" ref="N84:O84" si="2">AVERAGE(G83:G118)</f>
        <v>7.7286499547681325E-2</v>
      </c>
      <c r="O84" s="40">
        <f t="shared" si="2"/>
        <v>0.12436245284573449</v>
      </c>
      <c r="P84" s="40">
        <f>AVERAGE(I83:I118)</f>
        <v>0.7065827858551097</v>
      </c>
      <c r="Q84" s="40">
        <f>AVERAGE(J83:J118)</f>
        <v>5.5668177206555799E-2</v>
      </c>
    </row>
    <row r="85" spans="1:18">
      <c r="A85" s="8">
        <v>15</v>
      </c>
      <c r="B85" s="9">
        <v>37271</v>
      </c>
      <c r="C85" s="12">
        <v>2002</v>
      </c>
      <c r="D85" s="15" t="s">
        <v>18</v>
      </c>
      <c r="E85" s="12">
        <v>1</v>
      </c>
      <c r="F85" s="18">
        <v>2.5369912431490143</v>
      </c>
      <c r="G85" s="18">
        <v>0.15538824487587197</v>
      </c>
      <c r="H85" s="18">
        <v>0</v>
      </c>
      <c r="I85" s="18">
        <v>0.56478119829489482</v>
      </c>
      <c r="J85" s="18">
        <v>1.6652760407531438E-2</v>
      </c>
      <c r="K85" s="18" t="s">
        <v>27</v>
      </c>
    </row>
    <row r="86" spans="1:18">
      <c r="A86" s="8">
        <v>6</v>
      </c>
      <c r="B86" s="9">
        <v>37306</v>
      </c>
      <c r="C86" s="12">
        <v>2002</v>
      </c>
      <c r="D86" s="11" t="s">
        <v>19</v>
      </c>
      <c r="E86" s="12">
        <v>2</v>
      </c>
      <c r="F86" s="18">
        <v>1.6053943714545269</v>
      </c>
      <c r="G86" s="18">
        <v>8.3315549835615371E-2</v>
      </c>
      <c r="H86" s="18">
        <v>3.00298051739065E-2</v>
      </c>
      <c r="I86" s="18">
        <v>0.43707810302178207</v>
      </c>
      <c r="J86" s="18">
        <v>6.3835885942277862E-2</v>
      </c>
      <c r="K86" s="18" t="s">
        <v>27</v>
      </c>
    </row>
    <row r="87" spans="1:18">
      <c r="A87" s="8">
        <v>8</v>
      </c>
      <c r="B87" s="9">
        <v>37301</v>
      </c>
      <c r="C87" s="12">
        <v>2002</v>
      </c>
      <c r="D87" s="11" t="s">
        <v>19</v>
      </c>
      <c r="E87" s="12">
        <v>2</v>
      </c>
      <c r="F87" s="18">
        <v>1.4736650359067733</v>
      </c>
      <c r="G87" s="18">
        <v>4.9293370590404596E-2</v>
      </c>
      <c r="H87" s="18">
        <v>0</v>
      </c>
      <c r="I87" s="18">
        <v>0.29000962261915542</v>
      </c>
      <c r="J87" s="18">
        <v>1.0785420954684875E-2</v>
      </c>
      <c r="K87" s="18" t="s">
        <v>27</v>
      </c>
    </row>
    <row r="88" spans="1:18">
      <c r="A88" s="8">
        <v>15</v>
      </c>
      <c r="B88" s="9">
        <v>37306</v>
      </c>
      <c r="C88" s="12">
        <v>2002</v>
      </c>
      <c r="D88" s="11" t="s">
        <v>19</v>
      </c>
      <c r="E88" s="12">
        <v>2</v>
      </c>
      <c r="F88" s="18">
        <v>1.5899224695832257</v>
      </c>
      <c r="G88" s="18">
        <v>5.1883323147341738E-2</v>
      </c>
      <c r="H88" s="18">
        <v>2.8082540103980733E-2</v>
      </c>
      <c r="I88" s="18">
        <v>0.52256716674159787</v>
      </c>
      <c r="J88" s="18">
        <v>5.2213186606694606E-2</v>
      </c>
      <c r="K88" s="18" t="s">
        <v>27</v>
      </c>
    </row>
    <row r="89" spans="1:18">
      <c r="A89" s="8">
        <v>6</v>
      </c>
      <c r="B89" s="19">
        <v>37334</v>
      </c>
      <c r="C89" s="12">
        <v>2002</v>
      </c>
      <c r="D89" s="11" t="s">
        <v>20</v>
      </c>
      <c r="E89" s="12">
        <v>3</v>
      </c>
      <c r="F89" s="16">
        <v>4.1112805086380826</v>
      </c>
      <c r="G89" s="16">
        <v>1.9948755515504752E-2</v>
      </c>
      <c r="H89" s="16">
        <v>0.10998059335576731</v>
      </c>
      <c r="I89" s="16">
        <v>1.2410996177256839</v>
      </c>
      <c r="J89" s="16">
        <v>2.8043175897414931E-2</v>
      </c>
      <c r="K89" s="16" t="s">
        <v>27</v>
      </c>
    </row>
    <row r="90" spans="1:18">
      <c r="A90" s="8">
        <v>8</v>
      </c>
      <c r="B90" s="19">
        <v>37336</v>
      </c>
      <c r="C90" s="12">
        <v>2002</v>
      </c>
      <c r="D90" s="11" t="s">
        <v>20</v>
      </c>
      <c r="E90" s="12">
        <v>3</v>
      </c>
      <c r="F90" s="16">
        <v>0.87544326855861954</v>
      </c>
      <c r="G90" s="16">
        <v>2.1725418142472211E-2</v>
      </c>
      <c r="H90" s="16">
        <v>0</v>
      </c>
      <c r="I90" s="16">
        <v>0.15272473933159567</v>
      </c>
      <c r="J90" s="16">
        <v>1.0726004187655427E-2</v>
      </c>
      <c r="K90" s="16" t="s">
        <v>27</v>
      </c>
    </row>
    <row r="91" spans="1:18">
      <c r="A91" s="8">
        <v>15</v>
      </c>
      <c r="B91" s="19">
        <v>37336</v>
      </c>
      <c r="C91" s="12">
        <v>2002</v>
      </c>
      <c r="D91" s="11" t="s">
        <v>20</v>
      </c>
      <c r="E91" s="12">
        <v>3</v>
      </c>
      <c r="F91" s="16">
        <v>4.1493642988653514</v>
      </c>
      <c r="G91" s="16">
        <v>9.814844573237172E-2</v>
      </c>
      <c r="H91" s="16">
        <v>5.8204975849879236E-2</v>
      </c>
      <c r="I91" s="16">
        <v>1.3417242996872409</v>
      </c>
      <c r="J91" s="16">
        <v>1.9875270490674932E-2</v>
      </c>
      <c r="K91" s="16" t="s">
        <v>27</v>
      </c>
    </row>
    <row r="92" spans="1:18">
      <c r="A92" s="8">
        <v>6</v>
      </c>
      <c r="B92" s="19">
        <v>37362</v>
      </c>
      <c r="C92" s="12">
        <v>2002</v>
      </c>
      <c r="D92" s="15" t="s">
        <v>21</v>
      </c>
      <c r="E92" s="12">
        <v>4</v>
      </c>
      <c r="F92" s="16">
        <v>0.99281640135308447</v>
      </c>
      <c r="G92" s="16">
        <v>0.12241887884382784</v>
      </c>
      <c r="H92" s="16">
        <v>0</v>
      </c>
      <c r="I92" s="16">
        <v>0.13676541682642598</v>
      </c>
      <c r="J92" s="16">
        <v>1.9488125954656862E-2</v>
      </c>
      <c r="K92" s="16" t="s">
        <v>27</v>
      </c>
    </row>
    <row r="93" spans="1:18">
      <c r="A93" s="8">
        <v>8</v>
      </c>
      <c r="B93" s="19">
        <v>37363</v>
      </c>
      <c r="C93" s="12">
        <v>2002</v>
      </c>
      <c r="D93" s="15" t="s">
        <v>21</v>
      </c>
      <c r="E93" s="12">
        <v>4</v>
      </c>
      <c r="F93" s="16">
        <v>1.0573415593632474</v>
      </c>
      <c r="G93" s="16">
        <v>0</v>
      </c>
      <c r="H93" s="16">
        <v>0</v>
      </c>
      <c r="I93" s="16">
        <v>9.0708546401513282E-2</v>
      </c>
      <c r="J93" s="16">
        <v>0</v>
      </c>
      <c r="K93" s="16" t="s">
        <v>27</v>
      </c>
    </row>
    <row r="94" spans="1:18">
      <c r="A94" s="8">
        <v>15</v>
      </c>
      <c r="B94" s="19">
        <v>37362</v>
      </c>
      <c r="C94" s="12">
        <v>2002</v>
      </c>
      <c r="D94" s="15" t="s">
        <v>21</v>
      </c>
      <c r="E94" s="12">
        <v>4</v>
      </c>
      <c r="F94" s="16">
        <v>0.76346537495358346</v>
      </c>
      <c r="G94" s="16">
        <v>3.7193648736330361E-2</v>
      </c>
      <c r="H94" s="16">
        <v>0</v>
      </c>
      <c r="I94" s="16">
        <v>8.2649570043783427E-2</v>
      </c>
      <c r="J94" s="16">
        <v>2.5214778322776583E-2</v>
      </c>
      <c r="K94" s="16" t="s">
        <v>27</v>
      </c>
    </row>
    <row r="95" spans="1:18">
      <c r="A95" s="8">
        <v>6</v>
      </c>
      <c r="B95" s="19">
        <v>37392</v>
      </c>
      <c r="C95" s="12">
        <v>2002</v>
      </c>
      <c r="D95" s="15" t="s">
        <v>22</v>
      </c>
      <c r="E95" s="12">
        <v>5</v>
      </c>
      <c r="F95" s="16">
        <v>9.0420884745467927</v>
      </c>
      <c r="G95" s="16"/>
      <c r="H95" s="16">
        <v>0.59433118805405216</v>
      </c>
      <c r="I95" s="16"/>
      <c r="J95" s="16"/>
      <c r="K95" s="16" t="s">
        <v>27</v>
      </c>
    </row>
    <row r="96" spans="1:18">
      <c r="A96" s="8">
        <v>8</v>
      </c>
      <c r="B96" s="19">
        <v>37392</v>
      </c>
      <c r="C96" s="12">
        <v>2002</v>
      </c>
      <c r="D96" s="15" t="s">
        <v>22</v>
      </c>
      <c r="E96" s="12">
        <v>5</v>
      </c>
      <c r="F96" s="16">
        <v>1.8410703540065909</v>
      </c>
      <c r="G96" s="16"/>
      <c r="H96" s="16">
        <v>2.2472994265484963E-2</v>
      </c>
      <c r="I96" s="16"/>
      <c r="J96" s="16"/>
      <c r="K96" s="16" t="s">
        <v>27</v>
      </c>
    </row>
    <row r="97" spans="1:11">
      <c r="A97" s="8">
        <v>15</v>
      </c>
      <c r="B97" s="19">
        <v>37392</v>
      </c>
      <c r="C97" s="12">
        <v>2002</v>
      </c>
      <c r="D97" s="15" t="s">
        <v>22</v>
      </c>
      <c r="E97" s="12">
        <v>5</v>
      </c>
      <c r="F97" s="16">
        <v>4.1235192731701682</v>
      </c>
      <c r="G97" s="16"/>
      <c r="H97" s="16">
        <v>0.4714938168563067</v>
      </c>
      <c r="I97" s="16"/>
      <c r="J97" s="16"/>
      <c r="K97" s="16" t="s">
        <v>27</v>
      </c>
    </row>
    <row r="98" spans="1:11">
      <c r="A98" s="8">
        <v>6</v>
      </c>
      <c r="B98" s="19">
        <v>37419</v>
      </c>
      <c r="C98" s="12">
        <v>2002</v>
      </c>
      <c r="D98" s="15" t="s">
        <v>23</v>
      </c>
      <c r="E98" s="12">
        <v>6</v>
      </c>
      <c r="F98" s="16">
        <v>5.8245031015438551</v>
      </c>
      <c r="G98" s="16"/>
      <c r="H98" s="16">
        <v>1.3270092217578711</v>
      </c>
      <c r="I98" s="16"/>
      <c r="J98" s="16"/>
      <c r="K98" s="16" t="s">
        <v>27</v>
      </c>
    </row>
    <row r="99" spans="1:11">
      <c r="A99" s="8">
        <v>8</v>
      </c>
      <c r="B99" s="19">
        <v>37420</v>
      </c>
      <c r="C99" s="12">
        <v>2002</v>
      </c>
      <c r="D99" s="15" t="s">
        <v>23</v>
      </c>
      <c r="E99" s="12">
        <v>6</v>
      </c>
      <c r="F99" s="16">
        <v>3.0164005743077511</v>
      </c>
      <c r="G99" s="16"/>
      <c r="H99" s="16">
        <v>3.0306591174791588E-2</v>
      </c>
      <c r="I99" s="16"/>
      <c r="J99" s="16"/>
      <c r="K99" s="16" t="s">
        <v>27</v>
      </c>
    </row>
    <row r="100" spans="1:11">
      <c r="A100" s="8">
        <v>15</v>
      </c>
      <c r="B100" s="19">
        <v>37419</v>
      </c>
      <c r="C100" s="12">
        <v>2002</v>
      </c>
      <c r="D100" s="15" t="s">
        <v>23</v>
      </c>
      <c r="E100" s="12">
        <v>6</v>
      </c>
      <c r="F100" s="16">
        <v>7.0253142956519987</v>
      </c>
      <c r="G100" s="16"/>
      <c r="H100" s="16">
        <v>1.654473049390786</v>
      </c>
      <c r="I100" s="16"/>
      <c r="J100" s="16"/>
      <c r="K100" s="16" t="s">
        <v>27</v>
      </c>
    </row>
    <row r="101" spans="1:11">
      <c r="A101" s="8">
        <v>6</v>
      </c>
      <c r="B101" s="19">
        <v>37454</v>
      </c>
      <c r="C101" s="12">
        <v>2002</v>
      </c>
      <c r="D101" s="15" t="s">
        <v>24</v>
      </c>
      <c r="E101" s="12">
        <v>7</v>
      </c>
      <c r="F101" s="16">
        <v>7.4154465513396506</v>
      </c>
      <c r="G101" s="16"/>
      <c r="H101" s="16">
        <v>0</v>
      </c>
      <c r="I101" s="16"/>
      <c r="J101" s="16"/>
      <c r="K101" s="16" t="s">
        <v>27</v>
      </c>
    </row>
    <row r="102" spans="1:11">
      <c r="A102" s="8">
        <v>8</v>
      </c>
      <c r="B102" s="19">
        <v>37453</v>
      </c>
      <c r="C102" s="12">
        <v>2002</v>
      </c>
      <c r="D102" s="15" t="s">
        <v>24</v>
      </c>
      <c r="E102" s="12">
        <v>7</v>
      </c>
      <c r="F102" s="16">
        <v>4.2360423075201492</v>
      </c>
      <c r="G102" s="16"/>
      <c r="H102" s="16">
        <v>0</v>
      </c>
      <c r="I102" s="16"/>
      <c r="J102" s="16"/>
      <c r="K102" s="16" t="s">
        <v>27</v>
      </c>
    </row>
    <row r="103" spans="1:11">
      <c r="A103" s="8">
        <v>15</v>
      </c>
      <c r="B103" s="19">
        <v>37454</v>
      </c>
      <c r="C103" s="12">
        <v>2002</v>
      </c>
      <c r="D103" s="15" t="s">
        <v>24</v>
      </c>
      <c r="E103" s="12">
        <v>7</v>
      </c>
      <c r="F103" s="16">
        <v>4.989614026242152</v>
      </c>
      <c r="G103" s="16"/>
      <c r="H103" s="16">
        <v>0</v>
      </c>
      <c r="I103" s="16"/>
      <c r="J103" s="16"/>
      <c r="K103" s="16" t="s">
        <v>27</v>
      </c>
    </row>
    <row r="104" spans="1:11">
      <c r="A104" s="8">
        <v>6</v>
      </c>
      <c r="B104" s="19">
        <v>37482</v>
      </c>
      <c r="C104" s="12">
        <v>2002</v>
      </c>
      <c r="D104" s="15" t="s">
        <v>25</v>
      </c>
      <c r="E104" s="12">
        <v>8</v>
      </c>
      <c r="F104" s="16">
        <v>10.708924147704391</v>
      </c>
      <c r="G104" s="16"/>
      <c r="H104" s="16">
        <v>9.5802610827205731E-2</v>
      </c>
      <c r="I104" s="16"/>
      <c r="J104" s="16"/>
      <c r="K104" s="16" t="s">
        <v>27</v>
      </c>
    </row>
    <row r="105" spans="1:11">
      <c r="A105" s="8">
        <v>8</v>
      </c>
      <c r="B105" s="19">
        <v>37481</v>
      </c>
      <c r="C105" s="12">
        <v>2002</v>
      </c>
      <c r="D105" s="15" t="s">
        <v>25</v>
      </c>
      <c r="E105" s="12">
        <v>8</v>
      </c>
      <c r="F105" s="16">
        <v>2.3487286694991387</v>
      </c>
      <c r="G105" s="16"/>
      <c r="H105" s="16">
        <v>0</v>
      </c>
      <c r="I105" s="16"/>
      <c r="J105" s="16"/>
      <c r="K105" s="16" t="s">
        <v>27</v>
      </c>
    </row>
    <row r="106" spans="1:11">
      <c r="A106" s="8">
        <v>15</v>
      </c>
      <c r="B106" s="19">
        <v>37482</v>
      </c>
      <c r="C106" s="12">
        <v>2002</v>
      </c>
      <c r="D106" s="15" t="s">
        <v>25</v>
      </c>
      <c r="E106" s="12">
        <v>8</v>
      </c>
      <c r="F106" s="16">
        <v>5.7195566962697306</v>
      </c>
      <c r="G106" s="16"/>
      <c r="H106" s="16">
        <v>3.8755551011680406E-2</v>
      </c>
      <c r="I106" s="16"/>
      <c r="J106" s="16"/>
      <c r="K106" s="16" t="s">
        <v>27</v>
      </c>
    </row>
    <row r="107" spans="1:11">
      <c r="A107" s="8">
        <v>6</v>
      </c>
      <c r="B107" s="19">
        <v>37517</v>
      </c>
      <c r="C107" s="12">
        <v>2002</v>
      </c>
      <c r="D107" s="15" t="s">
        <v>26</v>
      </c>
      <c r="E107" s="12">
        <v>9</v>
      </c>
      <c r="F107" s="16">
        <v>5.2143008682160099</v>
      </c>
      <c r="G107" s="16"/>
      <c r="H107" s="16">
        <v>0</v>
      </c>
      <c r="I107" s="16"/>
      <c r="J107" s="16"/>
      <c r="K107" s="16" t="s">
        <v>27</v>
      </c>
    </row>
    <row r="108" spans="1:11">
      <c r="A108" s="8">
        <v>8</v>
      </c>
      <c r="B108" s="19">
        <v>37518</v>
      </c>
      <c r="C108" s="12">
        <v>2002</v>
      </c>
      <c r="D108" s="15" t="s">
        <v>26</v>
      </c>
      <c r="E108" s="12">
        <v>9</v>
      </c>
      <c r="F108" s="16">
        <v>3.011770944896718</v>
      </c>
      <c r="G108" s="16"/>
      <c r="H108" s="16">
        <v>0</v>
      </c>
      <c r="I108" s="16"/>
      <c r="J108" s="16"/>
      <c r="K108" s="16" t="s">
        <v>27</v>
      </c>
    </row>
    <row r="109" spans="1:11">
      <c r="A109" s="8">
        <v>15</v>
      </c>
      <c r="B109" s="19">
        <v>37517</v>
      </c>
      <c r="C109" s="12">
        <v>2002</v>
      </c>
      <c r="D109" s="15" t="s">
        <v>26</v>
      </c>
      <c r="E109" s="12">
        <v>9</v>
      </c>
      <c r="F109" s="16">
        <v>5.9564108169403305</v>
      </c>
      <c r="G109" s="16"/>
      <c r="H109" s="16">
        <v>0</v>
      </c>
      <c r="I109" s="16"/>
      <c r="J109" s="16"/>
      <c r="K109" s="16" t="s">
        <v>27</v>
      </c>
    </row>
    <row r="110" spans="1:11">
      <c r="A110" s="8">
        <v>6</v>
      </c>
      <c r="B110" s="19">
        <v>37544</v>
      </c>
      <c r="C110" s="12">
        <v>2002</v>
      </c>
      <c r="D110" s="15" t="s">
        <v>14</v>
      </c>
      <c r="E110" s="12">
        <v>10</v>
      </c>
      <c r="F110" s="53">
        <v>3.4876385864598265</v>
      </c>
      <c r="G110" s="53">
        <v>9.7419772962904883E-2</v>
      </c>
      <c r="H110" s="53">
        <v>0</v>
      </c>
      <c r="I110" s="53">
        <v>0.68776736310345432</v>
      </c>
      <c r="J110" s="53">
        <v>4.2561841620149324E-2</v>
      </c>
      <c r="K110" s="53">
        <v>0</v>
      </c>
    </row>
    <row r="111" spans="1:11">
      <c r="A111" s="8">
        <v>8</v>
      </c>
      <c r="B111" s="19">
        <v>37546</v>
      </c>
      <c r="C111" s="12">
        <v>2002</v>
      </c>
      <c r="D111" s="15" t="s">
        <v>14</v>
      </c>
      <c r="E111" s="12">
        <v>10</v>
      </c>
      <c r="F111" s="53">
        <v>4.8207283497322235</v>
      </c>
      <c r="G111" s="53">
        <v>3.462368377248079E-2</v>
      </c>
      <c r="H111" s="53">
        <v>0</v>
      </c>
      <c r="I111" s="53">
        <v>1.263136296996151</v>
      </c>
      <c r="J111" s="53">
        <v>6.5488022810806346E-2</v>
      </c>
      <c r="K111" s="53">
        <v>0</v>
      </c>
    </row>
    <row r="112" spans="1:11">
      <c r="A112" s="8">
        <v>15</v>
      </c>
      <c r="B112" s="19">
        <v>37546</v>
      </c>
      <c r="C112" s="12">
        <v>2002</v>
      </c>
      <c r="D112" s="15" t="s">
        <v>14</v>
      </c>
      <c r="E112" s="12">
        <v>10</v>
      </c>
      <c r="F112" s="53">
        <v>6.0661447194553739</v>
      </c>
      <c r="G112" s="53">
        <v>5.2998688696699985E-2</v>
      </c>
      <c r="H112" s="53">
        <v>0</v>
      </c>
      <c r="I112" s="53">
        <v>1.33928890075524</v>
      </c>
      <c r="J112" s="53">
        <v>0.67447140151391494</v>
      </c>
      <c r="K112" s="53">
        <v>0</v>
      </c>
    </row>
    <row r="113" spans="1:18">
      <c r="A113" s="8">
        <v>6</v>
      </c>
      <c r="B113" s="19">
        <v>37575</v>
      </c>
      <c r="C113" s="12">
        <v>2002</v>
      </c>
      <c r="D113" s="15" t="s">
        <v>16</v>
      </c>
      <c r="E113" s="12">
        <v>11</v>
      </c>
      <c r="F113" s="53">
        <v>2.4170835161500972</v>
      </c>
      <c r="G113" s="53">
        <v>6.0742124900726731E-2</v>
      </c>
      <c r="H113" s="53">
        <v>0</v>
      </c>
      <c r="I113" s="53">
        <v>0.53351485829977352</v>
      </c>
      <c r="J113" s="53">
        <v>1.2713746715556402E-2</v>
      </c>
      <c r="K113" s="53">
        <v>0</v>
      </c>
    </row>
    <row r="114" spans="1:18">
      <c r="A114" s="8">
        <v>8</v>
      </c>
      <c r="B114" s="19">
        <v>37574</v>
      </c>
      <c r="C114" s="12">
        <v>2002</v>
      </c>
      <c r="D114" s="15" t="s">
        <v>16</v>
      </c>
      <c r="E114" s="12">
        <v>11</v>
      </c>
      <c r="F114" s="53">
        <v>1.7779877071740167</v>
      </c>
      <c r="G114" s="53">
        <v>2.4371890600194453E-2</v>
      </c>
      <c r="H114" s="53">
        <v>0</v>
      </c>
      <c r="I114" s="53">
        <v>0.41431194271644167</v>
      </c>
      <c r="J114" s="53">
        <v>6.1802847686377414E-3</v>
      </c>
      <c r="K114" s="53">
        <v>0</v>
      </c>
    </row>
    <row r="115" spans="1:18">
      <c r="A115" s="8">
        <v>15</v>
      </c>
      <c r="B115" s="19">
        <v>37574</v>
      </c>
      <c r="C115" s="12">
        <v>2002</v>
      </c>
      <c r="D115" s="15" t="s">
        <v>16</v>
      </c>
      <c r="E115" s="12">
        <v>11</v>
      </c>
      <c r="F115" s="53">
        <v>3.5337504144745715</v>
      </c>
      <c r="G115" s="53">
        <v>3.3737181163482066E-2</v>
      </c>
      <c r="H115" s="53">
        <v>0</v>
      </c>
      <c r="I115" s="53">
        <v>1.0558907804703421</v>
      </c>
      <c r="J115" s="53">
        <v>2.96247096336721E-2</v>
      </c>
      <c r="K115" s="53">
        <v>0</v>
      </c>
    </row>
    <row r="116" spans="1:18">
      <c r="A116" s="8">
        <v>6</v>
      </c>
      <c r="B116" s="19">
        <v>37609</v>
      </c>
      <c r="C116" s="12">
        <v>2002</v>
      </c>
      <c r="D116" s="15" t="s">
        <v>17</v>
      </c>
      <c r="E116" s="12">
        <v>12</v>
      </c>
      <c r="F116" s="53">
        <v>4.7745902695010765</v>
      </c>
      <c r="G116" s="53">
        <v>0.13664678478344155</v>
      </c>
      <c r="H116" s="53">
        <v>0</v>
      </c>
      <c r="I116" s="53">
        <v>0.51184586955554046</v>
      </c>
      <c r="J116" s="53">
        <v>1.6358295915753315E-2</v>
      </c>
      <c r="K116" s="53">
        <v>0</v>
      </c>
    </row>
    <row r="117" spans="1:18">
      <c r="A117" s="8">
        <v>8</v>
      </c>
      <c r="B117" s="19">
        <v>37608</v>
      </c>
      <c r="C117" s="12">
        <v>2002</v>
      </c>
      <c r="D117" s="15" t="s">
        <v>17</v>
      </c>
      <c r="E117" s="12">
        <v>12</v>
      </c>
      <c r="F117" s="53">
        <v>2.646531702604749</v>
      </c>
      <c r="G117" s="53">
        <v>0.22001320305370364</v>
      </c>
      <c r="H117" s="53">
        <v>0</v>
      </c>
      <c r="I117" s="53">
        <v>0.54365626370647935</v>
      </c>
      <c r="J117" s="53">
        <v>1.4026161164302744E-2</v>
      </c>
      <c r="K117" s="53">
        <v>0</v>
      </c>
    </row>
    <row r="118" spans="1:18">
      <c r="A118" s="8">
        <v>15</v>
      </c>
      <c r="B118" s="19">
        <v>37608</v>
      </c>
      <c r="C118" s="12">
        <v>2002</v>
      </c>
      <c r="D118" s="15" t="s">
        <v>17</v>
      </c>
      <c r="E118" s="12">
        <v>12</v>
      </c>
      <c r="F118" s="53">
        <v>4.5121651879294271</v>
      </c>
      <c r="G118" s="53">
        <v>0.17159543464309648</v>
      </c>
      <c r="H118" s="53">
        <v>0</v>
      </c>
      <c r="I118" s="53">
        <v>1.1451412579147424</v>
      </c>
      <c r="J118" s="53">
        <v>3.2580444995829766E-2</v>
      </c>
      <c r="K118" s="53">
        <v>0</v>
      </c>
    </row>
    <row r="119" spans="1:18" ht="25.5">
      <c r="A119" s="41">
        <v>6</v>
      </c>
      <c r="B119" s="54">
        <v>37635</v>
      </c>
      <c r="C119" s="45">
        <v>2003</v>
      </c>
      <c r="D119" s="50" t="s">
        <v>18</v>
      </c>
      <c r="E119" s="45">
        <v>1</v>
      </c>
      <c r="F119" s="55">
        <v>5.1538707761866194</v>
      </c>
      <c r="G119" s="55">
        <v>0.2029944548773355</v>
      </c>
      <c r="H119" s="55">
        <v>0</v>
      </c>
      <c r="I119" s="55">
        <v>1.6231865590035011</v>
      </c>
      <c r="J119" s="55">
        <v>4.8542039681697874E-2</v>
      </c>
      <c r="K119" s="55">
        <v>0</v>
      </c>
      <c r="L119" s="39" t="s">
        <v>42</v>
      </c>
      <c r="M119" s="6" t="s">
        <v>7</v>
      </c>
      <c r="N119" s="6" t="s">
        <v>8</v>
      </c>
      <c r="O119" s="6" t="s">
        <v>9</v>
      </c>
      <c r="P119" s="6" t="s">
        <v>10</v>
      </c>
      <c r="Q119" s="6" t="s">
        <v>11</v>
      </c>
      <c r="R119" s="6" t="s">
        <v>12</v>
      </c>
    </row>
    <row r="120" spans="1:18">
      <c r="A120" s="8">
        <v>8</v>
      </c>
      <c r="B120" s="19">
        <v>37636</v>
      </c>
      <c r="C120" s="12">
        <v>2003</v>
      </c>
      <c r="D120" s="15" t="s">
        <v>18</v>
      </c>
      <c r="E120" s="12">
        <v>1</v>
      </c>
      <c r="F120" s="53">
        <v>2.1530136083186076</v>
      </c>
      <c r="G120" s="53">
        <v>7.8701166030848854E-2</v>
      </c>
      <c r="H120" s="53">
        <v>0</v>
      </c>
      <c r="I120" s="53">
        <v>0.49817786980468631</v>
      </c>
      <c r="J120" s="53">
        <v>4.3893133997819467E-2</v>
      </c>
      <c r="K120" s="53">
        <v>0</v>
      </c>
      <c r="L120" s="39" t="s">
        <v>48</v>
      </c>
      <c r="M120" s="40">
        <f>AVERAGE(F119:F154)</f>
        <v>6.9859231142419125</v>
      </c>
      <c r="N120" s="40">
        <f t="shared" ref="N120:O120" si="3">AVERAGE(G119:G154)</f>
        <v>9.2843310217302286E-2</v>
      </c>
      <c r="O120" s="40">
        <f t="shared" si="3"/>
        <v>0.26049342181912699</v>
      </c>
      <c r="P120" s="40">
        <f>AVERAGE(I119:I154)</f>
        <v>2.0118967726301493</v>
      </c>
      <c r="Q120" s="40">
        <f>AVERAGE(J119:J154)</f>
        <v>0.33721065903897635</v>
      </c>
      <c r="R120" s="40">
        <f>AVERAGE(K119:K154)</f>
        <v>0</v>
      </c>
    </row>
    <row r="121" spans="1:18">
      <c r="A121" s="8">
        <v>15</v>
      </c>
      <c r="B121" s="19">
        <v>37636</v>
      </c>
      <c r="C121" s="12">
        <v>2003</v>
      </c>
      <c r="D121" s="15" t="s">
        <v>18</v>
      </c>
      <c r="E121" s="12">
        <v>1</v>
      </c>
      <c r="F121" s="53">
        <v>4.7636943444502151</v>
      </c>
      <c r="G121" s="53">
        <v>0.22988214091569165</v>
      </c>
      <c r="H121" s="53">
        <v>1.1168898372871447E-2</v>
      </c>
      <c r="I121" s="53">
        <v>1.563570716039016</v>
      </c>
      <c r="J121" s="53">
        <v>6.1032527918125482E-2</v>
      </c>
      <c r="K121" s="53">
        <v>0</v>
      </c>
    </row>
    <row r="122" spans="1:18">
      <c r="A122" s="8">
        <v>6</v>
      </c>
      <c r="B122" s="19">
        <v>37665</v>
      </c>
      <c r="C122" s="12">
        <v>2003</v>
      </c>
      <c r="D122" s="11" t="s">
        <v>19</v>
      </c>
      <c r="E122" s="12">
        <v>2</v>
      </c>
      <c r="F122" s="53">
        <v>3.6944615935683589</v>
      </c>
      <c r="G122" s="53">
        <v>0.14969873845887599</v>
      </c>
      <c r="H122" s="53">
        <v>0</v>
      </c>
      <c r="I122" s="53">
        <v>1.1587280992200391</v>
      </c>
      <c r="J122" s="53">
        <v>3.6183429835177874E-2</v>
      </c>
      <c r="K122" s="53">
        <v>0</v>
      </c>
    </row>
    <row r="123" spans="1:18">
      <c r="A123" s="8">
        <v>8</v>
      </c>
      <c r="B123" s="19">
        <v>37663</v>
      </c>
      <c r="C123" s="12">
        <v>2003</v>
      </c>
      <c r="D123" s="11" t="s">
        <v>19</v>
      </c>
      <c r="E123" s="12">
        <v>2</v>
      </c>
      <c r="F123" s="53">
        <v>3.3425827597701399</v>
      </c>
      <c r="G123" s="53">
        <v>0.28764928087516678</v>
      </c>
      <c r="H123" s="53">
        <v>0</v>
      </c>
      <c r="I123" s="53">
        <v>0.951975814278893</v>
      </c>
      <c r="J123" s="53">
        <v>2.8661083581785572E-2</v>
      </c>
      <c r="K123" s="53">
        <v>0</v>
      </c>
    </row>
    <row r="124" spans="1:18">
      <c r="A124" s="8">
        <v>15</v>
      </c>
      <c r="B124" s="19">
        <v>37663</v>
      </c>
      <c r="C124" s="12">
        <v>2003</v>
      </c>
      <c r="D124" s="11" t="s">
        <v>19</v>
      </c>
      <c r="E124" s="12">
        <v>2</v>
      </c>
      <c r="F124" s="53">
        <v>2.7941432541620128</v>
      </c>
      <c r="G124" s="53">
        <v>0</v>
      </c>
      <c r="H124" s="53">
        <v>0</v>
      </c>
      <c r="I124" s="53">
        <v>1.1281186676527211</v>
      </c>
      <c r="J124" s="53">
        <v>3.9898648431643827E-2</v>
      </c>
      <c r="K124" s="53">
        <v>0</v>
      </c>
    </row>
    <row r="125" spans="1:18">
      <c r="A125" s="8">
        <v>6</v>
      </c>
      <c r="B125" s="19">
        <v>37692</v>
      </c>
      <c r="C125" s="12">
        <v>2003</v>
      </c>
      <c r="D125" s="11" t="s">
        <v>20</v>
      </c>
      <c r="E125" s="12">
        <v>3</v>
      </c>
      <c r="F125" s="53">
        <v>3.3938838345986131</v>
      </c>
      <c r="G125" s="53">
        <v>9.0386819361328877E-2</v>
      </c>
      <c r="H125" s="53">
        <v>0</v>
      </c>
      <c r="I125" s="53">
        <v>1.1323586908227299</v>
      </c>
      <c r="J125" s="53">
        <v>4.5305957620170256E-2</v>
      </c>
      <c r="K125" s="53">
        <v>0</v>
      </c>
    </row>
    <row r="126" spans="1:18">
      <c r="A126" s="8">
        <v>8</v>
      </c>
      <c r="B126" s="19">
        <v>37691</v>
      </c>
      <c r="C126" s="12">
        <v>2003</v>
      </c>
      <c r="D126" s="11" t="s">
        <v>20</v>
      </c>
      <c r="E126" s="12">
        <v>3</v>
      </c>
      <c r="F126" s="53">
        <v>3.998385502802964</v>
      </c>
      <c r="G126" s="53">
        <v>0.12176185383292011</v>
      </c>
      <c r="H126" s="53">
        <v>0</v>
      </c>
      <c r="I126" s="53">
        <v>1.2242504525806115</v>
      </c>
      <c r="J126" s="53">
        <v>3.7979964325939905E-2</v>
      </c>
      <c r="K126" s="53">
        <v>0</v>
      </c>
    </row>
    <row r="127" spans="1:18">
      <c r="A127" s="8">
        <v>15</v>
      </c>
      <c r="B127" s="19">
        <v>37692</v>
      </c>
      <c r="C127" s="12">
        <v>2003</v>
      </c>
      <c r="D127" s="11" t="s">
        <v>20</v>
      </c>
      <c r="E127" s="12">
        <v>3</v>
      </c>
      <c r="F127" s="53">
        <v>3.2421167864607598</v>
      </c>
      <c r="G127" s="53">
        <v>0.18731189332038212</v>
      </c>
      <c r="H127" s="53">
        <v>0</v>
      </c>
      <c r="I127" s="53">
        <v>0.99971207401521767</v>
      </c>
      <c r="J127" s="53">
        <v>4.8979947772029526E-2</v>
      </c>
      <c r="K127" s="53">
        <v>0</v>
      </c>
    </row>
    <row r="128" spans="1:18">
      <c r="A128" s="8">
        <v>6</v>
      </c>
      <c r="B128" s="19">
        <v>37726</v>
      </c>
      <c r="C128" s="12">
        <v>2003</v>
      </c>
      <c r="D128" s="11" t="s">
        <v>21</v>
      </c>
      <c r="E128" s="12">
        <v>4</v>
      </c>
      <c r="F128" s="53">
        <v>3.1432069936804568</v>
      </c>
      <c r="G128" s="53">
        <v>0</v>
      </c>
      <c r="H128" s="53">
        <v>3.4671125688650974E-2</v>
      </c>
      <c r="I128" s="53">
        <v>1.2303122437755196</v>
      </c>
      <c r="J128" s="53">
        <v>2.8337486076726016E-2</v>
      </c>
      <c r="K128" s="53">
        <v>0</v>
      </c>
    </row>
    <row r="129" spans="1:11">
      <c r="A129" s="8">
        <v>8</v>
      </c>
      <c r="B129" s="19">
        <v>37727</v>
      </c>
      <c r="C129" s="12">
        <v>2003</v>
      </c>
      <c r="D129" s="11" t="s">
        <v>21</v>
      </c>
      <c r="E129" s="12">
        <v>4</v>
      </c>
      <c r="F129" s="53">
        <v>9.9080791706866496</v>
      </c>
      <c r="G129" s="53">
        <v>0</v>
      </c>
      <c r="H129" s="53">
        <v>0</v>
      </c>
      <c r="I129" s="53">
        <v>4.3769452453769864</v>
      </c>
      <c r="J129" s="53">
        <v>4.022290979004646E-2</v>
      </c>
      <c r="K129" s="53">
        <v>0</v>
      </c>
    </row>
    <row r="130" spans="1:11">
      <c r="A130" s="8">
        <v>15</v>
      </c>
      <c r="B130" s="19">
        <v>37726</v>
      </c>
      <c r="C130" s="12">
        <v>2003</v>
      </c>
      <c r="D130" s="11" t="s">
        <v>21</v>
      </c>
      <c r="E130" s="12">
        <v>4</v>
      </c>
      <c r="F130" s="53">
        <v>4.1651057618615326</v>
      </c>
      <c r="G130" s="53">
        <v>0</v>
      </c>
      <c r="H130" s="53">
        <v>5.0422568150336355E-2</v>
      </c>
      <c r="I130" s="53">
        <v>1.7053956448481182</v>
      </c>
      <c r="J130" s="53">
        <v>3.6570877935328608E-2</v>
      </c>
      <c r="K130" s="53">
        <v>0</v>
      </c>
    </row>
    <row r="131" spans="1:11">
      <c r="A131" s="8">
        <v>6</v>
      </c>
      <c r="B131" s="19">
        <v>37761</v>
      </c>
      <c r="C131" s="12">
        <v>2003</v>
      </c>
      <c r="D131" s="11" t="s">
        <v>22</v>
      </c>
      <c r="E131" s="12">
        <v>5</v>
      </c>
      <c r="F131" s="53">
        <v>5.4586740063889092</v>
      </c>
      <c r="G131" s="53">
        <v>0.13418926056698605</v>
      </c>
      <c r="H131" s="53">
        <v>0.69140840343638132</v>
      </c>
      <c r="I131" s="53">
        <v>2.6504927285346418</v>
      </c>
      <c r="J131" s="53">
        <v>7.8927769310777857E-2</v>
      </c>
      <c r="K131" s="53">
        <v>0</v>
      </c>
    </row>
    <row r="132" spans="1:11">
      <c r="A132" s="8">
        <v>8</v>
      </c>
      <c r="B132" s="19">
        <v>37756</v>
      </c>
      <c r="C132" s="12">
        <v>2003</v>
      </c>
      <c r="D132" s="11" t="s">
        <v>22</v>
      </c>
      <c r="E132" s="12">
        <v>5</v>
      </c>
      <c r="F132" s="53">
        <v>3.0452778185032008</v>
      </c>
      <c r="G132" s="53">
        <v>3.8225234221114908E-2</v>
      </c>
      <c r="H132" s="53">
        <v>7.1414325932904921E-2</v>
      </c>
      <c r="I132" s="53">
        <v>0.62024159145996383</v>
      </c>
      <c r="J132" s="53">
        <v>2.3009101580477614E-2</v>
      </c>
      <c r="K132" s="53">
        <v>0</v>
      </c>
    </row>
    <row r="133" spans="1:11">
      <c r="A133" s="8">
        <v>15</v>
      </c>
      <c r="B133" s="19">
        <v>37761</v>
      </c>
      <c r="C133" s="12">
        <v>2003</v>
      </c>
      <c r="D133" s="11" t="s">
        <v>22</v>
      </c>
      <c r="E133" s="12">
        <v>5</v>
      </c>
      <c r="F133" s="53">
        <v>9.4575942407553839</v>
      </c>
      <c r="G133" s="53">
        <v>0.14344485646468436</v>
      </c>
      <c r="H133" s="53">
        <v>1.2883052112802944</v>
      </c>
      <c r="I133" s="53">
        <v>4.4829972160990765</v>
      </c>
      <c r="J133" s="53">
        <v>0.27278909410962393</v>
      </c>
      <c r="K133" s="53">
        <v>0</v>
      </c>
    </row>
    <row r="134" spans="1:11">
      <c r="A134" s="8">
        <v>6</v>
      </c>
      <c r="B134" s="19">
        <v>37792</v>
      </c>
      <c r="C134" s="12">
        <v>2003</v>
      </c>
      <c r="D134" s="11" t="s">
        <v>23</v>
      </c>
      <c r="E134" s="12">
        <v>6</v>
      </c>
      <c r="F134" s="53">
        <v>15.832712659534909</v>
      </c>
      <c r="G134" s="53">
        <v>0.10998071171719419</v>
      </c>
      <c r="H134" s="53">
        <v>4.2476138600843552</v>
      </c>
      <c r="I134" s="53">
        <v>8.6877020550394572</v>
      </c>
      <c r="J134" s="53">
        <v>0.28148091836680644</v>
      </c>
      <c r="K134" s="53">
        <v>0</v>
      </c>
    </row>
    <row r="135" spans="1:11">
      <c r="A135" s="8">
        <v>8</v>
      </c>
      <c r="B135" s="19">
        <v>37790</v>
      </c>
      <c r="C135" s="12">
        <v>2003</v>
      </c>
      <c r="D135" s="11" t="s">
        <v>23</v>
      </c>
      <c r="E135" s="12">
        <v>6</v>
      </c>
      <c r="F135" s="53">
        <v>15.114857572639529</v>
      </c>
      <c r="G135" s="53">
        <v>7.5321799588705066E-2</v>
      </c>
      <c r="H135" s="53">
        <v>1.624242679869309</v>
      </c>
      <c r="I135" s="53">
        <v>5.8303912362610735</v>
      </c>
      <c r="J135" s="53">
        <v>0.24028128321068007</v>
      </c>
      <c r="K135" s="53">
        <v>0</v>
      </c>
    </row>
    <row r="136" spans="1:11">
      <c r="A136" s="8">
        <v>15</v>
      </c>
      <c r="B136" s="19">
        <v>37790</v>
      </c>
      <c r="C136" s="12">
        <v>2003</v>
      </c>
      <c r="D136" s="11" t="s">
        <v>23</v>
      </c>
      <c r="E136" s="12">
        <v>6</v>
      </c>
      <c r="F136" s="53">
        <v>11.282353868849933</v>
      </c>
      <c r="G136" s="53">
        <v>7.9434435346211585E-2</v>
      </c>
      <c r="H136" s="53">
        <v>1.3585161126734686</v>
      </c>
      <c r="I136" s="53">
        <v>4.5497954958604456</v>
      </c>
      <c r="J136" s="53">
        <v>0.47741950510494841</v>
      </c>
      <c r="K136" s="53">
        <v>0</v>
      </c>
    </row>
    <row r="137" spans="1:11">
      <c r="A137" s="8">
        <v>6</v>
      </c>
      <c r="B137" s="19">
        <v>37819</v>
      </c>
      <c r="C137" s="12">
        <v>2003</v>
      </c>
      <c r="D137" s="15" t="s">
        <v>24</v>
      </c>
      <c r="E137" s="12">
        <v>7</v>
      </c>
      <c r="F137" s="53">
        <v>15.953109210142616</v>
      </c>
      <c r="G137" s="53">
        <v>5.5777137346694705E-2</v>
      </c>
      <c r="H137" s="53">
        <v>0</v>
      </c>
      <c r="I137" s="53">
        <v>2.225299762314044</v>
      </c>
      <c r="J137" s="53">
        <v>1.9258609510432749</v>
      </c>
      <c r="K137" s="53">
        <v>0</v>
      </c>
    </row>
    <row r="138" spans="1:11">
      <c r="A138" s="8">
        <v>8</v>
      </c>
      <c r="B138" s="19">
        <v>37818</v>
      </c>
      <c r="C138" s="12">
        <v>2003</v>
      </c>
      <c r="D138" s="15" t="s">
        <v>24</v>
      </c>
      <c r="E138" s="12">
        <v>7</v>
      </c>
      <c r="F138" s="53">
        <v>7.9433931678976784</v>
      </c>
      <c r="G138" s="53">
        <v>2.0565202801260171E-2</v>
      </c>
      <c r="H138" s="53">
        <v>0</v>
      </c>
      <c r="I138" s="53">
        <v>0.78864239769782851</v>
      </c>
      <c r="J138" s="53">
        <v>0.53823029027130842</v>
      </c>
      <c r="K138" s="53">
        <v>0</v>
      </c>
    </row>
    <row r="139" spans="1:11">
      <c r="A139" s="8">
        <v>15</v>
      </c>
      <c r="B139" s="19">
        <v>37819</v>
      </c>
      <c r="C139" s="12">
        <v>2003</v>
      </c>
      <c r="D139" s="15" t="s">
        <v>24</v>
      </c>
      <c r="E139" s="12">
        <v>7</v>
      </c>
      <c r="F139" s="53">
        <v>12.777910973708968</v>
      </c>
      <c r="G139" s="53">
        <v>4.420522750840352E-2</v>
      </c>
      <c r="H139" s="53">
        <v>0</v>
      </c>
      <c r="I139" s="53">
        <v>1.1371478490698572</v>
      </c>
      <c r="J139" s="53">
        <v>1.7717492559686869</v>
      </c>
      <c r="K139" s="53">
        <v>0</v>
      </c>
    </row>
    <row r="140" spans="1:11">
      <c r="A140" s="8">
        <v>6</v>
      </c>
      <c r="B140" s="19">
        <v>37847</v>
      </c>
      <c r="C140" s="12">
        <v>2003</v>
      </c>
      <c r="D140" s="15" t="s">
        <v>25</v>
      </c>
      <c r="E140" s="12">
        <v>8</v>
      </c>
      <c r="F140" s="53">
        <v>14.195668450441072</v>
      </c>
      <c r="G140" s="53">
        <v>0.12057870768559623</v>
      </c>
      <c r="H140" s="53">
        <v>0</v>
      </c>
      <c r="I140" s="53">
        <v>1.3584058105362848</v>
      </c>
      <c r="J140" s="53">
        <v>2.2244142603157493</v>
      </c>
      <c r="K140" s="53">
        <v>0</v>
      </c>
    </row>
    <row r="141" spans="1:11">
      <c r="A141" s="8">
        <v>8</v>
      </c>
      <c r="B141" s="19">
        <v>37846</v>
      </c>
      <c r="C141" s="12">
        <v>2003</v>
      </c>
      <c r="D141" s="15" t="s">
        <v>25</v>
      </c>
      <c r="E141" s="12">
        <v>8</v>
      </c>
      <c r="F141" s="53">
        <v>4.7116439297159216</v>
      </c>
      <c r="G141" s="53">
        <v>3.6404874713350799E-2</v>
      </c>
      <c r="H141" s="53">
        <v>0</v>
      </c>
      <c r="I141" s="53">
        <v>1.1788650425031488</v>
      </c>
      <c r="J141" s="53">
        <v>3.766203457047123E-2</v>
      </c>
      <c r="K141" s="53">
        <v>0</v>
      </c>
    </row>
    <row r="142" spans="1:11">
      <c r="A142" s="8">
        <v>15</v>
      </c>
      <c r="B142" s="19">
        <v>37847</v>
      </c>
      <c r="C142" s="12">
        <v>2003</v>
      </c>
      <c r="D142" s="15" t="s">
        <v>25</v>
      </c>
      <c r="E142" s="12">
        <v>8</v>
      </c>
      <c r="F142" s="53">
        <v>5.9788124531664577</v>
      </c>
      <c r="G142" s="53">
        <v>1.5069663284827702E-2</v>
      </c>
      <c r="H142" s="53">
        <v>0</v>
      </c>
      <c r="I142" s="53">
        <v>0.47024617610141722</v>
      </c>
      <c r="J142" s="53">
        <v>1.4398977099188743</v>
      </c>
      <c r="K142" s="53">
        <v>0</v>
      </c>
    </row>
    <row r="143" spans="1:11">
      <c r="A143" s="8">
        <v>6</v>
      </c>
      <c r="B143" s="19">
        <v>37888</v>
      </c>
      <c r="C143" s="12">
        <v>2003</v>
      </c>
      <c r="D143" s="15" t="s">
        <v>26</v>
      </c>
      <c r="E143" s="12">
        <v>9</v>
      </c>
      <c r="F143" s="53">
        <v>10.450080753489985</v>
      </c>
      <c r="G143" s="53">
        <v>5.766878208106116E-2</v>
      </c>
      <c r="H143" s="53">
        <v>0</v>
      </c>
      <c r="I143" s="53">
        <v>2.6915481720547132</v>
      </c>
      <c r="J143" s="53">
        <v>0.84642112584330642</v>
      </c>
      <c r="K143" s="53">
        <v>0</v>
      </c>
    </row>
    <row r="144" spans="1:11">
      <c r="A144" s="8">
        <v>8</v>
      </c>
      <c r="B144" s="19">
        <v>37886</v>
      </c>
      <c r="C144" s="12">
        <v>2003</v>
      </c>
      <c r="D144" s="15" t="s">
        <v>26</v>
      </c>
      <c r="E144" s="12">
        <v>9</v>
      </c>
      <c r="F144" s="53">
        <v>15.420783565527255</v>
      </c>
      <c r="G144" s="53">
        <v>0.13589314955345033</v>
      </c>
      <c r="H144" s="53">
        <v>0</v>
      </c>
      <c r="I144" s="53">
        <v>3.3411310533993541</v>
      </c>
      <c r="J144" s="53">
        <v>0.41090439620067959</v>
      </c>
      <c r="K144" s="53">
        <v>0</v>
      </c>
    </row>
    <row r="145" spans="1:18">
      <c r="A145" s="8">
        <v>15</v>
      </c>
      <c r="B145" s="19">
        <v>37886</v>
      </c>
      <c r="C145" s="12">
        <v>2003</v>
      </c>
      <c r="D145" s="15" t="s">
        <v>26</v>
      </c>
      <c r="E145" s="12">
        <v>9</v>
      </c>
      <c r="F145" s="53">
        <v>11.004315055400102</v>
      </c>
      <c r="G145" s="53">
        <v>6.5551149379353357E-2</v>
      </c>
      <c r="H145" s="53">
        <v>0</v>
      </c>
      <c r="I145" s="53">
        <v>3.1281354257287761</v>
      </c>
      <c r="J145" s="53">
        <v>0.62572498486043049</v>
      </c>
      <c r="K145" s="53">
        <v>0</v>
      </c>
    </row>
    <row r="146" spans="1:18">
      <c r="A146" s="8">
        <v>6</v>
      </c>
      <c r="B146" s="19">
        <v>37910</v>
      </c>
      <c r="C146" s="12">
        <v>2003</v>
      </c>
      <c r="D146" s="15" t="s">
        <v>14</v>
      </c>
      <c r="E146" s="12">
        <v>10</v>
      </c>
      <c r="F146" s="13">
        <v>6.7571000000000003</v>
      </c>
      <c r="G146" s="13">
        <v>0.15074232559065689</v>
      </c>
      <c r="H146" s="13">
        <v>0</v>
      </c>
      <c r="I146" s="13">
        <v>2.1358282426397728</v>
      </c>
      <c r="J146" s="13">
        <v>4.0424420374513576E-2</v>
      </c>
      <c r="K146" s="13">
        <v>0</v>
      </c>
    </row>
    <row r="147" spans="1:18">
      <c r="A147" s="8">
        <v>8</v>
      </c>
      <c r="B147" s="19">
        <v>37910</v>
      </c>
      <c r="C147" s="12">
        <v>2003</v>
      </c>
      <c r="D147" s="15" t="s">
        <v>14</v>
      </c>
      <c r="E147" s="12">
        <v>10</v>
      </c>
      <c r="F147" s="13">
        <v>5.6172000000000004</v>
      </c>
      <c r="G147" s="13">
        <v>3.4029758143508768E-2</v>
      </c>
      <c r="H147" s="13">
        <v>0</v>
      </c>
      <c r="I147" s="13">
        <v>1.6292816820469056</v>
      </c>
      <c r="J147" s="13">
        <v>3.9161642851071217E-2</v>
      </c>
      <c r="K147" s="13">
        <v>0</v>
      </c>
    </row>
    <row r="148" spans="1:18">
      <c r="A148" s="8">
        <v>15</v>
      </c>
      <c r="B148" s="19">
        <v>37910</v>
      </c>
      <c r="C148" s="12">
        <v>2003</v>
      </c>
      <c r="D148" s="15" t="s">
        <v>14</v>
      </c>
      <c r="E148" s="12">
        <v>10</v>
      </c>
      <c r="F148" s="13">
        <v>6.9024999999999999</v>
      </c>
      <c r="G148" s="13">
        <v>2.3633298848406762E-2</v>
      </c>
      <c r="H148" s="13">
        <v>0</v>
      </c>
      <c r="I148" s="13">
        <v>2.233148710705652</v>
      </c>
      <c r="J148" s="13">
        <v>0.1477211860782755</v>
      </c>
      <c r="K148" s="13">
        <v>0</v>
      </c>
    </row>
    <row r="149" spans="1:18">
      <c r="A149" s="8">
        <v>6</v>
      </c>
      <c r="B149" s="19">
        <v>37943</v>
      </c>
      <c r="C149" s="12">
        <v>2003</v>
      </c>
      <c r="D149" s="15" t="s">
        <v>16</v>
      </c>
      <c r="E149" s="12">
        <v>11</v>
      </c>
      <c r="F149" s="13">
        <v>2.3603999999999998</v>
      </c>
      <c r="G149" s="13">
        <v>9.6589699001964957E-2</v>
      </c>
      <c r="H149" s="13">
        <v>0</v>
      </c>
      <c r="I149" s="13">
        <v>0.39092925364320907</v>
      </c>
      <c r="J149" s="13">
        <v>3.0627846273024714E-2</v>
      </c>
      <c r="K149" s="13">
        <v>0</v>
      </c>
    </row>
    <row r="150" spans="1:18">
      <c r="A150" s="8">
        <v>8</v>
      </c>
      <c r="B150" s="19">
        <v>37942</v>
      </c>
      <c r="C150" s="12">
        <v>2003</v>
      </c>
      <c r="D150" s="15" t="s">
        <v>16</v>
      </c>
      <c r="E150" s="12">
        <v>11</v>
      </c>
      <c r="F150" s="13">
        <v>2.4371</v>
      </c>
      <c r="G150" s="13">
        <v>3.4289268419596806E-2</v>
      </c>
      <c r="H150" s="13">
        <v>0</v>
      </c>
      <c r="I150" s="13">
        <v>0.65445986936801592</v>
      </c>
      <c r="J150" s="13">
        <v>1.8901305820154982E-2</v>
      </c>
      <c r="K150" s="13">
        <v>0</v>
      </c>
    </row>
    <row r="151" spans="1:18">
      <c r="A151" s="8">
        <v>15</v>
      </c>
      <c r="B151" s="19">
        <v>37942</v>
      </c>
      <c r="C151" s="12">
        <v>2003</v>
      </c>
      <c r="D151" s="15" t="s">
        <v>16</v>
      </c>
      <c r="E151" s="12">
        <v>11</v>
      </c>
      <c r="F151" s="13">
        <v>2.0104000000000002</v>
      </c>
      <c r="G151" s="13">
        <v>4.5268524504972742E-2</v>
      </c>
      <c r="H151" s="13">
        <v>0</v>
      </c>
      <c r="I151" s="13">
        <v>0.37187444202893233</v>
      </c>
      <c r="J151" s="13">
        <v>2.1852511438740788E-2</v>
      </c>
      <c r="K151" s="13">
        <v>0</v>
      </c>
    </row>
    <row r="152" spans="1:18">
      <c r="A152" s="8">
        <v>6</v>
      </c>
      <c r="B152" s="19">
        <v>37973</v>
      </c>
      <c r="C152" s="12">
        <v>2003</v>
      </c>
      <c r="D152" s="15" t="s">
        <v>17</v>
      </c>
      <c r="E152" s="12">
        <v>12</v>
      </c>
      <c r="F152" s="13">
        <v>7.0891999999999999</v>
      </c>
      <c r="G152" s="13">
        <v>0.11659065356612389</v>
      </c>
      <c r="H152" s="13">
        <v>0</v>
      </c>
      <c r="I152" s="13">
        <v>2.0144463785441604</v>
      </c>
      <c r="J152" s="13">
        <v>7.1477347693988821E-2</v>
      </c>
      <c r="K152" s="13">
        <v>0</v>
      </c>
    </row>
    <row r="153" spans="1:18">
      <c r="A153" s="8">
        <v>8</v>
      </c>
      <c r="B153" s="19">
        <v>37971</v>
      </c>
      <c r="C153" s="12">
        <v>2003</v>
      </c>
      <c r="D153" s="15" t="s">
        <v>17</v>
      </c>
      <c r="E153" s="12">
        <v>12</v>
      </c>
      <c r="F153" s="13">
        <v>4.7662000000000004</v>
      </c>
      <c r="G153" s="13">
        <v>0.20351935691929296</v>
      </c>
      <c r="H153" s="13">
        <v>0</v>
      </c>
      <c r="I153" s="13">
        <v>1.0849965308291862</v>
      </c>
      <c r="J153" s="13">
        <v>3.8001821290813725E-2</v>
      </c>
      <c r="K153" s="13">
        <v>0</v>
      </c>
    </row>
    <row r="154" spans="1:18">
      <c r="A154" s="8">
        <v>15</v>
      </c>
      <c r="B154" s="19">
        <v>37971</v>
      </c>
      <c r="C154" s="12">
        <v>2003</v>
      </c>
      <c r="D154" s="15" t="s">
        <v>17</v>
      </c>
      <c r="E154" s="12">
        <v>12</v>
      </c>
      <c r="F154" s="13">
        <v>5.1734</v>
      </c>
      <c r="G154" s="13">
        <v>0.15699974289691448</v>
      </c>
      <c r="H154" s="13">
        <v>0</v>
      </c>
      <c r="I154" s="13">
        <v>1.1795446148014337</v>
      </c>
      <c r="J154" s="13">
        <v>4.1034955939978357E-2</v>
      </c>
      <c r="K154" s="13">
        <v>0</v>
      </c>
    </row>
    <row r="155" spans="1:18" ht="25.5">
      <c r="A155" s="41">
        <v>6</v>
      </c>
      <c r="B155" s="54">
        <v>37999</v>
      </c>
      <c r="C155" s="45">
        <v>2004</v>
      </c>
      <c r="D155" s="50" t="s">
        <v>18</v>
      </c>
      <c r="E155" s="45">
        <v>1</v>
      </c>
      <c r="F155" s="56">
        <v>4.9983000000000004</v>
      </c>
      <c r="G155" s="56">
        <v>2.3705288729781778E-2</v>
      </c>
      <c r="H155" s="56">
        <v>0</v>
      </c>
      <c r="I155" s="56">
        <v>1.9247098266209064</v>
      </c>
      <c r="J155" s="56">
        <v>2.8103955243482588E-2</v>
      </c>
      <c r="K155" s="56">
        <v>0</v>
      </c>
      <c r="L155" s="39" t="s">
        <v>42</v>
      </c>
      <c r="M155" s="6" t="s">
        <v>7</v>
      </c>
      <c r="N155" s="6" t="s">
        <v>8</v>
      </c>
      <c r="O155" s="6" t="s">
        <v>9</v>
      </c>
      <c r="P155" s="6" t="s">
        <v>10</v>
      </c>
      <c r="Q155" s="6" t="s">
        <v>11</v>
      </c>
      <c r="R155" s="6" t="s">
        <v>12</v>
      </c>
    </row>
    <row r="156" spans="1:18">
      <c r="A156" s="8">
        <v>8</v>
      </c>
      <c r="C156" s="12">
        <v>2004</v>
      </c>
      <c r="D156" s="15" t="s">
        <v>18</v>
      </c>
      <c r="E156" s="12">
        <v>1</v>
      </c>
      <c r="F156" s="13"/>
      <c r="G156" s="13"/>
      <c r="H156" s="13"/>
      <c r="I156" s="13"/>
      <c r="J156" s="13"/>
      <c r="K156" s="13"/>
      <c r="L156" s="39" t="s">
        <v>49</v>
      </c>
      <c r="M156" s="40">
        <f>AVERAGE(F155:F190)</f>
        <v>4.7391941176470587</v>
      </c>
      <c r="N156" s="40">
        <f t="shared" ref="N156:O156" si="4">AVERAGE(G155:G190)</f>
        <v>4.7863424025017545E-2</v>
      </c>
      <c r="O156" s="40">
        <f t="shared" si="4"/>
        <v>7.5375154963044075E-2</v>
      </c>
      <c r="P156" s="40">
        <f>AVERAGE(I155:I190)</f>
        <v>1.2530305126592782</v>
      </c>
      <c r="Q156" s="40">
        <f>AVERAGE(J155:J190)</f>
        <v>0.17035142772955861</v>
      </c>
      <c r="R156" s="40">
        <f>AVERAGE(K155:K190)</f>
        <v>0</v>
      </c>
    </row>
    <row r="157" spans="1:18">
      <c r="A157" s="8">
        <v>15</v>
      </c>
      <c r="C157" s="12">
        <v>2004</v>
      </c>
      <c r="D157" s="15" t="s">
        <v>18</v>
      </c>
      <c r="E157" s="12">
        <v>1</v>
      </c>
      <c r="F157" s="13"/>
      <c r="G157" s="13"/>
      <c r="H157" s="13"/>
      <c r="I157" s="13"/>
      <c r="J157" s="13"/>
      <c r="K157" s="13"/>
    </row>
    <row r="158" spans="1:18">
      <c r="A158" s="8">
        <v>6</v>
      </c>
      <c r="B158" s="19">
        <v>38027</v>
      </c>
      <c r="C158" s="12">
        <v>2004</v>
      </c>
      <c r="D158" s="11" t="s">
        <v>19</v>
      </c>
      <c r="E158" s="12">
        <v>2</v>
      </c>
      <c r="F158" s="13">
        <v>5.3985000000000003</v>
      </c>
      <c r="G158" s="13">
        <v>2.5562505112357751E-2</v>
      </c>
      <c r="H158" s="13">
        <v>0</v>
      </c>
      <c r="I158" s="13">
        <v>1.8227440805126356</v>
      </c>
      <c r="J158" s="13">
        <v>4.1080273567025788E-2</v>
      </c>
      <c r="K158" s="13">
        <v>0</v>
      </c>
    </row>
    <row r="159" spans="1:18">
      <c r="A159" s="8">
        <v>8</v>
      </c>
      <c r="B159" s="19">
        <v>38026</v>
      </c>
      <c r="C159" s="12">
        <v>2004</v>
      </c>
      <c r="D159" s="11" t="s">
        <v>19</v>
      </c>
      <c r="E159" s="12">
        <v>2</v>
      </c>
      <c r="F159" s="13">
        <v>9.5776000000000003</v>
      </c>
      <c r="G159" s="13">
        <v>4.8833508378514627E-2</v>
      </c>
      <c r="H159" s="13">
        <v>0</v>
      </c>
      <c r="I159" s="13">
        <v>2.821836789394514</v>
      </c>
      <c r="J159" s="13">
        <v>5.3840809296802711E-2</v>
      </c>
      <c r="K159" s="13">
        <v>0</v>
      </c>
    </row>
    <row r="160" spans="1:18">
      <c r="A160" s="8">
        <v>15</v>
      </c>
      <c r="B160" s="19">
        <v>38026</v>
      </c>
      <c r="C160" s="12">
        <v>2004</v>
      </c>
      <c r="D160" s="11" t="s">
        <v>19</v>
      </c>
      <c r="E160" s="12">
        <v>2</v>
      </c>
      <c r="F160" s="13">
        <v>7.0206999999999997</v>
      </c>
      <c r="G160" s="13">
        <v>5.129571512182679E-2</v>
      </c>
      <c r="H160" s="13">
        <v>0</v>
      </c>
      <c r="I160" s="13">
        <v>2.1154093417333262</v>
      </c>
      <c r="J160" s="13">
        <v>4.8034347387898114E-2</v>
      </c>
      <c r="K160" s="13">
        <v>0</v>
      </c>
    </row>
    <row r="161" spans="1:11">
      <c r="A161" s="8">
        <v>6</v>
      </c>
      <c r="B161" s="19">
        <v>38063</v>
      </c>
      <c r="C161" s="12">
        <v>2004</v>
      </c>
      <c r="D161" s="11" t="s">
        <v>20</v>
      </c>
      <c r="E161" s="12">
        <v>3</v>
      </c>
      <c r="F161" s="13">
        <v>8.1742000000000008</v>
      </c>
      <c r="G161" s="13">
        <v>3.6350838994029543E-2</v>
      </c>
      <c r="H161" s="13">
        <v>0</v>
      </c>
      <c r="I161" s="13">
        <v>3.6224635193110415</v>
      </c>
      <c r="J161" s="13">
        <v>4.3755540987836211E-2</v>
      </c>
      <c r="K161" s="13">
        <v>0</v>
      </c>
    </row>
    <row r="162" spans="1:11">
      <c r="A162" s="8">
        <v>8</v>
      </c>
      <c r="B162" s="19">
        <v>38061</v>
      </c>
      <c r="C162" s="12">
        <v>2004</v>
      </c>
      <c r="D162" s="11" t="s">
        <v>20</v>
      </c>
      <c r="E162" s="12">
        <v>3</v>
      </c>
      <c r="F162" s="13">
        <v>6.0446999999999997</v>
      </c>
      <c r="G162" s="13">
        <v>4.7048889605369466E-2</v>
      </c>
      <c r="H162" s="13">
        <v>0</v>
      </c>
      <c r="I162" s="13">
        <v>2.5215772576040103</v>
      </c>
      <c r="J162" s="13">
        <v>3.0852133818707148E-2</v>
      </c>
      <c r="K162" s="13">
        <v>0</v>
      </c>
    </row>
    <row r="163" spans="1:11">
      <c r="A163" s="8">
        <v>15</v>
      </c>
      <c r="B163" s="19">
        <v>38063</v>
      </c>
      <c r="C163" s="12">
        <v>2004</v>
      </c>
      <c r="D163" s="11" t="s">
        <v>20</v>
      </c>
      <c r="E163" s="12">
        <v>3</v>
      </c>
      <c r="F163" s="13">
        <v>3.8525999999999998</v>
      </c>
      <c r="G163" s="13">
        <v>4.5483131028612817E-2</v>
      </c>
      <c r="H163" s="13">
        <v>0</v>
      </c>
      <c r="I163" s="13">
        <v>1.2473748946072514</v>
      </c>
      <c r="J163" s="13">
        <v>4.1912317736254485E-2</v>
      </c>
      <c r="K163" s="13">
        <v>0</v>
      </c>
    </row>
    <row r="164" spans="1:11">
      <c r="A164" s="8">
        <v>6</v>
      </c>
      <c r="B164" s="19">
        <v>38094</v>
      </c>
      <c r="C164" s="12">
        <v>2004</v>
      </c>
      <c r="D164" s="11" t="s">
        <v>21</v>
      </c>
      <c r="E164" s="12">
        <v>4</v>
      </c>
      <c r="F164" s="13">
        <v>4.3901000000000003</v>
      </c>
      <c r="G164" s="13">
        <v>4.832454614319473E-2</v>
      </c>
      <c r="H164" s="13">
        <v>0</v>
      </c>
      <c r="I164" s="13">
        <v>1.9586465823040173</v>
      </c>
      <c r="J164" s="13">
        <v>5.3123293560136009E-2</v>
      </c>
      <c r="K164" s="13">
        <v>0</v>
      </c>
    </row>
    <row r="165" spans="1:11">
      <c r="A165" s="8">
        <v>8</v>
      </c>
      <c r="B165" s="19">
        <v>38093</v>
      </c>
      <c r="C165" s="12">
        <v>2004</v>
      </c>
      <c r="D165" s="11" t="s">
        <v>21</v>
      </c>
      <c r="E165" s="12">
        <v>4</v>
      </c>
      <c r="F165" s="13">
        <v>1.3182</v>
      </c>
      <c r="G165" s="13">
        <v>4.1365764345315005E-2</v>
      </c>
      <c r="H165" s="13">
        <v>0</v>
      </c>
      <c r="I165" s="13">
        <v>0.27923797003972478</v>
      </c>
      <c r="J165" s="13">
        <v>5.7468091585649445E-2</v>
      </c>
      <c r="K165" s="13">
        <v>0</v>
      </c>
    </row>
    <row r="166" spans="1:11">
      <c r="A166" s="8">
        <v>15</v>
      </c>
      <c r="B166" s="19">
        <v>38094</v>
      </c>
      <c r="C166" s="12">
        <v>2004</v>
      </c>
      <c r="D166" s="11" t="s">
        <v>21</v>
      </c>
      <c r="E166" s="12">
        <v>4</v>
      </c>
      <c r="F166" s="13">
        <v>3.8311000000000002</v>
      </c>
      <c r="G166" s="13">
        <v>5.0748897450360833E-2</v>
      </c>
      <c r="H166" s="13">
        <v>2.8756492701264073E-2</v>
      </c>
      <c r="I166" s="13">
        <v>1.7613477776316779</v>
      </c>
      <c r="J166" s="13">
        <v>4.5963847463636201E-2</v>
      </c>
      <c r="K166" s="13">
        <v>0</v>
      </c>
    </row>
    <row r="167" spans="1:11">
      <c r="A167" s="8">
        <v>6</v>
      </c>
      <c r="B167" s="19">
        <v>38118</v>
      </c>
      <c r="C167" s="12">
        <v>2004</v>
      </c>
      <c r="D167" s="11" t="s">
        <v>22</v>
      </c>
      <c r="E167" s="12">
        <v>5</v>
      </c>
      <c r="F167" s="13">
        <v>2.6059999999999999</v>
      </c>
      <c r="G167" s="13">
        <v>6.2185671607849137E-2</v>
      </c>
      <c r="H167" s="13">
        <v>0.23505349734292985</v>
      </c>
      <c r="I167" s="13">
        <v>0.86239617269574753</v>
      </c>
      <c r="J167" s="13">
        <v>0.1896166146680629</v>
      </c>
      <c r="K167" s="13">
        <v>0</v>
      </c>
    </row>
    <row r="168" spans="1:11">
      <c r="A168" s="8">
        <v>8</v>
      </c>
      <c r="B168" s="19">
        <v>38117</v>
      </c>
      <c r="C168" s="12">
        <v>2004</v>
      </c>
      <c r="D168" s="11" t="s">
        <v>22</v>
      </c>
      <c r="E168" s="12">
        <v>5</v>
      </c>
      <c r="F168" s="13">
        <v>2.4889000000000001</v>
      </c>
      <c r="G168" s="13">
        <v>2.87435873084817E-2</v>
      </c>
      <c r="H168" s="13">
        <v>2.1339810146295574E-2</v>
      </c>
      <c r="I168" s="13">
        <v>0.4829875467579165</v>
      </c>
      <c r="J168" s="13">
        <v>3.8775222027608788E-2</v>
      </c>
      <c r="K168" s="13">
        <v>0</v>
      </c>
    </row>
    <row r="169" spans="1:11">
      <c r="A169" s="8">
        <v>15</v>
      </c>
      <c r="B169" s="19">
        <v>38118</v>
      </c>
      <c r="C169" s="12">
        <v>2004</v>
      </c>
      <c r="D169" s="11" t="s">
        <v>22</v>
      </c>
      <c r="E169" s="12">
        <v>5</v>
      </c>
      <c r="F169" s="13">
        <v>2.1602999999999999</v>
      </c>
      <c r="G169" s="13">
        <v>3.6061987258029594E-2</v>
      </c>
      <c r="H169" s="13">
        <v>0.22328287278196732</v>
      </c>
      <c r="I169" s="13">
        <v>0.58792327403574829</v>
      </c>
      <c r="J169" s="13">
        <v>0.13654257517253945</v>
      </c>
      <c r="K169" s="13">
        <v>0</v>
      </c>
    </row>
    <row r="170" spans="1:11">
      <c r="A170" s="8">
        <v>6</v>
      </c>
      <c r="B170" s="19">
        <v>38153</v>
      </c>
      <c r="C170" s="12">
        <v>2004</v>
      </c>
      <c r="D170" s="11" t="s">
        <v>23</v>
      </c>
      <c r="E170" s="12">
        <v>6</v>
      </c>
      <c r="F170" s="13">
        <v>13.8576</v>
      </c>
      <c r="G170" s="13">
        <v>8.9307986542880857E-2</v>
      </c>
      <c r="H170" s="13">
        <v>1.7129619032390335</v>
      </c>
      <c r="I170" s="13">
        <v>4.0922159605172705</v>
      </c>
      <c r="J170" s="13">
        <v>0.77399943751929978</v>
      </c>
      <c r="K170" s="13">
        <v>0</v>
      </c>
    </row>
    <row r="171" spans="1:11">
      <c r="A171" s="8">
        <v>8</v>
      </c>
      <c r="B171" s="19">
        <v>38160</v>
      </c>
      <c r="C171" s="12">
        <v>2004</v>
      </c>
      <c r="D171" s="11" t="s">
        <v>23</v>
      </c>
      <c r="E171" s="12">
        <v>6</v>
      </c>
      <c r="F171" s="13">
        <v>2.9472</v>
      </c>
      <c r="G171" s="13">
        <v>2.789325430530918E-2</v>
      </c>
      <c r="H171" s="13">
        <v>0</v>
      </c>
      <c r="I171" s="13">
        <v>0.9235934696548237</v>
      </c>
      <c r="J171" s="13">
        <v>2.1540694739961057E-2</v>
      </c>
      <c r="K171" s="13">
        <v>0</v>
      </c>
    </row>
    <row r="172" spans="1:11">
      <c r="A172" s="8">
        <v>15</v>
      </c>
      <c r="B172" s="19">
        <v>38155</v>
      </c>
      <c r="C172" s="12">
        <v>2004</v>
      </c>
      <c r="D172" s="11" t="s">
        <v>23</v>
      </c>
      <c r="E172" s="12">
        <v>6</v>
      </c>
      <c r="F172" s="13">
        <v>4.3376000000000001</v>
      </c>
      <c r="G172" s="13">
        <v>3.2981587872184782E-2</v>
      </c>
      <c r="H172" s="13">
        <v>0.11523522764287641</v>
      </c>
      <c r="I172" s="13">
        <v>0.62055947543889101</v>
      </c>
      <c r="J172" s="13">
        <v>0.41455044398767116</v>
      </c>
      <c r="K172" s="13">
        <v>0</v>
      </c>
    </row>
    <row r="173" spans="1:11">
      <c r="A173" s="8">
        <v>6</v>
      </c>
      <c r="B173" s="19">
        <v>38181</v>
      </c>
      <c r="C173" s="12">
        <v>2004</v>
      </c>
      <c r="D173" s="15" t="s">
        <v>24</v>
      </c>
      <c r="E173" s="12">
        <v>7</v>
      </c>
      <c r="F173" s="13">
        <v>11.0219</v>
      </c>
      <c r="G173" s="13">
        <v>9.5268548212266393E-2</v>
      </c>
      <c r="H173" s="13">
        <v>0</v>
      </c>
      <c r="I173" s="13">
        <v>0.93916996182169721</v>
      </c>
      <c r="J173" s="13">
        <v>1.383534482477788</v>
      </c>
      <c r="K173" s="13">
        <v>0</v>
      </c>
    </row>
    <row r="174" spans="1:11">
      <c r="A174" s="8">
        <v>8</v>
      </c>
      <c r="B174" s="19">
        <v>38182</v>
      </c>
      <c r="C174" s="12">
        <v>2004</v>
      </c>
      <c r="D174" s="15" t="s">
        <v>24</v>
      </c>
      <c r="E174" s="12">
        <v>7</v>
      </c>
      <c r="F174" s="13">
        <v>2.2934000000000001</v>
      </c>
      <c r="G174" s="13">
        <v>3.7516348116585413E-2</v>
      </c>
      <c r="H174" s="13">
        <v>0</v>
      </c>
      <c r="I174" s="13">
        <v>0.5209663676306957</v>
      </c>
      <c r="J174" s="13">
        <v>2.4472552703339871E-2</v>
      </c>
      <c r="K174" s="13">
        <v>0</v>
      </c>
    </row>
    <row r="175" spans="1:11">
      <c r="A175" s="8">
        <v>15</v>
      </c>
      <c r="B175" s="19">
        <v>38182</v>
      </c>
      <c r="C175" s="12">
        <v>2004</v>
      </c>
      <c r="D175" s="15" t="s">
        <v>24</v>
      </c>
      <c r="E175" s="12">
        <v>7</v>
      </c>
      <c r="F175" s="13">
        <v>4.0551000000000004</v>
      </c>
      <c r="G175" s="13">
        <v>9.1966473972393936E-2</v>
      </c>
      <c r="H175" s="13">
        <v>0</v>
      </c>
      <c r="I175" s="13">
        <v>0.23188662547043823</v>
      </c>
      <c r="J175" s="13">
        <v>0.59854148525957673</v>
      </c>
      <c r="K175" s="13">
        <v>0</v>
      </c>
    </row>
    <row r="176" spans="1:11">
      <c r="A176" s="8">
        <v>6</v>
      </c>
      <c r="B176" s="19">
        <v>38217</v>
      </c>
      <c r="C176" s="12">
        <v>2004</v>
      </c>
      <c r="D176" s="15" t="s">
        <v>25</v>
      </c>
      <c r="E176" s="12">
        <v>8</v>
      </c>
      <c r="F176" s="13">
        <v>15.412599999999999</v>
      </c>
      <c r="G176" s="13"/>
      <c r="H176" s="13"/>
      <c r="I176" s="13"/>
      <c r="J176" s="13"/>
      <c r="K176" s="13"/>
    </row>
    <row r="177" spans="1:18">
      <c r="A177" s="8">
        <v>8</v>
      </c>
      <c r="B177" s="19">
        <v>38218</v>
      </c>
      <c r="C177" s="12">
        <v>2004</v>
      </c>
      <c r="D177" s="15" t="s">
        <v>25</v>
      </c>
      <c r="E177" s="12">
        <v>8</v>
      </c>
      <c r="F177" s="13">
        <v>3.7090000000000001</v>
      </c>
      <c r="G177" s="13"/>
      <c r="H177" s="13"/>
      <c r="I177" s="13"/>
      <c r="J177" s="13"/>
      <c r="K177" s="13"/>
    </row>
    <row r="178" spans="1:18">
      <c r="A178" s="8">
        <v>15</v>
      </c>
      <c r="B178" s="19">
        <v>38218</v>
      </c>
      <c r="C178" s="12">
        <v>2004</v>
      </c>
      <c r="D178" s="15" t="s">
        <v>25</v>
      </c>
      <c r="E178" s="12">
        <v>8</v>
      </c>
      <c r="F178" s="13">
        <v>3.0560999999999998</v>
      </c>
      <c r="G178" s="13"/>
      <c r="H178" s="13"/>
      <c r="I178" s="13"/>
      <c r="J178" s="13"/>
      <c r="K178" s="13"/>
    </row>
    <row r="179" spans="1:18">
      <c r="A179" s="8">
        <v>6</v>
      </c>
      <c r="B179" s="19">
        <v>38244</v>
      </c>
      <c r="C179" s="12">
        <v>2004</v>
      </c>
      <c r="D179" s="15" t="s">
        <v>26</v>
      </c>
      <c r="E179" s="12">
        <v>9</v>
      </c>
      <c r="F179" s="13">
        <v>9.4573999999999998</v>
      </c>
      <c r="G179" s="13">
        <v>3.7531441586562596E-2</v>
      </c>
      <c r="H179" s="13">
        <v>0</v>
      </c>
      <c r="I179" s="13">
        <v>2.6142454733109468</v>
      </c>
      <c r="J179" s="13">
        <v>0.52264106620423934</v>
      </c>
      <c r="K179" s="13">
        <v>0</v>
      </c>
    </row>
    <row r="180" spans="1:18">
      <c r="A180" s="8">
        <v>8</v>
      </c>
      <c r="B180" s="19">
        <v>38246</v>
      </c>
      <c r="C180" s="12">
        <v>2004</v>
      </c>
      <c r="D180" s="15" t="s">
        <v>26</v>
      </c>
      <c r="E180" s="12">
        <v>9</v>
      </c>
      <c r="F180" s="13">
        <v>1.6736</v>
      </c>
      <c r="G180" s="13">
        <v>0</v>
      </c>
      <c r="H180" s="13">
        <v>0</v>
      </c>
      <c r="I180" s="13">
        <v>0.3830990435278705</v>
      </c>
      <c r="J180" s="13">
        <v>3.6530730398316315E-2</v>
      </c>
      <c r="K180" s="13">
        <v>0</v>
      </c>
    </row>
    <row r="181" spans="1:18">
      <c r="A181" s="8">
        <v>15</v>
      </c>
      <c r="B181" s="19">
        <v>38246</v>
      </c>
      <c r="C181" s="12">
        <v>2004</v>
      </c>
      <c r="D181" s="15" t="s">
        <v>26</v>
      </c>
      <c r="E181" s="12">
        <v>9</v>
      </c>
      <c r="F181" s="13">
        <v>2.9839000000000002</v>
      </c>
      <c r="G181" s="13">
        <v>5.7558629914860229E-2</v>
      </c>
      <c r="H181" s="13">
        <v>0</v>
      </c>
      <c r="I181" s="13">
        <v>0.83321118792634608</v>
      </c>
      <c r="J181" s="13">
        <v>0.20182827734025394</v>
      </c>
      <c r="K181" s="13">
        <v>0</v>
      </c>
    </row>
    <row r="182" spans="1:18">
      <c r="A182" s="8">
        <v>6</v>
      </c>
      <c r="B182" s="19">
        <v>38273</v>
      </c>
      <c r="C182" s="12">
        <v>2004</v>
      </c>
      <c r="D182" s="15" t="s">
        <v>14</v>
      </c>
      <c r="E182" s="12">
        <v>10</v>
      </c>
      <c r="F182" s="25">
        <v>8.5496300000000005</v>
      </c>
      <c r="G182" s="15">
        <v>4.5937291099812594E-2</v>
      </c>
      <c r="H182" s="15">
        <v>0</v>
      </c>
      <c r="I182" s="15">
        <v>2.7082167142909488</v>
      </c>
      <c r="J182" s="15">
        <v>0.30373179492856295</v>
      </c>
      <c r="K182" s="15">
        <v>0</v>
      </c>
    </row>
    <row r="183" spans="1:18">
      <c r="A183" s="8">
        <v>8</v>
      </c>
      <c r="B183" s="19">
        <v>38274</v>
      </c>
      <c r="C183" s="12">
        <v>2004</v>
      </c>
      <c r="D183" s="15" t="s">
        <v>14</v>
      </c>
      <c r="E183" s="12">
        <v>10</v>
      </c>
      <c r="F183" s="25">
        <v>1.54593</v>
      </c>
      <c r="G183" s="15">
        <v>0</v>
      </c>
      <c r="H183" s="15">
        <v>0</v>
      </c>
      <c r="I183" s="15">
        <v>0.16184923556408656</v>
      </c>
      <c r="J183" s="15">
        <v>7.0958206206480712E-3</v>
      </c>
      <c r="K183" s="15">
        <v>0</v>
      </c>
    </row>
    <row r="184" spans="1:18">
      <c r="A184" s="8">
        <v>15</v>
      </c>
      <c r="B184" s="19">
        <v>38273</v>
      </c>
      <c r="C184" s="12">
        <v>2004</v>
      </c>
      <c r="D184" s="15" t="s">
        <v>14</v>
      </c>
      <c r="E184" s="12">
        <v>10</v>
      </c>
      <c r="F184" s="25">
        <v>1.51335</v>
      </c>
      <c r="G184" s="15">
        <v>0</v>
      </c>
      <c r="H184" s="15">
        <v>0</v>
      </c>
      <c r="I184" s="15">
        <v>0.28434658272719388</v>
      </c>
      <c r="J184" s="15">
        <v>4.5453761436060863E-2</v>
      </c>
      <c r="K184" s="15">
        <v>0</v>
      </c>
    </row>
    <row r="185" spans="1:18">
      <c r="A185" s="8">
        <v>6</v>
      </c>
      <c r="B185" s="19">
        <v>38307</v>
      </c>
      <c r="C185" s="12">
        <v>2004</v>
      </c>
      <c r="D185" s="15" t="s">
        <v>16</v>
      </c>
      <c r="E185" s="12">
        <v>11</v>
      </c>
      <c r="F185" s="25">
        <v>1.90208</v>
      </c>
      <c r="G185" s="15">
        <v>2.2233765101530027E-2</v>
      </c>
      <c r="H185" s="15">
        <v>0</v>
      </c>
      <c r="I185" s="15">
        <v>0.48830136426248655</v>
      </c>
      <c r="J185" s="15">
        <v>2.5623494989009298E-2</v>
      </c>
      <c r="K185" s="15">
        <v>0</v>
      </c>
    </row>
    <row r="186" spans="1:18">
      <c r="A186" s="8">
        <v>8</v>
      </c>
      <c r="B186" s="19">
        <v>38309</v>
      </c>
      <c r="C186" s="12">
        <v>2004</v>
      </c>
      <c r="D186" s="15" t="s">
        <v>16</v>
      </c>
      <c r="E186" s="12">
        <v>11</v>
      </c>
      <c r="F186" s="25">
        <v>1.50061</v>
      </c>
      <c r="G186" s="15">
        <v>0.11474327438897751</v>
      </c>
      <c r="H186" s="15">
        <v>0</v>
      </c>
      <c r="I186" s="15">
        <v>0.17764507836701413</v>
      </c>
      <c r="J186" s="15">
        <v>1.4022026203371301E-2</v>
      </c>
      <c r="K186" s="15">
        <v>0</v>
      </c>
    </row>
    <row r="187" spans="1:18">
      <c r="A187" s="8">
        <v>15</v>
      </c>
      <c r="B187" s="19">
        <v>38307</v>
      </c>
      <c r="C187" s="12">
        <v>2004</v>
      </c>
      <c r="D187" s="15" t="s">
        <v>16</v>
      </c>
      <c r="E187" s="12">
        <v>11</v>
      </c>
      <c r="F187" s="25">
        <v>1.69478</v>
      </c>
      <c r="G187" s="15">
        <v>0</v>
      </c>
      <c r="H187" s="15">
        <v>0</v>
      </c>
      <c r="I187" s="15">
        <v>0.28076262196027868</v>
      </c>
      <c r="J187" s="15">
        <v>1.6773497024880943E-2</v>
      </c>
      <c r="K187" s="15">
        <v>0</v>
      </c>
    </row>
    <row r="188" spans="1:18">
      <c r="A188" s="8">
        <v>6</v>
      </c>
      <c r="B188" s="19">
        <v>38337</v>
      </c>
      <c r="C188" s="12">
        <v>2004</v>
      </c>
      <c r="D188" s="15" t="s">
        <v>17</v>
      </c>
      <c r="E188" s="12">
        <v>12</v>
      </c>
      <c r="F188" s="25">
        <v>3.1585000000000001</v>
      </c>
      <c r="G188" s="15">
        <v>0.12992584351676961</v>
      </c>
      <c r="H188" s="15">
        <v>0</v>
      </c>
      <c r="I188" s="15">
        <v>0.64054476115280679</v>
      </c>
      <c r="J188" s="15">
        <v>4.568020741387558E-2</v>
      </c>
      <c r="K188" s="15">
        <v>0</v>
      </c>
    </row>
    <row r="189" spans="1:18">
      <c r="A189" s="8">
        <v>8</v>
      </c>
      <c r="B189" s="19">
        <v>38337</v>
      </c>
      <c r="C189" s="12">
        <v>2004</v>
      </c>
      <c r="D189" s="15" t="s">
        <v>17</v>
      </c>
      <c r="E189" s="12">
        <v>12</v>
      </c>
      <c r="F189" s="25">
        <v>2.3885800000000001</v>
      </c>
      <c r="G189" s="15">
        <v>4.2377036510456427E-2</v>
      </c>
      <c r="H189" s="15">
        <v>0</v>
      </c>
      <c r="I189" s="15">
        <v>0.58057764149196611</v>
      </c>
      <c r="J189" s="15">
        <v>7.5598375387956494E-3</v>
      </c>
      <c r="K189" s="15">
        <v>0</v>
      </c>
    </row>
    <row r="190" spans="1:18">
      <c r="A190" s="8">
        <v>15</v>
      </c>
      <c r="B190" s="19">
        <v>38337</v>
      </c>
      <c r="C190" s="12">
        <v>2004</v>
      </c>
      <c r="D190" s="15" t="s">
        <v>17</v>
      </c>
      <c r="E190" s="12">
        <v>12</v>
      </c>
      <c r="F190" s="25">
        <v>2.2125400000000002</v>
      </c>
      <c r="G190" s="15">
        <v>0.11281433255123044</v>
      </c>
      <c r="H190" s="15">
        <v>0</v>
      </c>
      <c r="I190" s="15">
        <v>0.35409929407336244</v>
      </c>
      <c r="J190" s="15">
        <v>2.8245626315026692E-2</v>
      </c>
      <c r="K190" s="15">
        <v>0</v>
      </c>
    </row>
    <row r="191" spans="1:18" ht="25.5">
      <c r="A191" s="41">
        <v>6</v>
      </c>
      <c r="B191" s="57">
        <v>38363</v>
      </c>
      <c r="C191" s="45">
        <v>2005</v>
      </c>
      <c r="D191" s="50" t="s">
        <v>18</v>
      </c>
      <c r="E191" s="45">
        <v>1</v>
      </c>
      <c r="F191" s="58">
        <v>3.3628</v>
      </c>
      <c r="G191" s="50">
        <v>0.1277586888926954</v>
      </c>
      <c r="H191" s="50">
        <v>2.6195761501576743E-2</v>
      </c>
      <c r="I191" s="50">
        <v>0.8757627511111824</v>
      </c>
      <c r="J191" s="50">
        <v>1.7405030816151738E-2</v>
      </c>
      <c r="K191" s="50">
        <v>0</v>
      </c>
      <c r="L191" s="39" t="s">
        <v>42</v>
      </c>
      <c r="M191" s="6" t="s">
        <v>7</v>
      </c>
      <c r="N191" s="6" t="s">
        <v>8</v>
      </c>
      <c r="O191" s="6" t="s">
        <v>9</v>
      </c>
      <c r="P191" s="6" t="s">
        <v>10</v>
      </c>
      <c r="Q191" s="6" t="s">
        <v>11</v>
      </c>
      <c r="R191" s="6" t="s">
        <v>12</v>
      </c>
    </row>
    <row r="192" spans="1:18">
      <c r="A192" s="8">
        <v>8</v>
      </c>
      <c r="B192" s="22">
        <v>38364</v>
      </c>
      <c r="C192" s="12">
        <v>2005</v>
      </c>
      <c r="D192" s="15" t="s">
        <v>18</v>
      </c>
      <c r="E192" s="12">
        <v>1</v>
      </c>
      <c r="F192" s="25">
        <v>1.08186</v>
      </c>
      <c r="G192" s="15">
        <v>2.1592743897644338E-2</v>
      </c>
      <c r="H192" s="15">
        <v>0</v>
      </c>
      <c r="I192" s="15">
        <v>0.26343249791027068</v>
      </c>
      <c r="J192" s="15">
        <v>4.7527175271589225E-3</v>
      </c>
      <c r="K192" s="15">
        <v>0</v>
      </c>
      <c r="L192" s="39" t="s">
        <v>50</v>
      </c>
      <c r="M192" s="40">
        <f>AVERAGE(F191:F226)</f>
        <v>5.4179899999999996</v>
      </c>
      <c r="N192" s="40">
        <f t="shared" ref="N192:O192" si="5">AVERAGE(G191:G226)</f>
        <v>7.700465345698311E-2</v>
      </c>
      <c r="O192" s="40">
        <f t="shared" si="5"/>
        <v>4.4407343633343345E-2</v>
      </c>
      <c r="P192" s="40">
        <f>AVERAGE(I191:I226)</f>
        <v>1.4544174557421534</v>
      </c>
      <c r="Q192" s="40">
        <f>AVERAGE(J191:J226)</f>
        <v>0.24699870877391097</v>
      </c>
      <c r="R192" s="40">
        <f>AVERAGE(K191:K226)</f>
        <v>8.268232908216276E-4</v>
      </c>
    </row>
    <row r="193" spans="1:11">
      <c r="A193" s="8">
        <v>15</v>
      </c>
      <c r="B193" s="22">
        <v>38363</v>
      </c>
      <c r="C193" s="12">
        <v>2005</v>
      </c>
      <c r="D193" s="15" t="s">
        <v>18</v>
      </c>
      <c r="E193" s="12">
        <v>1</v>
      </c>
      <c r="F193" s="25">
        <v>3.7126399999999999</v>
      </c>
      <c r="G193" s="15">
        <v>0.15962374229067555</v>
      </c>
      <c r="H193" s="15">
        <v>3.2853708339525466E-2</v>
      </c>
      <c r="I193" s="15">
        <v>0.94453408512830606</v>
      </c>
      <c r="J193" s="15">
        <v>2.0506782537323152E-2</v>
      </c>
      <c r="K193" s="15">
        <v>0</v>
      </c>
    </row>
    <row r="194" spans="1:11">
      <c r="A194" s="8">
        <v>6</v>
      </c>
      <c r="B194" s="22">
        <v>38399</v>
      </c>
      <c r="C194" s="12">
        <v>2005</v>
      </c>
      <c r="D194" s="11" t="s">
        <v>19</v>
      </c>
      <c r="E194" s="12">
        <v>2</v>
      </c>
      <c r="F194" s="25">
        <v>3.0975199999999998</v>
      </c>
      <c r="G194" s="15">
        <v>0.15424366842698936</v>
      </c>
      <c r="H194" s="15">
        <v>0</v>
      </c>
      <c r="I194" s="15">
        <v>0.69531465448971064</v>
      </c>
      <c r="J194" s="15">
        <v>4.3515744209258751E-2</v>
      </c>
      <c r="K194" s="15">
        <v>0</v>
      </c>
    </row>
    <row r="195" spans="1:11">
      <c r="A195" s="8">
        <v>8</v>
      </c>
      <c r="B195" s="22">
        <v>38398</v>
      </c>
      <c r="C195" s="12">
        <v>2005</v>
      </c>
      <c r="D195" s="11" t="s">
        <v>19</v>
      </c>
      <c r="E195" s="12">
        <v>2</v>
      </c>
      <c r="F195" s="25">
        <v>3.34823</v>
      </c>
      <c r="G195" s="15">
        <v>5.1946531720490678E-2</v>
      </c>
      <c r="H195" s="15">
        <v>0</v>
      </c>
      <c r="I195" s="15">
        <v>0.8570286059322868</v>
      </c>
      <c r="J195" s="15">
        <v>2.8639184406994537E-2</v>
      </c>
      <c r="K195" s="15">
        <v>0</v>
      </c>
    </row>
    <row r="196" spans="1:11">
      <c r="A196" s="8">
        <v>15</v>
      </c>
      <c r="B196" s="22">
        <v>38398</v>
      </c>
      <c r="C196" s="12">
        <v>2005</v>
      </c>
      <c r="D196" s="11" t="s">
        <v>19</v>
      </c>
      <c r="E196" s="12">
        <v>2</v>
      </c>
      <c r="F196" s="25">
        <v>2.5410400000000002</v>
      </c>
      <c r="G196" s="15">
        <v>0.12864940373908346</v>
      </c>
      <c r="H196" s="15">
        <v>0</v>
      </c>
      <c r="I196" s="15">
        <v>0.55073771323992704</v>
      </c>
      <c r="J196" s="15">
        <v>4.4782444488295721E-2</v>
      </c>
      <c r="K196" s="15">
        <v>0</v>
      </c>
    </row>
    <row r="197" spans="1:11">
      <c r="A197" s="8">
        <v>6</v>
      </c>
      <c r="B197" s="22">
        <v>38428</v>
      </c>
      <c r="C197" s="12">
        <v>2005</v>
      </c>
      <c r="D197" s="11" t="s">
        <v>20</v>
      </c>
      <c r="E197" s="12">
        <v>3</v>
      </c>
      <c r="F197" s="25">
        <v>1.57328</v>
      </c>
      <c r="G197" s="15">
        <v>9.8319189714546479E-2</v>
      </c>
      <c r="H197" s="15">
        <v>0</v>
      </c>
      <c r="I197" s="15">
        <v>0.3432031160447338</v>
      </c>
      <c r="J197" s="15">
        <v>1.0755055531601863E-2</v>
      </c>
      <c r="K197" s="15">
        <v>0</v>
      </c>
    </row>
    <row r="198" spans="1:11">
      <c r="A198" s="8">
        <v>8</v>
      </c>
      <c r="B198" s="22">
        <v>38427</v>
      </c>
      <c r="C198" s="12">
        <v>2005</v>
      </c>
      <c r="D198" s="11" t="s">
        <v>20</v>
      </c>
      <c r="E198" s="12">
        <v>3</v>
      </c>
      <c r="F198" s="25">
        <v>1.8873200000000001</v>
      </c>
      <c r="G198" s="15">
        <v>0.18477726718185938</v>
      </c>
      <c r="H198" s="15">
        <v>0</v>
      </c>
      <c r="I198" s="15">
        <v>0.40979858708316558</v>
      </c>
      <c r="J198" s="15">
        <v>1.0210272070147786E-2</v>
      </c>
      <c r="K198" s="15">
        <v>0</v>
      </c>
    </row>
    <row r="199" spans="1:11">
      <c r="A199" s="8">
        <v>15</v>
      </c>
      <c r="B199" s="22">
        <v>38427</v>
      </c>
      <c r="C199" s="12">
        <v>2005</v>
      </c>
      <c r="D199" s="11" t="s">
        <v>20</v>
      </c>
      <c r="E199" s="12">
        <v>3</v>
      </c>
      <c r="F199" s="25">
        <v>1.9217599999999999</v>
      </c>
      <c r="G199" s="15">
        <v>8.1930459479328505E-2</v>
      </c>
      <c r="H199" s="15">
        <v>0</v>
      </c>
      <c r="I199" s="15">
        <v>0.41932724824685258</v>
      </c>
      <c r="J199" s="15">
        <v>1.580162839232005E-2</v>
      </c>
      <c r="K199" s="15">
        <v>0</v>
      </c>
    </row>
    <row r="200" spans="1:11">
      <c r="A200" s="8">
        <v>6</v>
      </c>
      <c r="B200" s="22">
        <v>38469</v>
      </c>
      <c r="C200" s="12">
        <v>2005</v>
      </c>
      <c r="D200" s="11" t="s">
        <v>21</v>
      </c>
      <c r="E200" s="12">
        <v>4</v>
      </c>
      <c r="F200" s="25">
        <v>4.1978900000000001</v>
      </c>
      <c r="G200" s="15">
        <v>1.9205493050153719E-2</v>
      </c>
      <c r="H200" s="15">
        <v>7.0529201873961903E-2</v>
      </c>
      <c r="I200" s="15">
        <v>1.9776967917084602</v>
      </c>
      <c r="J200" s="15">
        <v>4.5410394122357048E-2</v>
      </c>
      <c r="K200" s="15">
        <v>0</v>
      </c>
    </row>
    <row r="201" spans="1:11">
      <c r="A201" s="8">
        <v>8</v>
      </c>
      <c r="B201" s="22">
        <v>38470</v>
      </c>
      <c r="C201" s="12">
        <v>2005</v>
      </c>
      <c r="D201" s="11" t="s">
        <v>21</v>
      </c>
      <c r="E201" s="12">
        <v>4</v>
      </c>
      <c r="F201" s="25">
        <v>1.4016</v>
      </c>
      <c r="G201" s="15">
        <v>3.868425291059871E-2</v>
      </c>
      <c r="H201" s="15">
        <v>0</v>
      </c>
      <c r="I201" s="15">
        <v>0.31496672450858831</v>
      </c>
      <c r="J201" s="15">
        <v>1.3948572982867334E-2</v>
      </c>
      <c r="K201" s="15">
        <v>0</v>
      </c>
    </row>
    <row r="202" spans="1:11">
      <c r="A202" s="8">
        <v>15</v>
      </c>
      <c r="B202" s="22">
        <v>38469</v>
      </c>
      <c r="C202" s="12">
        <v>2005</v>
      </c>
      <c r="D202" s="11" t="s">
        <v>21</v>
      </c>
      <c r="E202" s="12">
        <v>4</v>
      </c>
      <c r="F202" s="25">
        <v>3.1296499999999998</v>
      </c>
      <c r="G202" s="15">
        <v>1.6841838225620163E-2</v>
      </c>
      <c r="H202" s="15">
        <v>8.146888766439575E-2</v>
      </c>
      <c r="I202" s="15">
        <v>1.5318957626163592</v>
      </c>
      <c r="J202" s="15">
        <v>2.8113394128505238E-2</v>
      </c>
      <c r="K202" s="15">
        <v>0</v>
      </c>
    </row>
    <row r="203" spans="1:11">
      <c r="A203" s="8">
        <v>6</v>
      </c>
      <c r="B203" s="22">
        <v>38490</v>
      </c>
      <c r="C203" s="12">
        <v>2005</v>
      </c>
      <c r="D203" s="11" t="s">
        <v>22</v>
      </c>
      <c r="E203" s="12">
        <v>5</v>
      </c>
      <c r="F203" s="25">
        <v>6.09511</v>
      </c>
      <c r="G203" s="15">
        <v>1.9733906529526602E-2</v>
      </c>
      <c r="H203" s="15">
        <v>0.91180602260068544</v>
      </c>
      <c r="I203" s="15">
        <v>2.882361694145966</v>
      </c>
      <c r="J203" s="15">
        <v>8.532753418701261E-2</v>
      </c>
      <c r="K203" s="15">
        <v>0</v>
      </c>
    </row>
    <row r="204" spans="1:11">
      <c r="A204" s="8">
        <v>8</v>
      </c>
      <c r="B204" s="22">
        <v>38488</v>
      </c>
      <c r="C204" s="12">
        <v>2005</v>
      </c>
      <c r="D204" s="11" t="s">
        <v>22</v>
      </c>
      <c r="E204" s="12">
        <v>5</v>
      </c>
      <c r="F204" s="25">
        <v>1.2165699999999999</v>
      </c>
      <c r="G204" s="15">
        <v>4.6432587920318652E-2</v>
      </c>
      <c r="H204" s="15">
        <v>0</v>
      </c>
      <c r="I204" s="15">
        <v>0.19561877027022687</v>
      </c>
      <c r="J204" s="15">
        <v>1.6143768416427548E-2</v>
      </c>
      <c r="K204" s="15">
        <v>0</v>
      </c>
    </row>
    <row r="205" spans="1:11">
      <c r="A205" s="8">
        <v>15</v>
      </c>
      <c r="B205" s="22">
        <v>38488</v>
      </c>
      <c r="C205" s="12">
        <v>2005</v>
      </c>
      <c r="D205" s="11" t="s">
        <v>22</v>
      </c>
      <c r="E205" s="12">
        <v>5</v>
      </c>
      <c r="F205" s="25">
        <v>1.8910100000000001</v>
      </c>
      <c r="G205" s="15">
        <v>6.0543147408615688E-2</v>
      </c>
      <c r="H205" s="15">
        <v>0</v>
      </c>
      <c r="I205" s="15">
        <v>0.46106872860805154</v>
      </c>
      <c r="J205" s="15">
        <v>3.602627323653685E-2</v>
      </c>
      <c r="K205" s="15">
        <v>0</v>
      </c>
    </row>
    <row r="206" spans="1:11">
      <c r="A206" s="8">
        <v>6</v>
      </c>
      <c r="B206" s="22">
        <v>38518</v>
      </c>
      <c r="C206" s="12">
        <v>2005</v>
      </c>
      <c r="D206" s="11" t="s">
        <v>23</v>
      </c>
      <c r="E206" s="12">
        <v>6</v>
      </c>
      <c r="F206" s="25">
        <v>8.4142499999999991</v>
      </c>
      <c r="G206" s="15">
        <v>8.8643401633748092E-2</v>
      </c>
      <c r="H206" s="15">
        <v>0.33629356342151895</v>
      </c>
      <c r="I206" s="15">
        <v>1.4741227795496608</v>
      </c>
      <c r="J206" s="15">
        <v>0.14539404281754165</v>
      </c>
      <c r="K206" s="15">
        <v>2.8865638469578601E-2</v>
      </c>
    </row>
    <row r="207" spans="1:11">
      <c r="A207" s="8">
        <v>8</v>
      </c>
      <c r="B207" s="22">
        <v>38525</v>
      </c>
      <c r="C207" s="12">
        <v>2005</v>
      </c>
      <c r="D207" s="11" t="s">
        <v>23</v>
      </c>
      <c r="E207" s="12">
        <v>6</v>
      </c>
      <c r="F207" s="25">
        <v>3.2334000000000001</v>
      </c>
      <c r="G207" s="15">
        <v>3.0799479953354122E-2</v>
      </c>
      <c r="H207" s="15">
        <v>0</v>
      </c>
      <c r="I207" s="15">
        <v>0.81349506007282557</v>
      </c>
      <c r="J207" s="15">
        <v>6.5102534145358687E-2</v>
      </c>
      <c r="K207" s="15">
        <v>0</v>
      </c>
    </row>
    <row r="208" spans="1:11">
      <c r="A208" s="8">
        <v>15</v>
      </c>
      <c r="B208" s="22">
        <v>38525</v>
      </c>
      <c r="C208" s="12">
        <v>2005</v>
      </c>
      <c r="D208" s="11" t="s">
        <v>23</v>
      </c>
      <c r="E208" s="12">
        <v>6</v>
      </c>
      <c r="F208" s="25">
        <v>5.8687399999999998</v>
      </c>
      <c r="G208" s="15">
        <v>5.1106383660899951E-2</v>
      </c>
      <c r="H208" s="15">
        <v>6.0271630523868275E-2</v>
      </c>
      <c r="I208" s="15">
        <v>1.2781770722864736</v>
      </c>
      <c r="J208" s="15">
        <v>0.5701205122957097</v>
      </c>
      <c r="K208" s="15">
        <v>0</v>
      </c>
    </row>
    <row r="209" spans="1:11">
      <c r="A209" s="8">
        <v>6</v>
      </c>
      <c r="B209" s="22">
        <v>38547</v>
      </c>
      <c r="C209" s="12">
        <v>2005</v>
      </c>
      <c r="D209" s="15" t="s">
        <v>24</v>
      </c>
      <c r="E209" s="12">
        <v>7</v>
      </c>
      <c r="F209" s="25">
        <v>9.1883400000000002</v>
      </c>
      <c r="G209" s="15">
        <v>0</v>
      </c>
      <c r="H209" s="15">
        <v>2.0745594874828119E-2</v>
      </c>
      <c r="I209" s="15">
        <v>1.5103255876139645</v>
      </c>
      <c r="J209" s="15">
        <v>1.1952094956802013</v>
      </c>
      <c r="K209" s="15">
        <v>0</v>
      </c>
    </row>
    <row r="210" spans="1:11">
      <c r="A210" s="8">
        <v>8</v>
      </c>
      <c r="B210" s="22">
        <v>38546</v>
      </c>
      <c r="C210" s="12">
        <v>2005</v>
      </c>
      <c r="D210" s="15" t="s">
        <v>24</v>
      </c>
      <c r="E210" s="12">
        <v>7</v>
      </c>
      <c r="F210" s="25">
        <v>6.8234500000000002</v>
      </c>
      <c r="G210" s="15">
        <v>0.22398926748276479</v>
      </c>
      <c r="H210" s="15">
        <v>0</v>
      </c>
      <c r="I210" s="15">
        <v>1.3478209380882993</v>
      </c>
      <c r="J210" s="15">
        <v>8.3841461891660918E-2</v>
      </c>
      <c r="K210" s="15">
        <v>0</v>
      </c>
    </row>
    <row r="211" spans="1:11">
      <c r="A211" s="8">
        <v>15</v>
      </c>
      <c r="B211" s="22">
        <v>38546</v>
      </c>
      <c r="C211" s="12">
        <v>2005</v>
      </c>
      <c r="D211" s="15" t="s">
        <v>24</v>
      </c>
      <c r="E211" s="12">
        <v>7</v>
      </c>
      <c r="F211" s="25">
        <v>6.5940000000000003</v>
      </c>
      <c r="G211" s="15">
        <v>8.1678241124154005E-2</v>
      </c>
      <c r="H211" s="15">
        <v>0</v>
      </c>
      <c r="I211" s="15">
        <v>0.86828323754374181</v>
      </c>
      <c r="J211" s="15">
        <v>1.6562899544123075</v>
      </c>
      <c r="K211" s="15">
        <v>0</v>
      </c>
    </row>
    <row r="212" spans="1:11">
      <c r="A212" s="8">
        <v>6</v>
      </c>
      <c r="B212" s="22">
        <v>38587</v>
      </c>
      <c r="C212" s="12">
        <v>2005</v>
      </c>
      <c r="D212" s="15" t="s">
        <v>25</v>
      </c>
      <c r="E212" s="12">
        <v>8</v>
      </c>
      <c r="F212" s="25">
        <v>10.99231</v>
      </c>
      <c r="G212" s="15">
        <v>0.60173292313488025</v>
      </c>
      <c r="H212" s="15">
        <v>0</v>
      </c>
      <c r="I212" s="15">
        <v>1.8401485337826042</v>
      </c>
      <c r="J212" s="15">
        <v>1.4566681935065244</v>
      </c>
      <c r="K212" s="15">
        <v>0</v>
      </c>
    </row>
    <row r="213" spans="1:11">
      <c r="A213" s="8">
        <v>8</v>
      </c>
      <c r="B213" s="22">
        <v>38587</v>
      </c>
      <c r="C213" s="12">
        <v>2005</v>
      </c>
      <c r="D213" s="15" t="s">
        <v>25</v>
      </c>
      <c r="E213" s="12">
        <v>8</v>
      </c>
      <c r="F213" s="25">
        <v>14.17001</v>
      </c>
      <c r="G213" s="15">
        <v>8.0201922087827671E-2</v>
      </c>
      <c r="H213" s="15">
        <v>0</v>
      </c>
      <c r="I213" s="15">
        <v>3.9987197838434696</v>
      </c>
      <c r="J213" s="15">
        <v>0.50005374550592474</v>
      </c>
      <c r="K213" s="15">
        <v>0</v>
      </c>
    </row>
    <row r="214" spans="1:11">
      <c r="A214" s="8">
        <v>15</v>
      </c>
      <c r="B214" s="22">
        <v>38587</v>
      </c>
      <c r="C214" s="12">
        <v>2005</v>
      </c>
      <c r="D214" s="15" t="s">
        <v>25</v>
      </c>
      <c r="E214" s="12">
        <v>8</v>
      </c>
      <c r="F214" s="25">
        <v>6.8003099999999996</v>
      </c>
      <c r="G214" s="15">
        <v>0.1147946506801357</v>
      </c>
      <c r="H214" s="15">
        <v>0</v>
      </c>
      <c r="I214" s="15">
        <v>1.7388751621715719</v>
      </c>
      <c r="J214" s="15">
        <v>0.50856905371325678</v>
      </c>
      <c r="K214" s="15">
        <v>0</v>
      </c>
    </row>
    <row r="215" spans="1:11">
      <c r="A215" s="8">
        <v>6</v>
      </c>
      <c r="B215" s="22">
        <v>38608</v>
      </c>
      <c r="C215" s="12">
        <v>2005</v>
      </c>
      <c r="D215" s="15" t="s">
        <v>26</v>
      </c>
      <c r="E215" s="12">
        <v>9</v>
      </c>
      <c r="F215" s="25">
        <v>6.3655600000000003</v>
      </c>
      <c r="G215" s="15">
        <v>4.2090178730071877E-2</v>
      </c>
      <c r="H215" s="15">
        <v>0</v>
      </c>
      <c r="I215" s="15">
        <v>1.6728158400312214</v>
      </c>
      <c r="J215" s="15">
        <v>0.62658324406109644</v>
      </c>
      <c r="K215" s="15">
        <v>0</v>
      </c>
    </row>
    <row r="216" spans="1:11">
      <c r="A216" s="8">
        <v>8</v>
      </c>
      <c r="B216" s="22">
        <v>38609</v>
      </c>
      <c r="C216" s="12">
        <v>2005</v>
      </c>
      <c r="D216" s="15" t="s">
        <v>26</v>
      </c>
      <c r="E216" s="12">
        <v>9</v>
      </c>
      <c r="F216" s="25">
        <v>21.48677</v>
      </c>
      <c r="G216" s="15">
        <v>9.8819929831887074E-2</v>
      </c>
      <c r="H216" s="15">
        <v>0</v>
      </c>
      <c r="I216" s="15">
        <v>6.490350490553765</v>
      </c>
      <c r="J216" s="15">
        <v>0.30245862444202321</v>
      </c>
      <c r="K216" s="15">
        <v>0</v>
      </c>
    </row>
    <row r="217" spans="1:11">
      <c r="A217" s="8">
        <v>15</v>
      </c>
      <c r="B217" s="22">
        <v>38609</v>
      </c>
      <c r="C217" s="12">
        <v>2005</v>
      </c>
      <c r="D217" s="15" t="s">
        <v>26</v>
      </c>
      <c r="E217" s="12">
        <v>9</v>
      </c>
      <c r="F217" s="25">
        <v>7.8046199999999999</v>
      </c>
      <c r="G217" s="15">
        <v>5.8628224743520488E-2</v>
      </c>
      <c r="H217" s="15">
        <v>0</v>
      </c>
      <c r="I217" s="15">
        <v>1.7586461901358286</v>
      </c>
      <c r="J217" s="15">
        <v>0.84152385633623017</v>
      </c>
      <c r="K217" s="15">
        <v>0</v>
      </c>
    </row>
    <row r="218" spans="1:11">
      <c r="A218" s="8">
        <v>6</v>
      </c>
      <c r="B218" s="22">
        <v>38636</v>
      </c>
      <c r="C218" s="12">
        <v>2005</v>
      </c>
      <c r="D218" s="15" t="s">
        <v>14</v>
      </c>
      <c r="E218" s="12">
        <v>10</v>
      </c>
      <c r="F218" s="59">
        <v>7.0763999999999996</v>
      </c>
      <c r="G218" s="59">
        <v>1E-4</v>
      </c>
      <c r="H218" s="59">
        <v>1E-4</v>
      </c>
      <c r="I218" s="59">
        <v>3.0167000000000002</v>
      </c>
      <c r="J218" s="59">
        <v>8.8300000000000003E-2</v>
      </c>
      <c r="K218" s="59">
        <v>1E-4</v>
      </c>
    </row>
    <row r="219" spans="1:11">
      <c r="A219" s="8">
        <v>8</v>
      </c>
      <c r="B219" s="22">
        <v>38642</v>
      </c>
      <c r="C219" s="12">
        <v>2005</v>
      </c>
      <c r="D219" s="15" t="s">
        <v>14</v>
      </c>
      <c r="E219" s="12">
        <v>10</v>
      </c>
      <c r="F219" s="59">
        <v>6.02</v>
      </c>
      <c r="G219" s="59">
        <v>1E-4</v>
      </c>
      <c r="H219" s="59">
        <v>1E-4</v>
      </c>
      <c r="I219" s="59">
        <v>1.9277</v>
      </c>
      <c r="J219" s="59">
        <v>9.5399999999999999E-2</v>
      </c>
      <c r="K219" s="59">
        <v>1E-4</v>
      </c>
    </row>
    <row r="220" spans="1:11">
      <c r="A220" s="8">
        <v>15</v>
      </c>
      <c r="B220" s="22">
        <v>38637</v>
      </c>
      <c r="C220" s="12">
        <v>2005</v>
      </c>
      <c r="D220" s="15" t="s">
        <v>14</v>
      </c>
      <c r="E220" s="12">
        <v>10</v>
      </c>
      <c r="F220" s="59">
        <v>8.5502000000000002</v>
      </c>
      <c r="G220" s="59">
        <v>1E-4</v>
      </c>
      <c r="H220" s="59">
        <v>1E-4</v>
      </c>
      <c r="I220" s="59">
        <v>3.1316000000000002</v>
      </c>
      <c r="J220" s="59">
        <v>0.223</v>
      </c>
      <c r="K220" s="59">
        <v>1E-4</v>
      </c>
    </row>
    <row r="221" spans="1:11">
      <c r="A221" s="8">
        <v>6</v>
      </c>
      <c r="B221" s="22">
        <v>38671</v>
      </c>
      <c r="C221" s="12">
        <v>2005</v>
      </c>
      <c r="D221" s="15" t="s">
        <v>16</v>
      </c>
      <c r="E221" s="12">
        <v>11</v>
      </c>
      <c r="F221" s="59">
        <v>4.6013000000000002</v>
      </c>
      <c r="G221" s="59">
        <v>1E-4</v>
      </c>
      <c r="H221" s="59">
        <v>4.2099999999999999E-2</v>
      </c>
      <c r="I221" s="59">
        <v>1.3718999999999999</v>
      </c>
      <c r="J221" s="59">
        <v>1.7399999999999999E-2</v>
      </c>
      <c r="K221" s="59">
        <v>1E-4</v>
      </c>
    </row>
    <row r="222" spans="1:11">
      <c r="A222" s="8">
        <v>8</v>
      </c>
      <c r="B222" s="22">
        <v>38670</v>
      </c>
      <c r="C222" s="12">
        <v>2005</v>
      </c>
      <c r="D222" s="15" t="s">
        <v>16</v>
      </c>
      <c r="E222" s="12">
        <v>11</v>
      </c>
      <c r="F222" s="59">
        <v>1.0083</v>
      </c>
      <c r="G222" s="59">
        <v>1E-4</v>
      </c>
      <c r="H222" s="59">
        <v>1E-4</v>
      </c>
      <c r="I222" s="59">
        <v>0.2135</v>
      </c>
      <c r="J222" s="59">
        <v>4.5999999999999999E-3</v>
      </c>
      <c r="K222" s="59">
        <v>1E-4</v>
      </c>
    </row>
    <row r="223" spans="1:11">
      <c r="A223" s="8">
        <v>15</v>
      </c>
      <c r="B223" s="22">
        <v>38670</v>
      </c>
      <c r="C223" s="12">
        <v>2005</v>
      </c>
      <c r="D223" s="15" t="s">
        <v>16</v>
      </c>
      <c r="E223" s="12">
        <v>11</v>
      </c>
      <c r="F223" s="59">
        <v>2.6530999999999998</v>
      </c>
      <c r="G223" s="59">
        <v>1E-4</v>
      </c>
      <c r="H223" s="59">
        <v>1.5699999999999999E-2</v>
      </c>
      <c r="I223" s="59">
        <v>0.73670000000000002</v>
      </c>
      <c r="J223" s="59">
        <v>8.3999999999999995E-3</v>
      </c>
      <c r="K223" s="59">
        <v>1E-4</v>
      </c>
    </row>
    <row r="224" spans="1:11">
      <c r="A224" s="8">
        <v>6</v>
      </c>
      <c r="B224" s="22">
        <v>38707</v>
      </c>
      <c r="C224" s="12">
        <v>2005</v>
      </c>
      <c r="D224" s="15" t="s">
        <v>17</v>
      </c>
      <c r="E224" s="12">
        <v>12</v>
      </c>
      <c r="F224" s="59">
        <v>6.2308000000000003</v>
      </c>
      <c r="G224" s="59">
        <v>3.5999999999999997E-2</v>
      </c>
      <c r="H224" s="59">
        <v>1E-4</v>
      </c>
      <c r="I224" s="59">
        <v>1.5968</v>
      </c>
      <c r="J224" s="59">
        <v>3.5799999999999998E-2</v>
      </c>
      <c r="K224" s="59">
        <v>1E-4</v>
      </c>
    </row>
    <row r="225" spans="1:18">
      <c r="A225" s="8">
        <v>8</v>
      </c>
      <c r="B225" s="22">
        <v>38706</v>
      </c>
      <c r="C225" s="12">
        <v>2005</v>
      </c>
      <c r="D225" s="15" t="s">
        <v>17</v>
      </c>
      <c r="E225" s="12">
        <v>12</v>
      </c>
      <c r="F225" s="59">
        <v>2.7450999999999999</v>
      </c>
      <c r="G225" s="59">
        <v>2.4E-2</v>
      </c>
      <c r="H225" s="59">
        <v>1E-4</v>
      </c>
      <c r="I225" s="59">
        <v>0.68820000000000003</v>
      </c>
      <c r="J225" s="59">
        <v>8.0000000000000002E-3</v>
      </c>
      <c r="K225" s="59">
        <v>1E-4</v>
      </c>
    </row>
    <row r="226" spans="1:18">
      <c r="A226" s="8">
        <v>15</v>
      </c>
      <c r="B226" s="22">
        <v>38706</v>
      </c>
      <c r="C226" s="12">
        <v>2005</v>
      </c>
      <c r="D226" s="15" t="s">
        <v>17</v>
      </c>
      <c r="E226" s="12">
        <v>12</v>
      </c>
      <c r="F226" s="59">
        <v>7.9623999999999997</v>
      </c>
      <c r="G226" s="59">
        <v>2.8799999999999999E-2</v>
      </c>
      <c r="H226" s="59">
        <v>1E-4</v>
      </c>
      <c r="I226" s="59">
        <v>2.1614</v>
      </c>
      <c r="J226" s="59">
        <v>3.7900000000000003E-2</v>
      </c>
      <c r="K226" s="59">
        <v>1E-4</v>
      </c>
    </row>
    <row r="227" spans="1:18" ht="25.5">
      <c r="A227" s="45">
        <v>6</v>
      </c>
      <c r="B227" s="57">
        <v>38734</v>
      </c>
      <c r="C227" s="45">
        <v>2006</v>
      </c>
      <c r="D227" s="47" t="s">
        <v>18</v>
      </c>
      <c r="E227" s="45">
        <v>1</v>
      </c>
      <c r="F227" s="60">
        <v>4.1159999999999997</v>
      </c>
      <c r="G227" s="60">
        <v>0.12620000000000001</v>
      </c>
      <c r="H227" s="60">
        <v>1E-4</v>
      </c>
      <c r="I227" s="60">
        <v>1.2539</v>
      </c>
      <c r="J227" s="60">
        <v>3.9699999999999999E-2</v>
      </c>
      <c r="K227" s="60">
        <v>1E-4</v>
      </c>
      <c r="L227" s="39" t="s">
        <v>43</v>
      </c>
      <c r="M227" s="6" t="s">
        <v>7</v>
      </c>
      <c r="N227" s="6" t="s">
        <v>8</v>
      </c>
      <c r="O227" s="6" t="s">
        <v>9</v>
      </c>
      <c r="P227" s="6" t="s">
        <v>10</v>
      </c>
      <c r="Q227" s="6" t="s">
        <v>11</v>
      </c>
      <c r="R227" s="6" t="s">
        <v>12</v>
      </c>
    </row>
    <row r="228" spans="1:18">
      <c r="A228" s="12">
        <v>8</v>
      </c>
      <c r="B228" s="22">
        <v>38740</v>
      </c>
      <c r="C228" s="12">
        <v>2006</v>
      </c>
      <c r="D228" s="11" t="s">
        <v>18</v>
      </c>
      <c r="E228" s="12">
        <v>1</v>
      </c>
      <c r="F228" s="59">
        <v>3.9529999999999998</v>
      </c>
      <c r="G228" s="59">
        <v>0.14749999999999999</v>
      </c>
      <c r="H228" s="59">
        <v>1E-4</v>
      </c>
      <c r="I228" s="59">
        <v>0.97970000000000002</v>
      </c>
      <c r="J228" s="59">
        <v>2.6200000000000001E-2</v>
      </c>
      <c r="K228" s="59">
        <v>1E-4</v>
      </c>
      <c r="L228" s="39" t="s">
        <v>51</v>
      </c>
      <c r="M228" s="40">
        <f>AVERAGE(F227:F262)</f>
        <v>6.5565333333333324</v>
      </c>
      <c r="N228" s="40">
        <f t="shared" ref="N228:O228" si="6">AVERAGE(G227:G262)</f>
        <v>7.974999722222223E-2</v>
      </c>
      <c r="O228" s="40">
        <f t="shared" si="6"/>
        <v>0.24381666111111105</v>
      </c>
      <c r="P228" s="40">
        <f>AVERAGE(I227:I262)</f>
        <v>2.1592000000000002</v>
      </c>
      <c r="Q228" s="40">
        <f>AVERAGE(J227:J262)</f>
        <v>0.25299722222222215</v>
      </c>
      <c r="R228" s="40">
        <f>AVERAGE(K227:K262)</f>
        <v>3.2497499999999992E-4</v>
      </c>
    </row>
    <row r="229" spans="1:18">
      <c r="A229" s="12">
        <v>15</v>
      </c>
      <c r="B229" s="22">
        <v>38737</v>
      </c>
      <c r="C229" s="12">
        <v>2006</v>
      </c>
      <c r="D229" s="11" t="s">
        <v>18</v>
      </c>
      <c r="E229" s="12">
        <v>1</v>
      </c>
      <c r="F229" s="59">
        <v>3.8660999999999999</v>
      </c>
      <c r="G229" s="59">
        <v>0.12429999999999999</v>
      </c>
      <c r="H229" s="59">
        <v>1E-4</v>
      </c>
      <c r="I229" s="59">
        <v>0.9083</v>
      </c>
      <c r="J229" s="59">
        <v>3.2399999999999998E-2</v>
      </c>
      <c r="K229" s="59">
        <v>1E-4</v>
      </c>
    </row>
    <row r="230" spans="1:18">
      <c r="A230" s="12">
        <v>6</v>
      </c>
      <c r="B230" s="22">
        <v>38762</v>
      </c>
      <c r="C230" s="15">
        <v>2006</v>
      </c>
      <c r="D230" s="11" t="s">
        <v>28</v>
      </c>
      <c r="E230" s="15">
        <v>2</v>
      </c>
      <c r="F230" s="59">
        <v>7.2595999999999998</v>
      </c>
      <c r="G230" s="59">
        <v>3.0599999999999999E-2</v>
      </c>
      <c r="H230" s="59">
        <v>6.2700000000000006E-2</v>
      </c>
      <c r="I230" s="59">
        <v>2.2505000000000002</v>
      </c>
      <c r="J230" s="59">
        <v>5.5599999999999997E-2</v>
      </c>
      <c r="K230" s="59">
        <v>1E-4</v>
      </c>
    </row>
    <row r="231" spans="1:18">
      <c r="A231" s="12">
        <v>8</v>
      </c>
      <c r="B231" s="22">
        <v>38763</v>
      </c>
      <c r="C231" s="15">
        <v>2006</v>
      </c>
      <c r="D231" s="11" t="s">
        <v>28</v>
      </c>
      <c r="E231" s="15">
        <v>2</v>
      </c>
      <c r="F231" s="59">
        <v>2.5998999999999999</v>
      </c>
      <c r="G231" s="59">
        <v>5.5100000000000003E-2</v>
      </c>
      <c r="H231" s="59">
        <v>1E-4</v>
      </c>
      <c r="I231" s="59">
        <v>0.77929999999999999</v>
      </c>
      <c r="J231" s="59">
        <v>2.7900000000000001E-2</v>
      </c>
      <c r="K231" s="59">
        <v>1E-4</v>
      </c>
    </row>
    <row r="232" spans="1:18">
      <c r="A232" s="12">
        <v>15</v>
      </c>
      <c r="B232" s="22">
        <v>38763</v>
      </c>
      <c r="C232" s="15">
        <v>2006</v>
      </c>
      <c r="D232" s="11" t="s">
        <v>28</v>
      </c>
      <c r="E232" s="15">
        <v>2</v>
      </c>
      <c r="F232" s="59">
        <v>4.6071</v>
      </c>
      <c r="G232" s="59">
        <v>3.2000000000000001E-2</v>
      </c>
      <c r="H232" s="59">
        <v>1E-4</v>
      </c>
      <c r="I232" s="59">
        <v>1.4321999999999999</v>
      </c>
      <c r="J232" s="59">
        <v>4.4900000000000002E-2</v>
      </c>
      <c r="K232" s="59">
        <v>1E-4</v>
      </c>
    </row>
    <row r="233" spans="1:18">
      <c r="A233" s="12">
        <v>6</v>
      </c>
      <c r="B233" s="22">
        <v>38789</v>
      </c>
      <c r="C233" s="12">
        <v>2006</v>
      </c>
      <c r="D233" s="11" t="s">
        <v>29</v>
      </c>
      <c r="E233" s="15">
        <v>3</v>
      </c>
      <c r="F233" s="59">
        <v>4.0525000000000002</v>
      </c>
      <c r="G233" s="59">
        <v>1E-4</v>
      </c>
      <c r="H233" s="59">
        <v>8.5800000000000001E-2</v>
      </c>
      <c r="I233" s="59">
        <v>1.4258</v>
      </c>
      <c r="J233" s="59">
        <v>2.1700000000000001E-2</v>
      </c>
      <c r="K233" s="59">
        <v>1E-4</v>
      </c>
    </row>
    <row r="234" spans="1:18">
      <c r="A234" s="12">
        <v>8</v>
      </c>
      <c r="B234" s="22">
        <v>38792</v>
      </c>
      <c r="C234" s="12">
        <v>2006</v>
      </c>
      <c r="D234" s="11" t="s">
        <v>29</v>
      </c>
      <c r="E234" s="15">
        <v>3</v>
      </c>
      <c r="F234" s="59">
        <v>3.1962999999999999</v>
      </c>
      <c r="G234" s="59">
        <v>2.69E-2</v>
      </c>
      <c r="H234" s="59">
        <v>1E-4</v>
      </c>
      <c r="I234" s="59">
        <v>1.1153</v>
      </c>
      <c r="J234" s="59">
        <v>1.8200000000000001E-2</v>
      </c>
      <c r="K234" s="59">
        <v>1E-4</v>
      </c>
    </row>
    <row r="235" spans="1:18">
      <c r="A235" s="12">
        <v>15</v>
      </c>
      <c r="B235" s="22">
        <v>38792</v>
      </c>
      <c r="C235" s="12">
        <v>2006</v>
      </c>
      <c r="D235" s="11" t="s">
        <v>29</v>
      </c>
      <c r="E235" s="15">
        <v>3</v>
      </c>
      <c r="F235" s="59">
        <v>4.2167000000000003</v>
      </c>
      <c r="G235" s="59">
        <v>1E-4</v>
      </c>
      <c r="H235" s="59">
        <v>5.5399999999999998E-2</v>
      </c>
      <c r="I235" s="59">
        <v>1.4429000000000001</v>
      </c>
      <c r="J235" s="59">
        <v>2.1299999999999999E-2</v>
      </c>
      <c r="K235" s="59">
        <v>1E-4</v>
      </c>
    </row>
    <row r="236" spans="1:18">
      <c r="A236" s="12">
        <v>6</v>
      </c>
      <c r="B236" s="9">
        <v>38825</v>
      </c>
      <c r="C236" s="12">
        <v>2006</v>
      </c>
      <c r="D236" s="11" t="s">
        <v>30</v>
      </c>
      <c r="E236" s="12">
        <v>4</v>
      </c>
      <c r="F236" s="59">
        <v>4.0721999999999996</v>
      </c>
      <c r="G236" s="59">
        <v>8.6E-3</v>
      </c>
      <c r="H236" s="59">
        <v>0.38629999999999998</v>
      </c>
      <c r="I236" s="59">
        <v>1.9837</v>
      </c>
      <c r="J236" s="59">
        <v>9.5299999999999996E-2</v>
      </c>
      <c r="K236" s="59">
        <v>1E-4</v>
      </c>
    </row>
    <row r="237" spans="1:18">
      <c r="A237" s="12">
        <v>8</v>
      </c>
      <c r="B237" s="9">
        <v>38826</v>
      </c>
      <c r="C237" s="12">
        <v>2006</v>
      </c>
      <c r="D237" s="11" t="s">
        <v>30</v>
      </c>
      <c r="E237" s="12">
        <v>4</v>
      </c>
      <c r="F237" s="59">
        <v>0.61629999999999996</v>
      </c>
      <c r="G237" s="59">
        <v>1.1599999999999999E-2</v>
      </c>
      <c r="H237" s="59">
        <v>1E-4</v>
      </c>
      <c r="I237" s="59">
        <v>8.5000000000000006E-2</v>
      </c>
      <c r="J237" s="59">
        <v>8.0000000000000002E-3</v>
      </c>
      <c r="K237" s="59">
        <v>1E-4</v>
      </c>
    </row>
    <row r="238" spans="1:18">
      <c r="A238" s="12">
        <v>15</v>
      </c>
      <c r="B238" s="9">
        <v>38826</v>
      </c>
      <c r="C238" s="12">
        <v>2006</v>
      </c>
      <c r="D238" s="11" t="s">
        <v>30</v>
      </c>
      <c r="E238" s="12">
        <v>4</v>
      </c>
      <c r="F238" s="59">
        <v>3.2526000000000002</v>
      </c>
      <c r="G238" s="59">
        <v>3.3799999999999997E-2</v>
      </c>
      <c r="H238" s="59">
        <v>0.44719999999999999</v>
      </c>
      <c r="I238" s="59">
        <v>1.3798999999999999</v>
      </c>
      <c r="J238" s="59">
        <v>6.0600000000000001E-2</v>
      </c>
      <c r="K238" s="59">
        <v>1E-4</v>
      </c>
    </row>
    <row r="239" spans="1:18">
      <c r="A239" s="12">
        <v>6</v>
      </c>
      <c r="B239" s="9">
        <v>38852</v>
      </c>
      <c r="C239" s="12">
        <v>2006</v>
      </c>
      <c r="D239" s="11" t="s">
        <v>31</v>
      </c>
      <c r="E239" s="12">
        <v>5</v>
      </c>
      <c r="F239" s="59">
        <v>5.1787999999999998</v>
      </c>
      <c r="G239" s="59">
        <v>4.9299999999999997E-2</v>
      </c>
      <c r="H239" s="59">
        <v>0.58630000000000004</v>
      </c>
      <c r="I239" s="59">
        <v>2.1124999999999998</v>
      </c>
      <c r="J239" s="59">
        <v>0.1966</v>
      </c>
      <c r="K239" s="59">
        <v>1E-4</v>
      </c>
    </row>
    <row r="240" spans="1:18">
      <c r="A240" s="12">
        <v>8</v>
      </c>
      <c r="B240" s="9">
        <v>38853</v>
      </c>
      <c r="C240" s="12">
        <v>2006</v>
      </c>
      <c r="D240" s="11" t="s">
        <v>31</v>
      </c>
      <c r="E240" s="12">
        <v>5</v>
      </c>
      <c r="F240" s="59">
        <v>8.0970999999999993</v>
      </c>
      <c r="G240" s="59">
        <v>2.2499999999999999E-2</v>
      </c>
      <c r="H240" s="59">
        <v>1.0871</v>
      </c>
      <c r="I240" s="59">
        <v>3.5886999999999998</v>
      </c>
      <c r="J240" s="59">
        <v>0.2019</v>
      </c>
      <c r="K240" s="59">
        <v>1E-4</v>
      </c>
    </row>
    <row r="241" spans="1:11">
      <c r="A241" s="12">
        <v>15</v>
      </c>
      <c r="B241" s="9">
        <v>38853</v>
      </c>
      <c r="C241" s="12">
        <v>2006</v>
      </c>
      <c r="D241" s="11" t="s">
        <v>31</v>
      </c>
      <c r="E241" s="12">
        <v>5</v>
      </c>
      <c r="F241" s="59">
        <v>5.1483999999999996</v>
      </c>
      <c r="G241" s="59">
        <v>2.5999999999999999E-2</v>
      </c>
      <c r="H241" s="59">
        <v>0.81230000000000002</v>
      </c>
      <c r="I241" s="59">
        <v>2.0773999999999999</v>
      </c>
      <c r="J241" s="59">
        <v>0.1968</v>
      </c>
      <c r="K241" s="59">
        <v>1E-4</v>
      </c>
    </row>
    <row r="242" spans="1:11">
      <c r="A242" s="12">
        <v>6</v>
      </c>
      <c r="B242" s="9">
        <v>38883</v>
      </c>
      <c r="C242" s="12">
        <v>2006</v>
      </c>
      <c r="D242" s="11" t="s">
        <v>32</v>
      </c>
      <c r="E242" s="12">
        <v>6</v>
      </c>
      <c r="F242" s="59">
        <v>18.313400000000001</v>
      </c>
      <c r="G242" s="59">
        <v>0.14269999999999999</v>
      </c>
      <c r="H242" s="59">
        <v>1.3349</v>
      </c>
      <c r="I242" s="59">
        <v>7.1950000000000003</v>
      </c>
      <c r="J242" s="59">
        <v>0.47249999999999998</v>
      </c>
      <c r="K242" s="59">
        <v>1E-4</v>
      </c>
    </row>
    <row r="243" spans="1:11">
      <c r="A243" s="12">
        <v>8</v>
      </c>
      <c r="B243" s="9">
        <v>38884</v>
      </c>
      <c r="C243" s="12">
        <v>2006</v>
      </c>
      <c r="D243" s="11" t="s">
        <v>32</v>
      </c>
      <c r="E243" s="12">
        <v>6</v>
      </c>
      <c r="F243" s="59">
        <v>6.8802000000000003</v>
      </c>
      <c r="G243" s="59">
        <v>2.8899999999999999E-2</v>
      </c>
      <c r="H243" s="59">
        <v>0.23680000000000001</v>
      </c>
      <c r="I243" s="59">
        <v>2.1678999999999999</v>
      </c>
      <c r="J243" s="59">
        <v>0.14610000000000001</v>
      </c>
      <c r="K243" s="59">
        <v>1E-4</v>
      </c>
    </row>
    <row r="244" spans="1:11">
      <c r="A244" s="12">
        <v>15</v>
      </c>
      <c r="B244" s="9">
        <v>38884</v>
      </c>
      <c r="C244" s="12">
        <v>2006</v>
      </c>
      <c r="D244" s="11" t="s">
        <v>32</v>
      </c>
      <c r="E244" s="12">
        <v>6</v>
      </c>
      <c r="F244" s="59">
        <v>13.961499999999999</v>
      </c>
      <c r="G244" s="59">
        <v>8.2199999999999995E-2</v>
      </c>
      <c r="H244" s="59">
        <v>1.3380000000000001</v>
      </c>
      <c r="I244" s="59">
        <v>5.5434000000000001</v>
      </c>
      <c r="J244" s="59">
        <v>0.46560000000000001</v>
      </c>
      <c r="K244" s="59">
        <v>1E-4</v>
      </c>
    </row>
    <row r="245" spans="1:11">
      <c r="A245" s="12">
        <v>6</v>
      </c>
      <c r="B245" s="9">
        <v>38916</v>
      </c>
      <c r="C245" s="12">
        <v>2006</v>
      </c>
      <c r="D245" s="11" t="s">
        <v>33</v>
      </c>
      <c r="E245" s="12">
        <v>7</v>
      </c>
      <c r="F245" s="59">
        <v>11.2727</v>
      </c>
      <c r="G245" s="59">
        <v>0.1656</v>
      </c>
      <c r="H245" s="59">
        <v>1E-4</v>
      </c>
      <c r="I245" s="59">
        <v>1.0936999999999999</v>
      </c>
      <c r="J245" s="59">
        <v>1.3785000000000001</v>
      </c>
      <c r="K245" s="59">
        <v>1E-4</v>
      </c>
    </row>
    <row r="246" spans="1:11">
      <c r="A246" s="12">
        <v>8</v>
      </c>
      <c r="B246" s="9">
        <v>38915</v>
      </c>
      <c r="C246" s="12">
        <v>2006</v>
      </c>
      <c r="D246" s="11" t="s">
        <v>33</v>
      </c>
      <c r="E246" s="12">
        <v>7</v>
      </c>
      <c r="F246" s="59">
        <v>8.0587999999999997</v>
      </c>
      <c r="G246" s="59">
        <v>0.12989999999999999</v>
      </c>
      <c r="H246" s="59">
        <v>1E-4</v>
      </c>
      <c r="I246" s="59">
        <v>1.0764</v>
      </c>
      <c r="J246" s="59">
        <v>0.16539999999999999</v>
      </c>
      <c r="K246" s="59">
        <v>1E-4</v>
      </c>
    </row>
    <row r="247" spans="1:11">
      <c r="A247" s="12">
        <v>15</v>
      </c>
      <c r="B247" s="9">
        <v>38915</v>
      </c>
      <c r="C247" s="12">
        <v>2006</v>
      </c>
      <c r="D247" s="11" t="s">
        <v>33</v>
      </c>
      <c r="E247" s="12">
        <v>7</v>
      </c>
      <c r="F247" s="59">
        <v>6.4635999999999996</v>
      </c>
      <c r="G247" s="59">
        <v>5.7099999999999998E-2</v>
      </c>
      <c r="H247" s="59">
        <v>1E-4</v>
      </c>
      <c r="I247" s="59">
        <v>0.68200000000000005</v>
      </c>
      <c r="J247" s="59">
        <v>0.71579999999999999</v>
      </c>
      <c r="K247" s="59">
        <v>1E-4</v>
      </c>
    </row>
    <row r="248" spans="1:11">
      <c r="A248" s="12">
        <v>6</v>
      </c>
      <c r="B248" s="9">
        <v>38953</v>
      </c>
      <c r="C248" s="12">
        <v>2006</v>
      </c>
      <c r="D248" s="11" t="s">
        <v>34</v>
      </c>
      <c r="E248" s="12">
        <v>8</v>
      </c>
      <c r="F248" s="59">
        <v>8.9014000000000006</v>
      </c>
      <c r="G248" s="59">
        <v>5.57E-2</v>
      </c>
      <c r="H248" s="59">
        <v>1E-4</v>
      </c>
      <c r="I248" s="59">
        <v>3.3713000000000002</v>
      </c>
      <c r="J248" s="59">
        <v>0.40050000000000002</v>
      </c>
      <c r="K248" s="59">
        <v>1E-4</v>
      </c>
    </row>
    <row r="249" spans="1:11">
      <c r="A249" s="12">
        <v>8</v>
      </c>
      <c r="B249" s="9">
        <v>38952</v>
      </c>
      <c r="C249" s="12">
        <v>2006</v>
      </c>
      <c r="D249" s="11" t="s">
        <v>34</v>
      </c>
      <c r="E249" s="12">
        <v>8</v>
      </c>
      <c r="F249" s="59">
        <v>6.9972000000000003</v>
      </c>
      <c r="G249" s="59">
        <v>2.8400000000000002E-2</v>
      </c>
      <c r="H249" s="59">
        <v>1E-4</v>
      </c>
      <c r="I249" s="59">
        <v>1.8351</v>
      </c>
      <c r="J249" s="59">
        <v>7.46E-2</v>
      </c>
      <c r="K249" s="59">
        <v>1E-4</v>
      </c>
    </row>
    <row r="250" spans="1:11">
      <c r="A250" s="12">
        <v>15</v>
      </c>
      <c r="B250" s="9">
        <v>38952</v>
      </c>
      <c r="C250" s="12">
        <v>2006</v>
      </c>
      <c r="D250" s="11" t="s">
        <v>34</v>
      </c>
      <c r="E250" s="12">
        <v>8</v>
      </c>
      <c r="F250" s="59">
        <v>7.4080000000000004</v>
      </c>
      <c r="G250" s="59">
        <v>4.3900000000000002E-2</v>
      </c>
      <c r="H250" s="59">
        <v>1E-4</v>
      </c>
      <c r="I250" s="59">
        <v>1.4823999999999999</v>
      </c>
      <c r="J250" s="59">
        <v>1.2624</v>
      </c>
      <c r="K250" s="59">
        <v>1E-4</v>
      </c>
    </row>
    <row r="251" spans="1:11">
      <c r="A251" s="12">
        <v>6</v>
      </c>
      <c r="B251" s="9">
        <v>38972</v>
      </c>
      <c r="C251" s="12">
        <v>2006</v>
      </c>
      <c r="D251" s="11" t="s">
        <v>35</v>
      </c>
      <c r="E251" s="12">
        <v>9</v>
      </c>
      <c r="F251" s="59">
        <v>12.767300000000001</v>
      </c>
      <c r="G251" s="59">
        <v>0.1047</v>
      </c>
      <c r="H251" s="59">
        <v>1E-4</v>
      </c>
      <c r="I251" s="59">
        <v>3.9758</v>
      </c>
      <c r="J251" s="59">
        <v>0.92810000000000004</v>
      </c>
      <c r="K251" s="59">
        <v>1E-4</v>
      </c>
    </row>
    <row r="252" spans="1:11">
      <c r="A252" s="12">
        <v>8</v>
      </c>
      <c r="B252" s="9">
        <v>38975</v>
      </c>
      <c r="C252" s="12">
        <v>2006</v>
      </c>
      <c r="D252" s="11" t="s">
        <v>35</v>
      </c>
      <c r="E252" s="12">
        <v>9</v>
      </c>
      <c r="F252" s="59">
        <v>8.2116000000000007</v>
      </c>
      <c r="G252" s="59">
        <v>0.1575</v>
      </c>
      <c r="H252" s="59">
        <v>1E-4</v>
      </c>
      <c r="I252" s="59">
        <v>2.4681000000000002</v>
      </c>
      <c r="J252" s="59">
        <v>0.1062</v>
      </c>
      <c r="K252" s="59">
        <v>1E-4</v>
      </c>
    </row>
    <row r="253" spans="1:11">
      <c r="A253" s="12">
        <v>15</v>
      </c>
      <c r="B253" s="9">
        <v>38975</v>
      </c>
      <c r="C253" s="12">
        <v>2006</v>
      </c>
      <c r="D253" s="11" t="s">
        <v>35</v>
      </c>
      <c r="E253" s="12">
        <v>9</v>
      </c>
      <c r="F253" s="59">
        <v>6.4158999999999997</v>
      </c>
      <c r="G253" s="59">
        <v>8.7800000000000003E-2</v>
      </c>
      <c r="H253" s="59">
        <v>1E-4</v>
      </c>
      <c r="I253" s="59">
        <v>2.1070000000000002</v>
      </c>
      <c r="J253" s="59">
        <v>0.1731</v>
      </c>
      <c r="K253" s="59">
        <v>1E-4</v>
      </c>
    </row>
    <row r="254" spans="1:11">
      <c r="A254" s="12">
        <v>6</v>
      </c>
      <c r="B254" s="9">
        <v>39008</v>
      </c>
      <c r="C254" s="12">
        <v>2006</v>
      </c>
      <c r="D254" s="11" t="s">
        <v>36</v>
      </c>
      <c r="E254" s="12">
        <v>10</v>
      </c>
      <c r="F254" s="30">
        <v>9.7240000000000002</v>
      </c>
      <c r="G254" s="30">
        <v>7.9000000000000001E-2</v>
      </c>
      <c r="H254" s="30">
        <v>0.502</v>
      </c>
      <c r="I254" s="30">
        <v>4.2249999999999996</v>
      </c>
      <c r="J254" s="30">
        <v>0.48399999999999999</v>
      </c>
      <c r="K254" s="30">
        <v>9.9989999999999996E-4</v>
      </c>
    </row>
    <row r="255" spans="1:11">
      <c r="A255" s="12">
        <v>8</v>
      </c>
      <c r="B255" s="9">
        <v>39006</v>
      </c>
      <c r="C255" s="12">
        <v>2006</v>
      </c>
      <c r="D255" s="11" t="s">
        <v>36</v>
      </c>
      <c r="E255" s="12">
        <v>10</v>
      </c>
      <c r="F255" s="30">
        <v>3.0350000000000001</v>
      </c>
      <c r="G255" s="30">
        <v>4.2000000000000003E-2</v>
      </c>
      <c r="H255" s="30">
        <v>1.9E-2</v>
      </c>
      <c r="I255" s="30">
        <v>0.59399999999999997</v>
      </c>
      <c r="J255" s="30">
        <v>0.29599999999999999</v>
      </c>
      <c r="K255" s="30">
        <v>9.9989999999999996E-4</v>
      </c>
    </row>
    <row r="256" spans="1:11">
      <c r="A256" s="12">
        <v>15</v>
      </c>
      <c r="B256" s="9">
        <v>39006</v>
      </c>
      <c r="C256" s="12">
        <v>2006</v>
      </c>
      <c r="D256" s="11" t="s">
        <v>36</v>
      </c>
      <c r="E256" s="12">
        <v>10</v>
      </c>
      <c r="F256" s="30">
        <v>8.3379999999999992</v>
      </c>
      <c r="G256" s="30">
        <v>0.03</v>
      </c>
      <c r="H256" s="30">
        <v>0.54600000000000004</v>
      </c>
      <c r="I256" s="30">
        <v>3.86</v>
      </c>
      <c r="J256" s="30">
        <v>0.47499999999999998</v>
      </c>
      <c r="K256" s="30">
        <v>9.9989999999999996E-4</v>
      </c>
    </row>
    <row r="257" spans="1:18">
      <c r="A257" s="12">
        <v>6</v>
      </c>
      <c r="B257" s="9">
        <v>39035</v>
      </c>
      <c r="C257" s="12">
        <v>2006</v>
      </c>
      <c r="D257" s="11" t="s">
        <v>37</v>
      </c>
      <c r="E257" s="12">
        <v>11</v>
      </c>
      <c r="F257" s="30">
        <v>11.513999999999999</v>
      </c>
      <c r="G257" s="30">
        <v>9.9989999999999996E-4</v>
      </c>
      <c r="H257" s="30">
        <v>0.42599999999999999</v>
      </c>
      <c r="I257" s="30">
        <v>6.0190000000000001</v>
      </c>
      <c r="J257" s="30">
        <v>0.13300000000000001</v>
      </c>
      <c r="K257" s="30">
        <v>9.9989999999999996E-4</v>
      </c>
    </row>
    <row r="258" spans="1:18">
      <c r="A258" s="12">
        <v>8</v>
      </c>
      <c r="B258" s="9">
        <v>39041</v>
      </c>
      <c r="C258" s="12">
        <v>2006</v>
      </c>
      <c r="D258" s="11" t="s">
        <v>37</v>
      </c>
      <c r="E258" s="12">
        <v>11</v>
      </c>
      <c r="F258" s="30">
        <v>1.508</v>
      </c>
      <c r="G258" s="30">
        <v>3.7999999999999999E-2</v>
      </c>
      <c r="H258" s="30">
        <v>9.9989999999999996E-4</v>
      </c>
      <c r="I258" s="30">
        <v>0.16500000000000001</v>
      </c>
      <c r="J258" s="30">
        <v>8.9999999999999993E-3</v>
      </c>
      <c r="K258" s="30">
        <v>9.9989999999999996E-4</v>
      </c>
    </row>
    <row r="259" spans="1:18">
      <c r="A259" s="12">
        <v>15</v>
      </c>
      <c r="B259" s="9">
        <v>39041</v>
      </c>
      <c r="C259" s="12">
        <v>2006</v>
      </c>
      <c r="D259" s="11" t="s">
        <v>37</v>
      </c>
      <c r="E259" s="12">
        <v>11</v>
      </c>
      <c r="F259" s="30">
        <v>5.242</v>
      </c>
      <c r="G259" s="30">
        <v>6.7000000000000004E-2</v>
      </c>
      <c r="H259" s="30">
        <v>9.9989999999999996E-4</v>
      </c>
      <c r="I259" s="30">
        <v>1.601</v>
      </c>
      <c r="J259" s="30">
        <v>9.9000000000000005E-2</v>
      </c>
      <c r="K259" s="30">
        <v>9.9989999999999996E-4</v>
      </c>
    </row>
    <row r="260" spans="1:18">
      <c r="A260" s="12">
        <v>6</v>
      </c>
      <c r="B260" s="22">
        <v>39063</v>
      </c>
      <c r="C260" s="15">
        <v>2006</v>
      </c>
      <c r="D260" s="11" t="s">
        <v>38</v>
      </c>
      <c r="E260" s="15">
        <v>12</v>
      </c>
      <c r="F260" s="30">
        <v>7.4880000000000004</v>
      </c>
      <c r="G260" s="30">
        <v>0.20100000000000001</v>
      </c>
      <c r="H260" s="30">
        <v>0.52100000000000002</v>
      </c>
      <c r="I260" s="30">
        <v>2.8029999999999999</v>
      </c>
      <c r="J260" s="30">
        <v>0.151</v>
      </c>
      <c r="K260" s="30">
        <v>9.9989999999999996E-4</v>
      </c>
    </row>
    <row r="261" spans="1:18">
      <c r="A261" s="12">
        <v>8</v>
      </c>
      <c r="B261" s="22">
        <v>39062</v>
      </c>
      <c r="C261" s="15">
        <v>2006</v>
      </c>
      <c r="D261" s="11" t="s">
        <v>38</v>
      </c>
      <c r="E261" s="15">
        <v>12</v>
      </c>
      <c r="F261" s="30">
        <v>3.0649999999999999</v>
      </c>
      <c r="G261" s="30">
        <v>0.27900000000000003</v>
      </c>
      <c r="H261" s="30">
        <v>4.8000000000000001E-2</v>
      </c>
      <c r="I261" s="30">
        <v>0.61299999999999999</v>
      </c>
      <c r="J261" s="30">
        <v>2.5000000000000001E-2</v>
      </c>
      <c r="K261" s="30">
        <v>9.9989999999999996E-4</v>
      </c>
    </row>
    <row r="262" spans="1:18">
      <c r="A262" s="12">
        <v>15</v>
      </c>
      <c r="B262" s="22">
        <v>39062</v>
      </c>
      <c r="C262" s="15">
        <v>2006</v>
      </c>
      <c r="D262" s="11" t="s">
        <v>38</v>
      </c>
      <c r="E262" s="15">
        <v>12</v>
      </c>
      <c r="F262" s="30">
        <v>6.2370000000000001</v>
      </c>
      <c r="G262" s="30">
        <v>0.35499999999999998</v>
      </c>
      <c r="H262" s="30">
        <v>0.27900000000000003</v>
      </c>
      <c r="I262" s="30">
        <v>2.0379999999999998</v>
      </c>
      <c r="J262" s="30">
        <v>0.1</v>
      </c>
      <c r="K262" s="30">
        <v>9.9989999999999996E-4</v>
      </c>
    </row>
    <row r="263" spans="1:18" ht="25.5">
      <c r="A263" s="50">
        <v>6</v>
      </c>
      <c r="B263" s="57">
        <v>39100</v>
      </c>
      <c r="C263" s="50">
        <v>2007</v>
      </c>
      <c r="D263" s="47" t="s">
        <v>39</v>
      </c>
      <c r="E263" s="50">
        <v>1</v>
      </c>
      <c r="F263" s="61">
        <v>17.344999999999999</v>
      </c>
      <c r="G263" s="61">
        <v>0.13100000000000001</v>
      </c>
      <c r="H263" s="61">
        <v>0.437</v>
      </c>
      <c r="I263" s="61">
        <v>7.6349999999999998</v>
      </c>
      <c r="J263" s="61">
        <v>0.48599999999999999</v>
      </c>
      <c r="K263" s="61">
        <v>9.9989999999999996E-4</v>
      </c>
      <c r="L263" s="39" t="s">
        <v>43</v>
      </c>
      <c r="M263" s="6" t="s">
        <v>7</v>
      </c>
      <c r="N263" s="6" t="s">
        <v>8</v>
      </c>
      <c r="O263" s="6" t="s">
        <v>9</v>
      </c>
      <c r="P263" s="6" t="s">
        <v>10</v>
      </c>
      <c r="Q263" s="6" t="s">
        <v>11</v>
      </c>
      <c r="R263" s="6" t="s">
        <v>12</v>
      </c>
    </row>
    <row r="264" spans="1:18">
      <c r="A264" s="15">
        <v>8</v>
      </c>
      <c r="B264" s="22">
        <v>39100</v>
      </c>
      <c r="C264" s="15">
        <v>2007</v>
      </c>
      <c r="D264" s="11" t="s">
        <v>39</v>
      </c>
      <c r="E264" s="15">
        <v>1</v>
      </c>
      <c r="F264" s="30">
        <v>1.1359999999999999</v>
      </c>
      <c r="G264" s="30">
        <v>6.5000000000000002E-2</v>
      </c>
      <c r="H264" s="30">
        <v>9.9989999999999996E-4</v>
      </c>
      <c r="I264" s="30">
        <v>9.9989999999999996E-4</v>
      </c>
      <c r="J264" s="30">
        <v>8.9999999999999993E-3</v>
      </c>
      <c r="K264" s="30">
        <v>9.9989999999999996E-4</v>
      </c>
      <c r="L264" s="39" t="s">
        <v>52</v>
      </c>
      <c r="M264" s="40">
        <f>AVERAGE(F263:F298)</f>
        <v>7.6831944444444424</v>
      </c>
      <c r="N264" s="40">
        <f t="shared" ref="N264:O264" si="7">AVERAGE(G263:G298)</f>
        <v>0.10322220833333334</v>
      </c>
      <c r="O264" s="40">
        <f t="shared" si="7"/>
        <v>0.46166661333333336</v>
      </c>
      <c r="P264" s="40">
        <f>AVERAGE(I263:I298)</f>
        <v>2.1880277750000001</v>
      </c>
      <c r="Q264" s="40">
        <f>AVERAGE(J263:J298)</f>
        <v>0.38419444444444451</v>
      </c>
      <c r="R264" s="40">
        <f>AVERAGE(K263:K298)</f>
        <v>1.7776833333333322E-3</v>
      </c>
    </row>
    <row r="265" spans="1:18">
      <c r="A265" s="15">
        <v>15</v>
      </c>
      <c r="B265" s="22">
        <v>39100</v>
      </c>
      <c r="C265" s="15">
        <v>2007</v>
      </c>
      <c r="D265" s="11" t="s">
        <v>39</v>
      </c>
      <c r="E265" s="15">
        <v>1</v>
      </c>
      <c r="F265" s="30">
        <v>5.3250000000000002</v>
      </c>
      <c r="G265" s="30">
        <v>0.19400000000000001</v>
      </c>
      <c r="H265" s="30">
        <v>9.9989999999999996E-4</v>
      </c>
      <c r="I265" s="30">
        <v>1.5329999999999999</v>
      </c>
      <c r="J265" s="30">
        <v>4.4999999999999998E-2</v>
      </c>
      <c r="K265" s="30">
        <v>9.9989999999999996E-4</v>
      </c>
    </row>
    <row r="266" spans="1:18">
      <c r="A266" s="15">
        <v>6</v>
      </c>
      <c r="B266" s="22">
        <v>39134</v>
      </c>
      <c r="C266" s="15">
        <v>2007</v>
      </c>
      <c r="D266" s="11" t="s">
        <v>28</v>
      </c>
      <c r="E266" s="15">
        <v>2</v>
      </c>
      <c r="F266" s="30">
        <v>4.9550000000000001</v>
      </c>
      <c r="G266" s="30">
        <v>0.08</v>
      </c>
      <c r="H266" s="30">
        <v>9.9989999999999996E-4</v>
      </c>
      <c r="I266" s="30">
        <v>1.337</v>
      </c>
      <c r="J266" s="30">
        <v>4.7E-2</v>
      </c>
      <c r="K266" s="30">
        <v>9.9989999999999996E-4</v>
      </c>
    </row>
    <row r="267" spans="1:18">
      <c r="A267" s="15">
        <v>8</v>
      </c>
      <c r="B267" s="22">
        <v>39135</v>
      </c>
      <c r="C267" s="15">
        <v>2007</v>
      </c>
      <c r="D267" s="11" t="s">
        <v>28</v>
      </c>
      <c r="E267" s="15">
        <v>2</v>
      </c>
      <c r="F267" s="30">
        <v>3.0470000000000002</v>
      </c>
      <c r="G267" s="30">
        <v>3.2000000000000001E-2</v>
      </c>
      <c r="H267" s="30">
        <v>9.9989999999999996E-4</v>
      </c>
      <c r="I267" s="30">
        <v>0.91900000000000004</v>
      </c>
      <c r="J267" s="30">
        <v>1.4E-2</v>
      </c>
      <c r="K267" s="30">
        <v>9.9989999999999996E-4</v>
      </c>
    </row>
    <row r="268" spans="1:18">
      <c r="A268" s="15">
        <v>15</v>
      </c>
      <c r="B268" s="22">
        <v>39135</v>
      </c>
      <c r="C268" s="15">
        <v>2007</v>
      </c>
      <c r="D268" s="11" t="s">
        <v>28</v>
      </c>
      <c r="E268" s="15">
        <v>2</v>
      </c>
      <c r="F268" s="30">
        <v>3.0609999999999999</v>
      </c>
      <c r="G268" s="30">
        <v>4.7E-2</v>
      </c>
      <c r="H268" s="30">
        <v>3.2000000000000001E-2</v>
      </c>
      <c r="I268" s="30">
        <v>0.80300000000000005</v>
      </c>
      <c r="J268" s="30">
        <v>2.9000000000000001E-2</v>
      </c>
      <c r="K268" s="30">
        <v>9.9989999999999996E-4</v>
      </c>
    </row>
    <row r="269" spans="1:18">
      <c r="A269" s="15">
        <v>6</v>
      </c>
      <c r="B269" s="22">
        <v>39154</v>
      </c>
      <c r="C269" s="15">
        <v>2007</v>
      </c>
      <c r="D269" s="11" t="s">
        <v>29</v>
      </c>
      <c r="E269" s="15">
        <v>3</v>
      </c>
      <c r="F269" s="30">
        <v>2.3919999999999999</v>
      </c>
      <c r="G269" s="30">
        <v>4.1000000000000002E-2</v>
      </c>
      <c r="H269" s="30">
        <v>3.7999999999999999E-2</v>
      </c>
      <c r="I269" s="30">
        <v>0.79600000000000004</v>
      </c>
      <c r="J269" s="30">
        <v>1.7999999999999999E-2</v>
      </c>
      <c r="K269" s="30">
        <v>9.9989999999999996E-4</v>
      </c>
    </row>
    <row r="270" spans="1:18">
      <c r="A270" s="15">
        <v>8</v>
      </c>
      <c r="B270" s="22">
        <v>39153</v>
      </c>
      <c r="C270" s="15">
        <v>2007</v>
      </c>
      <c r="D270" s="11" t="s">
        <v>29</v>
      </c>
      <c r="E270" s="15">
        <v>3</v>
      </c>
      <c r="F270" s="30">
        <v>1.5880000000000001</v>
      </c>
      <c r="G270" s="15">
        <v>0.02</v>
      </c>
      <c r="H270" s="15">
        <v>0.02</v>
      </c>
      <c r="I270" s="30">
        <v>0.502</v>
      </c>
      <c r="J270" s="30">
        <v>0.03</v>
      </c>
      <c r="K270" s="30">
        <v>9.9989999999999996E-4</v>
      </c>
    </row>
    <row r="271" spans="1:18">
      <c r="A271" s="15">
        <v>15</v>
      </c>
      <c r="B271" s="22">
        <v>39153</v>
      </c>
      <c r="C271" s="15">
        <v>2007</v>
      </c>
      <c r="D271" s="11" t="s">
        <v>29</v>
      </c>
      <c r="E271" s="15">
        <v>3</v>
      </c>
      <c r="F271" s="30">
        <v>1.9370000000000001</v>
      </c>
      <c r="G271" s="15">
        <v>5.8000000000000003E-2</v>
      </c>
      <c r="H271" s="15">
        <v>7.3999999999999996E-2</v>
      </c>
      <c r="I271" s="30">
        <v>0.754</v>
      </c>
      <c r="J271" s="30">
        <v>2.8000000000000001E-2</v>
      </c>
      <c r="K271" s="30">
        <v>9.9989999999999996E-4</v>
      </c>
    </row>
    <row r="272" spans="1:18">
      <c r="A272" s="15">
        <v>6</v>
      </c>
      <c r="B272" s="22">
        <v>39190</v>
      </c>
      <c r="C272" s="15">
        <v>2007</v>
      </c>
      <c r="D272" s="11" t="s">
        <v>30</v>
      </c>
      <c r="E272" s="15">
        <v>4</v>
      </c>
      <c r="F272" s="30">
        <v>5.9420000000000002</v>
      </c>
      <c r="G272" s="15">
        <v>7.3999999999999996E-2</v>
      </c>
      <c r="H272" s="15">
        <v>9.9989999999999996E-4</v>
      </c>
      <c r="I272" s="30">
        <v>2.7189999999999999</v>
      </c>
      <c r="J272" s="30">
        <v>3.5999999999999997E-2</v>
      </c>
      <c r="K272" s="30">
        <v>9.9989999999999996E-4</v>
      </c>
    </row>
    <row r="273" spans="1:11">
      <c r="A273" s="15">
        <v>8</v>
      </c>
      <c r="B273" s="22">
        <v>39191</v>
      </c>
      <c r="C273" s="15">
        <v>2007</v>
      </c>
      <c r="D273" s="11" t="s">
        <v>30</v>
      </c>
      <c r="E273" s="15">
        <v>4</v>
      </c>
      <c r="F273" s="30">
        <v>2.1269999999999998</v>
      </c>
      <c r="G273" s="15">
        <v>3.6999999999999998E-2</v>
      </c>
      <c r="H273" s="15">
        <v>9.9989999999999996E-4</v>
      </c>
      <c r="I273" s="30">
        <v>0.61</v>
      </c>
      <c r="J273" s="30">
        <v>8.0000000000000002E-3</v>
      </c>
      <c r="K273" s="30">
        <v>9.9989999999999996E-4</v>
      </c>
    </row>
    <row r="274" spans="1:11">
      <c r="A274" s="15">
        <v>15</v>
      </c>
      <c r="B274" s="22">
        <v>39191</v>
      </c>
      <c r="C274" s="15">
        <v>2007</v>
      </c>
      <c r="D274" s="11" t="s">
        <v>30</v>
      </c>
      <c r="E274" s="15">
        <v>4</v>
      </c>
      <c r="F274" s="30">
        <v>4.8029999999999999</v>
      </c>
      <c r="G274" s="15">
        <v>8.5000000000000006E-2</v>
      </c>
      <c r="H274" s="15">
        <v>3.5000000000000003E-2</v>
      </c>
      <c r="I274" s="30">
        <v>1.8280000000000001</v>
      </c>
      <c r="J274" s="30">
        <v>0.02</v>
      </c>
      <c r="K274" s="30">
        <v>9.9989999999999996E-4</v>
      </c>
    </row>
    <row r="275" spans="1:11">
      <c r="A275" s="15">
        <v>6</v>
      </c>
      <c r="B275" s="22">
        <v>39217</v>
      </c>
      <c r="C275" s="15">
        <v>2007</v>
      </c>
      <c r="D275" s="11" t="s">
        <v>31</v>
      </c>
      <c r="E275" s="15">
        <v>5</v>
      </c>
      <c r="F275" s="30">
        <v>9.2240000000000002</v>
      </c>
      <c r="G275" s="15">
        <v>0.17299999999999999</v>
      </c>
      <c r="H275" s="15">
        <v>1.74</v>
      </c>
      <c r="I275" s="30">
        <v>3.351</v>
      </c>
      <c r="J275" s="30">
        <v>0.16800000000000001</v>
      </c>
      <c r="K275" s="30">
        <v>1.7000000000000001E-2</v>
      </c>
    </row>
    <row r="276" spans="1:11">
      <c r="A276" s="15">
        <v>8</v>
      </c>
      <c r="B276" s="22">
        <v>39216</v>
      </c>
      <c r="C276" s="15">
        <v>2007</v>
      </c>
      <c r="D276" s="11" t="s">
        <v>31</v>
      </c>
      <c r="E276" s="15">
        <v>5</v>
      </c>
      <c r="F276" s="30">
        <v>17.225000000000001</v>
      </c>
      <c r="G276" s="15">
        <v>3.4000000000000002E-2</v>
      </c>
      <c r="H276" s="15">
        <v>2.0859999999999999</v>
      </c>
      <c r="I276" s="30">
        <v>9.141</v>
      </c>
      <c r="J276" s="30">
        <v>0.19900000000000001</v>
      </c>
      <c r="K276" s="30">
        <v>9.9989999999999996E-4</v>
      </c>
    </row>
    <row r="277" spans="1:11">
      <c r="A277" s="15">
        <v>15</v>
      </c>
      <c r="B277" s="22">
        <v>39216</v>
      </c>
      <c r="C277" s="15">
        <v>2007</v>
      </c>
      <c r="D277" s="11" t="s">
        <v>31</v>
      </c>
      <c r="E277" s="15">
        <v>5</v>
      </c>
      <c r="F277" s="30">
        <v>9.6329999999999991</v>
      </c>
      <c r="G277" s="15">
        <v>6.3E-2</v>
      </c>
      <c r="H277" s="15">
        <v>1.5389999999999999</v>
      </c>
      <c r="I277" s="30">
        <v>4.2359999999999998</v>
      </c>
      <c r="J277" s="30">
        <v>0.17499999999999999</v>
      </c>
      <c r="K277" s="30">
        <v>9.9989999999999996E-4</v>
      </c>
    </row>
    <row r="278" spans="1:11">
      <c r="A278" s="15">
        <v>6</v>
      </c>
      <c r="B278" s="22">
        <v>39246</v>
      </c>
      <c r="C278" s="15">
        <v>2007</v>
      </c>
      <c r="D278" s="11" t="s">
        <v>32</v>
      </c>
      <c r="E278" s="15">
        <v>6</v>
      </c>
      <c r="F278" s="30">
        <v>24.803000000000001</v>
      </c>
      <c r="G278">
        <v>6.0999999999999999E-2</v>
      </c>
      <c r="H278">
        <v>6.4279999999999999</v>
      </c>
      <c r="I278" s="30">
        <v>7.9210000000000003</v>
      </c>
      <c r="J278" s="30">
        <v>0.34100000000000003</v>
      </c>
      <c r="K278" s="30">
        <v>9.9989999999999996E-4</v>
      </c>
    </row>
    <row r="279" spans="1:11">
      <c r="A279" s="15">
        <v>8</v>
      </c>
      <c r="B279" s="22">
        <v>39248</v>
      </c>
      <c r="C279" s="15">
        <v>2007</v>
      </c>
      <c r="D279" s="11" t="s">
        <v>32</v>
      </c>
      <c r="E279" s="15">
        <v>6</v>
      </c>
      <c r="F279" s="30">
        <v>12.871</v>
      </c>
      <c r="G279">
        <v>0.16800000000000001</v>
      </c>
      <c r="H279">
        <v>0.93600000000000005</v>
      </c>
      <c r="I279" s="30">
        <v>4.6159999999999997</v>
      </c>
      <c r="J279" s="30">
        <v>0.20799999999999999</v>
      </c>
      <c r="K279" s="30">
        <v>9.9989999999999996E-4</v>
      </c>
    </row>
    <row r="280" spans="1:11">
      <c r="A280" s="15">
        <v>15</v>
      </c>
      <c r="B280" s="22">
        <v>39248</v>
      </c>
      <c r="C280" s="15">
        <v>2007</v>
      </c>
      <c r="D280" s="11" t="s">
        <v>32</v>
      </c>
      <c r="E280" s="15">
        <v>6</v>
      </c>
      <c r="F280" s="30">
        <v>18.126999999999999</v>
      </c>
      <c r="G280">
        <v>0.125</v>
      </c>
      <c r="H280">
        <v>3.0190000000000001</v>
      </c>
      <c r="I280" s="30">
        <v>6.6719999999999997</v>
      </c>
      <c r="J280" s="30">
        <v>0.218</v>
      </c>
      <c r="K280" s="30">
        <v>1.2999999999999999E-2</v>
      </c>
    </row>
    <row r="281" spans="1:11">
      <c r="A281" s="15">
        <v>6</v>
      </c>
      <c r="B281" s="22">
        <v>39280</v>
      </c>
      <c r="C281" s="15">
        <v>2007</v>
      </c>
      <c r="D281" s="11" t="s">
        <v>33</v>
      </c>
      <c r="E281" s="15">
        <v>7</v>
      </c>
      <c r="F281" s="30">
        <v>13.331</v>
      </c>
      <c r="G281">
        <v>0.156</v>
      </c>
      <c r="H281">
        <v>2.3E-2</v>
      </c>
      <c r="I281" s="30">
        <v>1.0920000000000001</v>
      </c>
      <c r="J281" s="30">
        <v>1.8049999999999999</v>
      </c>
      <c r="K281" s="30">
        <v>9.9989999999999996E-4</v>
      </c>
    </row>
    <row r="282" spans="1:11">
      <c r="A282" s="15">
        <v>8</v>
      </c>
      <c r="B282" s="22">
        <v>39279</v>
      </c>
      <c r="C282" s="15">
        <v>2007</v>
      </c>
      <c r="D282" s="11" t="s">
        <v>33</v>
      </c>
      <c r="E282" s="15">
        <v>7</v>
      </c>
      <c r="F282" s="30">
        <v>6.2880000000000003</v>
      </c>
      <c r="G282">
        <v>9.2999999999999999E-2</v>
      </c>
      <c r="H282">
        <v>9.9989999999999996E-4</v>
      </c>
      <c r="I282" s="30">
        <v>1.3819999999999999</v>
      </c>
      <c r="J282" s="30">
        <v>4.5999999999999999E-2</v>
      </c>
      <c r="K282" s="30">
        <v>9.9989999999999996E-4</v>
      </c>
    </row>
    <row r="283" spans="1:11">
      <c r="A283" s="15">
        <v>15</v>
      </c>
      <c r="B283" s="22">
        <v>39279</v>
      </c>
      <c r="C283" s="15">
        <v>2007</v>
      </c>
      <c r="D283" s="11" t="s">
        <v>33</v>
      </c>
      <c r="E283" s="15">
        <v>7</v>
      </c>
      <c r="F283" s="30">
        <v>4.6980000000000004</v>
      </c>
      <c r="G283">
        <v>3.3000000000000002E-2</v>
      </c>
      <c r="H283">
        <v>9.9989999999999996E-4</v>
      </c>
      <c r="I283" s="30">
        <v>1.2709999999999999</v>
      </c>
      <c r="J283" s="30">
        <v>0.20899999999999999</v>
      </c>
      <c r="K283" s="30">
        <v>9.9989999999999996E-4</v>
      </c>
    </row>
    <row r="284" spans="1:11">
      <c r="A284" s="15">
        <v>6</v>
      </c>
      <c r="B284" s="22">
        <v>39308</v>
      </c>
      <c r="C284" s="15">
        <v>2007</v>
      </c>
      <c r="D284" s="11" t="s">
        <v>34</v>
      </c>
      <c r="E284" s="15">
        <v>8</v>
      </c>
      <c r="F284" s="30">
        <v>15.651999999999999</v>
      </c>
      <c r="G284">
        <v>0.111</v>
      </c>
      <c r="H284">
        <v>9.9989999999999996E-4</v>
      </c>
      <c r="I284" s="30">
        <v>1.524</v>
      </c>
      <c r="J284" s="30">
        <v>2.359</v>
      </c>
      <c r="K284" s="30">
        <v>9.9989999999999996E-4</v>
      </c>
    </row>
    <row r="285" spans="1:11">
      <c r="A285" s="15">
        <v>8</v>
      </c>
      <c r="B285" s="22">
        <v>39308</v>
      </c>
      <c r="C285" s="15">
        <v>2007</v>
      </c>
      <c r="D285" s="11" t="s">
        <v>34</v>
      </c>
      <c r="E285" s="15">
        <v>8</v>
      </c>
      <c r="F285" s="30">
        <v>10.67</v>
      </c>
      <c r="G285">
        <v>9.9989999999999996E-4</v>
      </c>
      <c r="H285">
        <v>9.9999000000000008E-4</v>
      </c>
      <c r="I285" s="30">
        <v>3.1709999999999998</v>
      </c>
      <c r="J285" s="30">
        <v>0.17799999999999999</v>
      </c>
      <c r="K285" s="30">
        <v>9.9989999999999996E-4</v>
      </c>
    </row>
    <row r="286" spans="1:11">
      <c r="A286" s="15">
        <v>15</v>
      </c>
      <c r="B286" s="22">
        <v>39308</v>
      </c>
      <c r="C286" s="15">
        <v>2007</v>
      </c>
      <c r="D286" s="11" t="s">
        <v>34</v>
      </c>
      <c r="E286" s="15">
        <v>8</v>
      </c>
      <c r="F286" s="30">
        <v>9.2789999999999999</v>
      </c>
      <c r="G286">
        <v>2.7E-2</v>
      </c>
      <c r="H286">
        <v>9.9999000000000008E-4</v>
      </c>
      <c r="I286" s="30">
        <v>0.83599999999999997</v>
      </c>
      <c r="J286" s="30">
        <v>1.653</v>
      </c>
      <c r="K286" s="30">
        <v>9.9989999999999996E-4</v>
      </c>
    </row>
    <row r="287" spans="1:11">
      <c r="A287" s="15">
        <v>6</v>
      </c>
      <c r="B287" s="22">
        <v>39336</v>
      </c>
      <c r="C287" s="15">
        <v>2007</v>
      </c>
      <c r="D287" s="11" t="s">
        <v>40</v>
      </c>
      <c r="E287" s="15">
        <v>9</v>
      </c>
      <c r="F287" s="30">
        <v>12.808</v>
      </c>
      <c r="G287">
        <v>0.52800000000000002</v>
      </c>
      <c r="H287">
        <v>9.9989999999999996E-4</v>
      </c>
      <c r="I287" s="30">
        <v>1.018</v>
      </c>
      <c r="J287" s="30">
        <v>2.0089999999999999</v>
      </c>
      <c r="K287" s="30">
        <v>9.9989999999999996E-4</v>
      </c>
    </row>
    <row r="288" spans="1:11">
      <c r="A288" s="15">
        <v>8</v>
      </c>
      <c r="B288" s="22">
        <v>39335</v>
      </c>
      <c r="C288" s="15">
        <v>2007</v>
      </c>
      <c r="D288" s="11" t="s">
        <v>40</v>
      </c>
      <c r="E288" s="15">
        <v>9</v>
      </c>
      <c r="F288" s="30">
        <v>5.8520000000000003</v>
      </c>
      <c r="G288">
        <v>9.9989999999999996E-4</v>
      </c>
      <c r="H288">
        <v>9.9989999999999996E-4</v>
      </c>
      <c r="I288" s="30">
        <v>1.738</v>
      </c>
      <c r="J288" s="30">
        <v>6.3E-2</v>
      </c>
      <c r="K288" s="30">
        <v>9.9989999999999996E-4</v>
      </c>
    </row>
    <row r="289" spans="1:18">
      <c r="A289" s="15">
        <v>15</v>
      </c>
      <c r="B289" s="22">
        <v>39335</v>
      </c>
      <c r="C289" s="15">
        <v>2007</v>
      </c>
      <c r="D289" s="11" t="s">
        <v>40</v>
      </c>
      <c r="E289" s="15">
        <v>9</v>
      </c>
      <c r="F289" s="30">
        <v>8.2789999999999999</v>
      </c>
      <c r="G289">
        <v>0.752</v>
      </c>
      <c r="H289">
        <v>9.9989999999999996E-4</v>
      </c>
      <c r="I289" s="30">
        <v>0.623</v>
      </c>
      <c r="J289" s="30">
        <v>1.1559999999999999</v>
      </c>
      <c r="K289" s="30">
        <v>9.9989999999999996E-4</v>
      </c>
    </row>
    <row r="290" spans="1:18">
      <c r="A290" s="15">
        <v>6</v>
      </c>
      <c r="B290" s="22">
        <v>39370</v>
      </c>
      <c r="C290" s="15">
        <v>2007</v>
      </c>
      <c r="D290" s="11" t="s">
        <v>36</v>
      </c>
      <c r="E290" s="15">
        <v>10</v>
      </c>
      <c r="F290" s="30">
        <v>7.6589999999999998</v>
      </c>
      <c r="G290" s="30">
        <v>9.9989999999999996E-4</v>
      </c>
      <c r="H290" s="30">
        <v>4.2999999999999997E-2</v>
      </c>
      <c r="I290" s="30">
        <v>1.3560000000000001</v>
      </c>
      <c r="J290" s="30">
        <v>1.6639999999999999</v>
      </c>
      <c r="K290" s="30">
        <v>9.9989999999999996E-4</v>
      </c>
    </row>
    <row r="291" spans="1:18">
      <c r="A291" s="15">
        <v>8</v>
      </c>
      <c r="B291" s="22">
        <v>39370</v>
      </c>
      <c r="C291" s="15">
        <v>2007</v>
      </c>
      <c r="D291" s="11" t="s">
        <v>36</v>
      </c>
      <c r="E291" s="15">
        <v>10</v>
      </c>
      <c r="F291" s="30">
        <v>1.9419999999999999</v>
      </c>
      <c r="G291" s="30">
        <v>9.9989999999999996E-4</v>
      </c>
      <c r="H291" s="30">
        <v>9.9989999999999996E-4</v>
      </c>
      <c r="I291" s="30">
        <v>0.27500000000000002</v>
      </c>
      <c r="J291" s="30">
        <v>1.2E-2</v>
      </c>
      <c r="K291" s="30">
        <v>9.9989999999999996E-4</v>
      </c>
    </row>
    <row r="292" spans="1:18">
      <c r="A292" s="15">
        <v>15</v>
      </c>
      <c r="B292" s="22">
        <v>39370</v>
      </c>
      <c r="C292" s="15">
        <v>2007</v>
      </c>
      <c r="D292" s="11" t="s">
        <v>36</v>
      </c>
      <c r="E292" s="15">
        <v>10</v>
      </c>
      <c r="F292" s="30">
        <v>6.4880000000000004</v>
      </c>
      <c r="G292" s="30">
        <v>9.9989999999999996E-4</v>
      </c>
      <c r="H292" s="30">
        <v>9.9989999999999996E-4</v>
      </c>
      <c r="I292" s="30">
        <v>2.1659999999999999</v>
      </c>
      <c r="J292" s="30">
        <v>0.41199999999999998</v>
      </c>
      <c r="K292" s="30">
        <v>9.9989999999999996E-4</v>
      </c>
    </row>
    <row r="293" spans="1:18">
      <c r="A293" s="15">
        <v>6</v>
      </c>
      <c r="B293" s="22">
        <v>39400</v>
      </c>
      <c r="C293" s="15">
        <v>2007</v>
      </c>
      <c r="D293" s="11" t="s">
        <v>37</v>
      </c>
      <c r="E293" s="15">
        <v>11</v>
      </c>
      <c r="F293" s="30">
        <v>4.7519999999999998</v>
      </c>
      <c r="G293" s="30">
        <v>2.7E-2</v>
      </c>
      <c r="H293" s="30">
        <v>0.14899999999999999</v>
      </c>
      <c r="I293" s="30">
        <v>0.90800000000000003</v>
      </c>
      <c r="J293" s="30">
        <v>6.4000000000000001E-2</v>
      </c>
      <c r="K293" s="30">
        <v>9.9989999999999996E-4</v>
      </c>
    </row>
    <row r="294" spans="1:18">
      <c r="A294" s="15">
        <v>8</v>
      </c>
      <c r="B294" s="22">
        <v>39400</v>
      </c>
      <c r="C294" s="15">
        <v>2007</v>
      </c>
      <c r="D294" s="11" t="s">
        <v>37</v>
      </c>
      <c r="E294" s="15">
        <v>11</v>
      </c>
      <c r="F294" s="30">
        <v>0.77700000000000002</v>
      </c>
      <c r="G294" s="30">
        <v>0.01</v>
      </c>
      <c r="H294" s="30">
        <v>9.9989999999999996E-4</v>
      </c>
      <c r="I294" s="30">
        <v>0.13200000000000001</v>
      </c>
      <c r="J294" s="30">
        <v>3.0000000000000001E-3</v>
      </c>
      <c r="K294" s="30">
        <v>9.9989999999999996E-4</v>
      </c>
    </row>
    <row r="295" spans="1:18">
      <c r="A295" s="15">
        <v>15</v>
      </c>
      <c r="B295" s="22">
        <v>39400</v>
      </c>
      <c r="C295" s="15">
        <v>2007</v>
      </c>
      <c r="D295" s="11" t="s">
        <v>37</v>
      </c>
      <c r="E295" s="15">
        <v>11</v>
      </c>
      <c r="F295" s="30">
        <v>5.4020000000000001</v>
      </c>
      <c r="G295" s="30">
        <v>0.06</v>
      </c>
      <c r="H295" s="30">
        <v>9.9989999999999996E-4</v>
      </c>
      <c r="I295" s="30">
        <v>0.53500000000000003</v>
      </c>
      <c r="J295" s="30">
        <v>2.1999999999999999E-2</v>
      </c>
      <c r="K295" s="30">
        <v>9.9989999999999996E-4</v>
      </c>
    </row>
    <row r="296" spans="1:18">
      <c r="A296" s="15">
        <v>6</v>
      </c>
      <c r="B296" s="22">
        <v>39427</v>
      </c>
      <c r="C296" s="15">
        <v>2007</v>
      </c>
      <c r="D296" s="11" t="s">
        <v>38</v>
      </c>
      <c r="E296" s="15">
        <v>12</v>
      </c>
      <c r="F296" s="30">
        <v>2.9740000000000002</v>
      </c>
      <c r="G296" s="30">
        <v>2.4E-2</v>
      </c>
      <c r="H296" s="30">
        <v>9.9989999999999996E-4</v>
      </c>
      <c r="I296" s="30">
        <v>0.91100000000000003</v>
      </c>
      <c r="J296" s="30">
        <v>0.02</v>
      </c>
      <c r="K296" s="30">
        <v>9.9989999999999996E-4</v>
      </c>
    </row>
    <row r="297" spans="1:18">
      <c r="A297" s="15">
        <v>8</v>
      </c>
      <c r="B297" s="22">
        <v>39434</v>
      </c>
      <c r="C297" s="15">
        <v>2007</v>
      </c>
      <c r="D297" s="11" t="s">
        <v>38</v>
      </c>
      <c r="E297" s="15">
        <v>12</v>
      </c>
      <c r="F297" s="30">
        <v>5.484</v>
      </c>
      <c r="G297" s="30">
        <v>8.4000000000000005E-2</v>
      </c>
      <c r="H297" s="30">
        <v>9.9989999999999996E-4</v>
      </c>
      <c r="I297" s="30">
        <v>1.7</v>
      </c>
      <c r="J297" s="30">
        <v>1.2999999999999999E-2</v>
      </c>
      <c r="K297" s="30">
        <v>9.9989999999999996E-4</v>
      </c>
    </row>
    <row r="298" spans="1:18">
      <c r="A298" s="15">
        <v>15</v>
      </c>
      <c r="B298" s="22">
        <v>39434</v>
      </c>
      <c r="C298" s="15">
        <v>2007</v>
      </c>
      <c r="D298" s="11" t="s">
        <v>38</v>
      </c>
      <c r="E298" s="15">
        <v>12</v>
      </c>
      <c r="F298" s="30">
        <v>8.7189999999999994</v>
      </c>
      <c r="G298" s="30">
        <v>0.318</v>
      </c>
      <c r="H298" s="30">
        <v>9.9989999999999996E-4</v>
      </c>
      <c r="I298" s="30">
        <v>2.7570000000000001</v>
      </c>
      <c r="J298" s="30">
        <v>6.4000000000000001E-2</v>
      </c>
      <c r="K298" s="30">
        <v>9.9989999999999996E-4</v>
      </c>
    </row>
    <row r="299" spans="1:18" ht="25.5">
      <c r="A299" s="50">
        <v>6</v>
      </c>
      <c r="B299" s="57">
        <v>39462</v>
      </c>
      <c r="C299" s="50">
        <v>2008</v>
      </c>
      <c r="D299" s="47" t="s">
        <v>39</v>
      </c>
      <c r="E299" s="50">
        <v>1</v>
      </c>
      <c r="F299" s="61">
        <v>4.6150000000000002</v>
      </c>
      <c r="G299" s="61">
        <v>0.14299999999999999</v>
      </c>
      <c r="H299" s="61">
        <v>9.9989999999999996E-4</v>
      </c>
      <c r="I299" s="61">
        <v>0.84899999999999998</v>
      </c>
      <c r="J299" s="61">
        <v>8.7999999999999995E-2</v>
      </c>
      <c r="K299" s="61">
        <v>9.9989999999999996E-4</v>
      </c>
      <c r="L299" s="39" t="s">
        <v>43</v>
      </c>
      <c r="M299" s="6" t="s">
        <v>7</v>
      </c>
      <c r="N299" s="6" t="s">
        <v>8</v>
      </c>
      <c r="O299" s="6" t="s">
        <v>9</v>
      </c>
      <c r="P299" s="6" t="s">
        <v>10</v>
      </c>
      <c r="Q299" s="6" t="s">
        <v>11</v>
      </c>
      <c r="R299" s="6" t="s">
        <v>12</v>
      </c>
    </row>
    <row r="300" spans="1:18">
      <c r="A300" s="15">
        <v>8</v>
      </c>
      <c r="B300" s="22">
        <v>39463</v>
      </c>
      <c r="C300" s="15">
        <v>2008</v>
      </c>
      <c r="D300" s="11" t="s">
        <v>39</v>
      </c>
      <c r="E300" s="15">
        <v>1</v>
      </c>
      <c r="F300" s="30">
        <v>1.212</v>
      </c>
      <c r="G300" s="30">
        <v>0.04</v>
      </c>
      <c r="H300" s="30">
        <v>9.9989999999999996E-4</v>
      </c>
      <c r="I300" s="30">
        <v>0.33</v>
      </c>
      <c r="J300" s="30">
        <v>0.01</v>
      </c>
      <c r="K300" s="30">
        <v>9.9989999999999996E-4</v>
      </c>
      <c r="L300" s="39" t="s">
        <v>53</v>
      </c>
      <c r="M300" s="40">
        <f>AVERAGE(F299:F334)</f>
        <v>4.5723888888888879</v>
      </c>
      <c r="N300" s="40">
        <f t="shared" ref="N300:O300" si="8">AVERAGE(G299:G334)</f>
        <v>0.13308332777777776</v>
      </c>
      <c r="O300" s="40">
        <f t="shared" si="8"/>
        <v>0.16322216388888891</v>
      </c>
      <c r="P300" s="40">
        <f>AVERAGE(I299:I334)</f>
        <v>1.3679722222222219</v>
      </c>
      <c r="Q300" s="40">
        <f>AVERAGE(J299:J334)</f>
        <v>0.22202777499999996</v>
      </c>
      <c r="R300" s="40">
        <f>AVERAGE(K299:K334)</f>
        <v>9.999000000000004E-4</v>
      </c>
    </row>
    <row r="301" spans="1:18">
      <c r="A301" s="15">
        <v>15</v>
      </c>
      <c r="B301" s="22">
        <v>39463</v>
      </c>
      <c r="C301" s="15">
        <v>2008</v>
      </c>
      <c r="D301" s="11" t="s">
        <v>39</v>
      </c>
      <c r="E301" s="15">
        <v>1</v>
      </c>
      <c r="F301" s="30">
        <v>5.5389999999999997</v>
      </c>
      <c r="G301" s="30">
        <v>0.183</v>
      </c>
      <c r="H301" s="30">
        <v>9.9989999999999996E-4</v>
      </c>
      <c r="I301" s="30">
        <v>1.4410000000000001</v>
      </c>
      <c r="J301" s="30">
        <v>0.106</v>
      </c>
      <c r="K301" s="30">
        <v>9.9989999999999996E-4</v>
      </c>
    </row>
    <row r="302" spans="1:18">
      <c r="A302" s="15">
        <v>6</v>
      </c>
      <c r="B302" s="22">
        <v>39490</v>
      </c>
      <c r="C302" s="15">
        <v>2008</v>
      </c>
      <c r="D302" s="11" t="s">
        <v>28</v>
      </c>
      <c r="E302" s="15">
        <v>2</v>
      </c>
      <c r="F302" s="30">
        <v>3.996</v>
      </c>
      <c r="G302" s="30">
        <v>9.4E-2</v>
      </c>
      <c r="H302" s="30">
        <v>9.7000000000000003E-2</v>
      </c>
      <c r="I302" s="30">
        <v>1.121</v>
      </c>
      <c r="J302" s="30">
        <v>0.11</v>
      </c>
      <c r="K302" s="30">
        <v>9.9989999999999996E-4</v>
      </c>
    </row>
    <row r="303" spans="1:18">
      <c r="A303" s="15">
        <v>8</v>
      </c>
      <c r="B303" s="22">
        <v>39493</v>
      </c>
      <c r="C303" s="15">
        <v>2008</v>
      </c>
      <c r="D303" s="11" t="s">
        <v>28</v>
      </c>
      <c r="E303" s="15">
        <v>2</v>
      </c>
      <c r="F303" s="30">
        <v>1.27</v>
      </c>
      <c r="G303" s="30">
        <v>6.6000000000000003E-2</v>
      </c>
      <c r="H303" s="30">
        <v>9.9989999999999996E-4</v>
      </c>
      <c r="I303" s="30">
        <v>0.25600000000000001</v>
      </c>
      <c r="J303" s="30">
        <v>1.0999999999999999E-2</v>
      </c>
      <c r="K303" s="30">
        <v>9.9989999999999996E-4</v>
      </c>
    </row>
    <row r="304" spans="1:18">
      <c r="A304" s="15">
        <v>15</v>
      </c>
      <c r="B304" s="22">
        <v>39493</v>
      </c>
      <c r="C304" s="15">
        <v>2008</v>
      </c>
      <c r="D304" s="11" t="s">
        <v>28</v>
      </c>
      <c r="E304" s="15">
        <v>2</v>
      </c>
      <c r="F304" s="30">
        <v>4.3520000000000003</v>
      </c>
      <c r="G304" s="30">
        <v>0.161</v>
      </c>
      <c r="H304" s="30">
        <v>9.9989999999999996E-4</v>
      </c>
      <c r="I304" s="30">
        <v>1.3</v>
      </c>
      <c r="J304" s="30">
        <v>3.4000000000000002E-2</v>
      </c>
      <c r="K304" s="30">
        <v>9.9989999999999996E-4</v>
      </c>
    </row>
    <row r="305" spans="1:11">
      <c r="A305" s="15">
        <v>6</v>
      </c>
      <c r="B305" s="22">
        <v>39517</v>
      </c>
      <c r="C305" s="15">
        <v>2008</v>
      </c>
      <c r="D305" s="11" t="s">
        <v>29</v>
      </c>
      <c r="E305" s="15">
        <v>3</v>
      </c>
      <c r="F305" s="62">
        <v>2.3260000000000001</v>
      </c>
      <c r="G305" s="62">
        <v>4.2999999999999997E-2</v>
      </c>
      <c r="H305" s="62">
        <v>2.7E-2</v>
      </c>
      <c r="I305" s="62">
        <v>0.61199999999999999</v>
      </c>
      <c r="J305" s="62">
        <v>6.0999999999999999E-2</v>
      </c>
      <c r="K305" s="62">
        <v>9.9989999999999996E-4</v>
      </c>
    </row>
    <row r="306" spans="1:11">
      <c r="A306" s="15">
        <v>8</v>
      </c>
      <c r="B306" s="22">
        <v>39517</v>
      </c>
      <c r="C306" s="15">
        <v>2008</v>
      </c>
      <c r="D306" s="11" t="s">
        <v>29</v>
      </c>
      <c r="E306" s="15">
        <v>3</v>
      </c>
      <c r="F306" s="62">
        <v>1.3839999999999999</v>
      </c>
      <c r="G306" s="62">
        <v>4.7E-2</v>
      </c>
      <c r="H306" s="62">
        <v>9.9989999999999996E-4</v>
      </c>
      <c r="I306" s="62">
        <v>0.30199999999999999</v>
      </c>
      <c r="J306" s="62">
        <v>1.4E-2</v>
      </c>
      <c r="K306" s="62">
        <v>9.9989999999999996E-4</v>
      </c>
    </row>
    <row r="307" spans="1:11">
      <c r="A307" s="15">
        <v>15</v>
      </c>
      <c r="B307" s="22">
        <v>39517</v>
      </c>
      <c r="C307" s="15">
        <v>2008</v>
      </c>
      <c r="D307" s="11" t="s">
        <v>29</v>
      </c>
      <c r="E307" s="15">
        <v>3</v>
      </c>
      <c r="F307" s="62">
        <v>2.589</v>
      </c>
      <c r="G307" s="62">
        <v>5.2999999999999999E-2</v>
      </c>
      <c r="H307" s="62">
        <v>9.9989999999999996E-4</v>
      </c>
      <c r="I307" s="62">
        <v>0.59299999999999997</v>
      </c>
      <c r="J307" s="62">
        <v>2.9000000000000001E-2</v>
      </c>
      <c r="K307" s="62">
        <v>9.9989999999999996E-4</v>
      </c>
    </row>
    <row r="308" spans="1:11">
      <c r="A308" s="15">
        <v>6</v>
      </c>
      <c r="B308" s="22">
        <v>39553</v>
      </c>
      <c r="C308" s="15">
        <v>2008</v>
      </c>
      <c r="D308" s="11" t="s">
        <v>30</v>
      </c>
      <c r="E308" s="15">
        <v>4</v>
      </c>
      <c r="F308" s="62">
        <v>3.3140000000000001</v>
      </c>
      <c r="G308" s="62">
        <v>1.4E-2</v>
      </c>
      <c r="H308" s="62">
        <v>0.255</v>
      </c>
      <c r="I308" s="62">
        <v>1.528</v>
      </c>
      <c r="J308" s="62">
        <v>6.6000000000000003E-2</v>
      </c>
      <c r="K308" s="62">
        <v>9.9989999999999996E-4</v>
      </c>
    </row>
    <row r="309" spans="1:11">
      <c r="A309" s="15">
        <v>8</v>
      </c>
      <c r="B309" s="22">
        <v>39552</v>
      </c>
      <c r="C309" s="15">
        <v>2008</v>
      </c>
      <c r="D309" s="11" t="s">
        <v>30</v>
      </c>
      <c r="E309" s="15">
        <v>4</v>
      </c>
      <c r="F309" s="62">
        <v>1.2050000000000001</v>
      </c>
      <c r="G309" s="62">
        <v>2.7E-2</v>
      </c>
      <c r="H309" s="62">
        <v>9.9989999999999996E-4</v>
      </c>
      <c r="I309" s="62">
        <v>0.20200000000000001</v>
      </c>
      <c r="J309" s="62">
        <v>7.0000000000000001E-3</v>
      </c>
      <c r="K309" s="62">
        <v>9.9989999999999996E-4</v>
      </c>
    </row>
    <row r="310" spans="1:11">
      <c r="A310" s="15">
        <v>15</v>
      </c>
      <c r="B310" s="22">
        <v>39552</v>
      </c>
      <c r="C310" s="15">
        <v>2008</v>
      </c>
      <c r="D310" s="11" t="s">
        <v>30</v>
      </c>
      <c r="E310" s="15">
        <v>4</v>
      </c>
      <c r="F310" s="62">
        <v>4.49</v>
      </c>
      <c r="G310" s="62">
        <v>1.4999999999999999E-2</v>
      </c>
      <c r="H310" s="62">
        <v>0.254</v>
      </c>
      <c r="I310" s="62">
        <v>2.3069999999999999</v>
      </c>
      <c r="J310" s="62">
        <v>2.8000000000000001E-2</v>
      </c>
      <c r="K310" s="62">
        <v>9.9989999999999996E-4</v>
      </c>
    </row>
    <row r="311" spans="1:11">
      <c r="A311" s="15">
        <v>6</v>
      </c>
      <c r="B311" s="22">
        <v>39582</v>
      </c>
      <c r="C311" s="15">
        <v>2008</v>
      </c>
      <c r="D311" s="11" t="s">
        <v>31</v>
      </c>
      <c r="E311" s="15">
        <v>5</v>
      </c>
      <c r="F311" s="62">
        <v>2.105</v>
      </c>
      <c r="G311" s="62">
        <v>8.1000000000000003E-2</v>
      </c>
      <c r="H311" s="62">
        <v>5.8000000000000003E-2</v>
      </c>
      <c r="I311" s="62">
        <v>0.63700000000000001</v>
      </c>
      <c r="J311" s="62">
        <v>2.8000000000000001E-2</v>
      </c>
      <c r="K311" s="62">
        <v>9.9989999999999996E-4</v>
      </c>
    </row>
    <row r="312" spans="1:11">
      <c r="A312" s="15">
        <v>8</v>
      </c>
      <c r="B312" s="22">
        <v>39583</v>
      </c>
      <c r="C312" s="15">
        <v>2008</v>
      </c>
      <c r="D312" s="11" t="s">
        <v>31</v>
      </c>
      <c r="E312" s="15">
        <v>5</v>
      </c>
      <c r="F312" s="62">
        <v>2.3159999999999998</v>
      </c>
      <c r="G312" s="62">
        <v>5.6000000000000001E-2</v>
      </c>
      <c r="H312" s="62">
        <v>5.6000000000000001E-2</v>
      </c>
      <c r="I312" s="62">
        <v>0.73699999999999999</v>
      </c>
      <c r="J312" s="62">
        <v>0.04</v>
      </c>
      <c r="K312" s="62">
        <v>9.9989999999999996E-4</v>
      </c>
    </row>
    <row r="313" spans="1:11">
      <c r="A313" s="15">
        <v>15</v>
      </c>
      <c r="B313" s="22">
        <v>39583</v>
      </c>
      <c r="C313" s="15">
        <v>2008</v>
      </c>
      <c r="D313" s="11" t="s">
        <v>31</v>
      </c>
      <c r="E313" s="15">
        <v>5</v>
      </c>
      <c r="F313" s="62">
        <v>7.4509999999999996</v>
      </c>
      <c r="G313" s="62">
        <v>5.8999999999999997E-2</v>
      </c>
      <c r="H313" s="62">
        <v>0.625</v>
      </c>
      <c r="I313" s="62">
        <v>3.044</v>
      </c>
      <c r="J313" s="62">
        <v>0.17699999999999999</v>
      </c>
      <c r="K313" s="62">
        <v>9.9989999999999996E-4</v>
      </c>
    </row>
    <row r="314" spans="1:11">
      <c r="A314" s="15">
        <v>6</v>
      </c>
      <c r="B314" s="22">
        <v>39616</v>
      </c>
      <c r="C314" s="15">
        <v>2008</v>
      </c>
      <c r="D314" s="11" t="s">
        <v>32</v>
      </c>
      <c r="E314" s="15">
        <v>6</v>
      </c>
      <c r="F314" s="62">
        <v>7.9009999999999998</v>
      </c>
      <c r="G314" s="62">
        <v>0.04</v>
      </c>
      <c r="H314" s="62">
        <v>9.9989999999999996E-4</v>
      </c>
      <c r="I314" s="62">
        <v>2.069</v>
      </c>
      <c r="J314" s="62">
        <v>0.64800000000000002</v>
      </c>
      <c r="K314" s="62">
        <v>9.9989999999999996E-4</v>
      </c>
    </row>
    <row r="315" spans="1:11">
      <c r="A315" s="15">
        <v>8</v>
      </c>
      <c r="B315" s="22">
        <v>39617</v>
      </c>
      <c r="C315" s="15">
        <v>2008</v>
      </c>
      <c r="D315" s="11" t="s">
        <v>32</v>
      </c>
      <c r="E315" s="15">
        <v>6</v>
      </c>
      <c r="F315" s="62">
        <v>2.8180000000000001</v>
      </c>
      <c r="G315" s="62">
        <v>2.8000000000000001E-2</v>
      </c>
      <c r="H315" s="62">
        <v>9.9989999999999996E-4</v>
      </c>
      <c r="I315" s="62">
        <v>0.52500000000000002</v>
      </c>
      <c r="J315" s="62">
        <v>8.9999999999999993E-3</v>
      </c>
      <c r="K315" s="62">
        <v>9.9989999999999996E-4</v>
      </c>
    </row>
    <row r="316" spans="1:11">
      <c r="A316" s="15">
        <v>15</v>
      </c>
      <c r="B316" s="22">
        <v>39617</v>
      </c>
      <c r="C316" s="15">
        <v>2008</v>
      </c>
      <c r="D316" s="11" t="s">
        <v>32</v>
      </c>
      <c r="E316" s="15">
        <v>6</v>
      </c>
      <c r="F316" s="62">
        <v>4.1379999999999999</v>
      </c>
      <c r="G316" s="62">
        <v>3.9E-2</v>
      </c>
      <c r="H316" s="62">
        <v>9.9989999999999996E-4</v>
      </c>
      <c r="I316" s="62">
        <v>0.83</v>
      </c>
      <c r="J316" s="62">
        <v>0.39400000000000002</v>
      </c>
      <c r="K316" s="62">
        <v>9.9989999999999996E-4</v>
      </c>
    </row>
    <row r="317" spans="1:11">
      <c r="A317" s="15">
        <v>6</v>
      </c>
      <c r="B317" s="22">
        <v>39644</v>
      </c>
      <c r="C317" s="15">
        <v>2008</v>
      </c>
      <c r="D317" s="11" t="s">
        <v>33</v>
      </c>
      <c r="E317" s="15">
        <v>7</v>
      </c>
      <c r="F317" s="62">
        <v>6.5490000000000004</v>
      </c>
      <c r="G317" s="62">
        <v>0.26900000000000002</v>
      </c>
      <c r="H317" s="62">
        <v>3.9E-2</v>
      </c>
      <c r="I317" s="62">
        <v>1.234</v>
      </c>
      <c r="J317" s="62">
        <v>1.1579999999999999</v>
      </c>
      <c r="K317" s="62">
        <v>9.9989999999999996E-4</v>
      </c>
    </row>
    <row r="318" spans="1:11">
      <c r="A318" s="15">
        <v>8</v>
      </c>
      <c r="B318" s="22">
        <v>39645</v>
      </c>
      <c r="C318" s="15">
        <v>2008</v>
      </c>
      <c r="D318" s="11" t="s">
        <v>33</v>
      </c>
      <c r="E318" s="15">
        <v>7</v>
      </c>
      <c r="F318" s="62">
        <v>3.5419999999999998</v>
      </c>
      <c r="G318" s="62">
        <v>0.189</v>
      </c>
      <c r="H318" s="62">
        <v>9.9989999999999996E-4</v>
      </c>
      <c r="I318" s="62">
        <v>0.68400000000000005</v>
      </c>
      <c r="J318" s="62">
        <v>1.7999999999999999E-2</v>
      </c>
      <c r="K318" s="62">
        <v>9.9989999999999996E-4</v>
      </c>
    </row>
    <row r="319" spans="1:11">
      <c r="A319" s="15">
        <v>15</v>
      </c>
      <c r="B319" s="22">
        <v>39645</v>
      </c>
      <c r="C319" s="15">
        <v>2008</v>
      </c>
      <c r="D319" s="11" t="s">
        <v>33</v>
      </c>
      <c r="E319" s="15">
        <v>7</v>
      </c>
      <c r="F319" s="62">
        <v>4.4009999999999998</v>
      </c>
      <c r="G319" s="62">
        <v>9.4E-2</v>
      </c>
      <c r="H319" s="62">
        <v>3.2000000000000001E-2</v>
      </c>
      <c r="I319" s="62">
        <v>1.4019999999999999</v>
      </c>
      <c r="J319" s="62">
        <v>0.30099999999999999</v>
      </c>
      <c r="K319" s="62">
        <v>9.9989999999999996E-4</v>
      </c>
    </row>
    <row r="320" spans="1:11">
      <c r="A320" s="15">
        <v>6</v>
      </c>
      <c r="B320" s="22">
        <v>39672</v>
      </c>
      <c r="C320" s="15">
        <v>2008</v>
      </c>
      <c r="D320" s="11" t="s">
        <v>34</v>
      </c>
      <c r="E320" s="15">
        <v>8</v>
      </c>
      <c r="F320" s="62">
        <v>6.8209999999999997</v>
      </c>
      <c r="G320" s="62">
        <v>0.51800000000000002</v>
      </c>
      <c r="H320" s="62">
        <v>9.9989999999999996E-4</v>
      </c>
      <c r="I320" s="62">
        <v>0.52400000000000002</v>
      </c>
      <c r="J320" s="62">
        <v>1.6379999999999999</v>
      </c>
      <c r="K320" s="62">
        <v>9.9989999999999996E-4</v>
      </c>
    </row>
    <row r="321" spans="1:18">
      <c r="A321" s="15">
        <v>8</v>
      </c>
      <c r="B321" s="22">
        <v>39672</v>
      </c>
      <c r="C321" s="15">
        <v>2008</v>
      </c>
      <c r="D321" s="11" t="s">
        <v>34</v>
      </c>
      <c r="E321" s="15">
        <v>8</v>
      </c>
      <c r="F321" s="62">
        <v>7.8410000000000002</v>
      </c>
      <c r="G321" s="62">
        <v>0.998</v>
      </c>
      <c r="H321" s="62">
        <v>9.9989999999999996E-4</v>
      </c>
      <c r="I321" s="62">
        <v>1.599</v>
      </c>
      <c r="J321" s="62">
        <v>1.7000000000000001E-2</v>
      </c>
      <c r="K321" s="62">
        <v>9.9989999999999996E-4</v>
      </c>
    </row>
    <row r="322" spans="1:18">
      <c r="A322" s="15">
        <v>15</v>
      </c>
      <c r="B322" s="22">
        <v>39672</v>
      </c>
      <c r="C322" s="15">
        <v>2008</v>
      </c>
      <c r="D322" s="11" t="s">
        <v>34</v>
      </c>
      <c r="E322" s="15">
        <v>8</v>
      </c>
      <c r="F322" s="62">
        <v>4.0529999999999999</v>
      </c>
      <c r="G322" s="62">
        <v>1.0760000000000001</v>
      </c>
      <c r="H322" s="62">
        <v>9.9989999999999996E-4</v>
      </c>
      <c r="I322" s="62">
        <v>0.45100000000000001</v>
      </c>
      <c r="J322" s="62">
        <v>6.9000000000000006E-2</v>
      </c>
      <c r="K322" s="62">
        <v>9.9989999999999996E-4</v>
      </c>
    </row>
    <row r="323" spans="1:18">
      <c r="A323" s="15">
        <v>6</v>
      </c>
      <c r="B323" s="22">
        <v>39709</v>
      </c>
      <c r="C323" s="15">
        <v>2008</v>
      </c>
      <c r="D323" s="11" t="s">
        <v>40</v>
      </c>
      <c r="E323" s="15">
        <v>9</v>
      </c>
      <c r="F323" s="30">
        <v>18.856000000000002</v>
      </c>
      <c r="G323" s="30">
        <v>1.7999999999999999E-2</v>
      </c>
      <c r="H323" s="30">
        <v>2.1429999999999998</v>
      </c>
      <c r="I323" s="30">
        <v>7.125</v>
      </c>
      <c r="J323" s="30">
        <v>1.276</v>
      </c>
      <c r="K323" s="30">
        <v>9.9989999999999996E-4</v>
      </c>
    </row>
    <row r="324" spans="1:18">
      <c r="A324" s="15">
        <v>8</v>
      </c>
      <c r="B324" s="22">
        <v>39709</v>
      </c>
      <c r="C324" s="15">
        <v>2008</v>
      </c>
      <c r="D324" s="11" t="s">
        <v>40</v>
      </c>
      <c r="E324" s="15">
        <v>9</v>
      </c>
      <c r="F324" s="30">
        <v>4.0910000000000002</v>
      </c>
      <c r="G324" s="30">
        <v>0.02</v>
      </c>
      <c r="H324" s="30">
        <v>0.13200000000000001</v>
      </c>
      <c r="I324" s="30">
        <v>1.6579999999999999</v>
      </c>
      <c r="J324" s="30">
        <v>6.8000000000000005E-2</v>
      </c>
      <c r="K324" s="30">
        <v>9.9989999999999996E-4</v>
      </c>
    </row>
    <row r="325" spans="1:18">
      <c r="A325" s="15">
        <v>15</v>
      </c>
      <c r="B325" s="22">
        <v>39709</v>
      </c>
      <c r="C325" s="15">
        <v>2008</v>
      </c>
      <c r="D325" s="11" t="s">
        <v>40</v>
      </c>
      <c r="E325" s="15">
        <v>9</v>
      </c>
      <c r="F325" s="30">
        <v>9.84</v>
      </c>
      <c r="G325" s="30">
        <v>9.8000000000000004E-2</v>
      </c>
      <c r="H325" s="30">
        <v>9.9989999999999996E-4</v>
      </c>
      <c r="I325" s="30">
        <v>3.669</v>
      </c>
      <c r="J325" s="30">
        <v>0.1</v>
      </c>
      <c r="K325" s="30">
        <v>9.9989999999999996E-4</v>
      </c>
    </row>
    <row r="326" spans="1:18">
      <c r="A326" s="15">
        <v>6</v>
      </c>
      <c r="B326" s="22">
        <v>39737</v>
      </c>
      <c r="C326" s="15">
        <v>2008</v>
      </c>
      <c r="D326" s="11" t="s">
        <v>36</v>
      </c>
      <c r="E326" s="15">
        <v>10</v>
      </c>
      <c r="F326" s="26">
        <v>8.9269999999999996</v>
      </c>
      <c r="G326" s="26">
        <v>2.7E-2</v>
      </c>
      <c r="H326" s="26">
        <v>0.86399999999999999</v>
      </c>
      <c r="I326" s="26">
        <v>3.32</v>
      </c>
      <c r="J326" s="30">
        <v>0.68400000000000005</v>
      </c>
      <c r="K326" s="30">
        <v>9.9989999999999996E-4</v>
      </c>
    </row>
    <row r="327" spans="1:18">
      <c r="A327" s="15">
        <v>8</v>
      </c>
      <c r="B327" s="22">
        <v>39735</v>
      </c>
      <c r="C327" s="15">
        <v>2008</v>
      </c>
      <c r="D327" s="11" t="s">
        <v>36</v>
      </c>
      <c r="E327" s="15">
        <v>10</v>
      </c>
      <c r="F327" s="26">
        <v>10.298</v>
      </c>
      <c r="G327" s="26">
        <v>1.2999999999999999E-2</v>
      </c>
      <c r="H327" s="26">
        <v>1.2150000000000001</v>
      </c>
      <c r="I327" s="26">
        <v>4.141</v>
      </c>
      <c r="J327" s="30">
        <v>0.71</v>
      </c>
      <c r="K327" s="30">
        <v>9.9989999999999996E-4</v>
      </c>
    </row>
    <row r="328" spans="1:18">
      <c r="A328" s="15">
        <v>15</v>
      </c>
      <c r="B328" s="22">
        <v>39735</v>
      </c>
      <c r="C328" s="15">
        <v>2008</v>
      </c>
      <c r="D328" s="11" t="s">
        <v>36</v>
      </c>
      <c r="E328" s="15">
        <v>10</v>
      </c>
      <c r="F328" s="26">
        <v>2.0609999999999999</v>
      </c>
      <c r="G328" s="26">
        <v>9.9989999999999996E-4</v>
      </c>
      <c r="H328" s="26">
        <v>9.9989999999999996E-4</v>
      </c>
      <c r="I328" s="26">
        <v>0.78400000000000003</v>
      </c>
      <c r="J328" s="30">
        <v>1.2E-2</v>
      </c>
      <c r="K328" s="30">
        <v>9.9989999999999996E-4</v>
      </c>
    </row>
    <row r="329" spans="1:18">
      <c r="A329" s="15">
        <v>6</v>
      </c>
      <c r="B329" s="22">
        <v>39763</v>
      </c>
      <c r="C329" s="15">
        <v>2008</v>
      </c>
      <c r="D329" s="11" t="s">
        <v>37</v>
      </c>
      <c r="E329" s="15">
        <v>11</v>
      </c>
      <c r="F329" s="26">
        <v>2.73</v>
      </c>
      <c r="G329" s="26">
        <v>1.4999999999999999E-2</v>
      </c>
      <c r="H329" s="26">
        <v>9.9989999999999996E-4</v>
      </c>
      <c r="I329" s="26">
        <v>0.82</v>
      </c>
      <c r="J329" s="30">
        <v>2.5000000000000001E-2</v>
      </c>
      <c r="K329" s="30">
        <v>9.9989999999999996E-4</v>
      </c>
    </row>
    <row r="330" spans="1:18">
      <c r="A330" s="15">
        <v>8</v>
      </c>
      <c r="B330" s="22">
        <v>39769</v>
      </c>
      <c r="C330" s="15">
        <v>2008</v>
      </c>
      <c r="D330" s="11" t="s">
        <v>37</v>
      </c>
      <c r="E330" s="15">
        <v>11</v>
      </c>
      <c r="F330" s="26">
        <v>0.91900000000000004</v>
      </c>
      <c r="G330" s="26">
        <v>9.9989999999999996E-4</v>
      </c>
      <c r="H330" s="26">
        <v>8.0000000000000002E-3</v>
      </c>
      <c r="I330" s="26">
        <v>0.223</v>
      </c>
      <c r="J330" s="30">
        <v>5.0000000000000001E-3</v>
      </c>
      <c r="K330" s="30">
        <v>9.9989999999999996E-4</v>
      </c>
    </row>
    <row r="331" spans="1:18">
      <c r="A331" s="15">
        <v>15</v>
      </c>
      <c r="B331" s="22">
        <v>39769</v>
      </c>
      <c r="C331" s="15">
        <v>2008</v>
      </c>
      <c r="D331" s="11" t="s">
        <v>37</v>
      </c>
      <c r="E331" s="15">
        <v>11</v>
      </c>
      <c r="F331" s="26">
        <v>3.798</v>
      </c>
      <c r="G331" s="26">
        <v>3.3000000000000002E-2</v>
      </c>
      <c r="H331" s="26">
        <v>0.05</v>
      </c>
      <c r="I331" s="26">
        <v>1.2450000000000001</v>
      </c>
      <c r="J331" s="30">
        <v>2.3E-2</v>
      </c>
      <c r="K331" s="30">
        <v>9.9989999999999996E-4</v>
      </c>
    </row>
    <row r="332" spans="1:18">
      <c r="A332" s="15">
        <v>6</v>
      </c>
      <c r="B332" s="22">
        <v>39797</v>
      </c>
      <c r="C332" s="15">
        <v>2008</v>
      </c>
      <c r="D332" s="11" t="s">
        <v>38</v>
      </c>
      <c r="E332" s="15">
        <v>12</v>
      </c>
      <c r="F332" s="26">
        <v>3.5739999999999998</v>
      </c>
      <c r="G332" s="26">
        <v>0.111</v>
      </c>
      <c r="H332" s="26">
        <v>9.9989999999999996E-4</v>
      </c>
      <c r="I332" s="26">
        <v>0.95699999999999996</v>
      </c>
      <c r="J332" s="30">
        <v>0.02</v>
      </c>
      <c r="K332" s="30">
        <v>9.9989999999999996E-4</v>
      </c>
    </row>
    <row r="333" spans="1:18">
      <c r="A333" s="15">
        <v>8</v>
      </c>
      <c r="B333" s="22">
        <v>39797</v>
      </c>
      <c r="C333" s="15">
        <v>2008</v>
      </c>
      <c r="D333" s="11" t="s">
        <v>38</v>
      </c>
      <c r="E333" s="15">
        <v>12</v>
      </c>
      <c r="F333" s="26">
        <v>0.628</v>
      </c>
      <c r="G333" s="26">
        <v>2.5999999999999999E-2</v>
      </c>
      <c r="H333" s="26">
        <v>9.9989999999999996E-4</v>
      </c>
      <c r="I333" s="26">
        <v>0.16</v>
      </c>
      <c r="J333" s="30">
        <v>9.9989999999999996E-4</v>
      </c>
      <c r="K333" s="30">
        <v>9.9989999999999996E-4</v>
      </c>
    </row>
    <row r="334" spans="1:18">
      <c r="A334" s="15">
        <v>15</v>
      </c>
      <c r="B334" s="22">
        <v>39797</v>
      </c>
      <c r="C334" s="15">
        <v>2008</v>
      </c>
      <c r="D334" s="11" t="s">
        <v>38</v>
      </c>
      <c r="E334" s="15">
        <v>12</v>
      </c>
      <c r="F334" s="26">
        <v>2.6560000000000001</v>
      </c>
      <c r="G334" s="26">
        <v>9.5000000000000001E-2</v>
      </c>
      <c r="H334" s="26">
        <v>9.9989999999999996E-4</v>
      </c>
      <c r="I334" s="26">
        <v>0.56799999999999995</v>
      </c>
      <c r="J334" s="30">
        <v>8.0000000000000002E-3</v>
      </c>
      <c r="K334" s="30">
        <v>9.9989999999999996E-4</v>
      </c>
    </row>
    <row r="335" spans="1:18" ht="25.5">
      <c r="A335" s="50">
        <v>6</v>
      </c>
      <c r="B335" s="57">
        <v>39825</v>
      </c>
      <c r="C335" s="50">
        <v>2009</v>
      </c>
      <c r="D335" s="47" t="s">
        <v>39</v>
      </c>
      <c r="E335" s="45">
        <v>1</v>
      </c>
      <c r="F335" s="63">
        <v>5.0339999999999998</v>
      </c>
      <c r="G335" s="63">
        <v>0.11</v>
      </c>
      <c r="H335" s="63">
        <v>9.9989999999999996E-4</v>
      </c>
      <c r="I335" s="63">
        <v>1.3440000000000001</v>
      </c>
      <c r="J335" s="61">
        <v>4.4999999999999998E-2</v>
      </c>
      <c r="K335" s="61">
        <v>9.9989999999999996E-4</v>
      </c>
      <c r="L335" s="39" t="s">
        <v>43</v>
      </c>
      <c r="M335" s="6" t="s">
        <v>7</v>
      </c>
      <c r="N335" s="6" t="s">
        <v>8</v>
      </c>
      <c r="O335" s="6" t="s">
        <v>9</v>
      </c>
      <c r="P335" s="6" t="s">
        <v>10</v>
      </c>
      <c r="Q335" s="6" t="s">
        <v>11</v>
      </c>
      <c r="R335" s="6" t="s">
        <v>12</v>
      </c>
    </row>
    <row r="336" spans="1:18">
      <c r="A336" s="15">
        <v>8</v>
      </c>
      <c r="B336" s="22">
        <v>39826</v>
      </c>
      <c r="C336" s="15">
        <v>2009</v>
      </c>
      <c r="D336" s="11" t="s">
        <v>39</v>
      </c>
      <c r="E336" s="12">
        <v>1</v>
      </c>
      <c r="F336" s="26">
        <v>1.4219999999999999</v>
      </c>
      <c r="G336" s="26">
        <v>2.1000000000000001E-2</v>
      </c>
      <c r="H336" s="26">
        <v>9.9989999999999996E-4</v>
      </c>
      <c r="I336" s="26">
        <v>0.39200000000000002</v>
      </c>
      <c r="J336" s="30">
        <v>5.0000000000000001E-3</v>
      </c>
      <c r="K336" s="30">
        <v>9.9989999999999996E-4</v>
      </c>
      <c r="L336" s="39" t="s">
        <v>54</v>
      </c>
      <c r="M336" s="40">
        <f>AVERAGE(F335:F370)</f>
        <v>4.7701111111111105</v>
      </c>
      <c r="N336" s="40">
        <f t="shared" ref="N336:O336" si="9">AVERAGE(G335:G370)</f>
        <v>7.2166661111111099E-2</v>
      </c>
      <c r="O336" s="40">
        <f t="shared" si="9"/>
        <v>0.19802773611111121</v>
      </c>
      <c r="P336" s="40">
        <f>AVERAGE(I335:I370)</f>
        <v>1.441861111111111</v>
      </c>
      <c r="Q336" s="40">
        <f>AVERAGE(J335:J370)</f>
        <v>0.25458333055555565</v>
      </c>
      <c r="R336" s="40">
        <f>AVERAGE(K335:K370)</f>
        <v>9.999138888888892E-4</v>
      </c>
    </row>
    <row r="337" spans="1:11">
      <c r="A337" s="15">
        <v>15</v>
      </c>
      <c r="B337" s="22">
        <v>39826</v>
      </c>
      <c r="C337" s="15">
        <v>2009</v>
      </c>
      <c r="D337" s="11" t="s">
        <v>39</v>
      </c>
      <c r="E337" s="12">
        <v>1</v>
      </c>
      <c r="F337" s="26">
        <v>3.698</v>
      </c>
      <c r="G337" s="26">
        <v>9.6000000000000002E-2</v>
      </c>
      <c r="H337" s="26">
        <v>9.9989999999999996E-4</v>
      </c>
      <c r="I337" s="26">
        <v>0.94299999999999995</v>
      </c>
      <c r="J337" s="30">
        <v>8.9999999999999993E-3</v>
      </c>
      <c r="K337" s="30">
        <v>9.9989999999999996E-4</v>
      </c>
    </row>
    <row r="338" spans="1:11">
      <c r="A338" s="12">
        <v>6</v>
      </c>
      <c r="B338" s="22">
        <v>39854</v>
      </c>
      <c r="C338" s="15">
        <v>2009</v>
      </c>
      <c r="D338" s="11" t="s">
        <v>28</v>
      </c>
      <c r="E338" s="12">
        <v>2</v>
      </c>
      <c r="F338" s="26">
        <v>3.08</v>
      </c>
      <c r="G338" s="26">
        <v>3.7999999999999999E-2</v>
      </c>
      <c r="H338" s="26">
        <v>1.7999999999999999E-2</v>
      </c>
      <c r="I338" s="26">
        <v>0.92400000000000004</v>
      </c>
      <c r="J338" s="30">
        <v>1.9E-2</v>
      </c>
      <c r="K338" s="30">
        <v>9.9989999999999996E-4</v>
      </c>
    </row>
    <row r="339" spans="1:11">
      <c r="A339" s="12">
        <v>8</v>
      </c>
      <c r="B339" s="22">
        <v>39855</v>
      </c>
      <c r="C339" s="15">
        <v>2009</v>
      </c>
      <c r="D339" s="11" t="s">
        <v>28</v>
      </c>
      <c r="E339" s="12">
        <v>2</v>
      </c>
      <c r="F339" s="26">
        <v>2.1640000000000001</v>
      </c>
      <c r="G339" s="26">
        <v>1.2E-2</v>
      </c>
      <c r="H339" s="26">
        <v>9.9989999999999996E-4</v>
      </c>
      <c r="I339" s="26">
        <v>0.79800000000000004</v>
      </c>
      <c r="J339" s="30">
        <v>1.4999999999999999E-2</v>
      </c>
      <c r="K339" s="30">
        <v>9.9989999999999996E-4</v>
      </c>
    </row>
    <row r="340" spans="1:11">
      <c r="A340" s="12">
        <v>15</v>
      </c>
      <c r="B340" s="22">
        <v>39855</v>
      </c>
      <c r="C340" s="15">
        <v>2009</v>
      </c>
      <c r="D340" s="11" t="s">
        <v>28</v>
      </c>
      <c r="E340" s="12">
        <v>2</v>
      </c>
      <c r="F340" s="26">
        <v>2.4750000000000001</v>
      </c>
      <c r="G340" s="26">
        <v>3.6999999999999998E-2</v>
      </c>
      <c r="H340" s="26">
        <v>1E-3</v>
      </c>
      <c r="I340" s="26">
        <v>0.84899999999999998</v>
      </c>
      <c r="J340" s="30">
        <v>1.7999999999999999E-2</v>
      </c>
      <c r="K340" s="30">
        <v>9.9989999999999996E-4</v>
      </c>
    </row>
    <row r="341" spans="1:11">
      <c r="A341" s="12">
        <v>6</v>
      </c>
      <c r="B341" s="22">
        <v>39890</v>
      </c>
      <c r="C341" s="15">
        <v>2009</v>
      </c>
      <c r="D341" s="11" t="s">
        <v>29</v>
      </c>
      <c r="E341" s="12">
        <v>3</v>
      </c>
      <c r="F341" s="26">
        <v>5.8040000000000003</v>
      </c>
      <c r="G341" s="26">
        <v>9.9989999999999996E-4</v>
      </c>
      <c r="H341" s="26">
        <v>1E-3</v>
      </c>
      <c r="I341" s="26">
        <v>2.5910000000000002</v>
      </c>
      <c r="J341" s="30">
        <v>3.3000000000000002E-2</v>
      </c>
      <c r="K341" s="30">
        <v>9.9989999999999996E-4</v>
      </c>
    </row>
    <row r="342" spans="1:11">
      <c r="A342" s="12">
        <v>8</v>
      </c>
      <c r="B342" s="22">
        <v>39888</v>
      </c>
      <c r="C342" s="15">
        <v>2009</v>
      </c>
      <c r="D342" s="11" t="s">
        <v>29</v>
      </c>
      <c r="E342" s="12">
        <v>3</v>
      </c>
      <c r="F342" s="26">
        <v>1.9910000000000001</v>
      </c>
      <c r="G342" s="26">
        <v>4.1000000000000002E-2</v>
      </c>
      <c r="H342" s="26">
        <v>9.9989999999999996E-4</v>
      </c>
      <c r="I342" s="26">
        <v>0.65400000000000003</v>
      </c>
      <c r="J342" s="30">
        <v>1.4999999999999999E-2</v>
      </c>
      <c r="K342" s="30">
        <v>9.9989999999999996E-4</v>
      </c>
    </row>
    <row r="343" spans="1:11">
      <c r="A343" s="12">
        <v>15</v>
      </c>
      <c r="B343" s="22">
        <v>39888</v>
      </c>
      <c r="C343" s="15">
        <v>2009</v>
      </c>
      <c r="D343" s="11" t="s">
        <v>29</v>
      </c>
      <c r="E343" s="12">
        <v>3</v>
      </c>
      <c r="F343" s="26">
        <v>3.77</v>
      </c>
      <c r="G343" s="26">
        <v>2.5000000000000001E-2</v>
      </c>
      <c r="H343" s="26">
        <v>1E-3</v>
      </c>
      <c r="I343" s="26">
        <v>1.5780000000000001</v>
      </c>
      <c r="J343" s="30">
        <v>2.1999999999999999E-2</v>
      </c>
      <c r="K343" s="30">
        <v>9.9989999999999996E-4</v>
      </c>
    </row>
    <row r="344" spans="1:11">
      <c r="A344" s="12">
        <v>6</v>
      </c>
      <c r="B344" s="22">
        <v>39920</v>
      </c>
      <c r="C344" s="15">
        <v>2009</v>
      </c>
      <c r="D344" s="11" t="s">
        <v>30</v>
      </c>
      <c r="E344" s="12">
        <v>4</v>
      </c>
      <c r="F344" s="26">
        <v>1.2190000000000001</v>
      </c>
      <c r="G344" s="26">
        <v>6.0000000000000001E-3</v>
      </c>
      <c r="H344" s="26">
        <v>9.9989999999999996E-4</v>
      </c>
      <c r="I344" s="26">
        <v>0.192</v>
      </c>
      <c r="J344" s="30">
        <v>2.3E-2</v>
      </c>
      <c r="K344" s="30">
        <v>9.9989999999999996E-4</v>
      </c>
    </row>
    <row r="345" spans="1:11">
      <c r="A345" s="12">
        <v>8</v>
      </c>
      <c r="B345" s="22">
        <v>39916</v>
      </c>
      <c r="C345" s="15">
        <v>2009</v>
      </c>
      <c r="D345" s="11" t="s">
        <v>30</v>
      </c>
      <c r="E345" s="12">
        <v>4</v>
      </c>
      <c r="F345" s="26">
        <v>0.41199999999999998</v>
      </c>
      <c r="G345" s="26">
        <v>1.7000000000000001E-2</v>
      </c>
      <c r="H345" s="26">
        <v>9.9989999999999996E-4</v>
      </c>
      <c r="I345" s="26">
        <v>5.3999999999999999E-2</v>
      </c>
      <c r="J345" s="30">
        <v>8.9999999999999993E-3</v>
      </c>
      <c r="K345" s="30">
        <v>9.9989999999999996E-4</v>
      </c>
    </row>
    <row r="346" spans="1:11">
      <c r="A346" s="12">
        <v>15</v>
      </c>
      <c r="B346" s="22">
        <v>39916</v>
      </c>
      <c r="C346" s="15">
        <v>2009</v>
      </c>
      <c r="D346" s="11" t="s">
        <v>30</v>
      </c>
      <c r="E346" s="12">
        <v>4</v>
      </c>
      <c r="F346" s="26">
        <v>1.7949999999999999</v>
      </c>
      <c r="G346" s="26">
        <v>2.1000000000000001E-2</v>
      </c>
      <c r="H346" s="26">
        <v>9.9989999999999996E-4</v>
      </c>
      <c r="I346" s="26">
        <v>0.193</v>
      </c>
      <c r="J346" s="30">
        <v>2.5999999999999999E-2</v>
      </c>
      <c r="K346" s="30">
        <v>9.9989999999999996E-4</v>
      </c>
    </row>
    <row r="347" spans="1:11">
      <c r="A347" s="12">
        <v>6</v>
      </c>
      <c r="B347" s="22">
        <v>39945</v>
      </c>
      <c r="C347" s="15">
        <v>2009</v>
      </c>
      <c r="D347" s="11" t="s">
        <v>31</v>
      </c>
      <c r="E347" s="12">
        <v>5</v>
      </c>
      <c r="F347" s="26">
        <v>8.4529999999999994</v>
      </c>
      <c r="G347" s="26">
        <v>2.7E-2</v>
      </c>
      <c r="H347" s="26">
        <v>1.502</v>
      </c>
      <c r="I347" s="26">
        <v>3.5009999999999999</v>
      </c>
      <c r="J347" s="30">
        <v>0.14899999999999999</v>
      </c>
      <c r="K347" s="30">
        <v>9.9989999999999996E-4</v>
      </c>
    </row>
    <row r="348" spans="1:11">
      <c r="A348" s="12">
        <v>8</v>
      </c>
      <c r="B348" s="22">
        <v>39946</v>
      </c>
      <c r="C348" s="15">
        <v>2009</v>
      </c>
      <c r="D348" s="11" t="s">
        <v>31</v>
      </c>
      <c r="E348" s="12">
        <v>5</v>
      </c>
      <c r="F348" s="26">
        <v>0.33900000000000002</v>
      </c>
      <c r="G348" s="26">
        <v>9.9989999999999996E-4</v>
      </c>
      <c r="H348" s="26">
        <v>9.9989999999999996E-4</v>
      </c>
      <c r="I348" s="26">
        <v>3.4000000000000002E-2</v>
      </c>
      <c r="J348" s="30">
        <v>9.9989999999999996E-4</v>
      </c>
      <c r="K348" s="30">
        <v>9.9989999999999996E-4</v>
      </c>
    </row>
    <row r="349" spans="1:11">
      <c r="A349" s="12">
        <v>15</v>
      </c>
      <c r="B349" s="22">
        <v>39946</v>
      </c>
      <c r="C349" s="15">
        <v>2009</v>
      </c>
      <c r="D349" s="11" t="s">
        <v>31</v>
      </c>
      <c r="E349" s="12">
        <v>5</v>
      </c>
      <c r="F349" s="26">
        <v>7.6669999999999998</v>
      </c>
      <c r="G349" s="26">
        <v>4.3999999999999997E-2</v>
      </c>
      <c r="H349" s="26">
        <v>1.1679999999999999</v>
      </c>
      <c r="I349" s="26">
        <v>3.2650000000000001</v>
      </c>
      <c r="J349" s="30">
        <v>0.16400000000000001</v>
      </c>
      <c r="K349" s="30">
        <v>9.9989999999999996E-4</v>
      </c>
    </row>
    <row r="350" spans="1:11">
      <c r="A350" s="15">
        <v>6</v>
      </c>
      <c r="B350" s="22">
        <v>39980</v>
      </c>
      <c r="C350" s="15">
        <v>2009</v>
      </c>
      <c r="D350" s="11" t="s">
        <v>32</v>
      </c>
      <c r="E350" s="12">
        <v>6</v>
      </c>
      <c r="F350" s="26">
        <v>15.779</v>
      </c>
      <c r="G350" s="26">
        <v>9.0999999999999998E-2</v>
      </c>
      <c r="H350" s="26">
        <v>3.258</v>
      </c>
      <c r="I350" s="26">
        <v>5.782</v>
      </c>
      <c r="J350" s="30">
        <v>0.246</v>
      </c>
      <c r="K350" s="30">
        <v>1E-3</v>
      </c>
    </row>
    <row r="351" spans="1:11">
      <c r="A351" s="15">
        <v>8</v>
      </c>
      <c r="B351" s="22">
        <v>39983</v>
      </c>
      <c r="C351" s="15">
        <v>2009</v>
      </c>
      <c r="D351" s="11" t="s">
        <v>32</v>
      </c>
      <c r="E351" s="12">
        <v>6</v>
      </c>
      <c r="F351" s="26">
        <v>2.0019999999999998</v>
      </c>
      <c r="G351" s="26">
        <v>5.8999999999999997E-2</v>
      </c>
      <c r="H351" s="26">
        <v>1E-3</v>
      </c>
      <c r="I351" s="26">
        <v>0.308</v>
      </c>
      <c r="J351" s="30">
        <v>1.4999999999999999E-2</v>
      </c>
      <c r="K351" s="30">
        <v>9.9989999999999996E-4</v>
      </c>
    </row>
    <row r="352" spans="1:11">
      <c r="A352" s="15">
        <v>15</v>
      </c>
      <c r="B352" s="22">
        <v>39983</v>
      </c>
      <c r="C352" s="15">
        <v>2009</v>
      </c>
      <c r="D352" s="11" t="s">
        <v>32</v>
      </c>
      <c r="E352" s="12">
        <v>6</v>
      </c>
      <c r="F352" s="26">
        <v>8.2710000000000008</v>
      </c>
      <c r="G352" s="26">
        <v>0.14399999999999999</v>
      </c>
      <c r="H352" s="26">
        <v>0.39700000000000002</v>
      </c>
      <c r="I352" s="26">
        <v>2.641</v>
      </c>
      <c r="J352" s="30">
        <v>0.61299999999999999</v>
      </c>
      <c r="K352" s="30">
        <v>1E-3</v>
      </c>
    </row>
    <row r="353" spans="1:11">
      <c r="A353" s="15">
        <v>6</v>
      </c>
      <c r="B353" s="22">
        <v>40007</v>
      </c>
      <c r="C353" s="15">
        <v>2009</v>
      </c>
      <c r="D353" s="11" t="s">
        <v>33</v>
      </c>
      <c r="E353" s="12">
        <v>7</v>
      </c>
      <c r="F353" s="26">
        <v>9.7100000000000009</v>
      </c>
      <c r="G353" s="26">
        <v>0.123</v>
      </c>
      <c r="H353" s="26">
        <v>0.17299999999999999</v>
      </c>
      <c r="I353" s="26">
        <v>2.665</v>
      </c>
      <c r="J353" s="30">
        <v>1.454</v>
      </c>
      <c r="K353" s="30">
        <v>1E-3</v>
      </c>
    </row>
    <row r="354" spans="1:11">
      <c r="A354" s="15">
        <v>8</v>
      </c>
      <c r="B354" s="22">
        <v>40007</v>
      </c>
      <c r="C354" s="15">
        <v>2009</v>
      </c>
      <c r="D354" s="11" t="s">
        <v>33</v>
      </c>
      <c r="E354" s="12">
        <v>7</v>
      </c>
      <c r="F354" s="26">
        <v>1.663</v>
      </c>
      <c r="G354" s="26">
        <v>8.3000000000000004E-2</v>
      </c>
      <c r="H354" s="26">
        <v>9.9989999999999996E-4</v>
      </c>
      <c r="I354" s="26">
        <v>0.13300000000000001</v>
      </c>
      <c r="J354" s="30">
        <v>1.4999999999999999E-2</v>
      </c>
      <c r="K354" s="30">
        <v>9.9989999999999996E-4</v>
      </c>
    </row>
    <row r="355" spans="1:11">
      <c r="A355" s="15">
        <v>15</v>
      </c>
      <c r="B355" s="22">
        <v>40007</v>
      </c>
      <c r="C355" s="15">
        <v>2009</v>
      </c>
      <c r="D355" s="11" t="s">
        <v>33</v>
      </c>
      <c r="E355" s="12">
        <v>7</v>
      </c>
      <c r="F355" s="26">
        <v>12.875999999999999</v>
      </c>
      <c r="G355" s="26">
        <v>0.18099999999999999</v>
      </c>
      <c r="H355" s="26">
        <v>0.44700000000000001</v>
      </c>
      <c r="I355" s="26">
        <v>3.9950000000000001</v>
      </c>
      <c r="J355" s="30">
        <v>1.4670000000000001</v>
      </c>
      <c r="K355" s="30">
        <v>1E-3</v>
      </c>
    </row>
    <row r="356" spans="1:11">
      <c r="A356" s="15">
        <v>6</v>
      </c>
      <c r="B356" s="22">
        <v>40043</v>
      </c>
      <c r="C356" s="15">
        <v>2009</v>
      </c>
      <c r="D356" s="11" t="s">
        <v>34</v>
      </c>
      <c r="E356" s="12">
        <v>8</v>
      </c>
      <c r="F356" s="26">
        <v>8.4060000000000006</v>
      </c>
      <c r="G356" s="26">
        <v>0.13200000000000001</v>
      </c>
      <c r="H356" s="26">
        <v>1E-3</v>
      </c>
      <c r="I356" s="26">
        <v>1.0189999999999999</v>
      </c>
      <c r="J356" s="30">
        <v>1.5780000000000001</v>
      </c>
      <c r="K356" s="30">
        <v>1E-3</v>
      </c>
    </row>
    <row r="357" spans="1:11">
      <c r="A357" s="15">
        <v>8</v>
      </c>
      <c r="B357" s="22">
        <v>40042</v>
      </c>
      <c r="C357" s="15">
        <v>2009</v>
      </c>
      <c r="D357" s="11" t="s">
        <v>34</v>
      </c>
      <c r="E357" s="12">
        <v>8</v>
      </c>
      <c r="F357" s="26">
        <v>3.9969999999999999</v>
      </c>
      <c r="G357" s="26">
        <v>5.2999999999999999E-2</v>
      </c>
      <c r="H357" s="26">
        <v>1E-3</v>
      </c>
      <c r="I357" s="26">
        <v>1.022</v>
      </c>
      <c r="J357" s="30">
        <v>6.2E-2</v>
      </c>
      <c r="K357" s="30">
        <v>9.9989999999999996E-4</v>
      </c>
    </row>
    <row r="358" spans="1:11">
      <c r="A358" s="15">
        <v>15</v>
      </c>
      <c r="B358" s="22">
        <v>40042</v>
      </c>
      <c r="C358" s="15">
        <v>2009</v>
      </c>
      <c r="D358" s="11" t="s">
        <v>34</v>
      </c>
      <c r="E358" s="12">
        <v>8</v>
      </c>
      <c r="F358" s="26">
        <v>4.3540000000000001</v>
      </c>
      <c r="G358" s="26">
        <v>0.12</v>
      </c>
      <c r="H358" s="26">
        <v>9.9989999999999996E-4</v>
      </c>
      <c r="I358" s="26">
        <v>0.63100000000000001</v>
      </c>
      <c r="J358" s="30">
        <v>0.97599999999999998</v>
      </c>
      <c r="K358" s="30">
        <v>9.9989999999999996E-4</v>
      </c>
    </row>
    <row r="359" spans="1:11">
      <c r="A359" s="15">
        <v>6</v>
      </c>
      <c r="B359" s="22">
        <v>40070</v>
      </c>
      <c r="C359" s="15">
        <v>2009</v>
      </c>
      <c r="D359" s="11" t="s">
        <v>40</v>
      </c>
      <c r="E359" s="12">
        <v>9</v>
      </c>
      <c r="F359" s="26">
        <v>15.342000000000001</v>
      </c>
      <c r="G359" s="26">
        <v>0.42499999999999999</v>
      </c>
      <c r="H359" s="26">
        <v>1E-3</v>
      </c>
      <c r="I359" s="26">
        <v>3.8159999999999998</v>
      </c>
      <c r="J359" s="30">
        <v>0.51700000000000002</v>
      </c>
      <c r="K359" s="30">
        <v>9.9989999999999996E-4</v>
      </c>
    </row>
    <row r="360" spans="1:11">
      <c r="A360" s="15">
        <v>8</v>
      </c>
      <c r="B360" s="22">
        <v>40071</v>
      </c>
      <c r="C360" s="15">
        <v>2009</v>
      </c>
      <c r="D360" s="11" t="s">
        <v>40</v>
      </c>
      <c r="E360" s="12">
        <v>9</v>
      </c>
      <c r="F360" s="26">
        <v>3.0209999999999999</v>
      </c>
      <c r="G360" s="26">
        <v>1.4999999999999999E-2</v>
      </c>
      <c r="H360" s="26">
        <v>1E-3</v>
      </c>
      <c r="I360" s="26">
        <v>0.58399999999999996</v>
      </c>
      <c r="J360" s="30">
        <v>3.2000000000000001E-2</v>
      </c>
      <c r="K360" s="30">
        <v>9.9989999999999996E-4</v>
      </c>
    </row>
    <row r="361" spans="1:11">
      <c r="A361" s="15">
        <v>15</v>
      </c>
      <c r="B361" s="22">
        <v>40071</v>
      </c>
      <c r="C361" s="15">
        <v>2009</v>
      </c>
      <c r="D361" s="11" t="s">
        <v>40</v>
      </c>
      <c r="E361" s="12">
        <v>9</v>
      </c>
      <c r="F361" s="26">
        <v>5.6849999999999996</v>
      </c>
      <c r="G361" s="26">
        <v>6.0999999999999999E-2</v>
      </c>
      <c r="H361" s="26">
        <v>1E-3</v>
      </c>
      <c r="I361" s="26">
        <v>1.2270000000000001</v>
      </c>
      <c r="J361" s="30">
        <v>0.41099999999999998</v>
      </c>
      <c r="K361" s="30">
        <v>9.9989999999999996E-4</v>
      </c>
    </row>
    <row r="362" spans="1:11">
      <c r="A362" s="15">
        <v>6</v>
      </c>
      <c r="B362" s="22">
        <v>40099</v>
      </c>
      <c r="C362" s="15">
        <v>2009</v>
      </c>
      <c r="D362" s="11" t="s">
        <v>36</v>
      </c>
      <c r="E362" s="12">
        <v>10</v>
      </c>
      <c r="F362" s="26">
        <v>7.2110000000000003</v>
      </c>
      <c r="G362" s="26">
        <v>2.8000000000000001E-2</v>
      </c>
      <c r="H362" s="26">
        <v>0.11899999999999999</v>
      </c>
      <c r="I362" s="26">
        <v>4.6539999999999999</v>
      </c>
      <c r="J362" s="30">
        <v>0.97099999999999997</v>
      </c>
      <c r="K362" s="30">
        <v>9.9989999999999996E-4</v>
      </c>
    </row>
    <row r="363" spans="1:11">
      <c r="A363" s="15">
        <v>8</v>
      </c>
      <c r="B363" s="22">
        <v>40100</v>
      </c>
      <c r="C363" s="15">
        <v>2009</v>
      </c>
      <c r="D363" s="11" t="s">
        <v>36</v>
      </c>
      <c r="E363" s="12">
        <v>10</v>
      </c>
      <c r="F363" s="26">
        <v>1.18</v>
      </c>
      <c r="G363" s="26">
        <v>1.2999999999999999E-2</v>
      </c>
      <c r="H363" s="26">
        <v>1E-3</v>
      </c>
      <c r="I363" s="26">
        <v>0.309</v>
      </c>
      <c r="J363" s="30">
        <v>8.9999999999999993E-3</v>
      </c>
      <c r="K363" s="30">
        <v>9.9989999999999996E-4</v>
      </c>
    </row>
    <row r="364" spans="1:11">
      <c r="A364" s="15">
        <v>15</v>
      </c>
      <c r="B364" s="22">
        <v>40100</v>
      </c>
      <c r="C364" s="15">
        <v>2009</v>
      </c>
      <c r="D364" s="11" t="s">
        <v>36</v>
      </c>
      <c r="E364" s="12">
        <v>10</v>
      </c>
      <c r="F364" s="26">
        <v>5.5419999999999998</v>
      </c>
      <c r="G364" s="26">
        <v>8.2000000000000003E-2</v>
      </c>
      <c r="H364" s="26">
        <v>9.9989999999999996E-4</v>
      </c>
      <c r="I364" s="26">
        <v>1.643</v>
      </c>
      <c r="J364" s="30">
        <v>8.5000000000000006E-2</v>
      </c>
      <c r="K364" s="30">
        <v>9.9989999999999996E-4</v>
      </c>
    </row>
    <row r="365" spans="1:11">
      <c r="A365" s="15">
        <v>6</v>
      </c>
      <c r="B365" s="22">
        <v>40133</v>
      </c>
      <c r="C365" s="15">
        <v>2009</v>
      </c>
      <c r="D365" s="11" t="s">
        <v>37</v>
      </c>
      <c r="E365" s="12">
        <v>11</v>
      </c>
      <c r="F365" s="26">
        <v>3.5150000000000001</v>
      </c>
      <c r="G365" s="26">
        <v>3.9E-2</v>
      </c>
      <c r="H365" s="26">
        <v>9.9989999999999996E-4</v>
      </c>
      <c r="I365" s="26">
        <v>0.82099999999999995</v>
      </c>
      <c r="J365" s="30">
        <v>3.7999999999999999E-2</v>
      </c>
      <c r="K365" s="30">
        <v>9.9989999999999996E-4</v>
      </c>
    </row>
    <row r="366" spans="1:11">
      <c r="A366" s="15">
        <v>8</v>
      </c>
      <c r="B366" s="22">
        <v>40133</v>
      </c>
      <c r="C366" s="15">
        <v>2009</v>
      </c>
      <c r="D366" s="11" t="s">
        <v>37</v>
      </c>
      <c r="E366" s="12">
        <v>11</v>
      </c>
      <c r="F366" s="26">
        <v>2.919</v>
      </c>
      <c r="G366" s="26">
        <v>0.113</v>
      </c>
      <c r="H366" s="26">
        <v>1E-3</v>
      </c>
      <c r="I366" s="26">
        <v>0.80100000000000005</v>
      </c>
      <c r="J366" s="30">
        <v>4.1000000000000002E-2</v>
      </c>
      <c r="K366" s="30">
        <v>9.9989999999999996E-4</v>
      </c>
    </row>
    <row r="367" spans="1:11">
      <c r="A367" s="15">
        <v>15</v>
      </c>
      <c r="B367" s="22">
        <v>40133</v>
      </c>
      <c r="C367" s="15">
        <v>2009</v>
      </c>
      <c r="D367" s="11" t="s">
        <v>37</v>
      </c>
      <c r="E367" s="12">
        <v>11</v>
      </c>
      <c r="F367" s="26">
        <v>3.758</v>
      </c>
      <c r="G367" s="26">
        <v>7.0999999999999994E-2</v>
      </c>
      <c r="H367" s="26">
        <v>1E-3</v>
      </c>
      <c r="I367" s="26">
        <v>1.129</v>
      </c>
      <c r="J367" s="30">
        <v>4.1000000000000002E-2</v>
      </c>
      <c r="K367" s="30">
        <v>9.9989999999999996E-4</v>
      </c>
    </row>
    <row r="368" spans="1:11">
      <c r="A368" s="15">
        <v>6</v>
      </c>
      <c r="B368" s="22">
        <v>40161</v>
      </c>
      <c r="C368" s="15">
        <v>2009</v>
      </c>
      <c r="D368" s="11" t="s">
        <v>38</v>
      </c>
      <c r="E368" s="12">
        <v>12</v>
      </c>
      <c r="F368" s="26">
        <v>2.84</v>
      </c>
      <c r="G368" s="26">
        <v>0.15</v>
      </c>
      <c r="H368" s="26">
        <v>0.02</v>
      </c>
      <c r="I368" s="64">
        <v>0.45800000000000002</v>
      </c>
      <c r="J368" s="30">
        <v>2.1000000000000001E-2</v>
      </c>
      <c r="K368" s="30">
        <v>9.9989999999999996E-4</v>
      </c>
    </row>
    <row r="369" spans="1:18">
      <c r="A369" s="15">
        <v>8</v>
      </c>
      <c r="B369" s="22">
        <v>40161</v>
      </c>
      <c r="C369" s="15">
        <v>2009</v>
      </c>
      <c r="D369" s="11" t="s">
        <v>38</v>
      </c>
      <c r="E369" s="12">
        <v>12</v>
      </c>
      <c r="F369" s="26">
        <v>2.5099999999999998</v>
      </c>
      <c r="G369" s="26">
        <v>4.8000000000000001E-2</v>
      </c>
      <c r="H369" s="26">
        <v>9.9989999999999996E-4</v>
      </c>
      <c r="I369" s="64">
        <v>0.63800000000000001</v>
      </c>
      <c r="J369" s="30">
        <v>1.0999999999999999E-2</v>
      </c>
      <c r="K369" s="30">
        <v>9.9989999999999996E-4</v>
      </c>
    </row>
    <row r="370" spans="1:18">
      <c r="A370" s="15">
        <v>15</v>
      </c>
      <c r="B370" s="22">
        <v>40161</v>
      </c>
      <c r="C370" s="15">
        <v>2009</v>
      </c>
      <c r="D370" s="11" t="s">
        <v>38</v>
      </c>
      <c r="E370" s="12">
        <v>12</v>
      </c>
      <c r="F370" s="26">
        <v>1.82</v>
      </c>
      <c r="G370" s="26">
        <v>7.0000000000000007E-2</v>
      </c>
      <c r="H370" s="26">
        <v>9.9989999999999996E-4</v>
      </c>
      <c r="I370" s="64">
        <v>0.31900000000000001</v>
      </c>
      <c r="J370" s="30">
        <v>8.9999999999999993E-3</v>
      </c>
      <c r="K370" s="30">
        <v>9.9989999999999996E-4</v>
      </c>
    </row>
    <row r="371" spans="1:18" ht="25.5">
      <c r="A371" s="50">
        <v>6</v>
      </c>
      <c r="B371" s="54">
        <v>40197</v>
      </c>
      <c r="C371" s="50">
        <v>2010</v>
      </c>
      <c r="D371" s="47" t="s">
        <v>39</v>
      </c>
      <c r="E371" s="45">
        <v>1</v>
      </c>
      <c r="F371" s="63">
        <v>4.9989999999999997</v>
      </c>
      <c r="G371" s="63">
        <v>8.9699249999999994E-2</v>
      </c>
      <c r="H371" s="63">
        <v>0</v>
      </c>
      <c r="I371" s="65">
        <v>1.9752213749999998</v>
      </c>
      <c r="J371" s="61">
        <v>2.1874625000000002E-2</v>
      </c>
      <c r="K371" s="61">
        <v>0</v>
      </c>
      <c r="L371" s="39" t="s">
        <v>42</v>
      </c>
      <c r="M371" s="6" t="s">
        <v>7</v>
      </c>
      <c r="N371" s="6" t="s">
        <v>8</v>
      </c>
      <c r="O371" s="6" t="s">
        <v>9</v>
      </c>
      <c r="P371" s="6" t="s">
        <v>10</v>
      </c>
      <c r="Q371" s="6" t="s">
        <v>11</v>
      </c>
      <c r="R371" s="6" t="s">
        <v>12</v>
      </c>
    </row>
    <row r="372" spans="1:18">
      <c r="A372" s="15">
        <v>8</v>
      </c>
      <c r="B372" s="19">
        <v>40197</v>
      </c>
      <c r="C372" s="15">
        <v>2010</v>
      </c>
      <c r="D372" s="11" t="s">
        <v>39</v>
      </c>
      <c r="E372" s="12">
        <v>1</v>
      </c>
      <c r="F372" s="26">
        <v>5.9050000000000002</v>
      </c>
      <c r="G372" s="26">
        <v>0.11726499999999999</v>
      </c>
      <c r="H372" s="26">
        <v>0</v>
      </c>
      <c r="I372" s="64">
        <v>2.4125623749999998</v>
      </c>
      <c r="J372" s="30">
        <v>1.5281125E-2</v>
      </c>
      <c r="K372" s="30">
        <v>0</v>
      </c>
      <c r="L372" s="39" t="s">
        <v>56</v>
      </c>
      <c r="M372" s="40">
        <f>AVERAGE(F371:F406)</f>
        <v>5.0898888888888871</v>
      </c>
      <c r="N372" s="40">
        <f t="shared" ref="N372:O372" si="10">AVERAGE(G371:G406)</f>
        <v>0.10835751180555557</v>
      </c>
      <c r="O372" s="40">
        <f t="shared" si="10"/>
        <v>5.173817569444443E-2</v>
      </c>
      <c r="P372" s="40">
        <f>AVERAGE(I371:I406)</f>
        <v>1.7366679374999994</v>
      </c>
      <c r="Q372" s="40">
        <f>AVERAGE(J371:J406)</f>
        <v>0.28722844027777783</v>
      </c>
      <c r="R372" s="40">
        <f>AVERAGE(K371:K406)</f>
        <v>1.2429965277777778E-3</v>
      </c>
    </row>
    <row r="373" spans="1:18">
      <c r="A373" s="15">
        <v>15</v>
      </c>
      <c r="B373" s="19">
        <v>40197</v>
      </c>
      <c r="C373" s="15">
        <v>2010</v>
      </c>
      <c r="D373" s="11" t="s">
        <v>39</v>
      </c>
      <c r="E373" s="12">
        <v>1</v>
      </c>
      <c r="F373" s="26">
        <v>4.7960000000000003</v>
      </c>
      <c r="G373" s="26">
        <v>0.172687375</v>
      </c>
      <c r="H373" s="26">
        <v>0</v>
      </c>
      <c r="I373" s="64">
        <v>1.8365761249999999</v>
      </c>
      <c r="J373" s="30">
        <v>2.3786000000000002E-2</v>
      </c>
      <c r="K373" s="30">
        <v>0</v>
      </c>
    </row>
    <row r="374" spans="1:18">
      <c r="A374" s="15">
        <v>6</v>
      </c>
      <c r="B374" s="19">
        <v>40226</v>
      </c>
      <c r="C374" s="15">
        <v>2010</v>
      </c>
      <c r="D374" s="11" t="s">
        <v>28</v>
      </c>
      <c r="E374" s="12">
        <v>2</v>
      </c>
      <c r="F374" s="26">
        <v>12.962999999999999</v>
      </c>
      <c r="G374" s="26">
        <v>0.40162474999999997</v>
      </c>
      <c r="H374" s="26">
        <v>0</v>
      </c>
      <c r="I374" s="64">
        <v>5.6583409999999992</v>
      </c>
      <c r="J374" s="30">
        <v>7.0670750000000004E-2</v>
      </c>
      <c r="K374" s="30">
        <v>0</v>
      </c>
    </row>
    <row r="375" spans="1:18">
      <c r="A375" s="15">
        <v>8</v>
      </c>
      <c r="C375" s="15">
        <v>2010</v>
      </c>
      <c r="D375" s="11" t="s">
        <v>28</v>
      </c>
      <c r="E375" s="12">
        <v>2</v>
      </c>
      <c r="F375" s="26">
        <v>6.0780000000000003</v>
      </c>
      <c r="G375" s="26">
        <v>1.2885874999999998E-2</v>
      </c>
      <c r="H375" s="26">
        <v>0</v>
      </c>
      <c r="I375" s="64">
        <v>1.420873625</v>
      </c>
      <c r="J375" s="30">
        <v>0.17010137499999997</v>
      </c>
      <c r="K375" s="30">
        <v>0</v>
      </c>
    </row>
    <row r="376" spans="1:18">
      <c r="A376" s="15">
        <v>15</v>
      </c>
      <c r="C376" s="15">
        <v>2010</v>
      </c>
      <c r="D376" s="11" t="s">
        <v>28</v>
      </c>
      <c r="E376" s="12">
        <v>2</v>
      </c>
      <c r="F376" s="26">
        <v>6.5510000000000002</v>
      </c>
      <c r="G376" s="26">
        <v>3.4054999999999995E-2</v>
      </c>
      <c r="H376" s="26">
        <v>0</v>
      </c>
      <c r="I376" s="64">
        <v>1.2893794999999997</v>
      </c>
      <c r="J376" s="30">
        <v>4.7679625000000003E-2</v>
      </c>
      <c r="K376" s="30">
        <v>0</v>
      </c>
    </row>
    <row r="377" spans="1:18">
      <c r="A377" s="15">
        <v>6</v>
      </c>
      <c r="B377" s="19">
        <v>40254</v>
      </c>
      <c r="C377" s="15">
        <v>2010</v>
      </c>
      <c r="D377" s="11" t="s">
        <v>29</v>
      </c>
      <c r="E377" s="12">
        <v>3</v>
      </c>
      <c r="F377" s="26">
        <v>6.1379999999999999</v>
      </c>
      <c r="G377" s="26">
        <v>0</v>
      </c>
      <c r="H377" s="26">
        <v>0</v>
      </c>
      <c r="I377" s="64">
        <v>2.5625428749999997</v>
      </c>
      <c r="J377" s="30">
        <v>5.5063624999999984E-2</v>
      </c>
      <c r="K377" s="30">
        <v>0</v>
      </c>
    </row>
    <row r="378" spans="1:18">
      <c r="A378" s="15">
        <v>8</v>
      </c>
      <c r="B378" s="19">
        <v>40255</v>
      </c>
      <c r="C378" s="15">
        <v>2010</v>
      </c>
      <c r="D378" s="11" t="s">
        <v>29</v>
      </c>
      <c r="E378" s="12">
        <v>3</v>
      </c>
      <c r="F378" s="26">
        <v>6.1959999999999997</v>
      </c>
      <c r="G378" s="26">
        <v>6.8309499999999995E-2</v>
      </c>
      <c r="H378" s="26">
        <v>0</v>
      </c>
      <c r="I378" s="64">
        <v>2.6467047499999996</v>
      </c>
      <c r="J378" s="30">
        <v>7.8760374999999994E-2</v>
      </c>
      <c r="K378" s="30">
        <v>0</v>
      </c>
    </row>
    <row r="379" spans="1:18">
      <c r="A379" s="15">
        <v>15</v>
      </c>
      <c r="B379" s="19">
        <v>40255</v>
      </c>
      <c r="C379" s="15">
        <v>2010</v>
      </c>
      <c r="D379" s="11" t="s">
        <v>29</v>
      </c>
      <c r="E379" s="12">
        <v>3</v>
      </c>
      <c r="F379" s="26">
        <v>6.1070000000000002</v>
      </c>
      <c r="G379" s="26">
        <v>2.5503999999999999E-2</v>
      </c>
      <c r="H379" s="26">
        <v>0</v>
      </c>
      <c r="I379" s="64">
        <v>2.5867329999999997</v>
      </c>
      <c r="J379" s="30">
        <v>8.5736499999999993E-2</v>
      </c>
      <c r="K379" s="30">
        <v>0</v>
      </c>
    </row>
    <row r="380" spans="1:18">
      <c r="A380" s="15">
        <v>6</v>
      </c>
      <c r="B380" s="19">
        <v>40280</v>
      </c>
      <c r="C380" s="15">
        <v>2010</v>
      </c>
      <c r="D380" s="11" t="s">
        <v>30</v>
      </c>
      <c r="E380" s="12">
        <v>4</v>
      </c>
      <c r="F380" s="26">
        <v>2.9020000000000001</v>
      </c>
      <c r="G380" s="26">
        <v>0</v>
      </c>
      <c r="H380" s="26">
        <v>0</v>
      </c>
      <c r="I380" s="64">
        <v>1.0030531250000001</v>
      </c>
      <c r="J380" s="30">
        <v>3.3315749999999998E-2</v>
      </c>
      <c r="K380" s="30">
        <v>0</v>
      </c>
    </row>
    <row r="381" spans="1:18">
      <c r="A381" s="15">
        <v>8</v>
      </c>
      <c r="B381" s="19">
        <v>40281</v>
      </c>
      <c r="C381" s="15">
        <v>2010</v>
      </c>
      <c r="D381" s="11" t="s">
        <v>30</v>
      </c>
      <c r="E381" s="12">
        <v>4</v>
      </c>
      <c r="F381" s="26">
        <v>0.80500000000000005</v>
      </c>
      <c r="G381" s="26">
        <v>2.9824375000000004E-2</v>
      </c>
      <c r="H381" s="26">
        <v>0</v>
      </c>
      <c r="I381" s="64">
        <v>0.15340712499999998</v>
      </c>
      <c r="J381" s="30">
        <v>6.3816250000000001E-3</v>
      </c>
      <c r="K381" s="30">
        <v>0</v>
      </c>
    </row>
    <row r="382" spans="1:18">
      <c r="A382" s="15">
        <v>15</v>
      </c>
      <c r="B382" s="19">
        <v>40281</v>
      </c>
      <c r="C382" s="15">
        <v>2010</v>
      </c>
      <c r="D382" s="11" t="s">
        <v>30</v>
      </c>
      <c r="E382" s="12">
        <v>4</v>
      </c>
      <c r="F382" s="26">
        <v>1.873</v>
      </c>
      <c r="G382" s="26">
        <v>0.14003712500000001</v>
      </c>
      <c r="H382" s="26">
        <v>0</v>
      </c>
      <c r="I382" s="64">
        <v>0.43758524999999993</v>
      </c>
      <c r="J382" s="30">
        <v>1.3408500000000002E-2</v>
      </c>
      <c r="K382" s="30">
        <v>0</v>
      </c>
    </row>
    <row r="383" spans="1:18">
      <c r="A383" s="15">
        <v>6</v>
      </c>
      <c r="B383" s="22">
        <v>40315</v>
      </c>
      <c r="C383" s="15">
        <v>2010</v>
      </c>
      <c r="D383" s="11" t="s">
        <v>31</v>
      </c>
      <c r="E383" s="12">
        <v>5</v>
      </c>
      <c r="F383" s="27">
        <v>6.8540000000000001</v>
      </c>
      <c r="G383" s="27">
        <v>0.11470087499999998</v>
      </c>
      <c r="H383" s="27">
        <v>0.81112087499999985</v>
      </c>
      <c r="I383" s="27">
        <v>3.84321175</v>
      </c>
      <c r="J383" s="27">
        <v>0.23109987499999998</v>
      </c>
      <c r="K383" s="27">
        <v>4.4747874999999999E-2</v>
      </c>
    </row>
    <row r="384" spans="1:18">
      <c r="A384" s="15">
        <v>8</v>
      </c>
      <c r="B384" s="22">
        <v>40317</v>
      </c>
      <c r="C384" s="15">
        <v>2010</v>
      </c>
      <c r="D384" s="11" t="s">
        <v>31</v>
      </c>
      <c r="E384" s="12">
        <v>5</v>
      </c>
      <c r="F384" s="27">
        <v>1.6919999999999999</v>
      </c>
      <c r="G384" s="27">
        <v>1.661325E-2</v>
      </c>
      <c r="H384" s="27">
        <v>0</v>
      </c>
      <c r="I384" s="27">
        <v>0.55132612499999989</v>
      </c>
      <c r="J384" s="27">
        <v>2.2913999999999997E-2</v>
      </c>
      <c r="K384" s="27">
        <v>0</v>
      </c>
    </row>
    <row r="385" spans="1:11">
      <c r="A385" s="15">
        <v>15</v>
      </c>
      <c r="B385" s="22">
        <v>40317</v>
      </c>
      <c r="C385" s="15">
        <v>2010</v>
      </c>
      <c r="D385" s="11" t="s">
        <v>31</v>
      </c>
      <c r="E385" s="12">
        <v>5</v>
      </c>
      <c r="F385" s="27">
        <v>4.1239999999999997</v>
      </c>
      <c r="G385" s="27">
        <v>1.7090500000000002E-2</v>
      </c>
      <c r="H385" s="27">
        <v>0.52261687499999987</v>
      </c>
      <c r="I385" s="27">
        <v>2.1057296249999999</v>
      </c>
      <c r="J385" s="27">
        <v>0.41578087499999988</v>
      </c>
      <c r="K385" s="27">
        <v>0</v>
      </c>
    </row>
    <row r="386" spans="1:11">
      <c r="A386" s="15">
        <v>6</v>
      </c>
      <c r="B386" s="22">
        <v>40344</v>
      </c>
      <c r="C386" s="15">
        <v>2010</v>
      </c>
      <c r="D386" s="11" t="s">
        <v>32</v>
      </c>
      <c r="E386" s="12">
        <v>6</v>
      </c>
      <c r="F386" s="27">
        <v>9.5589999999999993</v>
      </c>
      <c r="G386" s="27">
        <v>0.172917875</v>
      </c>
      <c r="H386" s="27">
        <v>0</v>
      </c>
      <c r="I386" s="27">
        <v>2.0582235</v>
      </c>
      <c r="J386" s="27">
        <v>1.2212901249999997</v>
      </c>
      <c r="K386" s="27">
        <v>0</v>
      </c>
    </row>
    <row r="387" spans="1:11">
      <c r="A387" s="15">
        <v>8</v>
      </c>
      <c r="B387" s="22">
        <v>40345</v>
      </c>
      <c r="C387" s="15">
        <v>2010</v>
      </c>
      <c r="D387" s="11" t="s">
        <v>32</v>
      </c>
      <c r="E387" s="12">
        <v>6</v>
      </c>
      <c r="F387" s="27">
        <v>4.774</v>
      </c>
      <c r="G387" s="27">
        <v>0.17781674999999997</v>
      </c>
      <c r="H387" s="27">
        <v>0</v>
      </c>
      <c r="I387" s="27">
        <v>1.3392356249999999</v>
      </c>
      <c r="J387" s="27">
        <v>8.3474999999999994E-2</v>
      </c>
      <c r="K387" s="27">
        <v>0</v>
      </c>
    </row>
    <row r="388" spans="1:11">
      <c r="A388" s="15">
        <v>15</v>
      </c>
      <c r="B388" s="22">
        <v>40345</v>
      </c>
      <c r="C388" s="15">
        <v>2010</v>
      </c>
      <c r="D388" s="11" t="s">
        <v>32</v>
      </c>
      <c r="E388" s="12">
        <v>6</v>
      </c>
      <c r="F388" s="27">
        <v>3.863</v>
      </c>
      <c r="G388" s="27">
        <v>8.1293500000000005E-2</v>
      </c>
      <c r="H388" s="27">
        <v>7.1072499999999997E-2</v>
      </c>
      <c r="I388" s="27">
        <v>0.90657987500000015</v>
      </c>
      <c r="J388" s="27">
        <v>0.91202050000000012</v>
      </c>
      <c r="K388" s="27">
        <v>0</v>
      </c>
    </row>
    <row r="389" spans="1:11">
      <c r="A389" s="15">
        <v>6</v>
      </c>
      <c r="B389" s="22">
        <v>40374</v>
      </c>
      <c r="C389" s="15">
        <v>2010</v>
      </c>
      <c r="D389" s="11" t="s">
        <v>33</v>
      </c>
      <c r="E389" s="12">
        <v>7</v>
      </c>
      <c r="F389" s="27">
        <v>7.5309999999999997</v>
      </c>
      <c r="G389" s="27">
        <v>0.12337099999999999</v>
      </c>
      <c r="H389" s="27">
        <v>2.6966624999999998E-2</v>
      </c>
      <c r="I389" s="27">
        <v>0.98062062499999991</v>
      </c>
      <c r="J389" s="27">
        <v>1.8868426250000001</v>
      </c>
      <c r="K389" s="27">
        <v>0</v>
      </c>
    </row>
    <row r="390" spans="1:11">
      <c r="A390" s="15">
        <v>8</v>
      </c>
      <c r="B390" s="22">
        <v>40374</v>
      </c>
      <c r="C390" s="15">
        <v>2010</v>
      </c>
      <c r="D390" s="11" t="s">
        <v>33</v>
      </c>
      <c r="E390" s="12">
        <v>7</v>
      </c>
      <c r="F390" s="27">
        <v>5.3780000000000001</v>
      </c>
      <c r="G390" s="27">
        <v>0.28138974999999999</v>
      </c>
      <c r="H390" s="27">
        <v>0</v>
      </c>
      <c r="I390" s="27">
        <v>1.9705622499999997</v>
      </c>
      <c r="J390" s="27">
        <v>9.4454125E-2</v>
      </c>
      <c r="K390" s="27">
        <v>0</v>
      </c>
    </row>
    <row r="391" spans="1:11">
      <c r="A391" s="15">
        <v>15</v>
      </c>
      <c r="B391" s="22">
        <v>40374</v>
      </c>
      <c r="C391" s="15">
        <v>2010</v>
      </c>
      <c r="D391" s="11" t="s">
        <v>33</v>
      </c>
      <c r="E391" s="12">
        <v>7</v>
      </c>
      <c r="F391" s="27">
        <v>5.258</v>
      </c>
      <c r="G391" s="27">
        <v>0.20745437500000002</v>
      </c>
      <c r="H391" s="27">
        <v>2.6513999999999999E-2</v>
      </c>
      <c r="I391" s="27">
        <v>1.6579238750000003</v>
      </c>
      <c r="J391" s="27">
        <v>0.72480949999999988</v>
      </c>
      <c r="K391" s="27">
        <v>0</v>
      </c>
    </row>
    <row r="392" spans="1:11">
      <c r="A392" s="15">
        <v>6</v>
      </c>
      <c r="B392" s="22">
        <v>40407</v>
      </c>
      <c r="C392" s="15">
        <v>2010</v>
      </c>
      <c r="D392" s="11" t="s">
        <v>34</v>
      </c>
      <c r="E392" s="12">
        <v>8</v>
      </c>
      <c r="F392" s="27">
        <v>6.5019999999999998</v>
      </c>
      <c r="G392" s="27">
        <v>0.29048337499999999</v>
      </c>
      <c r="H392" s="27">
        <v>0</v>
      </c>
      <c r="I392" s="27">
        <v>1.7452052499999997</v>
      </c>
      <c r="J392" s="27">
        <v>1.2353462500000001</v>
      </c>
      <c r="K392" s="27">
        <v>0</v>
      </c>
    </row>
    <row r="393" spans="1:11">
      <c r="A393" s="15">
        <v>8</v>
      </c>
      <c r="B393" s="22">
        <v>40409</v>
      </c>
      <c r="C393" s="15">
        <v>2010</v>
      </c>
      <c r="D393" s="11" t="s">
        <v>34</v>
      </c>
      <c r="E393" s="12">
        <v>8</v>
      </c>
      <c r="F393" s="27">
        <v>6.0250000000000004</v>
      </c>
      <c r="G393" s="27">
        <v>0.45027587499999994</v>
      </c>
      <c r="H393" s="27">
        <v>0</v>
      </c>
      <c r="I393" s="27">
        <v>2.0735653749999998</v>
      </c>
      <c r="J393" s="27">
        <v>8.6458624999999997E-2</v>
      </c>
      <c r="K393" s="27">
        <v>0</v>
      </c>
    </row>
    <row r="394" spans="1:11">
      <c r="A394" s="15">
        <v>15</v>
      </c>
      <c r="B394" s="22">
        <v>40409</v>
      </c>
      <c r="C394" s="15">
        <v>2010</v>
      </c>
      <c r="D394" s="11" t="s">
        <v>34</v>
      </c>
      <c r="E394" s="12">
        <v>8</v>
      </c>
      <c r="F394" s="27">
        <v>7.1319999999999997</v>
      </c>
      <c r="G394" s="27">
        <v>0.11062099999999998</v>
      </c>
      <c r="H394" s="27">
        <v>0</v>
      </c>
      <c r="I394" s="27">
        <v>3.0616693750000001</v>
      </c>
      <c r="J394" s="27">
        <v>0.42832524999999994</v>
      </c>
      <c r="K394" s="27">
        <v>0</v>
      </c>
    </row>
    <row r="395" spans="1:11">
      <c r="A395" s="15">
        <v>6</v>
      </c>
      <c r="B395" s="22">
        <v>40436</v>
      </c>
      <c r="C395" s="15">
        <v>2010</v>
      </c>
      <c r="D395" s="11" t="s">
        <v>40</v>
      </c>
      <c r="E395" s="12">
        <v>9</v>
      </c>
      <c r="F395" s="27">
        <v>8.3450000000000006</v>
      </c>
      <c r="G395" s="27">
        <v>0.13136600000000001</v>
      </c>
      <c r="H395" s="27">
        <v>6.0940124999999998E-2</v>
      </c>
      <c r="I395" s="27">
        <v>3.6247561249999998</v>
      </c>
      <c r="J395" s="27">
        <v>0.608402</v>
      </c>
      <c r="K395" s="27">
        <v>0</v>
      </c>
    </row>
    <row r="396" spans="1:11">
      <c r="A396" s="15">
        <v>8</v>
      </c>
      <c r="B396" s="22">
        <v>40434</v>
      </c>
      <c r="C396" s="15">
        <v>2010</v>
      </c>
      <c r="D396" s="11" t="s">
        <v>40</v>
      </c>
      <c r="E396" s="12">
        <v>9</v>
      </c>
      <c r="F396" s="27">
        <v>6.6950000000000003</v>
      </c>
      <c r="G396" s="27">
        <v>5.3241875000000001E-2</v>
      </c>
      <c r="H396" s="27">
        <v>0</v>
      </c>
      <c r="I396" s="27">
        <v>2.5509623750000006</v>
      </c>
      <c r="J396" s="27">
        <v>9.3220249999999991E-2</v>
      </c>
      <c r="K396" s="27">
        <v>0</v>
      </c>
    </row>
    <row r="397" spans="1:11">
      <c r="A397" s="15">
        <v>15</v>
      </c>
      <c r="B397" s="22">
        <v>40434</v>
      </c>
      <c r="C397" s="15">
        <v>2010</v>
      </c>
      <c r="D397" s="11" t="s">
        <v>40</v>
      </c>
      <c r="E397" s="12">
        <v>9</v>
      </c>
      <c r="F397" s="27">
        <v>5.4589999999999996</v>
      </c>
      <c r="G397" s="27">
        <v>4.2189625000000001E-2</v>
      </c>
      <c r="H397" s="27">
        <v>0</v>
      </c>
      <c r="I397" s="27">
        <v>1.8076376249999999</v>
      </c>
      <c r="J397" s="27">
        <v>0.73892062499999989</v>
      </c>
      <c r="K397" s="27">
        <v>0</v>
      </c>
    </row>
    <row r="398" spans="1:11">
      <c r="A398" s="15">
        <v>6</v>
      </c>
      <c r="B398" s="22">
        <v>40464</v>
      </c>
      <c r="C398" s="15">
        <v>2010</v>
      </c>
      <c r="D398" s="11" t="s">
        <v>36</v>
      </c>
      <c r="E398" s="12">
        <v>10</v>
      </c>
      <c r="F398" s="26">
        <v>6.468</v>
      </c>
      <c r="G398" s="26">
        <v>8.3711499999999994E-2</v>
      </c>
      <c r="H398" s="26">
        <v>0</v>
      </c>
      <c r="I398" s="26">
        <v>2.4023811249999998</v>
      </c>
      <c r="J398" s="30">
        <v>0.27667025000000001</v>
      </c>
      <c r="K398" s="30">
        <v>0</v>
      </c>
    </row>
    <row r="399" spans="1:11">
      <c r="A399" s="15">
        <v>8</v>
      </c>
      <c r="B399" s="22">
        <v>40463</v>
      </c>
      <c r="C399" s="15">
        <v>2010</v>
      </c>
      <c r="D399" s="11" t="s">
        <v>36</v>
      </c>
      <c r="E399" s="12">
        <v>10</v>
      </c>
      <c r="F399" s="26">
        <v>3.1059999999999999</v>
      </c>
      <c r="G399" s="26">
        <v>2.2666374999999999E-2</v>
      </c>
      <c r="H399" s="26">
        <v>0</v>
      </c>
      <c r="I399" s="26">
        <v>0.60815112500000001</v>
      </c>
      <c r="J399" s="30">
        <v>2.9628374999999998E-2</v>
      </c>
      <c r="K399" s="30">
        <v>0</v>
      </c>
    </row>
    <row r="400" spans="1:11">
      <c r="A400" s="15">
        <v>15</v>
      </c>
      <c r="B400" s="22">
        <v>40463</v>
      </c>
      <c r="C400" s="15">
        <v>2010</v>
      </c>
      <c r="D400" s="11" t="s">
        <v>36</v>
      </c>
      <c r="E400" s="12">
        <v>10</v>
      </c>
      <c r="F400" s="26">
        <v>3.3380000000000001</v>
      </c>
      <c r="G400" s="26">
        <v>1.5332000000000002E-2</v>
      </c>
      <c r="H400" s="26">
        <v>0</v>
      </c>
      <c r="I400" s="26">
        <v>0.50218775000000004</v>
      </c>
      <c r="J400" s="30">
        <v>0.1522995</v>
      </c>
      <c r="K400" s="30">
        <v>0</v>
      </c>
    </row>
    <row r="401" spans="1:18">
      <c r="A401" s="15">
        <v>6</v>
      </c>
      <c r="B401" s="22">
        <v>40498</v>
      </c>
      <c r="C401" s="15">
        <v>2010</v>
      </c>
      <c r="D401" s="11" t="s">
        <v>37</v>
      </c>
      <c r="E401" s="12">
        <v>11</v>
      </c>
      <c r="F401" s="26">
        <v>1.373</v>
      </c>
      <c r="G401" s="26">
        <v>4.6619749999999995E-2</v>
      </c>
      <c r="H401" s="26">
        <v>0</v>
      </c>
      <c r="I401" s="26">
        <v>0.24493424999999996</v>
      </c>
      <c r="J401" s="30">
        <v>1.5401875000000001E-2</v>
      </c>
      <c r="K401" s="30">
        <v>0</v>
      </c>
    </row>
    <row r="402" spans="1:18">
      <c r="A402" s="15">
        <v>8</v>
      </c>
      <c r="B402" s="22">
        <v>40500</v>
      </c>
      <c r="C402" s="15">
        <v>2010</v>
      </c>
      <c r="D402" s="11" t="s">
        <v>37</v>
      </c>
      <c r="E402" s="12">
        <v>11</v>
      </c>
      <c r="F402" s="26">
        <v>2.5230000000000001</v>
      </c>
      <c r="G402" s="26">
        <v>6.6786125000000016E-2</v>
      </c>
      <c r="H402" s="26">
        <v>0</v>
      </c>
      <c r="I402" s="26">
        <v>0.54801999999999995</v>
      </c>
      <c r="J402" s="30">
        <v>1.3466000000000001E-2</v>
      </c>
      <c r="K402" s="30">
        <v>0</v>
      </c>
    </row>
    <row r="403" spans="1:18">
      <c r="A403" s="15">
        <v>15</v>
      </c>
      <c r="B403" s="22">
        <v>40500</v>
      </c>
      <c r="C403" s="15">
        <v>2010</v>
      </c>
      <c r="D403" s="11" t="s">
        <v>37</v>
      </c>
      <c r="E403" s="12">
        <v>11</v>
      </c>
      <c r="F403" s="26">
        <v>3.8769999999999998</v>
      </c>
      <c r="G403" s="26">
        <v>0.23588512499999995</v>
      </c>
      <c r="H403" s="26">
        <v>0</v>
      </c>
      <c r="I403" s="26">
        <v>0.92351037500000011</v>
      </c>
      <c r="J403" s="30">
        <v>0.14167325</v>
      </c>
      <c r="K403" s="30">
        <v>0</v>
      </c>
    </row>
    <row r="404" spans="1:18">
      <c r="A404" s="15">
        <v>6</v>
      </c>
      <c r="B404" s="22">
        <v>40520</v>
      </c>
      <c r="C404" s="15">
        <v>2010</v>
      </c>
      <c r="D404" s="11" t="s">
        <v>38</v>
      </c>
      <c r="E404" s="12">
        <v>12</v>
      </c>
      <c r="F404" s="26">
        <v>3.7120000000000002</v>
      </c>
      <c r="G404" s="26">
        <v>1.8746799999999997E-2</v>
      </c>
      <c r="H404" s="26">
        <v>0.19244220000000001</v>
      </c>
      <c r="I404" s="26">
        <v>1.552262</v>
      </c>
      <c r="J404" s="30">
        <v>0.20973059999999999</v>
      </c>
      <c r="K404" s="30">
        <v>0</v>
      </c>
    </row>
    <row r="405" spans="1:18">
      <c r="A405" s="15">
        <v>8</v>
      </c>
      <c r="B405" s="22">
        <v>40521</v>
      </c>
      <c r="C405" s="15">
        <v>2010</v>
      </c>
      <c r="D405" s="11" t="s">
        <v>38</v>
      </c>
      <c r="E405" s="12">
        <v>12</v>
      </c>
      <c r="F405" s="26">
        <v>1.1579999999999999</v>
      </c>
      <c r="G405" s="26">
        <v>0</v>
      </c>
      <c r="H405" s="26">
        <v>0</v>
      </c>
      <c r="I405" s="26">
        <v>0.29790074999999999</v>
      </c>
      <c r="J405" s="30">
        <v>1.3161124999999999E-2</v>
      </c>
      <c r="K405" s="30">
        <v>0</v>
      </c>
    </row>
    <row r="406" spans="1:18">
      <c r="A406" s="15">
        <v>15</v>
      </c>
      <c r="B406" s="22">
        <v>40521</v>
      </c>
      <c r="C406" s="15">
        <v>2010</v>
      </c>
      <c r="D406" s="11" t="s">
        <v>38</v>
      </c>
      <c r="E406" s="12">
        <v>12</v>
      </c>
      <c r="F406" s="26">
        <v>3.177</v>
      </c>
      <c r="G406" s="26">
        <v>4.8404875E-2</v>
      </c>
      <c r="H406" s="26">
        <v>0.150901125</v>
      </c>
      <c r="I406" s="26">
        <v>1.1805088749999999</v>
      </c>
      <c r="J406" s="30">
        <v>8.2773374999999969E-2</v>
      </c>
      <c r="K406" s="30">
        <v>0</v>
      </c>
    </row>
    <row r="407" spans="1:18" ht="25.5">
      <c r="A407" s="50">
        <v>6</v>
      </c>
      <c r="B407" s="57">
        <v>40562</v>
      </c>
      <c r="C407" s="50">
        <v>2011</v>
      </c>
      <c r="D407" s="47" t="s">
        <v>39</v>
      </c>
      <c r="E407" s="45">
        <v>1</v>
      </c>
      <c r="F407" s="63">
        <v>2.3679999999999999</v>
      </c>
      <c r="G407" s="63">
        <v>3.8716624999999998E-2</v>
      </c>
      <c r="H407" s="63">
        <v>1.6514999999999998E-2</v>
      </c>
      <c r="I407" s="63">
        <v>0.6569546249999999</v>
      </c>
      <c r="J407" s="61">
        <v>1.0345E-2</v>
      </c>
      <c r="K407" s="61">
        <v>0</v>
      </c>
      <c r="L407" s="39" t="s">
        <v>42</v>
      </c>
      <c r="M407" s="6" t="s">
        <v>7</v>
      </c>
      <c r="N407" s="6" t="s">
        <v>8</v>
      </c>
      <c r="O407" s="6" t="s">
        <v>9</v>
      </c>
      <c r="P407" s="6" t="s">
        <v>10</v>
      </c>
      <c r="Q407" s="6" t="s">
        <v>11</v>
      </c>
      <c r="R407" s="6" t="s">
        <v>12</v>
      </c>
    </row>
    <row r="408" spans="1:18">
      <c r="A408" s="15">
        <v>8</v>
      </c>
      <c r="B408" s="22">
        <v>40563</v>
      </c>
      <c r="C408" s="15">
        <v>2011</v>
      </c>
      <c r="D408" s="11" t="s">
        <v>39</v>
      </c>
      <c r="E408" s="12">
        <v>1</v>
      </c>
      <c r="F408" s="26">
        <v>2.976</v>
      </c>
      <c r="G408" s="26">
        <v>2.8506499999999997E-2</v>
      </c>
      <c r="H408" s="26">
        <v>0</v>
      </c>
      <c r="I408" s="26">
        <v>1.1207971249999999</v>
      </c>
      <c r="J408" s="30">
        <v>1.1605625E-2</v>
      </c>
      <c r="K408" s="30">
        <v>0</v>
      </c>
      <c r="L408" s="39" t="s">
        <v>58</v>
      </c>
      <c r="M408" s="40">
        <f>AVERAGE(F407:F442)</f>
        <v>3.6390555555555557</v>
      </c>
      <c r="N408" s="40">
        <f t="shared" ref="N408:O408" si="11">AVERAGE(G407:G442)</f>
        <v>8.9569826388888871E-2</v>
      </c>
      <c r="O408" s="40">
        <f t="shared" si="11"/>
        <v>9.2700555555555557E-3</v>
      </c>
      <c r="P408" s="40">
        <f>AVERAGE(I407:I442)</f>
        <v>1.1861837847222221</v>
      </c>
      <c r="Q408" s="40">
        <f>AVERAGE(J407:J442)</f>
        <v>0.17227399652777778</v>
      </c>
      <c r="R408" s="40">
        <f>AVERAGE(K407:K442)</f>
        <v>7.3454861111111095E-4</v>
      </c>
    </row>
    <row r="409" spans="1:18">
      <c r="A409" s="15">
        <v>15</v>
      </c>
      <c r="B409" s="22">
        <v>40563</v>
      </c>
      <c r="C409" s="15">
        <v>2011</v>
      </c>
      <c r="D409" s="11" t="s">
        <v>39</v>
      </c>
      <c r="E409" s="12">
        <v>1</v>
      </c>
      <c r="F409" s="26">
        <v>3.0059999999999998</v>
      </c>
      <c r="G409" s="26">
        <v>7.6381624999999995E-2</v>
      </c>
      <c r="H409" s="26">
        <v>0</v>
      </c>
      <c r="I409" s="26">
        <v>0.97548137499999998</v>
      </c>
      <c r="J409" s="30">
        <v>2.4199374999999999E-2</v>
      </c>
      <c r="K409" s="30">
        <v>0</v>
      </c>
    </row>
    <row r="410" spans="1:18">
      <c r="A410" s="15">
        <v>6</v>
      </c>
      <c r="B410" s="22">
        <v>40591</v>
      </c>
      <c r="C410" s="15">
        <v>2011</v>
      </c>
      <c r="D410" s="11" t="s">
        <v>28</v>
      </c>
      <c r="E410" s="15">
        <v>2</v>
      </c>
      <c r="F410" s="26">
        <v>1.8620000000000001</v>
      </c>
      <c r="G410" s="26">
        <v>0.14291262499999999</v>
      </c>
      <c r="H410" s="26">
        <v>1.8867749999999999E-2</v>
      </c>
      <c r="I410" s="26">
        <v>0.6824572499999999</v>
      </c>
      <c r="J410" s="30">
        <v>1.6084374999999998E-2</v>
      </c>
      <c r="K410" s="30">
        <v>0</v>
      </c>
    </row>
    <row r="411" spans="1:18">
      <c r="A411" s="15">
        <v>8</v>
      </c>
      <c r="B411" s="22">
        <v>40598</v>
      </c>
      <c r="C411" s="15">
        <v>2011</v>
      </c>
      <c r="D411" s="11" t="s">
        <v>28</v>
      </c>
      <c r="E411" s="15">
        <v>2</v>
      </c>
      <c r="F411" s="26">
        <v>4.9710000000000001</v>
      </c>
      <c r="G411" s="26">
        <v>6.3637374999999996E-2</v>
      </c>
      <c r="H411" s="26">
        <v>0</v>
      </c>
      <c r="I411" s="26">
        <v>2.0230118749999999</v>
      </c>
      <c r="J411" s="30">
        <v>2.3078624999999998E-2</v>
      </c>
      <c r="K411" s="30">
        <v>0</v>
      </c>
    </row>
    <row r="412" spans="1:18">
      <c r="A412" s="15">
        <v>15</v>
      </c>
      <c r="B412" s="22">
        <v>40598</v>
      </c>
      <c r="C412" s="15">
        <v>2011</v>
      </c>
      <c r="D412" s="11" t="s">
        <v>28</v>
      </c>
      <c r="E412" s="15">
        <v>2</v>
      </c>
      <c r="F412" s="26">
        <v>2.8839999999999999</v>
      </c>
      <c r="G412" s="26">
        <v>6.588200000000001E-2</v>
      </c>
      <c r="H412" s="26">
        <v>0</v>
      </c>
      <c r="I412" s="26">
        <v>1.0552923750000001</v>
      </c>
      <c r="J412" s="30">
        <v>1.073525E-2</v>
      </c>
      <c r="K412" s="30">
        <v>0</v>
      </c>
    </row>
    <row r="413" spans="1:18">
      <c r="A413" s="15">
        <v>6</v>
      </c>
      <c r="B413" s="22">
        <v>40619</v>
      </c>
      <c r="C413" s="15">
        <v>2011</v>
      </c>
      <c r="D413" s="11" t="s">
        <v>29</v>
      </c>
      <c r="E413" s="15">
        <v>3</v>
      </c>
      <c r="F413" s="26">
        <v>1.2869999999999999</v>
      </c>
      <c r="G413" s="26">
        <v>0</v>
      </c>
      <c r="H413" s="26">
        <v>0</v>
      </c>
      <c r="I413" s="26">
        <v>0.46725375000000008</v>
      </c>
      <c r="J413" s="30">
        <v>1.0146624999999999E-2</v>
      </c>
      <c r="K413" s="30">
        <v>0</v>
      </c>
    </row>
    <row r="414" spans="1:18">
      <c r="A414" s="15">
        <v>8</v>
      </c>
      <c r="B414" s="22">
        <v>40617</v>
      </c>
      <c r="C414" s="15">
        <v>2011</v>
      </c>
      <c r="D414" s="11" t="s">
        <v>29</v>
      </c>
      <c r="E414" s="15">
        <v>3</v>
      </c>
      <c r="F414" s="26">
        <v>2.1829999999999998</v>
      </c>
      <c r="G414" s="26">
        <v>6.9755999999999985E-2</v>
      </c>
      <c r="H414" s="26">
        <v>0</v>
      </c>
      <c r="I414" s="26">
        <v>0.8618627499999999</v>
      </c>
      <c r="J414" s="30">
        <v>9.0141249999999996E-3</v>
      </c>
      <c r="K414" s="30">
        <v>0</v>
      </c>
    </row>
    <row r="415" spans="1:18">
      <c r="A415" s="15">
        <v>15</v>
      </c>
      <c r="B415" s="22">
        <v>40617</v>
      </c>
      <c r="C415" s="15">
        <v>2011</v>
      </c>
      <c r="D415" s="11" t="s">
        <v>29</v>
      </c>
      <c r="E415" s="15">
        <v>3</v>
      </c>
      <c r="F415" s="26">
        <v>2.274</v>
      </c>
      <c r="G415" s="26">
        <v>3.2497374999999995E-2</v>
      </c>
      <c r="H415" s="26">
        <v>0</v>
      </c>
      <c r="I415" s="26">
        <v>1.0012592499999999</v>
      </c>
      <c r="J415" s="30">
        <v>1.3963375E-2</v>
      </c>
      <c r="K415" s="30">
        <v>0</v>
      </c>
    </row>
    <row r="416" spans="1:18">
      <c r="A416" s="15">
        <v>6</v>
      </c>
      <c r="B416" s="22">
        <v>40646</v>
      </c>
      <c r="C416" s="15">
        <v>2011</v>
      </c>
      <c r="D416" s="11" t="s">
        <v>30</v>
      </c>
      <c r="E416" s="15">
        <v>4</v>
      </c>
      <c r="F416" s="26">
        <v>1.804</v>
      </c>
      <c r="G416" s="26">
        <v>7.2535500000000003E-2</v>
      </c>
      <c r="H416" s="26">
        <v>0</v>
      </c>
      <c r="I416" s="26">
        <v>0.15437962499999999</v>
      </c>
      <c r="J416" s="30">
        <v>1.16375E-2</v>
      </c>
      <c r="K416" s="30">
        <v>0</v>
      </c>
    </row>
    <row r="417" spans="1:11">
      <c r="A417" s="15">
        <v>8</v>
      </c>
      <c r="B417" s="22">
        <v>40647</v>
      </c>
      <c r="C417" s="15">
        <v>2011</v>
      </c>
      <c r="D417" s="11" t="s">
        <v>30</v>
      </c>
      <c r="E417" s="15">
        <v>4</v>
      </c>
      <c r="F417" s="26">
        <v>1.5169999999999999</v>
      </c>
      <c r="G417" s="26">
        <v>7.8067624999999988E-2</v>
      </c>
      <c r="H417" s="26">
        <v>0</v>
      </c>
      <c r="I417" s="26">
        <v>0.20082874999999997</v>
      </c>
      <c r="J417" s="30">
        <v>6.4710000000000002E-3</v>
      </c>
      <c r="K417" s="30">
        <v>0</v>
      </c>
    </row>
    <row r="418" spans="1:11">
      <c r="A418" s="15">
        <v>15</v>
      </c>
      <c r="B418" s="22">
        <v>40647</v>
      </c>
      <c r="C418" s="15">
        <v>2011</v>
      </c>
      <c r="D418" s="11" t="s">
        <v>30</v>
      </c>
      <c r="E418" s="15">
        <v>4</v>
      </c>
      <c r="F418" s="26">
        <v>1.119</v>
      </c>
      <c r="G418" s="26">
        <v>0.10485512499999999</v>
      </c>
      <c r="H418" s="26">
        <v>0</v>
      </c>
      <c r="I418" s="26">
        <v>0.136097</v>
      </c>
      <c r="J418" s="30">
        <v>9.8975E-3</v>
      </c>
      <c r="K418" s="30">
        <v>0</v>
      </c>
    </row>
    <row r="419" spans="1:11">
      <c r="A419" s="15">
        <v>6</v>
      </c>
      <c r="B419" s="22">
        <v>40681</v>
      </c>
      <c r="C419" s="15">
        <v>2011</v>
      </c>
      <c r="D419" s="11" t="s">
        <v>31</v>
      </c>
      <c r="E419" s="15">
        <v>5</v>
      </c>
      <c r="F419" s="26">
        <v>3.1560000000000001</v>
      </c>
      <c r="G419" s="26">
        <v>3.750574999999999E-2</v>
      </c>
      <c r="H419" s="26">
        <v>0.182752625</v>
      </c>
      <c r="I419" s="26">
        <v>1.3817578749999997</v>
      </c>
      <c r="J419" s="30">
        <v>0.34382800000000008</v>
      </c>
      <c r="K419" s="30">
        <v>0</v>
      </c>
    </row>
    <row r="420" spans="1:11">
      <c r="A420" s="15">
        <v>8</v>
      </c>
      <c r="B420" s="22">
        <v>40682</v>
      </c>
      <c r="C420" s="15">
        <v>2011</v>
      </c>
      <c r="D420" s="11" t="s">
        <v>31</v>
      </c>
      <c r="E420" s="15">
        <v>5</v>
      </c>
      <c r="F420" s="26">
        <v>1.4690000000000001</v>
      </c>
      <c r="G420" s="26">
        <v>0</v>
      </c>
      <c r="H420" s="26">
        <v>0</v>
      </c>
      <c r="I420" s="26">
        <v>0.168544375</v>
      </c>
      <c r="J420" s="30">
        <v>1.1472624999999997E-2</v>
      </c>
      <c r="K420" s="30">
        <v>0</v>
      </c>
    </row>
    <row r="421" spans="1:11">
      <c r="A421" s="15">
        <v>15</v>
      </c>
      <c r="B421" s="22">
        <v>40682</v>
      </c>
      <c r="C421" s="15">
        <v>2011</v>
      </c>
      <c r="D421" s="11" t="s">
        <v>31</v>
      </c>
      <c r="E421" s="15">
        <v>5</v>
      </c>
      <c r="F421" s="26">
        <v>0.86399999999999999</v>
      </c>
      <c r="G421" s="26">
        <v>1.9861875000000001E-2</v>
      </c>
      <c r="H421" s="26">
        <v>0</v>
      </c>
      <c r="I421" s="26">
        <v>0.25125249999999999</v>
      </c>
      <c r="J421" s="30">
        <v>7.544625000000001E-3</v>
      </c>
      <c r="K421" s="30">
        <v>0</v>
      </c>
    </row>
    <row r="422" spans="1:11">
      <c r="A422" s="15">
        <v>6</v>
      </c>
      <c r="B422" s="22">
        <v>40709</v>
      </c>
      <c r="C422" s="15">
        <v>2011</v>
      </c>
      <c r="D422" s="11" t="s">
        <v>32</v>
      </c>
      <c r="E422" s="15">
        <v>6</v>
      </c>
      <c r="F422" s="26">
        <v>4.5199999999999996</v>
      </c>
      <c r="G422" s="26">
        <v>4.0893624999999996E-2</v>
      </c>
      <c r="H422" s="26">
        <v>0</v>
      </c>
      <c r="I422" s="26">
        <v>1.0741095000000001</v>
      </c>
      <c r="J422" s="30">
        <v>0.86125874999999985</v>
      </c>
      <c r="K422" s="30">
        <v>2.6443749999999995E-2</v>
      </c>
    </row>
    <row r="423" spans="1:11">
      <c r="A423" s="15">
        <v>8</v>
      </c>
      <c r="B423" s="22">
        <v>40709</v>
      </c>
      <c r="C423" s="15">
        <v>2011</v>
      </c>
      <c r="D423" s="11" t="s">
        <v>32</v>
      </c>
      <c r="E423" s="15">
        <v>6</v>
      </c>
      <c r="F423" s="26">
        <v>5.7460000000000004</v>
      </c>
      <c r="G423" s="26">
        <v>8.3745749999999994E-2</v>
      </c>
      <c r="H423" s="26">
        <v>0</v>
      </c>
      <c r="I423" s="26">
        <v>1.8019009999999998</v>
      </c>
      <c r="J423" s="30">
        <v>0.10052474999999998</v>
      </c>
      <c r="K423" s="30">
        <v>0</v>
      </c>
    </row>
    <row r="424" spans="1:11">
      <c r="A424" s="15">
        <v>15</v>
      </c>
      <c r="B424" s="22">
        <v>40709</v>
      </c>
      <c r="C424" s="15">
        <v>2011</v>
      </c>
      <c r="D424" s="11" t="s">
        <v>32</v>
      </c>
      <c r="E424" s="15">
        <v>6</v>
      </c>
      <c r="F424" s="26">
        <v>2.988</v>
      </c>
      <c r="G424" s="26">
        <v>0</v>
      </c>
      <c r="H424" s="26">
        <v>0</v>
      </c>
      <c r="I424" s="26">
        <v>0.48424337499999986</v>
      </c>
      <c r="J424" s="30">
        <v>0.35061874999999992</v>
      </c>
      <c r="K424" s="30">
        <v>0</v>
      </c>
    </row>
    <row r="425" spans="1:11">
      <c r="A425" s="15">
        <v>6</v>
      </c>
      <c r="B425" s="22">
        <v>40735</v>
      </c>
      <c r="C425" s="15">
        <v>2011</v>
      </c>
      <c r="D425" s="11" t="s">
        <v>33</v>
      </c>
      <c r="E425" s="15">
        <v>7</v>
      </c>
      <c r="F425" s="26">
        <v>1.407</v>
      </c>
      <c r="G425" s="26">
        <v>7.1704375000000001E-2</v>
      </c>
      <c r="H425" s="26">
        <v>0</v>
      </c>
      <c r="I425" s="26">
        <v>0.32336862499999997</v>
      </c>
      <c r="J425" s="30">
        <v>0.13803262499999999</v>
      </c>
      <c r="K425" s="30">
        <v>0</v>
      </c>
    </row>
    <row r="426" spans="1:11">
      <c r="A426" s="15">
        <v>8</v>
      </c>
      <c r="B426" s="22">
        <v>40736</v>
      </c>
      <c r="C426" s="15">
        <v>2011</v>
      </c>
      <c r="D426" s="11" t="s">
        <v>33</v>
      </c>
      <c r="E426" s="15">
        <v>7</v>
      </c>
      <c r="F426" s="26">
        <v>3.21</v>
      </c>
      <c r="G426" s="26">
        <v>2.247E-2</v>
      </c>
      <c r="H426" s="26">
        <v>0</v>
      </c>
      <c r="I426" s="26">
        <v>0.97207462499999997</v>
      </c>
      <c r="J426" s="30">
        <v>5.6336999999999991E-2</v>
      </c>
      <c r="K426" s="30">
        <v>0</v>
      </c>
    </row>
    <row r="427" spans="1:11">
      <c r="A427" s="15">
        <v>15</v>
      </c>
      <c r="B427" s="22">
        <v>40736</v>
      </c>
      <c r="C427" s="15">
        <v>2011</v>
      </c>
      <c r="D427" s="11" t="s">
        <v>33</v>
      </c>
      <c r="E427" s="15">
        <v>7</v>
      </c>
      <c r="F427" s="26">
        <v>1.7130000000000001</v>
      </c>
      <c r="G427" s="26">
        <v>3.1142124999999996E-2</v>
      </c>
      <c r="H427" s="26">
        <v>0</v>
      </c>
      <c r="I427" s="26">
        <v>0.73017437500000004</v>
      </c>
      <c r="J427" s="30">
        <v>0.10397324999999999</v>
      </c>
      <c r="K427" s="30">
        <v>0</v>
      </c>
    </row>
    <row r="428" spans="1:11">
      <c r="A428" s="15">
        <v>6</v>
      </c>
      <c r="B428" s="22">
        <v>40771</v>
      </c>
      <c r="C428" s="15">
        <v>2011</v>
      </c>
      <c r="D428" s="11" t="s">
        <v>34</v>
      </c>
      <c r="E428" s="15">
        <v>8</v>
      </c>
      <c r="F428" s="26">
        <v>2.86</v>
      </c>
      <c r="G428" s="26">
        <v>0.14200312500000001</v>
      </c>
      <c r="H428" s="26">
        <v>0</v>
      </c>
      <c r="I428" s="26">
        <v>1.070613625</v>
      </c>
      <c r="J428" s="30">
        <v>0.2015825</v>
      </c>
      <c r="K428" s="30">
        <v>0</v>
      </c>
    </row>
    <row r="429" spans="1:11">
      <c r="A429" s="15">
        <v>8</v>
      </c>
      <c r="B429" s="22">
        <v>40772</v>
      </c>
      <c r="C429" s="15">
        <v>2011</v>
      </c>
      <c r="D429" s="11" t="s">
        <v>34</v>
      </c>
      <c r="E429" s="15">
        <v>8</v>
      </c>
      <c r="F429" s="26">
        <v>22.92</v>
      </c>
      <c r="G429" s="26">
        <v>7.3881625000000006E-2</v>
      </c>
      <c r="H429" s="26">
        <v>0</v>
      </c>
      <c r="I429" s="26">
        <v>9.429306875</v>
      </c>
      <c r="J429" s="30">
        <v>0.46562537500000001</v>
      </c>
      <c r="K429" s="30">
        <v>0</v>
      </c>
    </row>
    <row r="430" spans="1:11">
      <c r="A430" s="15">
        <v>15</v>
      </c>
      <c r="B430" s="22">
        <v>40772</v>
      </c>
      <c r="C430" s="15">
        <v>2011</v>
      </c>
      <c r="D430" s="11" t="s">
        <v>34</v>
      </c>
      <c r="E430" s="15">
        <v>8</v>
      </c>
      <c r="F430" s="26">
        <v>1.569</v>
      </c>
      <c r="G430" s="26">
        <v>0.34744012499999993</v>
      </c>
      <c r="H430" s="26">
        <v>0</v>
      </c>
      <c r="I430" s="26">
        <v>0.24858587500000004</v>
      </c>
      <c r="J430" s="30">
        <v>0.31423174999999998</v>
      </c>
      <c r="K430" s="30">
        <v>0</v>
      </c>
    </row>
    <row r="431" spans="1:11">
      <c r="A431" s="15">
        <v>6</v>
      </c>
      <c r="B431" s="22">
        <v>40799</v>
      </c>
      <c r="C431" s="15">
        <v>2011</v>
      </c>
      <c r="D431" s="11" t="s">
        <v>40</v>
      </c>
      <c r="E431" s="15">
        <v>9</v>
      </c>
      <c r="F431" s="26">
        <v>6.6159999999999997</v>
      </c>
      <c r="G431" s="26">
        <v>0.10002900000000001</v>
      </c>
      <c r="H431" s="26">
        <v>0</v>
      </c>
      <c r="I431" s="26">
        <v>1.642322625</v>
      </c>
      <c r="J431" s="30">
        <v>1.7577207500000001</v>
      </c>
      <c r="K431" s="30">
        <v>0</v>
      </c>
    </row>
    <row r="432" spans="1:11">
      <c r="A432" s="15">
        <v>8</v>
      </c>
      <c r="B432" s="22">
        <v>40798</v>
      </c>
      <c r="C432" s="15">
        <v>2011</v>
      </c>
      <c r="D432" s="11" t="s">
        <v>40</v>
      </c>
      <c r="E432" s="15">
        <v>9</v>
      </c>
      <c r="F432" s="26">
        <v>10.555999999999999</v>
      </c>
      <c r="G432" s="26">
        <v>0</v>
      </c>
      <c r="H432" s="26">
        <v>0</v>
      </c>
      <c r="I432" s="26">
        <v>4.2810331250000004</v>
      </c>
      <c r="J432" s="30">
        <v>0.17965900000000001</v>
      </c>
      <c r="K432" s="30">
        <v>0</v>
      </c>
    </row>
    <row r="433" spans="1:18">
      <c r="A433" s="15">
        <v>15</v>
      </c>
      <c r="B433" s="22">
        <v>40798</v>
      </c>
      <c r="C433" s="15">
        <v>2011</v>
      </c>
      <c r="D433" s="11" t="s">
        <v>40</v>
      </c>
      <c r="E433" s="15">
        <v>9</v>
      </c>
      <c r="F433" s="26">
        <v>5.335</v>
      </c>
      <c r="G433" s="26">
        <v>4.074825E-2</v>
      </c>
      <c r="H433" s="26">
        <v>0</v>
      </c>
      <c r="I433" s="26">
        <v>1.9934081249999998</v>
      </c>
      <c r="J433" s="30">
        <v>0.51705262499999993</v>
      </c>
      <c r="K433" s="30">
        <v>0</v>
      </c>
    </row>
    <row r="434" spans="1:18">
      <c r="A434" s="15">
        <v>6</v>
      </c>
      <c r="B434" s="22">
        <v>40827</v>
      </c>
      <c r="C434" s="15">
        <v>2011</v>
      </c>
      <c r="D434" s="11" t="s">
        <v>36</v>
      </c>
      <c r="E434" s="15">
        <v>10</v>
      </c>
      <c r="F434" s="27">
        <v>3.1709999999999998</v>
      </c>
      <c r="G434" s="27">
        <v>0.16441449999999999</v>
      </c>
      <c r="H434" s="27">
        <v>0</v>
      </c>
      <c r="I434" s="27">
        <v>0.34522187500000001</v>
      </c>
      <c r="J434" s="27">
        <v>0.28199487500000003</v>
      </c>
      <c r="K434" s="27">
        <v>0</v>
      </c>
    </row>
    <row r="435" spans="1:18">
      <c r="A435" s="15">
        <v>8</v>
      </c>
      <c r="B435" s="22">
        <v>40829</v>
      </c>
      <c r="C435" s="15">
        <v>2011</v>
      </c>
      <c r="D435" s="11" t="s">
        <v>36</v>
      </c>
      <c r="E435" s="15">
        <v>10</v>
      </c>
      <c r="F435" s="27">
        <v>1.8959999999999999</v>
      </c>
      <c r="G435" s="27">
        <v>3.9905875E-2</v>
      </c>
      <c r="H435" s="27">
        <v>0</v>
      </c>
      <c r="I435" s="27">
        <v>0.71342474999999994</v>
      </c>
      <c r="J435" s="27">
        <v>3.0916250000000003E-2</v>
      </c>
      <c r="K435" s="27">
        <v>0</v>
      </c>
    </row>
    <row r="436" spans="1:18">
      <c r="A436" s="15">
        <v>15</v>
      </c>
      <c r="B436" s="22">
        <v>40829</v>
      </c>
      <c r="C436" s="15">
        <v>2011</v>
      </c>
      <c r="D436" s="11" t="s">
        <v>36</v>
      </c>
      <c r="E436" s="15">
        <v>10</v>
      </c>
      <c r="F436" s="27">
        <v>1.623</v>
      </c>
      <c r="G436" s="27">
        <v>4.7863624999999993E-2</v>
      </c>
      <c r="H436" s="27">
        <v>0</v>
      </c>
      <c r="I436" s="27">
        <v>0.31274024999999994</v>
      </c>
      <c r="J436" s="27">
        <v>2.7736749999999998E-2</v>
      </c>
      <c r="K436" s="27">
        <v>0</v>
      </c>
    </row>
    <row r="437" spans="1:18">
      <c r="A437" s="15">
        <v>6</v>
      </c>
      <c r="B437" s="28">
        <v>40862</v>
      </c>
      <c r="C437" s="15">
        <v>2011</v>
      </c>
      <c r="D437" s="11" t="s">
        <v>37</v>
      </c>
      <c r="E437" s="15">
        <v>11</v>
      </c>
      <c r="F437" s="27">
        <v>7.1029999999999998</v>
      </c>
      <c r="G437" s="27">
        <v>9.4812625000000011E-2</v>
      </c>
      <c r="H437" s="27">
        <v>3.2169749999999997E-2</v>
      </c>
      <c r="I437" s="27">
        <v>2.6951581249999994</v>
      </c>
      <c r="J437" s="27">
        <v>0.16696212499999999</v>
      </c>
      <c r="K437" s="27">
        <v>0</v>
      </c>
    </row>
    <row r="438" spans="1:18">
      <c r="A438" s="15">
        <v>8</v>
      </c>
      <c r="B438" s="28">
        <v>40865</v>
      </c>
      <c r="C438" s="15">
        <v>2011</v>
      </c>
      <c r="D438" s="11" t="s">
        <v>37</v>
      </c>
      <c r="E438" s="15">
        <v>11</v>
      </c>
      <c r="F438" s="27">
        <v>1.5029999999999999</v>
      </c>
      <c r="G438" s="27">
        <v>3.2680750000000001E-2</v>
      </c>
      <c r="H438" s="27">
        <v>2.1779124999999996E-2</v>
      </c>
      <c r="I438" s="27">
        <v>0.38642887500000001</v>
      </c>
      <c r="J438" s="27">
        <v>1.2982875E-2</v>
      </c>
      <c r="K438" s="27">
        <v>0</v>
      </c>
    </row>
    <row r="439" spans="1:18">
      <c r="A439" s="15">
        <v>15</v>
      </c>
      <c r="B439" s="28">
        <v>40865</v>
      </c>
      <c r="C439" s="15">
        <v>2011</v>
      </c>
      <c r="D439" s="11" t="s">
        <v>37</v>
      </c>
      <c r="E439" s="15">
        <v>11</v>
      </c>
      <c r="F439" s="27">
        <v>4.1970000000000001</v>
      </c>
      <c r="G439" s="27">
        <v>0.15777012499999998</v>
      </c>
      <c r="H439" s="27">
        <v>6.1637750000000005E-2</v>
      </c>
      <c r="I439" s="27">
        <v>1.3542453750000001</v>
      </c>
      <c r="J439" s="27">
        <v>4.3196375000000002E-2</v>
      </c>
      <c r="K439" s="27">
        <v>0</v>
      </c>
    </row>
    <row r="440" spans="1:18">
      <c r="A440" s="15">
        <v>6</v>
      </c>
      <c r="B440" s="28">
        <v>40891</v>
      </c>
      <c r="C440" s="15">
        <v>2011</v>
      </c>
      <c r="D440" s="11" t="s">
        <v>38</v>
      </c>
      <c r="E440" s="15">
        <v>12</v>
      </c>
      <c r="F440" s="27">
        <v>4.149</v>
      </c>
      <c r="G440" s="27">
        <v>0.63355312500000005</v>
      </c>
      <c r="H440" s="27">
        <v>0</v>
      </c>
      <c r="I440" s="27">
        <v>0.89984549999999996</v>
      </c>
      <c r="J440" s="27">
        <v>3.1641124999999992E-2</v>
      </c>
      <c r="K440" s="27">
        <v>0</v>
      </c>
    </row>
    <row r="441" spans="1:18">
      <c r="A441" s="15">
        <v>8</v>
      </c>
      <c r="B441" s="28">
        <v>40891</v>
      </c>
      <c r="C441" s="15">
        <v>2011</v>
      </c>
      <c r="D441" s="11" t="s">
        <v>38</v>
      </c>
      <c r="E441" s="15">
        <v>12</v>
      </c>
      <c r="F441" s="27">
        <v>0.69399999999999995</v>
      </c>
      <c r="G441" s="27">
        <v>5.4474874999999992E-2</v>
      </c>
      <c r="H441" s="27">
        <v>0</v>
      </c>
      <c r="I441" s="27">
        <v>0.12335012499999998</v>
      </c>
      <c r="J441" s="27">
        <v>0</v>
      </c>
      <c r="K441" s="27">
        <v>0</v>
      </c>
    </row>
    <row r="442" spans="1:18">
      <c r="A442" s="15">
        <v>15</v>
      </c>
      <c r="B442" s="28">
        <v>40891</v>
      </c>
      <c r="C442" s="15">
        <v>2011</v>
      </c>
      <c r="D442" s="11" t="s">
        <v>38</v>
      </c>
      <c r="E442" s="15">
        <v>12</v>
      </c>
      <c r="F442" s="27">
        <v>3.49</v>
      </c>
      <c r="G442" s="27">
        <v>0.21386425000000001</v>
      </c>
      <c r="H442" s="27">
        <v>0</v>
      </c>
      <c r="I442" s="27">
        <v>0.68382912500000004</v>
      </c>
      <c r="J442" s="27">
        <v>3.9792750000000002E-2</v>
      </c>
      <c r="K442" s="27">
        <v>0</v>
      </c>
    </row>
    <row r="443" spans="1:18" ht="25.5">
      <c r="A443" s="50">
        <v>6</v>
      </c>
      <c r="B443" s="57">
        <v>40919</v>
      </c>
      <c r="C443" s="50">
        <v>2012</v>
      </c>
      <c r="D443" s="47" t="s">
        <v>39</v>
      </c>
      <c r="E443" s="50">
        <v>1</v>
      </c>
      <c r="F443" s="66">
        <v>5.1779999999999999</v>
      </c>
      <c r="G443" s="66">
        <v>7.1964874999999998E-2</v>
      </c>
      <c r="H443" s="66">
        <v>0</v>
      </c>
      <c r="I443" s="66">
        <v>2.2151856249999997</v>
      </c>
      <c r="J443" s="68">
        <v>2.0210749999999996E-2</v>
      </c>
      <c r="K443" s="68">
        <v>0</v>
      </c>
      <c r="L443" s="39" t="s">
        <v>42</v>
      </c>
      <c r="M443" s="6" t="s">
        <v>7</v>
      </c>
      <c r="N443" s="6" t="s">
        <v>8</v>
      </c>
      <c r="O443" s="6" t="s">
        <v>9</v>
      </c>
      <c r="P443" s="6" t="s">
        <v>10</v>
      </c>
      <c r="Q443" s="6" t="s">
        <v>11</v>
      </c>
      <c r="R443" s="6" t="s">
        <v>12</v>
      </c>
    </row>
    <row r="444" spans="1:18">
      <c r="A444" s="15">
        <v>8</v>
      </c>
      <c r="B444" s="22">
        <v>40919</v>
      </c>
      <c r="C444" s="15">
        <v>2012</v>
      </c>
      <c r="D444" s="11" t="s">
        <v>39</v>
      </c>
      <c r="E444" s="15">
        <v>1</v>
      </c>
      <c r="F444" s="29">
        <v>1.081</v>
      </c>
      <c r="G444" s="29">
        <v>8.4749500000000005E-2</v>
      </c>
      <c r="H444" s="29">
        <v>0</v>
      </c>
      <c r="I444" s="29">
        <v>0.22859924999999995</v>
      </c>
      <c r="J444" s="27">
        <v>9.3997499999999984E-3</v>
      </c>
      <c r="K444" s="27">
        <v>0</v>
      </c>
      <c r="L444" s="39" t="s">
        <v>59</v>
      </c>
      <c r="M444" s="40">
        <f>AVERAGE(F443:F478)</f>
        <v>5.293333333333333</v>
      </c>
      <c r="N444" s="40">
        <f t="shared" ref="N444:O444" si="12">AVERAGE(G443:G478)</f>
        <v>0.32897973611111103</v>
      </c>
      <c r="O444" s="40">
        <f t="shared" si="12"/>
        <v>5.9498482638888878E-2</v>
      </c>
      <c r="P444" s="40">
        <f>AVERAGE(I443:I478)</f>
        <v>2.0677947361111118</v>
      </c>
      <c r="Q444" s="40">
        <f>AVERAGE(J443:J478)</f>
        <v>0.24922281250000003</v>
      </c>
      <c r="R444" s="40">
        <f>AVERAGE(K443:K478)</f>
        <v>6.6578124999999992E-4</v>
      </c>
    </row>
    <row r="445" spans="1:18">
      <c r="A445" s="15">
        <v>15</v>
      </c>
      <c r="B445" s="22">
        <v>40919</v>
      </c>
      <c r="C445" s="15">
        <v>2012</v>
      </c>
      <c r="D445" s="11" t="s">
        <v>39</v>
      </c>
      <c r="E445" s="15">
        <v>1</v>
      </c>
      <c r="F445" s="29">
        <v>3.7160000000000002</v>
      </c>
      <c r="G445" s="29">
        <v>4.7310499999999991E-2</v>
      </c>
      <c r="H445" s="29">
        <v>0</v>
      </c>
      <c r="I445" s="29">
        <v>1.4648356249999999</v>
      </c>
      <c r="J445" s="27">
        <v>1.9422374999999999E-2</v>
      </c>
      <c r="K445" s="27">
        <v>0</v>
      </c>
    </row>
    <row r="446" spans="1:18">
      <c r="A446" s="15">
        <v>6</v>
      </c>
      <c r="B446" s="22">
        <v>40962</v>
      </c>
      <c r="C446" s="15">
        <v>2012</v>
      </c>
      <c r="D446" s="11" t="s">
        <v>28</v>
      </c>
      <c r="E446" s="15">
        <v>2</v>
      </c>
      <c r="F446" s="29">
        <v>3.669</v>
      </c>
      <c r="G446" s="29">
        <v>7.4891125000000003E-2</v>
      </c>
      <c r="H446" s="29">
        <v>0</v>
      </c>
      <c r="I446" s="29">
        <v>1.988811125</v>
      </c>
      <c r="J446" s="27">
        <v>3.5093249999999993E-2</v>
      </c>
      <c r="K446" s="27">
        <v>0</v>
      </c>
    </row>
    <row r="447" spans="1:18">
      <c r="A447" s="15">
        <v>8</v>
      </c>
      <c r="B447" s="22">
        <v>40960</v>
      </c>
      <c r="C447" s="15">
        <v>2012</v>
      </c>
      <c r="D447" s="11" t="s">
        <v>28</v>
      </c>
      <c r="E447" s="15">
        <v>2</v>
      </c>
      <c r="F447" s="29">
        <v>1.252</v>
      </c>
      <c r="G447" s="29">
        <v>0.13405287499999999</v>
      </c>
      <c r="H447" s="29">
        <v>0</v>
      </c>
      <c r="I447" s="29">
        <v>0.31244724999999995</v>
      </c>
      <c r="J447" s="27">
        <v>2.4071750000000003E-2</v>
      </c>
      <c r="K447" s="27">
        <v>0</v>
      </c>
    </row>
    <row r="448" spans="1:18">
      <c r="A448" s="15">
        <v>15</v>
      </c>
      <c r="B448" s="22">
        <v>40960</v>
      </c>
      <c r="C448" s="15">
        <v>2012</v>
      </c>
      <c r="D448" s="11" t="s">
        <v>28</v>
      </c>
      <c r="E448" s="15">
        <v>2</v>
      </c>
      <c r="F448" s="29">
        <v>3.2050000000000001</v>
      </c>
      <c r="G448" s="29">
        <v>9.0903125000000001E-2</v>
      </c>
      <c r="H448" s="29">
        <v>8.5333624999999982E-2</v>
      </c>
      <c r="I448" s="29">
        <v>1.5878133749999999</v>
      </c>
      <c r="J448" s="27">
        <v>4.4421249999999995E-2</v>
      </c>
      <c r="K448" s="27">
        <v>0</v>
      </c>
    </row>
    <row r="449" spans="1:11">
      <c r="A449" s="15">
        <v>6</v>
      </c>
      <c r="B449" s="22">
        <v>40980</v>
      </c>
      <c r="C449" s="15">
        <v>2012</v>
      </c>
      <c r="D449" s="11" t="s">
        <v>29</v>
      </c>
      <c r="E449" s="15">
        <v>3</v>
      </c>
      <c r="F449" s="29">
        <v>2.4209999999999998</v>
      </c>
      <c r="G449" s="29">
        <v>3.9877749999999997E-2</v>
      </c>
      <c r="H449" s="29">
        <v>2.7142625E-2</v>
      </c>
      <c r="I449" s="29">
        <v>1.1943785</v>
      </c>
      <c r="J449" s="27">
        <v>5.052412500000001E-2</v>
      </c>
      <c r="K449" s="27">
        <v>0</v>
      </c>
    </row>
    <row r="450" spans="1:11">
      <c r="A450" s="15">
        <v>8</v>
      </c>
      <c r="B450" s="22">
        <v>40982</v>
      </c>
      <c r="C450" s="15">
        <v>2012</v>
      </c>
      <c r="D450" s="11" t="s">
        <v>29</v>
      </c>
      <c r="E450" s="15">
        <v>3</v>
      </c>
      <c r="F450" s="29">
        <v>1.1220000000000001</v>
      </c>
      <c r="G450" s="29">
        <v>8.1064250000000004E-2</v>
      </c>
      <c r="H450" s="29">
        <v>0</v>
      </c>
      <c r="I450" s="29">
        <v>0.34624874999999994</v>
      </c>
      <c r="J450" s="27">
        <v>1.9312625E-2</v>
      </c>
      <c r="K450" s="27">
        <v>0</v>
      </c>
    </row>
    <row r="451" spans="1:11">
      <c r="A451" s="15">
        <v>15</v>
      </c>
      <c r="B451" s="22">
        <v>40982</v>
      </c>
      <c r="C451" s="15">
        <v>2012</v>
      </c>
      <c r="D451" s="11" t="s">
        <v>29</v>
      </c>
      <c r="E451" s="15">
        <v>3</v>
      </c>
      <c r="F451" s="29">
        <v>0.95699999999999996</v>
      </c>
      <c r="G451" s="29">
        <v>0.10089724999999999</v>
      </c>
      <c r="H451" s="29">
        <v>0</v>
      </c>
      <c r="I451" s="29">
        <v>0.20874224999999996</v>
      </c>
      <c r="J451" s="27">
        <v>1.6431874999999999E-2</v>
      </c>
      <c r="K451" s="27">
        <v>0</v>
      </c>
    </row>
    <row r="452" spans="1:11">
      <c r="A452" s="15">
        <v>6</v>
      </c>
      <c r="B452" s="22">
        <v>41015</v>
      </c>
      <c r="C452" s="15">
        <v>2012</v>
      </c>
      <c r="D452" s="11" t="s">
        <v>30</v>
      </c>
      <c r="E452" s="15">
        <v>4</v>
      </c>
      <c r="F452" s="26">
        <v>2.6419999999999999</v>
      </c>
      <c r="G452" s="26">
        <v>2.7193874999999999E-2</v>
      </c>
      <c r="H452" s="26">
        <v>0</v>
      </c>
      <c r="I452" s="26">
        <v>1.1063207499999999</v>
      </c>
      <c r="J452" s="30">
        <v>2.3458000000000003E-2</v>
      </c>
      <c r="K452" s="30">
        <v>0</v>
      </c>
    </row>
    <row r="453" spans="1:11">
      <c r="A453" s="15">
        <v>8</v>
      </c>
      <c r="B453" s="22">
        <v>41016</v>
      </c>
      <c r="C453" s="15">
        <v>2012</v>
      </c>
      <c r="D453" s="11" t="s">
        <v>30</v>
      </c>
      <c r="E453" s="15">
        <v>4</v>
      </c>
      <c r="F453" s="26">
        <v>1.998</v>
      </c>
      <c r="G453" s="26">
        <v>0.11751112499999999</v>
      </c>
      <c r="H453" s="26">
        <v>0</v>
      </c>
      <c r="I453" s="26">
        <v>0.75936224999999991</v>
      </c>
      <c r="J453" s="30">
        <v>2.0338124999999995E-2</v>
      </c>
      <c r="K453" s="30">
        <v>0</v>
      </c>
    </row>
    <row r="454" spans="1:11">
      <c r="A454" s="15">
        <v>15</v>
      </c>
      <c r="B454" s="22">
        <v>41016</v>
      </c>
      <c r="C454" s="15">
        <v>2012</v>
      </c>
      <c r="D454" s="11" t="s">
        <v>30</v>
      </c>
      <c r="E454" s="15">
        <v>4</v>
      </c>
      <c r="F454" s="26">
        <v>1.831</v>
      </c>
      <c r="G454" s="26">
        <v>5.9922374999999993E-2</v>
      </c>
      <c r="H454" s="26">
        <v>0</v>
      </c>
      <c r="I454" s="26">
        <v>0.59995362499999993</v>
      </c>
      <c r="J454" s="30">
        <v>2.4456749999999996E-2</v>
      </c>
      <c r="K454" s="30">
        <v>0</v>
      </c>
    </row>
    <row r="455" spans="1:11">
      <c r="A455" s="15">
        <v>6</v>
      </c>
      <c r="B455" s="22">
        <v>41045</v>
      </c>
      <c r="C455" s="15">
        <v>2012</v>
      </c>
      <c r="D455" s="11" t="s">
        <v>31</v>
      </c>
      <c r="E455" s="15">
        <v>5</v>
      </c>
      <c r="F455" s="26">
        <v>4.5250000000000004</v>
      </c>
      <c r="G455" s="26">
        <v>0.12234762500000003</v>
      </c>
      <c r="H455" s="26">
        <v>0.1656395</v>
      </c>
      <c r="I455" s="26">
        <v>2.35994875</v>
      </c>
      <c r="J455" s="30">
        <v>7.7995875000000006E-2</v>
      </c>
      <c r="K455" s="30">
        <v>0</v>
      </c>
    </row>
    <row r="456" spans="1:11">
      <c r="A456" s="15">
        <v>8</v>
      </c>
      <c r="B456" s="22">
        <v>41051</v>
      </c>
      <c r="C456" s="15">
        <v>2012</v>
      </c>
      <c r="D456" s="11" t="s">
        <v>31</v>
      </c>
      <c r="E456" s="15">
        <v>5</v>
      </c>
      <c r="F456" s="26">
        <v>2.125</v>
      </c>
      <c r="G456" s="26">
        <v>3.6962999999999996E-2</v>
      </c>
      <c r="H456" s="26">
        <v>0</v>
      </c>
      <c r="I456" s="26">
        <v>0.76894612500000015</v>
      </c>
      <c r="J456" s="30">
        <v>1.6594500000000002E-2</v>
      </c>
      <c r="K456" s="30">
        <v>0</v>
      </c>
    </row>
    <row r="457" spans="1:11">
      <c r="A457" s="15">
        <v>15</v>
      </c>
      <c r="B457" s="22">
        <v>41051</v>
      </c>
      <c r="C457" s="15">
        <v>2012</v>
      </c>
      <c r="D457" s="11" t="s">
        <v>31</v>
      </c>
      <c r="E457" s="15">
        <v>5</v>
      </c>
      <c r="F457" s="26">
        <v>7.6310000000000002</v>
      </c>
      <c r="G457" s="26">
        <v>3.179474999999999E-2</v>
      </c>
      <c r="H457" s="26">
        <v>1.0569808749999998</v>
      </c>
      <c r="I457" s="26">
        <v>4.6660288750000003</v>
      </c>
      <c r="J457" s="30">
        <v>0.13724700000000001</v>
      </c>
      <c r="K457" s="30">
        <v>0</v>
      </c>
    </row>
    <row r="458" spans="1:11">
      <c r="A458" s="15">
        <v>6</v>
      </c>
      <c r="B458" s="22">
        <v>41073</v>
      </c>
      <c r="C458" s="15">
        <v>2012</v>
      </c>
      <c r="D458" s="11" t="s">
        <v>32</v>
      </c>
      <c r="E458" s="15">
        <v>6</v>
      </c>
      <c r="F458" s="26">
        <v>13.755000000000001</v>
      </c>
      <c r="G458" s="26">
        <v>0.21984887499999997</v>
      </c>
      <c r="H458" s="26">
        <v>0.43689312499999999</v>
      </c>
      <c r="I458" s="26">
        <v>4.346654375</v>
      </c>
      <c r="J458" s="30">
        <v>0.22710575</v>
      </c>
      <c r="K458" s="30">
        <v>0</v>
      </c>
    </row>
    <row r="459" spans="1:11">
      <c r="A459" s="15">
        <v>8</v>
      </c>
      <c r="B459" s="22">
        <v>41080</v>
      </c>
      <c r="C459" s="15">
        <v>2012</v>
      </c>
      <c r="D459" s="11" t="s">
        <v>32</v>
      </c>
      <c r="E459" s="15">
        <v>6</v>
      </c>
      <c r="F459" s="26">
        <v>2.5510000000000002</v>
      </c>
      <c r="G459" s="26">
        <v>3.5827375000000002E-2</v>
      </c>
      <c r="H459" s="26">
        <v>8.2688250000000005E-2</v>
      </c>
      <c r="I459" s="26">
        <v>1.184563625</v>
      </c>
      <c r="J459" s="30">
        <v>5.4044500000000009E-2</v>
      </c>
      <c r="K459" s="30">
        <v>0</v>
      </c>
    </row>
    <row r="460" spans="1:11">
      <c r="A460" s="15">
        <v>15</v>
      </c>
      <c r="B460" s="22">
        <v>41080</v>
      </c>
      <c r="C460" s="15">
        <v>2012</v>
      </c>
      <c r="D460" s="11" t="s">
        <v>32</v>
      </c>
      <c r="E460" s="15">
        <v>6</v>
      </c>
      <c r="F460" s="26">
        <v>3.3330000000000002</v>
      </c>
      <c r="G460" s="26">
        <v>4.9978874999999999E-2</v>
      </c>
      <c r="H460" s="26">
        <v>0.24990237500000001</v>
      </c>
      <c r="I460" s="26">
        <v>1.5035845000000001</v>
      </c>
      <c r="J460" s="30">
        <v>0.33559624999999993</v>
      </c>
      <c r="K460" s="30">
        <v>0</v>
      </c>
    </row>
    <row r="461" spans="1:11">
      <c r="A461" s="15">
        <v>6</v>
      </c>
      <c r="B461" s="22">
        <v>41107</v>
      </c>
      <c r="C461" s="15">
        <v>2012</v>
      </c>
      <c r="D461" s="11" t="s">
        <v>33</v>
      </c>
      <c r="E461" s="15">
        <v>7</v>
      </c>
      <c r="F461" s="26">
        <v>7.46</v>
      </c>
      <c r="G461" s="26">
        <v>0.35189600000000004</v>
      </c>
      <c r="H461" s="26">
        <v>0</v>
      </c>
      <c r="I461" s="26">
        <v>1.3055807500000001</v>
      </c>
      <c r="J461" s="30">
        <v>2.22117875</v>
      </c>
      <c r="K461" s="30">
        <v>0</v>
      </c>
    </row>
    <row r="462" spans="1:11">
      <c r="A462" s="15">
        <v>8</v>
      </c>
      <c r="B462" s="22">
        <v>41106</v>
      </c>
      <c r="C462" s="15">
        <v>2012</v>
      </c>
      <c r="D462" s="11" t="s">
        <v>33</v>
      </c>
      <c r="E462" s="15">
        <v>7</v>
      </c>
      <c r="F462" s="26">
        <v>6.9989999999999997</v>
      </c>
      <c r="G462" s="26">
        <v>3.2604624999999998E-2</v>
      </c>
      <c r="H462" s="26">
        <v>0</v>
      </c>
      <c r="I462" s="26">
        <v>2.7819926249999996</v>
      </c>
      <c r="J462" s="30">
        <v>5.1892499999999994E-2</v>
      </c>
      <c r="K462" s="30">
        <v>0</v>
      </c>
    </row>
    <row r="463" spans="1:11">
      <c r="A463" s="15">
        <v>15</v>
      </c>
      <c r="B463" s="22">
        <v>41106</v>
      </c>
      <c r="C463" s="15">
        <v>2012</v>
      </c>
      <c r="D463" s="11" t="s">
        <v>33</v>
      </c>
      <c r="E463" s="15">
        <v>7</v>
      </c>
      <c r="F463" s="26">
        <v>6.0439999999999996</v>
      </c>
      <c r="G463" s="26">
        <v>9.8703874999999996E-2</v>
      </c>
      <c r="H463" s="26">
        <v>0</v>
      </c>
      <c r="I463" s="26">
        <v>1.2998034999999997</v>
      </c>
      <c r="J463" s="30">
        <v>1.5827722499999999</v>
      </c>
      <c r="K463" s="30">
        <v>0</v>
      </c>
    </row>
    <row r="464" spans="1:11">
      <c r="A464" s="15">
        <v>6</v>
      </c>
      <c r="B464" s="22">
        <v>41135</v>
      </c>
      <c r="C464" s="15">
        <v>2012</v>
      </c>
      <c r="D464" s="11" t="s">
        <v>34</v>
      </c>
      <c r="E464" s="15">
        <v>8</v>
      </c>
      <c r="F464" s="26">
        <v>5.58</v>
      </c>
      <c r="G464" s="26">
        <v>0.75351912499999996</v>
      </c>
      <c r="H464" s="26">
        <v>0</v>
      </c>
      <c r="I464" s="26">
        <v>1.3556585000000001</v>
      </c>
      <c r="J464" s="30">
        <v>0.88631074999999993</v>
      </c>
      <c r="K464" s="30">
        <v>0</v>
      </c>
    </row>
    <row r="465" spans="1:18">
      <c r="A465" s="15">
        <v>8</v>
      </c>
      <c r="B465" s="22">
        <v>41137</v>
      </c>
      <c r="C465" s="15">
        <v>2012</v>
      </c>
      <c r="D465" s="11" t="s">
        <v>34</v>
      </c>
      <c r="E465" s="15">
        <v>8</v>
      </c>
      <c r="F465" s="26">
        <v>13.215999999999999</v>
      </c>
      <c r="G465" s="26">
        <v>5.9300374999999995E-2</v>
      </c>
      <c r="H465" s="26">
        <v>0</v>
      </c>
      <c r="I465" s="26">
        <v>6.919854374999999</v>
      </c>
      <c r="J465" s="30">
        <v>7.3703624999999995E-2</v>
      </c>
      <c r="K465" s="30">
        <v>0</v>
      </c>
    </row>
    <row r="466" spans="1:18">
      <c r="A466" s="15">
        <v>15</v>
      </c>
      <c r="B466" s="22">
        <v>41137</v>
      </c>
      <c r="C466" s="15">
        <v>2012</v>
      </c>
      <c r="D466" s="11" t="s">
        <v>34</v>
      </c>
      <c r="E466" s="15">
        <v>8</v>
      </c>
      <c r="F466" s="26">
        <v>7.7359999999999998</v>
      </c>
      <c r="G466" s="26">
        <v>2.5932330000000001</v>
      </c>
      <c r="H466" s="26">
        <v>0</v>
      </c>
      <c r="I466" s="26">
        <v>1.2451540000000001</v>
      </c>
      <c r="J466" s="30">
        <v>0.17205637500000001</v>
      </c>
      <c r="K466" s="30">
        <v>0</v>
      </c>
    </row>
    <row r="467" spans="1:18">
      <c r="A467" s="15">
        <v>6</v>
      </c>
      <c r="B467" s="22">
        <v>41164</v>
      </c>
      <c r="C467" s="15">
        <v>2012</v>
      </c>
      <c r="D467" s="11" t="s">
        <v>40</v>
      </c>
      <c r="E467" s="15">
        <v>9</v>
      </c>
      <c r="F467" s="26">
        <v>12.352</v>
      </c>
      <c r="G467" s="26">
        <v>0</v>
      </c>
      <c r="H467" s="26">
        <v>0</v>
      </c>
      <c r="I467" s="26">
        <v>7.5408633749999989</v>
      </c>
      <c r="J467" s="30">
        <v>1.2310730000000001</v>
      </c>
      <c r="K467" s="30">
        <v>0</v>
      </c>
    </row>
    <row r="468" spans="1:18">
      <c r="A468" s="15">
        <v>8</v>
      </c>
      <c r="B468" s="22">
        <v>41163</v>
      </c>
      <c r="C468" s="15">
        <v>2012</v>
      </c>
      <c r="D468" s="11" t="s">
        <v>40</v>
      </c>
      <c r="E468" s="15">
        <v>9</v>
      </c>
      <c r="F468" s="26">
        <v>15.667999999999999</v>
      </c>
      <c r="G468" s="26">
        <v>4.4621871249999998</v>
      </c>
      <c r="H468" s="26">
        <v>0</v>
      </c>
      <c r="I468" s="26">
        <v>3.16244675</v>
      </c>
      <c r="J468" s="30">
        <v>0.10775099999999997</v>
      </c>
      <c r="K468" s="30">
        <v>0</v>
      </c>
    </row>
    <row r="469" spans="1:18">
      <c r="A469" s="15">
        <v>15</v>
      </c>
      <c r="B469" s="22">
        <v>41163</v>
      </c>
      <c r="C469" s="15">
        <v>2012</v>
      </c>
      <c r="D469" s="11" t="s">
        <v>40</v>
      </c>
      <c r="E469" s="15">
        <v>9</v>
      </c>
      <c r="F469" s="26">
        <v>9.2889999999999997</v>
      </c>
      <c r="G469" s="26">
        <v>1.7925757499999999</v>
      </c>
      <c r="H469" s="26">
        <v>0</v>
      </c>
      <c r="I469" s="26">
        <v>2.5038612500000004</v>
      </c>
      <c r="J469" s="30">
        <v>0.9588376249999998</v>
      </c>
      <c r="K469" s="30">
        <v>2.3968124999999996E-2</v>
      </c>
    </row>
    <row r="470" spans="1:18">
      <c r="A470" s="15">
        <v>6</v>
      </c>
      <c r="B470" s="22">
        <v>41199</v>
      </c>
      <c r="C470" s="15">
        <v>2012</v>
      </c>
      <c r="D470" s="11" t="s">
        <v>36</v>
      </c>
      <c r="E470" s="15">
        <v>10</v>
      </c>
      <c r="F470" s="26">
        <v>6.0670000000000002</v>
      </c>
      <c r="G470" s="26">
        <v>0</v>
      </c>
      <c r="H470" s="26">
        <v>0</v>
      </c>
      <c r="I470" s="26">
        <v>3.2005636249999996</v>
      </c>
      <c r="J470" s="30">
        <v>0.23599874999999998</v>
      </c>
      <c r="K470" s="30">
        <v>0</v>
      </c>
    </row>
    <row r="471" spans="1:18">
      <c r="A471" s="15">
        <v>8</v>
      </c>
      <c r="B471" s="22">
        <v>41199</v>
      </c>
      <c r="C471" s="15">
        <v>2012</v>
      </c>
      <c r="D471" s="11" t="s">
        <v>36</v>
      </c>
      <c r="E471" s="15">
        <v>10</v>
      </c>
      <c r="F471" s="26">
        <v>1.466</v>
      </c>
      <c r="G471" s="26">
        <v>0</v>
      </c>
      <c r="H471" s="26">
        <v>0</v>
      </c>
      <c r="I471" s="26">
        <v>0.4113695</v>
      </c>
      <c r="J471" s="30">
        <v>7.595499999999999E-3</v>
      </c>
      <c r="K471" s="30">
        <v>0</v>
      </c>
    </row>
    <row r="472" spans="1:18">
      <c r="A472" s="15">
        <v>15</v>
      </c>
      <c r="B472" s="22">
        <v>41199</v>
      </c>
      <c r="C472" s="15">
        <v>2012</v>
      </c>
      <c r="D472" s="11" t="s">
        <v>36</v>
      </c>
      <c r="E472" s="15">
        <v>10</v>
      </c>
      <c r="F472" s="26">
        <v>9.5060000000000002</v>
      </c>
      <c r="G472" s="26">
        <v>0</v>
      </c>
      <c r="H472" s="26">
        <v>3.7365000000000002E-2</v>
      </c>
      <c r="I472" s="26">
        <v>6.0468192499999995</v>
      </c>
      <c r="J472" s="30">
        <v>0.13887612500000002</v>
      </c>
      <c r="K472" s="30">
        <v>0</v>
      </c>
    </row>
    <row r="473" spans="1:18">
      <c r="A473" s="15">
        <v>6</v>
      </c>
      <c r="B473" s="22">
        <v>41225</v>
      </c>
      <c r="C473" s="15">
        <v>2012</v>
      </c>
      <c r="D473" s="11" t="s">
        <v>37</v>
      </c>
      <c r="E473" s="15">
        <v>11</v>
      </c>
      <c r="F473" s="26">
        <v>7.7229999999999999</v>
      </c>
      <c r="G473" s="26">
        <v>7.5187000000000004E-2</v>
      </c>
      <c r="H473" s="26">
        <v>0</v>
      </c>
      <c r="I473" s="26">
        <v>2.5338873749999995</v>
      </c>
      <c r="J473" s="30">
        <v>5.5605124999999998E-2</v>
      </c>
      <c r="K473" s="30">
        <v>0</v>
      </c>
    </row>
    <row r="474" spans="1:18">
      <c r="A474" s="15">
        <v>8</v>
      </c>
      <c r="B474" s="22">
        <v>41225</v>
      </c>
      <c r="C474" s="15">
        <v>2012</v>
      </c>
      <c r="D474" s="11" t="s">
        <v>37</v>
      </c>
      <c r="E474" s="15">
        <v>11</v>
      </c>
      <c r="F474" s="26">
        <v>2.4769999999999999</v>
      </c>
      <c r="G474" s="26">
        <v>0</v>
      </c>
      <c r="H474" s="26">
        <v>0</v>
      </c>
      <c r="I474" s="26">
        <v>0.66442650000000003</v>
      </c>
      <c r="J474" s="30">
        <v>1.6650249999999998E-2</v>
      </c>
      <c r="K474" s="30">
        <v>0</v>
      </c>
    </row>
    <row r="475" spans="1:18">
      <c r="A475" s="15">
        <v>15</v>
      </c>
      <c r="B475" s="22">
        <v>41225</v>
      </c>
      <c r="C475" s="15">
        <v>2012</v>
      </c>
      <c r="D475" s="11" t="s">
        <v>37</v>
      </c>
      <c r="E475" s="15">
        <v>11</v>
      </c>
      <c r="F475" s="26">
        <v>8.2490000000000006</v>
      </c>
      <c r="G475" s="26">
        <v>0</v>
      </c>
      <c r="H475" s="26">
        <v>0</v>
      </c>
      <c r="I475" s="26">
        <v>3.2002238749999994</v>
      </c>
      <c r="J475" s="30">
        <v>3.9661000000000002E-2</v>
      </c>
      <c r="K475" s="30">
        <v>0</v>
      </c>
    </row>
    <row r="476" spans="1:18">
      <c r="A476" s="15">
        <v>6</v>
      </c>
      <c r="B476" s="22">
        <v>41254</v>
      </c>
      <c r="C476" s="15">
        <v>2012</v>
      </c>
      <c r="D476" s="11" t="s">
        <v>38</v>
      </c>
      <c r="E476" s="15">
        <v>12</v>
      </c>
      <c r="F476" s="26">
        <v>3.5219999999999998</v>
      </c>
      <c r="G476" s="26">
        <v>5.2222999999999999E-2</v>
      </c>
      <c r="H476" s="26">
        <v>0</v>
      </c>
      <c r="I476" s="26">
        <v>1.7608033749999998</v>
      </c>
      <c r="J476" s="30">
        <v>0</v>
      </c>
      <c r="K476" s="30">
        <v>0</v>
      </c>
    </row>
    <row r="477" spans="1:18">
      <c r="A477" s="15">
        <v>8</v>
      </c>
      <c r="B477" s="22">
        <v>41255</v>
      </c>
      <c r="C477" s="15">
        <v>2012</v>
      </c>
      <c r="D477" s="11" t="s">
        <v>38</v>
      </c>
      <c r="E477" s="15">
        <v>12</v>
      </c>
      <c r="F477" s="26">
        <v>1.3089999999999999</v>
      </c>
      <c r="G477" s="26">
        <v>5.7485250000000002E-2</v>
      </c>
      <c r="H477" s="26">
        <v>0</v>
      </c>
      <c r="I477" s="26">
        <v>0.34291074999999993</v>
      </c>
      <c r="J477" s="30">
        <v>0</v>
      </c>
      <c r="K477" s="30">
        <v>0</v>
      </c>
    </row>
    <row r="478" spans="1:18">
      <c r="A478" s="15">
        <v>15</v>
      </c>
      <c r="B478" s="22">
        <v>41255</v>
      </c>
      <c r="C478" s="15">
        <v>2012</v>
      </c>
      <c r="D478" s="11" t="s">
        <v>38</v>
      </c>
      <c r="E478" s="15">
        <v>12</v>
      </c>
      <c r="F478" s="26">
        <v>2.9049999999999998</v>
      </c>
      <c r="G478" s="26">
        <v>8.7256249999999994E-2</v>
      </c>
      <c r="H478" s="26">
        <v>0</v>
      </c>
      <c r="I478" s="26">
        <v>1.3219664999999998</v>
      </c>
      <c r="J478" s="30">
        <v>3.6334125000000002E-2</v>
      </c>
      <c r="K478" s="30">
        <v>0</v>
      </c>
    </row>
    <row r="479" spans="1:18" ht="25.5">
      <c r="A479" s="50">
        <v>6</v>
      </c>
      <c r="B479" s="57">
        <v>41288</v>
      </c>
      <c r="C479" s="50">
        <v>2013</v>
      </c>
      <c r="D479" s="47" t="s">
        <v>39</v>
      </c>
      <c r="E479" s="45">
        <v>1</v>
      </c>
      <c r="F479" s="63">
        <v>2.8029999999999999</v>
      </c>
      <c r="G479" s="63">
        <v>5.4873875000000003E-2</v>
      </c>
      <c r="H479" s="63">
        <v>0</v>
      </c>
      <c r="I479" s="63">
        <v>1.2843416249999997</v>
      </c>
      <c r="J479" s="61">
        <v>9.3828749999999989E-3</v>
      </c>
      <c r="K479" s="61">
        <v>0</v>
      </c>
      <c r="L479" s="39" t="s">
        <v>42</v>
      </c>
      <c r="M479" s="6" t="s">
        <v>7</v>
      </c>
      <c r="N479" s="6" t="s">
        <v>8</v>
      </c>
      <c r="O479" s="6" t="s">
        <v>9</v>
      </c>
      <c r="P479" s="6" t="s">
        <v>10</v>
      </c>
      <c r="Q479" s="6" t="s">
        <v>11</v>
      </c>
      <c r="R479" s="6" t="s">
        <v>12</v>
      </c>
    </row>
    <row r="480" spans="1:18">
      <c r="A480" s="15">
        <v>8</v>
      </c>
      <c r="B480" s="22">
        <v>41297</v>
      </c>
      <c r="C480" s="15">
        <v>2013</v>
      </c>
      <c r="D480" s="11" t="s">
        <v>39</v>
      </c>
      <c r="E480" s="12">
        <v>1</v>
      </c>
      <c r="F480" s="26">
        <v>1.788</v>
      </c>
      <c r="G480" s="26">
        <v>0</v>
      </c>
      <c r="H480" s="26">
        <v>0</v>
      </c>
      <c r="I480" s="26">
        <v>0.74756487500000013</v>
      </c>
      <c r="J480" s="30">
        <v>1.9498624999999995E-2</v>
      </c>
      <c r="K480" s="30">
        <v>0</v>
      </c>
      <c r="L480" s="39" t="s">
        <v>60</v>
      </c>
      <c r="M480" s="40">
        <f>AVERAGE(F479:F514)</f>
        <v>3.4572777777777772</v>
      </c>
      <c r="N480" s="40">
        <f t="shared" ref="N480:O480" si="13">AVERAGE(G479:G514)</f>
        <v>5.5279103009259263E-2</v>
      </c>
      <c r="O480" s="40">
        <f t="shared" si="13"/>
        <v>0</v>
      </c>
      <c r="P480" s="40">
        <f>AVERAGE(I479:I514)</f>
        <v>1.5949171307870369</v>
      </c>
      <c r="Q480" s="40">
        <f>AVERAGE(J479:J514)</f>
        <v>0.10297338425925924</v>
      </c>
      <c r="R480" s="40">
        <f>AVERAGE(K479:K514)</f>
        <v>0</v>
      </c>
    </row>
    <row r="481" spans="1:11">
      <c r="A481" s="15">
        <v>15</v>
      </c>
      <c r="B481" s="22">
        <v>41297</v>
      </c>
      <c r="C481" s="15">
        <v>2013</v>
      </c>
      <c r="D481" s="11" t="s">
        <v>39</v>
      </c>
      <c r="E481" s="12">
        <v>1</v>
      </c>
      <c r="F481" s="26">
        <v>5.1769999999999996</v>
      </c>
      <c r="G481" s="26">
        <v>0</v>
      </c>
      <c r="H481" s="26">
        <v>0</v>
      </c>
      <c r="I481" s="26">
        <v>2.9764596249999995</v>
      </c>
      <c r="J481" s="30">
        <v>4.8152374999999997E-2</v>
      </c>
      <c r="K481" s="30">
        <v>0</v>
      </c>
    </row>
    <row r="482" spans="1:11">
      <c r="A482" s="15">
        <v>6</v>
      </c>
      <c r="B482" s="22">
        <v>41318</v>
      </c>
      <c r="C482" s="15">
        <v>2013</v>
      </c>
      <c r="D482" s="11" t="s">
        <v>28</v>
      </c>
      <c r="E482" s="12">
        <v>2</v>
      </c>
      <c r="F482" s="30">
        <v>9.032</v>
      </c>
      <c r="G482" s="30">
        <v>0</v>
      </c>
      <c r="H482" s="30">
        <v>0</v>
      </c>
      <c r="I482" s="30">
        <v>5.3088947499999994</v>
      </c>
      <c r="J482" s="30">
        <v>6.1393249999999989E-2</v>
      </c>
      <c r="K482" s="30">
        <v>0</v>
      </c>
    </row>
    <row r="483" spans="1:11">
      <c r="A483" s="15">
        <v>8</v>
      </c>
      <c r="B483" s="22">
        <v>41319</v>
      </c>
      <c r="C483" s="15">
        <v>2013</v>
      </c>
      <c r="D483" s="11" t="s">
        <v>28</v>
      </c>
      <c r="E483" s="12">
        <v>2</v>
      </c>
      <c r="F483" s="30">
        <v>2.504</v>
      </c>
      <c r="G483" s="30">
        <v>8.3030124999999996E-2</v>
      </c>
      <c r="H483" s="30">
        <v>0</v>
      </c>
      <c r="I483" s="30">
        <v>1.1919569999999999</v>
      </c>
      <c r="J483" s="30">
        <v>1.4317625E-2</v>
      </c>
      <c r="K483" s="30">
        <v>0</v>
      </c>
    </row>
    <row r="484" spans="1:11">
      <c r="A484" s="15">
        <v>15</v>
      </c>
      <c r="B484" s="22">
        <v>41319</v>
      </c>
      <c r="C484" s="15">
        <v>2013</v>
      </c>
      <c r="D484" s="11" t="s">
        <v>28</v>
      </c>
      <c r="E484" s="12">
        <v>2</v>
      </c>
      <c r="F484" s="30">
        <v>7.0979999999999999</v>
      </c>
      <c r="G484" s="30">
        <v>5.2084833333333316E-2</v>
      </c>
      <c r="H484" s="30">
        <v>0</v>
      </c>
      <c r="I484" s="30">
        <v>4.2619478333333323</v>
      </c>
      <c r="J484" s="30">
        <v>4.6821333333333333E-2</v>
      </c>
      <c r="K484" s="30">
        <v>0</v>
      </c>
    </row>
    <row r="485" spans="1:11">
      <c r="A485" s="15">
        <v>6</v>
      </c>
      <c r="B485" s="22">
        <v>41344</v>
      </c>
      <c r="C485" s="15">
        <v>2013</v>
      </c>
      <c r="D485" s="11" t="s">
        <v>29</v>
      </c>
      <c r="E485" s="12">
        <v>3</v>
      </c>
      <c r="F485" s="30">
        <v>9.4570000000000007</v>
      </c>
      <c r="G485" s="30">
        <v>6.772475E-2</v>
      </c>
      <c r="H485" s="30">
        <v>0</v>
      </c>
      <c r="I485" s="30">
        <v>5.8173021249999994</v>
      </c>
      <c r="J485" s="30">
        <v>0</v>
      </c>
      <c r="K485" s="30">
        <v>0</v>
      </c>
    </row>
    <row r="486" spans="1:11">
      <c r="A486" s="15">
        <v>8</v>
      </c>
      <c r="B486" s="22">
        <v>41346</v>
      </c>
      <c r="C486" s="15">
        <v>2013</v>
      </c>
      <c r="D486" s="11" t="s">
        <v>29</v>
      </c>
      <c r="E486" s="12">
        <v>3</v>
      </c>
      <c r="F486" s="30">
        <v>9.9120000000000008</v>
      </c>
      <c r="G486" s="30">
        <v>0</v>
      </c>
      <c r="H486" s="30">
        <v>0</v>
      </c>
      <c r="I486" s="30">
        <v>6.5046553750000005</v>
      </c>
      <c r="J486" s="30">
        <v>5.6287624999999994E-2</v>
      </c>
      <c r="K486" s="30">
        <v>0</v>
      </c>
    </row>
    <row r="487" spans="1:11">
      <c r="A487" s="15">
        <v>15</v>
      </c>
      <c r="B487" s="22">
        <v>41346</v>
      </c>
      <c r="C487" s="15">
        <v>2013</v>
      </c>
      <c r="D487" s="11" t="s">
        <v>29</v>
      </c>
      <c r="E487" s="12">
        <v>3</v>
      </c>
      <c r="F487" s="30">
        <v>9.0190000000000001</v>
      </c>
      <c r="G487" s="30">
        <v>0</v>
      </c>
      <c r="H487" s="30">
        <v>0</v>
      </c>
      <c r="I487" s="30">
        <v>5.8565148750000002</v>
      </c>
      <c r="J487" s="30">
        <v>4.7948499999999998E-2</v>
      </c>
      <c r="K487" s="30">
        <v>0</v>
      </c>
    </row>
    <row r="488" spans="1:11">
      <c r="A488" s="15">
        <v>6</v>
      </c>
      <c r="B488" s="22">
        <v>41379</v>
      </c>
      <c r="C488" s="15">
        <v>2013</v>
      </c>
      <c r="D488" s="11" t="s">
        <v>30</v>
      </c>
      <c r="E488" s="12">
        <v>4</v>
      </c>
      <c r="F488" s="31">
        <v>0.59499999999999997</v>
      </c>
      <c r="G488" s="31">
        <v>0</v>
      </c>
      <c r="H488" s="31">
        <v>0</v>
      </c>
      <c r="I488" s="31">
        <v>0.36882712499999998</v>
      </c>
      <c r="J488" s="31">
        <v>1.3293625E-2</v>
      </c>
      <c r="K488" s="31">
        <v>0</v>
      </c>
    </row>
    <row r="489" spans="1:11">
      <c r="A489" s="15">
        <v>8</v>
      </c>
      <c r="B489" s="22">
        <v>41380</v>
      </c>
      <c r="C489" s="15">
        <v>2013</v>
      </c>
      <c r="D489" s="11" t="s">
        <v>30</v>
      </c>
      <c r="E489" s="12">
        <v>4</v>
      </c>
      <c r="F489" s="31">
        <v>0.70699999999999996</v>
      </c>
      <c r="G489" s="31">
        <v>0</v>
      </c>
      <c r="H489" s="31">
        <v>0</v>
      </c>
      <c r="I489" s="31">
        <v>0.12105000000000002</v>
      </c>
      <c r="J489" s="31">
        <v>1.3810749999999998E-2</v>
      </c>
      <c r="K489" s="31">
        <v>0</v>
      </c>
    </row>
    <row r="490" spans="1:11">
      <c r="A490" s="15">
        <v>15</v>
      </c>
      <c r="B490" s="22">
        <v>41380</v>
      </c>
      <c r="C490" s="15">
        <v>2013</v>
      </c>
      <c r="D490" s="11" t="s">
        <v>30</v>
      </c>
      <c r="E490" s="12">
        <v>4</v>
      </c>
      <c r="F490" s="31">
        <v>0.377</v>
      </c>
      <c r="G490" s="31">
        <v>0</v>
      </c>
      <c r="H490" s="31">
        <v>0</v>
      </c>
      <c r="I490" s="31">
        <v>0.22333187499999999</v>
      </c>
      <c r="J490" s="31">
        <v>0</v>
      </c>
      <c r="K490" s="31">
        <v>0</v>
      </c>
    </row>
    <row r="491" spans="1:11">
      <c r="A491" s="15">
        <v>6</v>
      </c>
      <c r="B491" s="22">
        <v>41408</v>
      </c>
      <c r="C491" s="15">
        <v>2013</v>
      </c>
      <c r="D491" s="11" t="s">
        <v>31</v>
      </c>
      <c r="E491" s="12">
        <v>5</v>
      </c>
      <c r="F491" s="31">
        <v>0.69199999999999995</v>
      </c>
      <c r="G491" s="31">
        <v>2.5223374999999999E-2</v>
      </c>
      <c r="H491" s="31">
        <v>0</v>
      </c>
      <c r="I491" s="31">
        <v>0.21921062500000002</v>
      </c>
      <c r="J491" s="31">
        <v>1.7391500000000001E-2</v>
      </c>
      <c r="K491" s="31">
        <v>0</v>
      </c>
    </row>
    <row r="492" spans="1:11">
      <c r="A492" s="15">
        <v>8</v>
      </c>
      <c r="B492" s="22">
        <v>41407</v>
      </c>
      <c r="C492" s="15">
        <v>2013</v>
      </c>
      <c r="D492" s="11" t="s">
        <v>31</v>
      </c>
      <c r="E492" s="12">
        <v>5</v>
      </c>
      <c r="F492" s="31">
        <v>1.17</v>
      </c>
      <c r="G492" s="31">
        <v>0</v>
      </c>
      <c r="H492" s="31">
        <v>0</v>
      </c>
      <c r="I492" s="31">
        <v>7.1371124999999994E-2</v>
      </c>
      <c r="J492" s="31">
        <v>0</v>
      </c>
      <c r="K492" s="31">
        <v>0</v>
      </c>
    </row>
    <row r="493" spans="1:11">
      <c r="A493" s="15">
        <v>15</v>
      </c>
      <c r="B493" s="22">
        <v>41407</v>
      </c>
      <c r="C493" s="15">
        <v>2013</v>
      </c>
      <c r="D493" s="11" t="s">
        <v>31</v>
      </c>
      <c r="E493" s="12">
        <v>5</v>
      </c>
      <c r="F493" s="31">
        <v>0.76100000000000001</v>
      </c>
      <c r="G493" s="31">
        <v>5.2428749999999996E-2</v>
      </c>
      <c r="H493" s="31">
        <v>0</v>
      </c>
      <c r="I493" s="31">
        <v>0.14191675000000001</v>
      </c>
      <c r="J493" s="31">
        <v>1.35485E-2</v>
      </c>
      <c r="K493" s="31">
        <v>0</v>
      </c>
    </row>
    <row r="494" spans="1:11">
      <c r="A494" s="15">
        <v>6</v>
      </c>
      <c r="B494" s="22">
        <v>41436</v>
      </c>
      <c r="C494" s="15">
        <v>2013</v>
      </c>
      <c r="D494" s="11" t="s">
        <v>32</v>
      </c>
      <c r="E494" s="12">
        <v>6</v>
      </c>
      <c r="F494" s="31">
        <v>10.188000000000001</v>
      </c>
      <c r="G494" s="31">
        <v>0</v>
      </c>
      <c r="H494" s="31">
        <v>0</v>
      </c>
      <c r="I494" s="31">
        <v>5.9548275000000004</v>
      </c>
      <c r="J494" s="31">
        <v>9.686800000000001E-2</v>
      </c>
      <c r="K494" s="31">
        <v>0</v>
      </c>
    </row>
    <row r="495" spans="1:11">
      <c r="A495" s="15">
        <v>8</v>
      </c>
      <c r="B495" s="22">
        <v>41437</v>
      </c>
      <c r="C495" s="15">
        <v>2013</v>
      </c>
      <c r="D495" s="11" t="s">
        <v>32</v>
      </c>
      <c r="E495" s="12">
        <v>6</v>
      </c>
      <c r="F495" s="31">
        <v>4.4930000000000003</v>
      </c>
      <c r="G495" s="31">
        <v>0.13520399999999999</v>
      </c>
      <c r="H495" s="31">
        <v>0</v>
      </c>
      <c r="I495" s="31">
        <v>1.3955762499999995</v>
      </c>
      <c r="J495" s="31">
        <v>1.8965375E-2</v>
      </c>
      <c r="K495" s="31">
        <v>0</v>
      </c>
    </row>
    <row r="496" spans="1:11">
      <c r="A496" s="15">
        <v>15</v>
      </c>
      <c r="B496" s="22">
        <v>41437</v>
      </c>
      <c r="C496" s="15">
        <v>2013</v>
      </c>
      <c r="D496" s="11" t="s">
        <v>32</v>
      </c>
      <c r="E496" s="12">
        <v>6</v>
      </c>
      <c r="F496" s="31">
        <v>3.3330000000000002</v>
      </c>
      <c r="G496" s="31">
        <v>5.8493125000000007E-2</v>
      </c>
      <c r="H496" s="31">
        <v>0</v>
      </c>
      <c r="I496" s="31">
        <v>1.5380359999999997</v>
      </c>
      <c r="J496" s="31">
        <v>4.1266625000000001E-2</v>
      </c>
      <c r="K496" s="31">
        <v>0</v>
      </c>
    </row>
    <row r="497" spans="1:11">
      <c r="A497" s="15">
        <v>6</v>
      </c>
      <c r="B497" s="22">
        <v>41470</v>
      </c>
      <c r="C497" s="15">
        <v>2013</v>
      </c>
      <c r="D497" s="11" t="s">
        <v>33</v>
      </c>
      <c r="E497" s="12">
        <v>7</v>
      </c>
      <c r="F497" s="31">
        <v>4.2619999999999996</v>
      </c>
      <c r="G497" s="31">
        <v>0.21942025000000001</v>
      </c>
      <c r="H497" s="31">
        <v>0</v>
      </c>
      <c r="I497" s="31">
        <v>0.58448999999999995</v>
      </c>
      <c r="J497" s="31">
        <v>1.6311482499999999</v>
      </c>
      <c r="K497" s="31">
        <v>0</v>
      </c>
    </row>
    <row r="498" spans="1:11">
      <c r="A498" s="15">
        <v>8</v>
      </c>
      <c r="B498" s="22">
        <v>41470</v>
      </c>
      <c r="C498" s="15">
        <v>2013</v>
      </c>
      <c r="D498" s="11" t="s">
        <v>33</v>
      </c>
      <c r="E498" s="12">
        <v>7</v>
      </c>
      <c r="F498" s="31">
        <v>4.1459999999999999</v>
      </c>
      <c r="G498" s="31">
        <v>0.17816137499999998</v>
      </c>
      <c r="H498" s="31">
        <v>0</v>
      </c>
      <c r="I498" s="31">
        <v>1.2132586249999997</v>
      </c>
      <c r="J498" s="31">
        <v>5.3456999999999998E-2</v>
      </c>
      <c r="K498" s="31">
        <v>0</v>
      </c>
    </row>
    <row r="499" spans="1:11">
      <c r="A499" s="15">
        <v>15</v>
      </c>
      <c r="B499" s="22">
        <v>41470</v>
      </c>
      <c r="C499" s="15">
        <v>2013</v>
      </c>
      <c r="D499" s="11" t="s">
        <v>33</v>
      </c>
      <c r="E499" s="12">
        <v>7</v>
      </c>
      <c r="F499" s="31">
        <v>3.3679999999999999</v>
      </c>
      <c r="G499" s="31">
        <v>4.7196624999999992E-2</v>
      </c>
      <c r="H499" s="31">
        <v>0</v>
      </c>
      <c r="I499" s="31">
        <v>1.116895</v>
      </c>
      <c r="J499" s="31">
        <v>0.29614099999999999</v>
      </c>
      <c r="K499" s="31">
        <v>0</v>
      </c>
    </row>
    <row r="500" spans="1:11">
      <c r="A500" s="15">
        <v>6</v>
      </c>
      <c r="B500" s="22">
        <v>41498</v>
      </c>
      <c r="C500" s="15">
        <v>2013</v>
      </c>
      <c r="D500" s="11" t="s">
        <v>34</v>
      </c>
      <c r="E500" s="12">
        <v>8</v>
      </c>
      <c r="F500" s="31">
        <v>3.323</v>
      </c>
      <c r="G500" s="31">
        <v>0.105514</v>
      </c>
      <c r="H500" s="31">
        <v>0</v>
      </c>
      <c r="I500" s="31">
        <v>0.86965412499999994</v>
      </c>
      <c r="J500" s="31">
        <v>0.7917361249999999</v>
      </c>
      <c r="K500" s="31">
        <v>0</v>
      </c>
    </row>
    <row r="501" spans="1:11">
      <c r="A501" s="15">
        <v>8</v>
      </c>
      <c r="B501" s="22">
        <v>41498</v>
      </c>
      <c r="C501" s="15">
        <v>2013</v>
      </c>
      <c r="D501" s="11" t="s">
        <v>34</v>
      </c>
      <c r="E501" s="12">
        <v>8</v>
      </c>
      <c r="F501" s="31">
        <v>3.33</v>
      </c>
      <c r="G501" s="31">
        <v>0.14407937499999998</v>
      </c>
      <c r="H501" s="31">
        <v>0</v>
      </c>
      <c r="I501" s="31">
        <v>1.1862837500000001</v>
      </c>
      <c r="J501" s="31">
        <v>2.8969749999999999E-2</v>
      </c>
      <c r="K501" s="31">
        <v>0</v>
      </c>
    </row>
    <row r="502" spans="1:11">
      <c r="A502" s="15">
        <v>15</v>
      </c>
      <c r="B502" s="22">
        <v>41498</v>
      </c>
      <c r="C502" s="15">
        <v>2013</v>
      </c>
      <c r="D502" s="11" t="s">
        <v>34</v>
      </c>
      <c r="E502" s="12">
        <v>8</v>
      </c>
      <c r="F502" s="31">
        <v>1.9870000000000001</v>
      </c>
      <c r="G502" s="31">
        <v>0.23078237500000001</v>
      </c>
      <c r="H502" s="31">
        <v>0</v>
      </c>
      <c r="I502" s="31">
        <v>0.56287425000000002</v>
      </c>
      <c r="J502" s="31">
        <v>0.212019875</v>
      </c>
      <c r="K502" s="31">
        <v>0</v>
      </c>
    </row>
    <row r="503" spans="1:11">
      <c r="A503" s="15">
        <v>6</v>
      </c>
      <c r="B503" s="22">
        <v>41535</v>
      </c>
      <c r="C503" s="15">
        <v>2013</v>
      </c>
      <c r="D503" s="11" t="s">
        <v>40</v>
      </c>
      <c r="E503" s="12">
        <v>9</v>
      </c>
      <c r="F503" s="31">
        <v>1.4730000000000001</v>
      </c>
      <c r="G503" s="31">
        <v>4.1458749999999996E-2</v>
      </c>
      <c r="H503" s="31">
        <v>0</v>
      </c>
      <c r="I503" s="31">
        <v>0.58542100000000008</v>
      </c>
      <c r="J503" s="31">
        <v>2.492925E-2</v>
      </c>
      <c r="K503" s="31">
        <v>0</v>
      </c>
    </row>
    <row r="504" spans="1:11">
      <c r="A504" s="15">
        <v>8</v>
      </c>
      <c r="B504" s="22">
        <v>41535</v>
      </c>
      <c r="C504" s="15">
        <v>2013</v>
      </c>
      <c r="D504" s="11" t="s">
        <v>40</v>
      </c>
      <c r="E504" s="12">
        <v>9</v>
      </c>
      <c r="F504" s="31">
        <v>2.9580000000000002</v>
      </c>
      <c r="G504" s="31">
        <v>0</v>
      </c>
      <c r="H504" s="31">
        <v>0</v>
      </c>
      <c r="I504" s="31">
        <v>1.2632656249999998</v>
      </c>
      <c r="J504" s="31">
        <v>5.1277875000000007E-2</v>
      </c>
      <c r="K504" s="31">
        <v>0</v>
      </c>
    </row>
    <row r="505" spans="1:11">
      <c r="A505" s="15">
        <v>15</v>
      </c>
      <c r="B505" s="22">
        <v>41535</v>
      </c>
      <c r="C505" s="15">
        <v>2013</v>
      </c>
      <c r="D505" s="11" t="s">
        <v>40</v>
      </c>
      <c r="E505" s="12">
        <v>9</v>
      </c>
      <c r="F505" s="31">
        <v>2.5760000000000001</v>
      </c>
      <c r="G505" s="31">
        <v>5.5762999999999993E-2</v>
      </c>
      <c r="H505" s="31">
        <v>0</v>
      </c>
      <c r="I505" s="31">
        <v>1.1704380000000001</v>
      </c>
      <c r="J505" s="31">
        <v>6.8153624999999995E-2</v>
      </c>
      <c r="K505" s="31">
        <v>0</v>
      </c>
    </row>
    <row r="506" spans="1:11">
      <c r="A506" s="15">
        <v>6</v>
      </c>
      <c r="B506" s="22">
        <v>41569</v>
      </c>
      <c r="C506" s="15">
        <v>2013</v>
      </c>
      <c r="D506" s="11" t="s">
        <v>36</v>
      </c>
      <c r="E506" s="12">
        <v>10</v>
      </c>
      <c r="F506" s="26">
        <v>1.5389999999999999</v>
      </c>
      <c r="G506" s="26">
        <v>5.199612499999999E-2</v>
      </c>
      <c r="H506" s="26">
        <v>0</v>
      </c>
      <c r="I506" s="64">
        <v>6.3442125000000002E-2</v>
      </c>
      <c r="J506" s="30">
        <v>0</v>
      </c>
      <c r="K506" s="30">
        <v>0</v>
      </c>
    </row>
    <row r="507" spans="1:11">
      <c r="A507" s="15">
        <v>8</v>
      </c>
      <c r="B507" s="22">
        <v>406810</v>
      </c>
      <c r="C507" s="15">
        <v>2013</v>
      </c>
      <c r="D507" s="11" t="s">
        <v>36</v>
      </c>
      <c r="E507" s="12">
        <v>10</v>
      </c>
      <c r="F507" s="26">
        <v>0.92200000000000004</v>
      </c>
      <c r="G507" s="26">
        <v>0</v>
      </c>
      <c r="H507" s="26">
        <v>0</v>
      </c>
      <c r="I507" s="64">
        <v>0.12221799999999998</v>
      </c>
      <c r="J507" s="30">
        <v>0</v>
      </c>
      <c r="K507" s="30">
        <v>0</v>
      </c>
    </row>
    <row r="508" spans="1:11">
      <c r="A508" s="15">
        <v>15</v>
      </c>
      <c r="B508" s="22">
        <v>406810</v>
      </c>
      <c r="C508" s="15">
        <v>2013</v>
      </c>
      <c r="D508" s="11" t="s">
        <v>36</v>
      </c>
      <c r="E508" s="12">
        <v>10</v>
      </c>
      <c r="F508" s="26">
        <v>1.8380000000000001</v>
      </c>
      <c r="G508" s="26">
        <v>4.0808749999999991E-2</v>
      </c>
      <c r="H508" s="26">
        <v>0</v>
      </c>
      <c r="I508" s="64">
        <v>0.255803375</v>
      </c>
      <c r="J508" s="30">
        <v>0</v>
      </c>
      <c r="K508" s="30">
        <v>0</v>
      </c>
    </row>
    <row r="509" spans="1:11">
      <c r="A509" s="15">
        <v>6</v>
      </c>
      <c r="B509" s="22">
        <v>41599</v>
      </c>
      <c r="C509" s="15">
        <v>2013</v>
      </c>
      <c r="D509" s="11" t="s">
        <v>37</v>
      </c>
      <c r="E509" s="12">
        <v>11</v>
      </c>
      <c r="F509" s="26">
        <v>2.1930000000000001</v>
      </c>
      <c r="G509" s="26">
        <v>0.15699399999999999</v>
      </c>
      <c r="H509" s="26">
        <v>0</v>
      </c>
      <c r="I509" s="64">
        <v>0.44691249999999993</v>
      </c>
      <c r="J509" s="30">
        <v>8.6479999999999994E-3</v>
      </c>
      <c r="K509" s="30">
        <v>0</v>
      </c>
    </row>
    <row r="510" spans="1:11">
      <c r="A510" s="15">
        <v>8</v>
      </c>
      <c r="B510" s="22">
        <v>41599</v>
      </c>
      <c r="C510" s="15">
        <v>2013</v>
      </c>
      <c r="D510" s="11" t="s">
        <v>37</v>
      </c>
      <c r="E510" s="12">
        <v>11</v>
      </c>
      <c r="F510" s="26">
        <v>0.51</v>
      </c>
      <c r="G510" s="26">
        <v>0</v>
      </c>
      <c r="H510" s="26">
        <v>0</v>
      </c>
      <c r="I510" s="64">
        <v>0.108892875</v>
      </c>
      <c r="J510" s="30">
        <v>0</v>
      </c>
      <c r="K510" s="30">
        <v>0</v>
      </c>
    </row>
    <row r="511" spans="1:11">
      <c r="A511" s="15">
        <v>15</v>
      </c>
      <c r="B511" s="22">
        <v>41599</v>
      </c>
      <c r="C511" s="15">
        <v>2013</v>
      </c>
      <c r="D511" s="11" t="s">
        <v>37</v>
      </c>
      <c r="E511" s="12">
        <v>11</v>
      </c>
      <c r="F511" s="26">
        <v>1.6080000000000001</v>
      </c>
      <c r="G511" s="26">
        <v>1.2926874999999999E-2</v>
      </c>
      <c r="H511" s="26">
        <v>0</v>
      </c>
      <c r="I511" s="64">
        <v>0.35915974999999994</v>
      </c>
      <c r="J511" s="30">
        <v>4.9793750000000003E-3</v>
      </c>
      <c r="K511" s="30">
        <v>0</v>
      </c>
    </row>
    <row r="512" spans="1:11">
      <c r="A512" s="15">
        <v>6</v>
      </c>
      <c r="B512" s="22">
        <v>41624</v>
      </c>
      <c r="C512" s="15">
        <v>2013</v>
      </c>
      <c r="D512" s="11" t="s">
        <v>38</v>
      </c>
      <c r="E512" s="12">
        <v>12</v>
      </c>
      <c r="F512" s="26">
        <v>4.742</v>
      </c>
      <c r="G512" s="26">
        <v>3.6453999999999993E-2</v>
      </c>
      <c r="H512" s="26">
        <v>0</v>
      </c>
      <c r="I512" s="64">
        <v>1.9930667499999999</v>
      </c>
      <c r="J512" s="30">
        <v>0</v>
      </c>
      <c r="K512" s="30">
        <v>0</v>
      </c>
    </row>
    <row r="513" spans="1:18">
      <c r="A513" s="15">
        <v>8</v>
      </c>
      <c r="B513" s="22">
        <v>41627</v>
      </c>
      <c r="C513" s="15">
        <v>2013</v>
      </c>
      <c r="D513" s="11" t="s">
        <v>38</v>
      </c>
      <c r="E513" s="12">
        <v>12</v>
      </c>
      <c r="F513" s="26">
        <v>1.417</v>
      </c>
      <c r="G513" s="26">
        <v>8.0112249999999996E-2</v>
      </c>
      <c r="H513" s="26">
        <v>0</v>
      </c>
      <c r="I513" s="64">
        <v>0.41722912499999998</v>
      </c>
      <c r="J513" s="30">
        <v>7.4692499999999993E-3</v>
      </c>
      <c r="K513" s="30">
        <v>0</v>
      </c>
    </row>
    <row r="514" spans="1:18">
      <c r="A514" s="15">
        <v>15</v>
      </c>
      <c r="B514" s="22">
        <v>41627</v>
      </c>
      <c r="C514" s="15">
        <v>2013</v>
      </c>
      <c r="D514" s="11" t="s">
        <v>38</v>
      </c>
      <c r="E514" s="12">
        <v>12</v>
      </c>
      <c r="F514" s="26">
        <v>3.1640000000000001</v>
      </c>
      <c r="G514" s="26">
        <v>5.9317124999999984E-2</v>
      </c>
      <c r="H514" s="26">
        <v>0</v>
      </c>
      <c r="I514" s="64">
        <v>1.1139265</v>
      </c>
      <c r="J514" s="30">
        <v>9.1658750000000021E-3</v>
      </c>
      <c r="K514" s="30">
        <v>0</v>
      </c>
    </row>
    <row r="515" spans="1:18" ht="25.5">
      <c r="A515" s="50">
        <v>6</v>
      </c>
      <c r="B515" s="57">
        <v>41654</v>
      </c>
      <c r="C515" s="50">
        <v>2014</v>
      </c>
      <c r="D515" s="47" t="s">
        <v>39</v>
      </c>
      <c r="E515" s="45">
        <v>1</v>
      </c>
      <c r="F515" s="63">
        <v>2.57</v>
      </c>
      <c r="G515" s="63">
        <v>6.0505624999999987E-2</v>
      </c>
      <c r="H515" s="63">
        <v>0</v>
      </c>
      <c r="I515" s="65">
        <v>1.0897259999999998</v>
      </c>
      <c r="J515" s="61">
        <v>1.2909624999999997E-2</v>
      </c>
      <c r="K515" s="61">
        <v>0</v>
      </c>
      <c r="L515" s="39" t="s">
        <v>42</v>
      </c>
      <c r="M515" s="6" t="s">
        <v>7</v>
      </c>
      <c r="N515" s="6" t="s">
        <v>8</v>
      </c>
      <c r="O515" s="6" t="s">
        <v>9</v>
      </c>
      <c r="P515" s="6" t="s">
        <v>10</v>
      </c>
      <c r="Q515" s="6" t="s">
        <v>11</v>
      </c>
      <c r="R515" s="6" t="s">
        <v>12</v>
      </c>
    </row>
    <row r="516" spans="1:18">
      <c r="A516" s="15">
        <v>8</v>
      </c>
      <c r="B516" s="22">
        <v>41655</v>
      </c>
      <c r="C516" s="15">
        <v>2014</v>
      </c>
      <c r="D516" s="11" t="s">
        <v>39</v>
      </c>
      <c r="E516" s="12">
        <v>1</v>
      </c>
      <c r="F516" s="26">
        <v>1.9390000000000001</v>
      </c>
      <c r="G516" s="26">
        <v>4.7891249999999996E-2</v>
      </c>
      <c r="H516" s="26">
        <v>0</v>
      </c>
      <c r="I516" s="64">
        <v>0.83379287499999999</v>
      </c>
      <c r="J516" s="30">
        <v>1.041775E-2</v>
      </c>
      <c r="K516" s="30">
        <v>0</v>
      </c>
      <c r="L516" s="39" t="s">
        <v>61</v>
      </c>
      <c r="M516" s="40">
        <f>AVERAGE(F515:F550)</f>
        <v>2.5213055555555557</v>
      </c>
      <c r="N516" s="40">
        <f t="shared" ref="N516:O516" si="14">AVERAGE(G515:G550)</f>
        <v>8.3007944444444454E-2</v>
      </c>
      <c r="O516" s="40">
        <f t="shared" si="14"/>
        <v>0</v>
      </c>
      <c r="P516" s="40">
        <f>AVERAGE(I515:I550)</f>
        <v>0.79262214930555563</v>
      </c>
      <c r="Q516" s="40">
        <f>AVERAGE(J515:J550)</f>
        <v>6.6187385416666661E-2</v>
      </c>
      <c r="R516" s="40">
        <f>AVERAGE(K515:K550)</f>
        <v>0</v>
      </c>
    </row>
    <row r="517" spans="1:18">
      <c r="A517" s="15">
        <v>15</v>
      </c>
      <c r="B517" s="22">
        <v>41655</v>
      </c>
      <c r="C517" s="15">
        <v>2014</v>
      </c>
      <c r="D517" s="11" t="s">
        <v>39</v>
      </c>
      <c r="E517" s="12">
        <v>1</v>
      </c>
      <c r="F517" s="26">
        <v>2.8519999999999999</v>
      </c>
      <c r="G517" s="26">
        <v>9.7167249999999997E-2</v>
      </c>
      <c r="H517" s="26">
        <v>0</v>
      </c>
      <c r="I517" s="64">
        <v>1.10187575</v>
      </c>
      <c r="J517" s="30">
        <v>2.2926249999999995E-2</v>
      </c>
      <c r="K517" s="30">
        <v>0</v>
      </c>
    </row>
    <row r="518" spans="1:18">
      <c r="A518" s="15">
        <v>6</v>
      </c>
      <c r="B518" s="22">
        <v>41688</v>
      </c>
      <c r="C518" s="15">
        <v>2014</v>
      </c>
      <c r="D518" s="11" t="s">
        <v>28</v>
      </c>
      <c r="E518" s="12">
        <v>2</v>
      </c>
      <c r="F518" s="26">
        <v>5.194</v>
      </c>
      <c r="G518" s="26">
        <v>0.10904712499999999</v>
      </c>
      <c r="H518" s="26">
        <v>0</v>
      </c>
      <c r="I518" s="64">
        <v>2.1479910000000006</v>
      </c>
      <c r="J518" s="30">
        <v>2.8799624999999999E-2</v>
      </c>
      <c r="K518" s="30">
        <v>0</v>
      </c>
    </row>
    <row r="519" spans="1:18">
      <c r="A519" s="15">
        <v>8</v>
      </c>
      <c r="B519" s="22">
        <v>41690</v>
      </c>
      <c r="C519" s="15">
        <v>2014</v>
      </c>
      <c r="D519" s="11" t="s">
        <v>28</v>
      </c>
      <c r="E519" s="12">
        <v>2</v>
      </c>
      <c r="F519" s="26">
        <v>2.6349999999999998</v>
      </c>
      <c r="G519" s="26">
        <v>6.2707499999999999E-2</v>
      </c>
      <c r="H519" s="26">
        <v>0</v>
      </c>
      <c r="I519" s="64">
        <v>0.98751750000000005</v>
      </c>
      <c r="J519" s="30">
        <v>3.3908125000000004E-2</v>
      </c>
      <c r="K519" s="30">
        <v>0</v>
      </c>
    </row>
    <row r="520" spans="1:18">
      <c r="A520" s="15">
        <v>15</v>
      </c>
      <c r="B520" s="22">
        <v>41690</v>
      </c>
      <c r="C520" s="15">
        <v>2014</v>
      </c>
      <c r="D520" s="11" t="s">
        <v>28</v>
      </c>
      <c r="E520" s="12">
        <v>2</v>
      </c>
      <c r="F520" s="26">
        <v>2.0369999999999999</v>
      </c>
      <c r="G520" s="26">
        <v>5.0547750000000002E-2</v>
      </c>
      <c r="H520" s="26">
        <v>0</v>
      </c>
      <c r="I520" s="64">
        <v>0.80476624999999979</v>
      </c>
      <c r="J520" s="30">
        <v>2.3821999999999996E-2</v>
      </c>
      <c r="K520" s="30">
        <v>0</v>
      </c>
    </row>
    <row r="521" spans="1:18">
      <c r="A521" s="15">
        <v>6</v>
      </c>
      <c r="B521" s="22">
        <v>41719</v>
      </c>
      <c r="C521" s="15">
        <v>2014</v>
      </c>
      <c r="D521" s="11" t="s">
        <v>29</v>
      </c>
      <c r="E521" s="12">
        <v>3</v>
      </c>
      <c r="F521" s="26">
        <v>3.532</v>
      </c>
      <c r="G521" s="26">
        <v>6.6729250000000004E-2</v>
      </c>
      <c r="H521" s="26">
        <v>0</v>
      </c>
      <c r="I521" s="64">
        <v>1.64696</v>
      </c>
      <c r="J521" s="30">
        <v>1.9767374999999997E-2</v>
      </c>
      <c r="K521" s="30">
        <v>0</v>
      </c>
    </row>
    <row r="522" spans="1:18">
      <c r="A522" s="15">
        <v>8</v>
      </c>
      <c r="B522" s="22">
        <v>41718</v>
      </c>
      <c r="C522" s="15">
        <v>2014</v>
      </c>
      <c r="D522" s="11" t="s">
        <v>29</v>
      </c>
      <c r="E522" s="12">
        <v>3</v>
      </c>
      <c r="F522" s="26">
        <v>3.2989999999999999</v>
      </c>
      <c r="G522" s="26">
        <v>8.9904749999999992E-2</v>
      </c>
      <c r="H522" s="26">
        <v>0</v>
      </c>
      <c r="I522" s="64">
        <v>1.3240952500000001</v>
      </c>
      <c r="J522" s="30">
        <v>3.8516624999999999E-2</v>
      </c>
      <c r="K522" s="30">
        <v>0</v>
      </c>
    </row>
    <row r="523" spans="1:18">
      <c r="A523" s="15">
        <v>15</v>
      </c>
      <c r="B523" s="22">
        <v>41718</v>
      </c>
      <c r="C523" s="15">
        <v>2014</v>
      </c>
      <c r="D523" s="11" t="s">
        <v>29</v>
      </c>
      <c r="E523" s="12">
        <v>3</v>
      </c>
      <c r="F523" s="26">
        <v>5.0549999999999997</v>
      </c>
      <c r="G523" s="26">
        <v>6.8582624999999994E-2</v>
      </c>
      <c r="H523" s="26">
        <v>0</v>
      </c>
      <c r="I523" s="64">
        <v>2.4427641250000001</v>
      </c>
      <c r="J523" s="30">
        <v>4.3438375000000008E-2</v>
      </c>
      <c r="K523" s="30">
        <v>0</v>
      </c>
    </row>
    <row r="524" spans="1:18">
      <c r="A524" s="15">
        <v>6</v>
      </c>
      <c r="B524" s="22">
        <v>41747</v>
      </c>
      <c r="C524" s="15">
        <v>2014</v>
      </c>
      <c r="D524" s="11" t="s">
        <v>30</v>
      </c>
      <c r="E524" s="12">
        <v>4</v>
      </c>
      <c r="F524" s="38">
        <v>3.5249999999999999</v>
      </c>
      <c r="G524" s="38">
        <v>3.5647999999999999E-2</v>
      </c>
      <c r="H524" s="38">
        <v>0</v>
      </c>
      <c r="I524" s="67">
        <v>1.6397242499999998</v>
      </c>
      <c r="J524" s="69">
        <v>2.7161999999999999E-2</v>
      </c>
      <c r="K524" s="69">
        <v>0</v>
      </c>
    </row>
    <row r="525" spans="1:18">
      <c r="A525" s="15">
        <v>8</v>
      </c>
      <c r="B525" s="22">
        <v>41750</v>
      </c>
      <c r="C525" s="15">
        <v>2014</v>
      </c>
      <c r="D525" s="11" t="s">
        <v>30</v>
      </c>
      <c r="E525" s="12">
        <v>4</v>
      </c>
      <c r="F525" s="38">
        <v>1.02</v>
      </c>
      <c r="G525" s="38">
        <v>1.88545E-2</v>
      </c>
      <c r="H525" s="38">
        <v>0</v>
      </c>
      <c r="I525" s="67">
        <v>0.303593375</v>
      </c>
      <c r="J525" s="69">
        <v>1.5872500000000001E-2</v>
      </c>
      <c r="K525" s="69">
        <v>0</v>
      </c>
    </row>
    <row r="526" spans="1:18">
      <c r="A526" s="15">
        <v>15</v>
      </c>
      <c r="B526" s="22">
        <v>41750</v>
      </c>
      <c r="C526" s="15">
        <v>2014</v>
      </c>
      <c r="D526" s="11" t="s">
        <v>30</v>
      </c>
      <c r="E526" s="12">
        <v>4</v>
      </c>
      <c r="F526" s="38">
        <v>2.5870000000000002</v>
      </c>
      <c r="G526" s="38">
        <v>0</v>
      </c>
      <c r="H526" s="38">
        <v>0</v>
      </c>
      <c r="I526" s="67">
        <v>1.1846015000000001</v>
      </c>
      <c r="J526" s="69">
        <v>0</v>
      </c>
      <c r="K526" s="69">
        <v>0</v>
      </c>
    </row>
    <row r="527" spans="1:18">
      <c r="A527" s="15">
        <v>6</v>
      </c>
      <c r="B527" s="22">
        <v>41772</v>
      </c>
      <c r="C527" s="15">
        <v>2014</v>
      </c>
      <c r="D527" s="11" t="s">
        <v>31</v>
      </c>
      <c r="E527" s="12">
        <v>5</v>
      </c>
      <c r="F527" s="38">
        <v>1.8720000000000001</v>
      </c>
      <c r="G527" s="38">
        <v>0</v>
      </c>
      <c r="H527" s="38">
        <v>0</v>
      </c>
      <c r="I527" s="67">
        <v>0.20579149999999996</v>
      </c>
      <c r="J527" s="69">
        <v>1.533725E-2</v>
      </c>
      <c r="K527" s="69">
        <v>0</v>
      </c>
    </row>
    <row r="528" spans="1:18">
      <c r="A528" s="15">
        <v>8</v>
      </c>
      <c r="B528" s="22">
        <v>41406</v>
      </c>
      <c r="C528" s="15">
        <v>2014</v>
      </c>
      <c r="D528" s="11" t="s">
        <v>31</v>
      </c>
      <c r="E528" s="12">
        <v>5</v>
      </c>
      <c r="F528" s="38">
        <v>1.1919999999999999</v>
      </c>
      <c r="G528" s="38">
        <v>0</v>
      </c>
      <c r="H528" s="38">
        <v>0</v>
      </c>
      <c r="I528" s="67">
        <v>0.18357124999999994</v>
      </c>
      <c r="J528" s="69">
        <v>0</v>
      </c>
      <c r="K528" s="69">
        <v>0</v>
      </c>
    </row>
    <row r="529" spans="1:11">
      <c r="A529" s="15">
        <v>15</v>
      </c>
      <c r="B529" s="22">
        <v>41406</v>
      </c>
      <c r="C529" s="15">
        <v>2014</v>
      </c>
      <c r="D529" s="11" t="s">
        <v>31</v>
      </c>
      <c r="E529" s="12">
        <v>5</v>
      </c>
      <c r="F529" s="38">
        <v>1.1439999999999999</v>
      </c>
      <c r="G529" s="38">
        <v>0</v>
      </c>
      <c r="H529" s="38">
        <v>0</v>
      </c>
      <c r="I529" s="67">
        <v>6.4500249999999981E-2</v>
      </c>
      <c r="J529" s="69">
        <v>0</v>
      </c>
      <c r="K529" s="69">
        <v>0</v>
      </c>
    </row>
    <row r="530" spans="1:11">
      <c r="A530" s="15">
        <v>6</v>
      </c>
      <c r="B530" s="22">
        <v>41808</v>
      </c>
      <c r="C530" s="15">
        <v>2014</v>
      </c>
      <c r="D530" s="11" t="s">
        <v>32</v>
      </c>
      <c r="E530" s="12">
        <v>6</v>
      </c>
      <c r="F530" s="38">
        <v>4.5490000000000004</v>
      </c>
      <c r="G530" s="38">
        <v>0.32144287500000002</v>
      </c>
      <c r="H530" s="38">
        <v>0</v>
      </c>
      <c r="I530" s="67">
        <v>1.2678983749999997</v>
      </c>
      <c r="J530" s="69">
        <v>0.25557012499999998</v>
      </c>
      <c r="K530" s="69">
        <v>0</v>
      </c>
    </row>
    <row r="531" spans="1:11">
      <c r="A531" s="15">
        <v>8</v>
      </c>
      <c r="B531" s="22">
        <v>41807</v>
      </c>
      <c r="C531" s="15">
        <v>2014</v>
      </c>
      <c r="D531" s="11" t="s">
        <v>32</v>
      </c>
      <c r="E531" s="12">
        <v>6</v>
      </c>
      <c r="F531" s="38">
        <v>2.823</v>
      </c>
      <c r="G531" s="38">
        <v>5.6033624999999997E-2</v>
      </c>
      <c r="H531" s="38">
        <v>0</v>
      </c>
      <c r="I531" s="67">
        <v>0.9740049999999999</v>
      </c>
      <c r="J531" s="69">
        <v>4.1104499999999995E-2</v>
      </c>
      <c r="K531" s="69">
        <v>0</v>
      </c>
    </row>
    <row r="532" spans="1:11">
      <c r="A532" s="15">
        <v>15</v>
      </c>
      <c r="B532" s="22">
        <v>41807</v>
      </c>
      <c r="C532" s="15">
        <v>2014</v>
      </c>
      <c r="D532" s="11" t="s">
        <v>32</v>
      </c>
      <c r="E532" s="12">
        <v>6</v>
      </c>
      <c r="F532" s="38">
        <v>2.129</v>
      </c>
      <c r="G532" s="38">
        <v>5.5231499999999996E-2</v>
      </c>
      <c r="H532" s="38">
        <v>0</v>
      </c>
      <c r="I532" s="67">
        <v>0.79169624999999988</v>
      </c>
      <c r="J532" s="69">
        <v>7.1636499999999992E-2</v>
      </c>
      <c r="K532" s="69">
        <v>0</v>
      </c>
    </row>
    <row r="533" spans="1:11">
      <c r="A533" s="15">
        <v>6</v>
      </c>
      <c r="B533" s="22">
        <v>41834</v>
      </c>
      <c r="C533" s="15">
        <v>2014</v>
      </c>
      <c r="D533" s="11" t="s">
        <v>33</v>
      </c>
      <c r="E533" s="12">
        <v>7</v>
      </c>
      <c r="F533" s="38">
        <v>1.706</v>
      </c>
      <c r="G533" s="38">
        <v>0.22016137499999999</v>
      </c>
      <c r="H533" s="38">
        <v>0</v>
      </c>
      <c r="I533" s="67">
        <v>0.35359487499999998</v>
      </c>
      <c r="J533" s="69">
        <v>4.3380499999999995E-2</v>
      </c>
      <c r="K533" s="69">
        <v>0</v>
      </c>
    </row>
    <row r="534" spans="1:11">
      <c r="A534" s="15">
        <v>8</v>
      </c>
      <c r="B534" s="22">
        <v>41837</v>
      </c>
      <c r="C534" s="15">
        <v>2014</v>
      </c>
      <c r="D534" s="11" t="s">
        <v>33</v>
      </c>
      <c r="E534" s="12">
        <v>7</v>
      </c>
      <c r="F534" s="38">
        <v>2.9140000000000001</v>
      </c>
      <c r="G534" s="38">
        <v>0.15629937500000002</v>
      </c>
      <c r="H534" s="38">
        <v>0</v>
      </c>
      <c r="I534" s="67">
        <v>0.49849137500000001</v>
      </c>
      <c r="J534" s="69">
        <v>1.727275E-2</v>
      </c>
      <c r="K534" s="69">
        <v>0</v>
      </c>
    </row>
    <row r="535" spans="1:11">
      <c r="A535" s="15">
        <v>15</v>
      </c>
      <c r="B535" s="22">
        <v>41837</v>
      </c>
      <c r="C535" s="15">
        <v>2014</v>
      </c>
      <c r="D535" s="11" t="s">
        <v>33</v>
      </c>
      <c r="E535" s="12">
        <v>7</v>
      </c>
      <c r="F535" s="38">
        <v>3.3260000000000001</v>
      </c>
      <c r="G535" s="38">
        <v>0.13892699999999997</v>
      </c>
      <c r="H535" s="38">
        <v>0</v>
      </c>
      <c r="I535" s="67">
        <v>1.259355875</v>
      </c>
      <c r="J535" s="69">
        <v>9.891875E-2</v>
      </c>
      <c r="K535" s="69">
        <v>0</v>
      </c>
    </row>
    <row r="536" spans="1:11">
      <c r="A536" s="15">
        <v>6</v>
      </c>
      <c r="B536" s="22">
        <v>41862</v>
      </c>
      <c r="C536" s="15">
        <v>2014</v>
      </c>
      <c r="D536" s="11" t="s">
        <v>34</v>
      </c>
      <c r="E536" s="12">
        <v>8</v>
      </c>
      <c r="F536" s="38">
        <v>2.972</v>
      </c>
      <c r="G536" s="38">
        <v>0.32487799999999994</v>
      </c>
      <c r="H536" s="38">
        <v>0</v>
      </c>
      <c r="I536" s="67">
        <v>0.24460299999999999</v>
      </c>
      <c r="J536" s="69">
        <v>1.2132106250000001</v>
      </c>
      <c r="K536" s="69">
        <v>0</v>
      </c>
    </row>
    <row r="537" spans="1:11">
      <c r="A537" s="15">
        <v>8</v>
      </c>
      <c r="B537" s="22">
        <v>41862</v>
      </c>
      <c r="C537" s="15">
        <v>2014</v>
      </c>
      <c r="D537" s="11" t="s">
        <v>34</v>
      </c>
      <c r="E537" s="12">
        <v>8</v>
      </c>
      <c r="F537" s="38">
        <v>4.1749999999999998</v>
      </c>
      <c r="G537" s="38">
        <v>7.7050999999999994E-2</v>
      </c>
      <c r="H537" s="38">
        <v>0</v>
      </c>
      <c r="I537" s="67">
        <v>1.3164909999999999</v>
      </c>
      <c r="J537" s="69">
        <v>6.1019999999999998E-2</v>
      </c>
      <c r="K537" s="69">
        <v>0</v>
      </c>
    </row>
    <row r="538" spans="1:11">
      <c r="A538" s="15">
        <v>15</v>
      </c>
      <c r="B538" s="22">
        <v>41862</v>
      </c>
      <c r="C538" s="15">
        <v>2014</v>
      </c>
      <c r="D538" s="11" t="s">
        <v>34</v>
      </c>
      <c r="E538" s="12">
        <v>8</v>
      </c>
      <c r="F538" s="38">
        <v>1.121</v>
      </c>
      <c r="G538" s="38">
        <v>3.4140875000000001E-2</v>
      </c>
      <c r="H538" s="38">
        <v>0</v>
      </c>
      <c r="I538" s="67">
        <v>0.36969475000000002</v>
      </c>
      <c r="J538" s="69">
        <v>0.14376799999999998</v>
      </c>
      <c r="K538" s="69">
        <v>0</v>
      </c>
    </row>
    <row r="539" spans="1:11">
      <c r="A539" s="15">
        <v>6</v>
      </c>
      <c r="B539" s="22">
        <v>41898</v>
      </c>
      <c r="C539" s="15">
        <v>2014</v>
      </c>
      <c r="D539" s="11" t="s">
        <v>40</v>
      </c>
      <c r="E539" s="12">
        <v>9</v>
      </c>
      <c r="F539" s="38">
        <v>3.35</v>
      </c>
      <c r="G539" s="38">
        <v>0.25814900000000002</v>
      </c>
      <c r="H539" s="38">
        <v>0</v>
      </c>
      <c r="I539" s="67">
        <v>0.63321974999999986</v>
      </c>
      <c r="J539" s="69">
        <v>3.8121624999999992E-2</v>
      </c>
      <c r="K539" s="69">
        <v>0</v>
      </c>
    </row>
    <row r="540" spans="1:11">
      <c r="A540" s="15">
        <v>8</v>
      </c>
      <c r="B540" s="22">
        <v>41897</v>
      </c>
      <c r="C540" s="15">
        <v>2014</v>
      </c>
      <c r="D540" s="11" t="s">
        <v>40</v>
      </c>
      <c r="E540" s="12">
        <v>9</v>
      </c>
      <c r="F540" s="38">
        <v>1.718</v>
      </c>
      <c r="G540" s="38">
        <v>3.4482499999999999E-2</v>
      </c>
      <c r="H540" s="38">
        <v>0</v>
      </c>
      <c r="I540" s="67">
        <v>0.38743212500000002</v>
      </c>
      <c r="J540" s="69">
        <v>1.6371875000000004E-2</v>
      </c>
      <c r="K540" s="69">
        <v>0</v>
      </c>
    </row>
    <row r="541" spans="1:11">
      <c r="A541" s="15">
        <v>15</v>
      </c>
      <c r="B541" s="22">
        <v>41897</v>
      </c>
      <c r="C541" s="15">
        <v>2014</v>
      </c>
      <c r="D541" s="11" t="s">
        <v>40</v>
      </c>
      <c r="E541" s="12">
        <v>9</v>
      </c>
      <c r="F541" s="38">
        <v>1.7669999999999999</v>
      </c>
      <c r="G541" s="38">
        <v>0</v>
      </c>
      <c r="H541" s="38">
        <v>0</v>
      </c>
      <c r="I541" s="67">
        <v>0.51165612500000002</v>
      </c>
      <c r="J541" s="69">
        <v>3.2613000000000003E-2</v>
      </c>
      <c r="K541" s="69">
        <v>0</v>
      </c>
    </row>
    <row r="542" spans="1:11">
      <c r="A542" s="15">
        <v>6</v>
      </c>
      <c r="B542" s="22">
        <v>41929</v>
      </c>
      <c r="C542" s="15">
        <v>2014</v>
      </c>
      <c r="D542" s="11" t="s">
        <v>36</v>
      </c>
      <c r="E542" s="12">
        <v>10</v>
      </c>
      <c r="F542" s="26">
        <v>1.51</v>
      </c>
      <c r="G542" s="26">
        <v>1.6669E-2</v>
      </c>
      <c r="H542" s="26">
        <v>0</v>
      </c>
      <c r="I542" s="26">
        <v>0.43258437500000002</v>
      </c>
      <c r="J542" s="30">
        <v>0</v>
      </c>
      <c r="K542" s="30">
        <v>0</v>
      </c>
    </row>
    <row r="543" spans="1:11">
      <c r="A543" s="15">
        <v>8</v>
      </c>
      <c r="B543" s="22">
        <v>41928</v>
      </c>
      <c r="C543" s="15">
        <v>2014</v>
      </c>
      <c r="D543" s="11" t="s">
        <v>36</v>
      </c>
      <c r="E543" s="12">
        <v>10</v>
      </c>
      <c r="F543" s="26">
        <v>1.224</v>
      </c>
      <c r="G543" s="26">
        <v>0</v>
      </c>
      <c r="H543" s="26">
        <v>0</v>
      </c>
      <c r="I543" s="26">
        <v>0.22581725000000002</v>
      </c>
      <c r="J543" s="30">
        <v>0</v>
      </c>
      <c r="K543" s="30">
        <v>0</v>
      </c>
    </row>
    <row r="544" spans="1:11">
      <c r="A544" s="15">
        <v>15</v>
      </c>
      <c r="B544" s="22">
        <v>41928</v>
      </c>
      <c r="C544" s="15">
        <v>2014</v>
      </c>
      <c r="D544" s="11" t="s">
        <v>36</v>
      </c>
      <c r="E544" s="12">
        <v>10</v>
      </c>
      <c r="F544" s="26">
        <v>2.0169999999999999</v>
      </c>
      <c r="G544" s="26">
        <v>2.2946874999999999E-2</v>
      </c>
      <c r="H544" s="26">
        <v>0</v>
      </c>
      <c r="I544" s="26">
        <v>0.42733824999999992</v>
      </c>
      <c r="J544" s="30">
        <v>1.41855E-2</v>
      </c>
      <c r="K544" s="30">
        <v>0</v>
      </c>
    </row>
    <row r="545" spans="1:22">
      <c r="A545" s="15">
        <v>6</v>
      </c>
      <c r="B545" s="22">
        <v>41953</v>
      </c>
      <c r="C545" s="15">
        <v>2014</v>
      </c>
      <c r="D545" s="11" t="s">
        <v>37</v>
      </c>
      <c r="E545" s="12">
        <v>11</v>
      </c>
      <c r="F545" s="26">
        <v>3.0049999999999999</v>
      </c>
      <c r="G545" s="26">
        <v>6.1075874999999995E-2</v>
      </c>
      <c r="H545" s="26">
        <v>0</v>
      </c>
      <c r="I545" s="26">
        <v>0.32425074999999998</v>
      </c>
      <c r="J545" s="30">
        <v>1.77935E-2</v>
      </c>
      <c r="K545" s="30">
        <v>0</v>
      </c>
    </row>
    <row r="546" spans="1:22">
      <c r="A546" s="15">
        <v>8</v>
      </c>
      <c r="B546" s="22">
        <v>41955</v>
      </c>
      <c r="C546" s="15">
        <v>2014</v>
      </c>
      <c r="D546" s="11" t="s">
        <v>37</v>
      </c>
      <c r="E546" s="12">
        <v>11</v>
      </c>
      <c r="F546" s="26">
        <v>0.77900000000000003</v>
      </c>
      <c r="G546" s="26">
        <v>0</v>
      </c>
      <c r="H546" s="26">
        <v>0</v>
      </c>
      <c r="I546" s="26">
        <v>0.10562362499999998</v>
      </c>
      <c r="J546" s="30">
        <v>0</v>
      </c>
      <c r="K546" s="30">
        <v>0</v>
      </c>
    </row>
    <row r="547" spans="1:22">
      <c r="A547" s="15">
        <v>15</v>
      </c>
      <c r="B547" s="22">
        <v>41955</v>
      </c>
      <c r="C547" s="15">
        <v>2014</v>
      </c>
      <c r="D547" s="11" t="s">
        <v>37</v>
      </c>
      <c r="E547" s="12">
        <v>11</v>
      </c>
      <c r="F547" s="26">
        <v>1.903</v>
      </c>
      <c r="G547" s="26">
        <v>4.5334625000000003E-2</v>
      </c>
      <c r="H547" s="26">
        <v>0</v>
      </c>
      <c r="I547" s="26">
        <v>0.16562974999999996</v>
      </c>
      <c r="J547" s="30">
        <v>9.1882500000000002E-3</v>
      </c>
      <c r="K547" s="30">
        <v>0</v>
      </c>
    </row>
    <row r="548" spans="1:22">
      <c r="A548" s="15">
        <v>6</v>
      </c>
      <c r="B548" s="22">
        <v>41988</v>
      </c>
      <c r="C548" s="15">
        <v>2014</v>
      </c>
      <c r="D548" s="11" t="s">
        <v>38</v>
      </c>
      <c r="E548" s="12">
        <v>12</v>
      </c>
      <c r="F548" s="26">
        <v>3.819</v>
      </c>
      <c r="G548" s="26">
        <v>0.23277450000000002</v>
      </c>
      <c r="H548" s="26">
        <v>0</v>
      </c>
      <c r="I548" s="26">
        <v>1.402434875</v>
      </c>
      <c r="J548" s="30">
        <v>0</v>
      </c>
      <c r="K548" s="30">
        <v>0</v>
      </c>
    </row>
    <row r="549" spans="1:22">
      <c r="A549" s="15">
        <v>8</v>
      </c>
      <c r="B549" s="22">
        <v>41992</v>
      </c>
      <c r="C549" s="15">
        <v>2014</v>
      </c>
      <c r="D549" s="11" t="s">
        <v>38</v>
      </c>
      <c r="E549" s="12">
        <v>12</v>
      </c>
      <c r="F549" s="26">
        <v>1.2869999999999999</v>
      </c>
      <c r="G549" s="26">
        <v>0.11462237499999998</v>
      </c>
      <c r="H549" s="26">
        <v>0</v>
      </c>
      <c r="I549" s="26">
        <v>0.26378712499999996</v>
      </c>
      <c r="J549" s="30">
        <v>0</v>
      </c>
      <c r="K549" s="30">
        <v>0</v>
      </c>
    </row>
    <row r="550" spans="1:22">
      <c r="A550" s="15">
        <v>15</v>
      </c>
      <c r="B550" s="22">
        <v>41992</v>
      </c>
      <c r="C550" s="15">
        <v>2014</v>
      </c>
      <c r="D550" s="11" t="s">
        <v>38</v>
      </c>
      <c r="E550" s="12">
        <v>12</v>
      </c>
      <c r="F550" s="26">
        <v>2.2200000000000002</v>
      </c>
      <c r="G550" s="26">
        <v>0.11047999999999999</v>
      </c>
      <c r="H550" s="26">
        <v>0</v>
      </c>
      <c r="I550" s="26">
        <v>0.61752200000000002</v>
      </c>
      <c r="J550" s="30">
        <v>1.5712874999999998E-2</v>
      </c>
      <c r="K550" s="30">
        <v>0</v>
      </c>
      <c r="L550" s="39" t="s">
        <v>42</v>
      </c>
    </row>
    <row r="551" spans="1:22" ht="38.25">
      <c r="L551" s="39" t="s">
        <v>62</v>
      </c>
      <c r="M551" s="6" t="s">
        <v>7</v>
      </c>
      <c r="N551" s="6" t="s">
        <v>8</v>
      </c>
      <c r="O551" s="6" t="s">
        <v>9</v>
      </c>
      <c r="P551" s="6" t="s">
        <v>10</v>
      </c>
      <c r="Q551" s="6" t="s">
        <v>11</v>
      </c>
      <c r="R551" s="6" t="s">
        <v>12</v>
      </c>
      <c r="S551" s="70" t="s">
        <v>75</v>
      </c>
      <c r="T551" s="70" t="s">
        <v>76</v>
      </c>
      <c r="U551" s="70" t="s">
        <v>77</v>
      </c>
      <c r="V551" s="70" t="s">
        <v>78</v>
      </c>
    </row>
    <row r="552" spans="1:22">
      <c r="L552" s="39" t="s">
        <v>63</v>
      </c>
      <c r="M552" s="40">
        <f t="shared" ref="M552:R552" si="15">M3</f>
        <v>2.0824106585264692</v>
      </c>
      <c r="N552" s="40">
        <f t="shared" si="15"/>
        <v>5.1745044722222223E-2</v>
      </c>
      <c r="O552" s="40">
        <f t="shared" si="15"/>
        <v>1.0941572962962963E-2</v>
      </c>
      <c r="P552" s="40">
        <f t="shared" si="15"/>
        <v>0.46398309103703705</v>
      </c>
      <c r="Q552" s="40">
        <f t="shared" si="15"/>
        <v>2.3614485981481484E-2</v>
      </c>
      <c r="R552" s="40">
        <f t="shared" si="15"/>
        <v>0</v>
      </c>
      <c r="S552" s="18">
        <f>N552/M552</f>
        <v>2.4848626523472292E-2</v>
      </c>
      <c r="T552" s="18">
        <f>O552/M552</f>
        <v>5.2542820591906254E-3</v>
      </c>
      <c r="U552" s="18">
        <f>P552/M552</f>
        <v>0.22281056291046611</v>
      </c>
      <c r="V552" s="18">
        <f>Q552/M552</f>
        <v>1.1339975563797434E-2</v>
      </c>
    </row>
    <row r="553" spans="1:22">
      <c r="L553" s="39" t="s">
        <v>64</v>
      </c>
      <c r="M553" s="40">
        <f t="shared" ref="M553:R553" si="16">M12</f>
        <v>4.1215587866296373</v>
      </c>
      <c r="N553" s="40">
        <f t="shared" si="16"/>
        <v>8.3045763709523809E-2</v>
      </c>
      <c r="O553" s="40">
        <f t="shared" si="16"/>
        <v>0.22751737815714282</v>
      </c>
      <c r="P553" s="40">
        <f t="shared" si="16"/>
        <v>1.1582331910047621</v>
      </c>
      <c r="Q553" s="40">
        <f t="shared" si="16"/>
        <v>0.16063988246523805</v>
      </c>
      <c r="R553" s="40">
        <f t="shared" si="16"/>
        <v>0</v>
      </c>
      <c r="S553" s="18">
        <f t="shared" ref="S553:S567" si="17">N553/M553</f>
        <v>2.0149115421797401E-2</v>
      </c>
      <c r="T553" s="18">
        <f t="shared" ref="T553:T567" si="18">O553/M553</f>
        <v>5.5201779214022285E-2</v>
      </c>
      <c r="U553" s="18">
        <f t="shared" ref="U553:U567" si="19">P553/M553</f>
        <v>0.2810182387212522</v>
      </c>
      <c r="V553" s="18">
        <f t="shared" ref="V553:V567" si="20">Q553/M553</f>
        <v>3.8975516493020758E-2</v>
      </c>
    </row>
    <row r="554" spans="1:22">
      <c r="L554" s="39" t="s">
        <v>65</v>
      </c>
      <c r="M554" s="40">
        <f t="shared" ref="M554:R554" si="21">M48</f>
        <v>2.8857481058471661</v>
      </c>
      <c r="N554" s="40">
        <f t="shared" si="21"/>
        <v>6.275781014619089E-2</v>
      </c>
      <c r="O554" s="40">
        <f t="shared" si="21"/>
        <v>0.18055750731465181</v>
      </c>
      <c r="P554" s="40">
        <f t="shared" si="21"/>
        <v>0.76754550407865296</v>
      </c>
      <c r="Q554" s="40">
        <f t="shared" si="21"/>
        <v>0.12389342288053987</v>
      </c>
      <c r="R554" s="40">
        <f t="shared" si="21"/>
        <v>0</v>
      </c>
      <c r="S554" s="18">
        <f t="shared" si="17"/>
        <v>2.174750111384623E-2</v>
      </c>
      <c r="T554" s="18">
        <f t="shared" si="18"/>
        <v>6.2568699932195132E-2</v>
      </c>
      <c r="U554" s="18">
        <f t="shared" si="19"/>
        <v>0.26597799805306477</v>
      </c>
      <c r="V554" s="18">
        <f t="shared" si="20"/>
        <v>4.293286119793488E-2</v>
      </c>
    </row>
    <row r="555" spans="1:22">
      <c r="L555" s="39" t="s">
        <v>66</v>
      </c>
      <c r="M555" s="40">
        <f t="shared" ref="M555:R555" si="22">M84</f>
        <v>3.9501315976054476</v>
      </c>
      <c r="N555" s="40">
        <f t="shared" si="22"/>
        <v>7.7286499547681325E-2</v>
      </c>
      <c r="O555" s="40">
        <f t="shared" si="22"/>
        <v>0.12436245284573449</v>
      </c>
      <c r="P555" s="40">
        <f t="shared" si="22"/>
        <v>0.7065827858551097</v>
      </c>
      <c r="Q555" s="40">
        <f t="shared" si="22"/>
        <v>5.5668177206555799E-2</v>
      </c>
      <c r="R555" s="40">
        <f t="shared" si="22"/>
        <v>0</v>
      </c>
      <c r="S555" s="18">
        <f t="shared" si="17"/>
        <v>1.956555057419658E-2</v>
      </c>
      <c r="T555" s="18">
        <f t="shared" si="18"/>
        <v>3.1483116390634294E-2</v>
      </c>
      <c r="U555" s="18">
        <f t="shared" si="19"/>
        <v>0.17887575854015525</v>
      </c>
      <c r="V555" s="18">
        <f t="shared" si="20"/>
        <v>1.4092739907779681E-2</v>
      </c>
    </row>
    <row r="556" spans="1:22">
      <c r="L556" s="39" t="s">
        <v>48</v>
      </c>
      <c r="M556" s="40">
        <f t="shared" ref="M556:R556" si="23">M120</f>
        <v>6.9859231142419125</v>
      </c>
      <c r="N556" s="40">
        <f t="shared" si="23"/>
        <v>9.2843310217302286E-2</v>
      </c>
      <c r="O556" s="40">
        <f t="shared" si="23"/>
        <v>0.26049342181912699</v>
      </c>
      <c r="P556" s="40">
        <f t="shared" si="23"/>
        <v>2.0118967726301493</v>
      </c>
      <c r="Q556" s="40">
        <f t="shared" si="23"/>
        <v>0.33721065903897635</v>
      </c>
      <c r="R556" s="40">
        <f t="shared" si="23"/>
        <v>0</v>
      </c>
      <c r="S556" s="18">
        <f t="shared" si="17"/>
        <v>1.3290056116997118E-2</v>
      </c>
      <c r="T556" s="18">
        <f t="shared" si="18"/>
        <v>3.728833220166277E-2</v>
      </c>
      <c r="U556" s="18">
        <f t="shared" si="19"/>
        <v>0.28799297383170142</v>
      </c>
      <c r="V556" s="18">
        <f t="shared" si="20"/>
        <v>4.8270021516772628E-2</v>
      </c>
    </row>
    <row r="557" spans="1:22">
      <c r="L557" s="39" t="s">
        <v>67</v>
      </c>
      <c r="M557" s="40">
        <f t="shared" ref="M557:R557" si="24">M156</f>
        <v>4.7391941176470587</v>
      </c>
      <c r="N557" s="40">
        <f t="shared" si="24"/>
        <v>4.7863424025017545E-2</v>
      </c>
      <c r="O557" s="40">
        <f t="shared" si="24"/>
        <v>7.5375154963044075E-2</v>
      </c>
      <c r="P557" s="40">
        <f t="shared" si="24"/>
        <v>1.2530305126592782</v>
      </c>
      <c r="Q557" s="40">
        <f t="shared" si="24"/>
        <v>0.17035142772955861</v>
      </c>
      <c r="R557" s="40">
        <f t="shared" si="24"/>
        <v>0</v>
      </c>
      <c r="S557" s="18">
        <f t="shared" si="17"/>
        <v>1.0099485869715976E-2</v>
      </c>
      <c r="T557" s="18">
        <f t="shared" si="18"/>
        <v>1.590463549116379E-2</v>
      </c>
      <c r="U557" s="18">
        <f t="shared" si="19"/>
        <v>0.26439738097948806</v>
      </c>
      <c r="V557" s="18">
        <f t="shared" si="20"/>
        <v>3.594523108796726E-2</v>
      </c>
    </row>
    <row r="558" spans="1:22">
      <c r="L558" s="39" t="s">
        <v>50</v>
      </c>
      <c r="M558" s="40">
        <f t="shared" ref="M558:R558" si="25">M192</f>
        <v>5.4179899999999996</v>
      </c>
      <c r="N558" s="40">
        <f t="shared" si="25"/>
        <v>7.700465345698311E-2</v>
      </c>
      <c r="O558" s="40">
        <f t="shared" si="25"/>
        <v>4.4407343633343345E-2</v>
      </c>
      <c r="P558" s="40">
        <f t="shared" si="25"/>
        <v>1.4544174557421534</v>
      </c>
      <c r="Q558" s="40">
        <f t="shared" si="25"/>
        <v>0.24699870877391097</v>
      </c>
      <c r="R558" s="40">
        <f t="shared" si="25"/>
        <v>8.268232908216276E-4</v>
      </c>
      <c r="S558" s="18">
        <f t="shared" si="17"/>
        <v>1.4212771425747023E-2</v>
      </c>
      <c r="T558" s="18">
        <f t="shared" si="18"/>
        <v>8.1962764112416871E-3</v>
      </c>
      <c r="U558" s="18">
        <f t="shared" si="19"/>
        <v>0.26844225547521378</v>
      </c>
      <c r="V558" s="18">
        <f t="shared" si="20"/>
        <v>4.5588623968281776E-2</v>
      </c>
    </row>
    <row r="559" spans="1:22">
      <c r="L559" s="39" t="s">
        <v>68</v>
      </c>
      <c r="M559" s="40">
        <f t="shared" ref="M559:R559" si="26">M228</f>
        <v>6.5565333333333324</v>
      </c>
      <c r="N559" s="40">
        <f t="shared" si="26"/>
        <v>7.974999722222223E-2</v>
      </c>
      <c r="O559" s="40">
        <f t="shared" si="26"/>
        <v>0.24381666111111105</v>
      </c>
      <c r="P559" s="40">
        <f t="shared" si="26"/>
        <v>2.1592000000000002</v>
      </c>
      <c r="Q559" s="40">
        <f t="shared" si="26"/>
        <v>0.25299722222222215</v>
      </c>
      <c r="R559" s="40">
        <f t="shared" si="26"/>
        <v>3.2497499999999992E-4</v>
      </c>
      <c r="S559" s="18">
        <f t="shared" si="17"/>
        <v>1.2163439605618147E-2</v>
      </c>
      <c r="T559" s="18">
        <f t="shared" si="18"/>
        <v>3.7186825524328573E-2</v>
      </c>
      <c r="U559" s="18">
        <f t="shared" si="19"/>
        <v>0.32932037255460211</v>
      </c>
      <c r="V559" s="18">
        <f t="shared" si="20"/>
        <v>3.8587041254863674E-2</v>
      </c>
    </row>
    <row r="560" spans="1:22">
      <c r="L560" s="39" t="s">
        <v>69</v>
      </c>
      <c r="M560" s="40">
        <f t="shared" ref="M560:R560" si="27">M264</f>
        <v>7.6831944444444424</v>
      </c>
      <c r="N560" s="40">
        <f t="shared" si="27"/>
        <v>0.10322220833333334</v>
      </c>
      <c r="O560" s="40">
        <f t="shared" si="27"/>
        <v>0.46166661333333336</v>
      </c>
      <c r="P560" s="40">
        <f t="shared" si="27"/>
        <v>2.1880277750000001</v>
      </c>
      <c r="Q560" s="40">
        <f t="shared" si="27"/>
        <v>0.38419444444444451</v>
      </c>
      <c r="R560" s="40">
        <f t="shared" si="27"/>
        <v>1.7776833333333322E-3</v>
      </c>
      <c r="S560" s="18">
        <f t="shared" si="17"/>
        <v>1.3434803593701987E-2</v>
      </c>
      <c r="T560" s="18">
        <f t="shared" si="18"/>
        <v>6.0087847141126936E-2</v>
      </c>
      <c r="U560" s="18">
        <f t="shared" si="19"/>
        <v>0.2847809971257616</v>
      </c>
      <c r="V560" s="18">
        <f t="shared" si="20"/>
        <v>5.0004519242936446E-2</v>
      </c>
    </row>
    <row r="561" spans="12:22">
      <c r="L561" s="39" t="s">
        <v>70</v>
      </c>
      <c r="M561" s="40">
        <f t="shared" ref="M561:R561" si="28">M300</f>
        <v>4.5723888888888879</v>
      </c>
      <c r="N561" s="40">
        <f t="shared" si="28"/>
        <v>0.13308332777777776</v>
      </c>
      <c r="O561" s="40">
        <f t="shared" si="28"/>
        <v>0.16322216388888891</v>
      </c>
      <c r="P561" s="40">
        <f t="shared" si="28"/>
        <v>1.3679722222222219</v>
      </c>
      <c r="Q561" s="40">
        <f t="shared" si="28"/>
        <v>0.22202777499999996</v>
      </c>
      <c r="R561" s="40">
        <f t="shared" si="28"/>
        <v>9.999000000000004E-4</v>
      </c>
      <c r="S561" s="18">
        <f t="shared" si="17"/>
        <v>2.9105863698771613E-2</v>
      </c>
      <c r="T561" s="18">
        <f t="shared" si="18"/>
        <v>3.5697349428331908E-2</v>
      </c>
      <c r="U561" s="18">
        <f t="shared" si="19"/>
        <v>0.29918107480893769</v>
      </c>
      <c r="V561" s="18">
        <f t="shared" si="20"/>
        <v>4.8558375150359039E-2</v>
      </c>
    </row>
    <row r="562" spans="12:22">
      <c r="L562" s="39" t="s">
        <v>71</v>
      </c>
      <c r="M562" s="40">
        <f t="shared" ref="M562:R562" si="29">M336</f>
        <v>4.7701111111111105</v>
      </c>
      <c r="N562" s="40">
        <f t="shared" si="29"/>
        <v>7.2166661111111099E-2</v>
      </c>
      <c r="O562" s="40">
        <f t="shared" si="29"/>
        <v>0.19802773611111121</v>
      </c>
      <c r="P562" s="40">
        <f t="shared" si="29"/>
        <v>1.441861111111111</v>
      </c>
      <c r="Q562" s="40">
        <f t="shared" si="29"/>
        <v>0.25458333055555565</v>
      </c>
      <c r="R562" s="40">
        <f t="shared" si="29"/>
        <v>9.999138888888892E-4</v>
      </c>
      <c r="S562" s="18">
        <f t="shared" si="17"/>
        <v>1.512892664974028E-2</v>
      </c>
      <c r="T562" s="18">
        <f t="shared" si="18"/>
        <v>4.1514281637977248E-2</v>
      </c>
      <c r="U562" s="18">
        <f t="shared" si="19"/>
        <v>0.30226992150194498</v>
      </c>
      <c r="V562" s="18">
        <f t="shared" si="20"/>
        <v>5.3370524213272486E-2</v>
      </c>
    </row>
    <row r="563" spans="12:22">
      <c r="L563" s="39" t="s">
        <v>55</v>
      </c>
      <c r="M563" s="40">
        <f t="shared" ref="M563:R563" si="30">M372</f>
        <v>5.0898888888888871</v>
      </c>
      <c r="N563" s="40">
        <f t="shared" si="30"/>
        <v>0.10835751180555557</v>
      </c>
      <c r="O563" s="40">
        <f t="shared" si="30"/>
        <v>5.173817569444443E-2</v>
      </c>
      <c r="P563" s="40">
        <f t="shared" si="30"/>
        <v>1.7366679374999994</v>
      </c>
      <c r="Q563" s="40">
        <f t="shared" si="30"/>
        <v>0.28722844027777783</v>
      </c>
      <c r="R563" s="40">
        <f t="shared" si="30"/>
        <v>1.2429965277777778E-3</v>
      </c>
      <c r="S563" s="18">
        <f t="shared" si="17"/>
        <v>2.1288777450937598E-2</v>
      </c>
      <c r="T563" s="18">
        <f t="shared" si="18"/>
        <v>1.0164892952258291E-2</v>
      </c>
      <c r="U563" s="18">
        <f t="shared" si="19"/>
        <v>0.34119957732105044</v>
      </c>
      <c r="V563" s="18">
        <f t="shared" si="20"/>
        <v>5.6431180826911773E-2</v>
      </c>
    </row>
    <row r="564" spans="12:22">
      <c r="L564" s="39" t="s">
        <v>57</v>
      </c>
      <c r="M564" s="40">
        <f t="shared" ref="M564:R564" si="31">M408</f>
        <v>3.6390555555555557</v>
      </c>
      <c r="N564" s="40">
        <f t="shared" si="31"/>
        <v>8.9569826388888871E-2</v>
      </c>
      <c r="O564" s="40">
        <f t="shared" si="31"/>
        <v>9.2700555555555557E-3</v>
      </c>
      <c r="P564" s="40">
        <f t="shared" si="31"/>
        <v>1.1861837847222221</v>
      </c>
      <c r="Q564" s="40">
        <f t="shared" si="31"/>
        <v>0.17227399652777778</v>
      </c>
      <c r="R564" s="40">
        <f t="shared" si="31"/>
        <v>7.3454861111111095E-4</v>
      </c>
      <c r="S564" s="18">
        <f t="shared" si="17"/>
        <v>2.4613481443597998E-2</v>
      </c>
      <c r="T564" s="18">
        <f t="shared" si="18"/>
        <v>2.5473795093354503E-3</v>
      </c>
      <c r="U564" s="18">
        <f t="shared" si="19"/>
        <v>0.3259592404164694</v>
      </c>
      <c r="V564" s="18">
        <f t="shared" si="20"/>
        <v>4.734030407004259E-2</v>
      </c>
    </row>
    <row r="565" spans="12:22">
      <c r="L565" s="39" t="s">
        <v>72</v>
      </c>
      <c r="M565" s="40">
        <f t="shared" ref="M565:R565" si="32">M444</f>
        <v>5.293333333333333</v>
      </c>
      <c r="N565" s="40">
        <f t="shared" si="32"/>
        <v>0.32897973611111103</v>
      </c>
      <c r="O565" s="40">
        <f t="shared" si="32"/>
        <v>5.9498482638888878E-2</v>
      </c>
      <c r="P565" s="40">
        <f t="shared" si="32"/>
        <v>2.0677947361111118</v>
      </c>
      <c r="Q565" s="40">
        <f t="shared" si="32"/>
        <v>0.24922281250000003</v>
      </c>
      <c r="R565" s="40">
        <f t="shared" si="32"/>
        <v>6.6578124999999992E-4</v>
      </c>
      <c r="S565" s="18">
        <f t="shared" si="17"/>
        <v>6.2149824202350955E-2</v>
      </c>
      <c r="T565" s="18">
        <f t="shared" si="18"/>
        <v>1.1240267501049537E-2</v>
      </c>
      <c r="U565" s="18">
        <f t="shared" si="19"/>
        <v>0.39064132294290527</v>
      </c>
      <c r="V565" s="18">
        <f t="shared" si="20"/>
        <v>4.7082395308564243E-2</v>
      </c>
    </row>
    <row r="566" spans="12:22">
      <c r="L566" s="39" t="s">
        <v>73</v>
      </c>
      <c r="M566" s="40">
        <f t="shared" ref="M566:R566" si="33">M480</f>
        <v>3.4572777777777772</v>
      </c>
      <c r="N566" s="40">
        <f t="shared" si="33"/>
        <v>5.5279103009259263E-2</v>
      </c>
      <c r="O566" s="40">
        <f t="shared" si="33"/>
        <v>0</v>
      </c>
      <c r="P566" s="40">
        <f t="shared" si="33"/>
        <v>1.5949171307870369</v>
      </c>
      <c r="Q566" s="40">
        <f t="shared" si="33"/>
        <v>0.10297338425925924</v>
      </c>
      <c r="R566" s="40">
        <f t="shared" si="33"/>
        <v>0</v>
      </c>
      <c r="S566" s="18">
        <f t="shared" si="17"/>
        <v>1.598919917993712E-2</v>
      </c>
      <c r="T566" s="18">
        <f t="shared" si="18"/>
        <v>0</v>
      </c>
      <c r="U566" s="18">
        <f t="shared" si="19"/>
        <v>0.46132166210034659</v>
      </c>
      <c r="V566" s="18">
        <f t="shared" si="20"/>
        <v>2.9784527272045551E-2</v>
      </c>
    </row>
    <row r="567" spans="12:22">
      <c r="L567" s="39" t="s">
        <v>61</v>
      </c>
      <c r="M567" s="40">
        <f t="shared" ref="M567:R567" si="34">M516</f>
        <v>2.5213055555555557</v>
      </c>
      <c r="N567" s="40">
        <f t="shared" si="34"/>
        <v>8.3007944444444454E-2</v>
      </c>
      <c r="O567" s="40">
        <f t="shared" si="34"/>
        <v>0</v>
      </c>
      <c r="P567" s="40">
        <f t="shared" si="34"/>
        <v>0.79262214930555563</v>
      </c>
      <c r="Q567" s="40">
        <f t="shared" si="34"/>
        <v>6.6187385416666661E-2</v>
      </c>
      <c r="R567" s="40">
        <f t="shared" si="34"/>
        <v>0</v>
      </c>
      <c r="S567" s="18">
        <f t="shared" si="17"/>
        <v>3.2922604030099049E-2</v>
      </c>
      <c r="T567" s="18">
        <f t="shared" si="18"/>
        <v>0</v>
      </c>
      <c r="U567" s="18">
        <f t="shared" si="19"/>
        <v>0.31436973101457577</v>
      </c>
      <c r="V567" s="18">
        <f t="shared" si="20"/>
        <v>2.6251235305782935E-2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3A6D3-EADC-394F-8287-A6EBE9FA5022}">
  <sheetPr>
    <tabColor theme="9" tint="0.39997558519241921"/>
  </sheetPr>
  <dimension ref="A1:AA928"/>
  <sheetViews>
    <sheetView tabSelected="1" workbookViewId="0">
      <pane ySplit="2" topLeftCell="A730" activePane="bottomLeft" state="frozen"/>
      <selection pane="bottomLeft" activeCell="O744" sqref="O744"/>
    </sheetView>
  </sheetViews>
  <sheetFormatPr defaultColWidth="11.42578125" defaultRowHeight="15"/>
  <cols>
    <col min="2" max="2" width="10.85546875" style="73"/>
    <col min="14" max="14" width="12.7109375" bestFit="1" customWidth="1"/>
    <col min="27" max="27" width="12.28515625" bestFit="1" customWidth="1"/>
  </cols>
  <sheetData>
    <row r="1" spans="1:27" ht="18">
      <c r="F1" s="1" t="s">
        <v>0</v>
      </c>
      <c r="G1" s="1" t="s">
        <v>1</v>
      </c>
      <c r="I1" s="72" t="s">
        <v>79</v>
      </c>
      <c r="Z1" t="s">
        <v>89</v>
      </c>
    </row>
    <row r="2" spans="1:27">
      <c r="A2" s="2" t="s">
        <v>2</v>
      </c>
      <c r="B2" s="76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11</v>
      </c>
      <c r="I2" s="6" t="s">
        <v>7</v>
      </c>
      <c r="J2" s="6" t="s">
        <v>11</v>
      </c>
      <c r="L2" s="71" t="s">
        <v>85</v>
      </c>
      <c r="M2" s="71" t="s">
        <v>88</v>
      </c>
      <c r="N2" s="71" t="s">
        <v>82</v>
      </c>
      <c r="Z2" s="71" t="s">
        <v>88</v>
      </c>
      <c r="AA2" s="71" t="s">
        <v>82</v>
      </c>
    </row>
    <row r="3" spans="1:27">
      <c r="A3" s="8">
        <v>6</v>
      </c>
      <c r="B3" s="77">
        <v>36445</v>
      </c>
      <c r="C3" s="10">
        <v>1999</v>
      </c>
      <c r="D3" s="11" t="s">
        <v>14</v>
      </c>
      <c r="E3" s="12">
        <v>10</v>
      </c>
      <c r="F3" s="13">
        <v>3.5698365161440249</v>
      </c>
      <c r="G3" s="13">
        <v>0.12047614400000001</v>
      </c>
      <c r="Q3" t="s">
        <v>90</v>
      </c>
    </row>
    <row r="4" spans="1:27">
      <c r="A4" s="8">
        <v>8</v>
      </c>
      <c r="B4" s="77">
        <v>36446</v>
      </c>
      <c r="C4" s="10">
        <v>1999</v>
      </c>
      <c r="D4" s="11" t="s">
        <v>14</v>
      </c>
      <c r="E4" s="12">
        <v>10</v>
      </c>
      <c r="F4" s="13">
        <v>0.68411831495979114</v>
      </c>
      <c r="G4" s="13">
        <v>0</v>
      </c>
    </row>
    <row r="5" spans="1:27">
      <c r="A5" s="8">
        <v>15</v>
      </c>
      <c r="B5" s="77">
        <v>36445</v>
      </c>
      <c r="C5" s="10">
        <v>1999</v>
      </c>
      <c r="D5" s="11" t="s">
        <v>14</v>
      </c>
      <c r="E5" s="12">
        <v>10</v>
      </c>
      <c r="F5" s="13">
        <v>2.1260596804117222</v>
      </c>
      <c r="G5" s="13">
        <v>1.7418896999999999E-2</v>
      </c>
      <c r="I5" s="18">
        <f>AVERAGE(F3:F5)</f>
        <v>2.1266715038385127</v>
      </c>
      <c r="J5" s="18">
        <f>AVERAGE(G3:G5)</f>
        <v>4.5965013666666665E-2</v>
      </c>
      <c r="L5">
        <f>+J5/I5</f>
        <v>2.1613593629153639E-2</v>
      </c>
      <c r="M5">
        <f>+(L5-$L$927)/$L$928</f>
        <v>-0.26959679817050192</v>
      </c>
      <c r="N5">
        <f>+M5</f>
        <v>-0.26959679817050192</v>
      </c>
      <c r="Z5">
        <f>+(I5-$F$927)/$F$928</f>
        <v>-0.58640215451273248</v>
      </c>
      <c r="AA5">
        <f>+Z5</f>
        <v>-0.58640215451273248</v>
      </c>
    </row>
    <row r="6" spans="1:27">
      <c r="A6" s="8">
        <v>6</v>
      </c>
      <c r="B6" s="77">
        <v>36472</v>
      </c>
      <c r="C6" s="10">
        <v>1999</v>
      </c>
      <c r="D6" s="11" t="s">
        <v>16</v>
      </c>
      <c r="E6" s="10">
        <v>11</v>
      </c>
      <c r="F6" s="13">
        <v>2.4054250359482343</v>
      </c>
      <c r="G6" s="13">
        <v>2.2977579666666664E-2</v>
      </c>
    </row>
    <row r="7" spans="1:27">
      <c r="A7" s="8">
        <v>8</v>
      </c>
      <c r="B7" s="77">
        <v>36473</v>
      </c>
      <c r="C7" s="10">
        <v>1999</v>
      </c>
      <c r="D7" s="11" t="s">
        <v>16</v>
      </c>
      <c r="E7" s="10">
        <v>11</v>
      </c>
      <c r="F7" s="13">
        <v>0.3110645838477441</v>
      </c>
      <c r="G7" s="13">
        <v>0</v>
      </c>
    </row>
    <row r="8" spans="1:27">
      <c r="A8" s="8">
        <v>15</v>
      </c>
      <c r="B8" s="77">
        <v>36472</v>
      </c>
      <c r="C8" s="10">
        <v>1999</v>
      </c>
      <c r="D8" s="11" t="s">
        <v>16</v>
      </c>
      <c r="E8" s="10">
        <v>11</v>
      </c>
      <c r="F8" s="13">
        <v>1.3858617673943463</v>
      </c>
      <c r="G8" s="13">
        <v>7.0865236666666663E-3</v>
      </c>
      <c r="I8" s="18">
        <f>AVERAGE(F6:F8)</f>
        <v>1.3674504623967749</v>
      </c>
      <c r="J8" s="18">
        <f>AVERAGE(G6:G8)</f>
        <v>1.0021367777777778E-2</v>
      </c>
      <c r="L8">
        <f>+J8/I8</f>
        <v>7.3285051658931767E-3</v>
      </c>
      <c r="M8">
        <f>+(L8-$L$927)/$L$928</f>
        <v>-0.61583428620260638</v>
      </c>
      <c r="N8">
        <f>+N5+M8</f>
        <v>-0.88543108437310836</v>
      </c>
      <c r="Z8">
        <f>+(I8-$F$927)/$F$928</f>
        <v>-0.79453822993660894</v>
      </c>
      <c r="AA8">
        <f>+AA5+Z8</f>
        <v>-1.3809403844493415</v>
      </c>
    </row>
    <row r="9" spans="1:27">
      <c r="A9" s="8">
        <v>6</v>
      </c>
      <c r="B9" s="77">
        <v>36501</v>
      </c>
      <c r="C9" s="10">
        <v>1999</v>
      </c>
      <c r="D9" s="11" t="s">
        <v>17</v>
      </c>
      <c r="E9" s="10">
        <v>12</v>
      </c>
      <c r="F9" s="13">
        <v>4.7679182065098988</v>
      </c>
      <c r="G9" s="13">
        <v>3.0529119000000004E-2</v>
      </c>
    </row>
    <row r="10" spans="1:27">
      <c r="A10" s="8">
        <v>8</v>
      </c>
      <c r="B10" s="77">
        <v>36502</v>
      </c>
      <c r="C10" s="10">
        <v>1999</v>
      </c>
      <c r="D10" s="11" t="s">
        <v>17</v>
      </c>
      <c r="E10" s="10">
        <v>12</v>
      </c>
      <c r="F10" s="13">
        <v>0.21161475257447457</v>
      </c>
      <c r="G10" s="13">
        <v>0</v>
      </c>
    </row>
    <row r="11" spans="1:27">
      <c r="A11" s="8">
        <v>15</v>
      </c>
      <c r="B11" s="77">
        <v>36501</v>
      </c>
      <c r="C11" s="10">
        <v>1999</v>
      </c>
      <c r="D11" s="11" t="s">
        <v>17</v>
      </c>
      <c r="E11" s="10">
        <v>12</v>
      </c>
      <c r="F11" s="13">
        <v>3.2797970689479876</v>
      </c>
      <c r="G11" s="13">
        <v>1.40421105E-2</v>
      </c>
      <c r="I11" s="18">
        <f>AVERAGE(F9:F11)</f>
        <v>2.7531100093441201</v>
      </c>
      <c r="J11" s="18">
        <f>AVERAGE(G9:G11)</f>
        <v>1.4857076500000002E-2</v>
      </c>
      <c r="L11">
        <f>+J11/I11</f>
        <v>5.396470337027847E-3</v>
      </c>
      <c r="M11">
        <f>+(L11-$L$927)/$L$928</f>
        <v>-0.66266233964149901</v>
      </c>
      <c r="N11">
        <f>+N8+M11</f>
        <v>-1.5480934240146074</v>
      </c>
      <c r="Z11">
        <f>+(I11-$F$927)/$F$928</f>
        <v>-0.41466764649285537</v>
      </c>
      <c r="AA11">
        <f>+AA8+Z11</f>
        <v>-1.7956080309421969</v>
      </c>
    </row>
    <row r="12" spans="1:27">
      <c r="A12" s="8">
        <v>6</v>
      </c>
      <c r="B12" s="77">
        <v>36530</v>
      </c>
      <c r="C12" s="12">
        <v>2000</v>
      </c>
      <c r="D12" s="11" t="s">
        <v>18</v>
      </c>
      <c r="E12" s="10">
        <v>1</v>
      </c>
      <c r="F12" s="13">
        <v>3.2113695330360645</v>
      </c>
      <c r="G12" s="13">
        <v>2.9915655333333332E-2</v>
      </c>
    </row>
    <row r="13" spans="1:27">
      <c r="A13" s="8">
        <v>8</v>
      </c>
      <c r="B13" s="77">
        <v>36531</v>
      </c>
      <c r="C13" s="12">
        <v>2000</v>
      </c>
      <c r="D13" s="11" t="s">
        <v>18</v>
      </c>
      <c r="E13" s="10">
        <v>1</v>
      </c>
      <c r="F13" s="13">
        <v>0.42222455228107891</v>
      </c>
      <c r="G13" s="13">
        <v>3.4739670000000001E-3</v>
      </c>
    </row>
    <row r="14" spans="1:27">
      <c r="A14" s="8">
        <v>15</v>
      </c>
      <c r="B14" s="77">
        <v>36530</v>
      </c>
      <c r="C14" s="12">
        <v>2000</v>
      </c>
      <c r="D14" s="11" t="s">
        <v>18</v>
      </c>
      <c r="E14" s="10">
        <v>1</v>
      </c>
      <c r="F14" s="13">
        <v>2.4582124693169112</v>
      </c>
      <c r="G14" s="13">
        <v>3.1601588999999999E-2</v>
      </c>
      <c r="I14" s="18">
        <f>AVERAGE(F12:F14)</f>
        <v>2.0306021848780182</v>
      </c>
      <c r="J14" s="18">
        <f>AVERAGE(G12:G14)</f>
        <v>2.1663737111111109E-2</v>
      </c>
      <c r="L14">
        <f>+J14/I14</f>
        <v>1.0668626909023289E-2</v>
      </c>
      <c r="M14">
        <f>+(L14-$L$927)/$L$928</f>
        <v>-0.53487746433642758</v>
      </c>
      <c r="N14">
        <f>+N11+M14</f>
        <v>-2.0829708883510349</v>
      </c>
      <c r="Z14">
        <f>+(I14-$F$927)/$F$928</f>
        <v>-0.61273900494974232</v>
      </c>
      <c r="AA14">
        <f>+AA11+Z14</f>
        <v>-2.4083470358919392</v>
      </c>
    </row>
    <row r="15" spans="1:27">
      <c r="A15" s="8">
        <v>6</v>
      </c>
      <c r="B15" s="77">
        <v>36579</v>
      </c>
      <c r="C15" s="12">
        <v>2000</v>
      </c>
      <c r="D15" s="11" t="s">
        <v>19</v>
      </c>
      <c r="E15" s="12">
        <v>2</v>
      </c>
      <c r="F15" s="13">
        <v>2.0140819848751135</v>
      </c>
      <c r="G15" s="13">
        <v>4.5020465333333343E-2</v>
      </c>
    </row>
    <row r="16" spans="1:27">
      <c r="A16" s="8">
        <v>8</v>
      </c>
      <c r="B16" s="77">
        <v>36578</v>
      </c>
      <c r="C16" s="12">
        <v>2000</v>
      </c>
      <c r="D16" s="11" t="s">
        <v>19</v>
      </c>
      <c r="E16" s="12">
        <v>2</v>
      </c>
      <c r="F16" s="13">
        <v>2.3171913009145619</v>
      </c>
      <c r="G16" s="13">
        <v>2.7099731166666668E-2</v>
      </c>
    </row>
    <row r="17" spans="1:27">
      <c r="A17" s="8">
        <v>15</v>
      </c>
      <c r="B17" s="77">
        <v>36579</v>
      </c>
      <c r="C17" s="12">
        <v>2000</v>
      </c>
      <c r="D17" s="11" t="s">
        <v>19</v>
      </c>
      <c r="E17" s="12">
        <v>2</v>
      </c>
      <c r="F17" s="13">
        <v>2.1126904269730375</v>
      </c>
      <c r="G17" s="13">
        <v>3.7478335999999994E-2</v>
      </c>
      <c r="I17" s="18">
        <f>AVERAGE(F15:F17)</f>
        <v>2.1479879042542378</v>
      </c>
      <c r="J17" s="18">
        <f>AVERAGE(G15:G17)</f>
        <v>3.6532844166666668E-2</v>
      </c>
      <c r="L17">
        <f>+J17/I17</f>
        <v>1.7007937565342364E-2</v>
      </c>
      <c r="M17">
        <f>+(L17-$L$927)/$L$928</f>
        <v>-0.38122724346841497</v>
      </c>
      <c r="N17">
        <f>+N14+M17</f>
        <v>-2.4641981318194501</v>
      </c>
      <c r="Z17">
        <f>+(I17-$F$927)/$F$928</f>
        <v>-0.58055838612050281</v>
      </c>
      <c r="AA17">
        <f>+AA14+Z17</f>
        <v>-2.9889054220124418</v>
      </c>
    </row>
    <row r="18" spans="1:27">
      <c r="A18" s="8">
        <v>6</v>
      </c>
      <c r="B18" s="77">
        <v>36598</v>
      </c>
      <c r="C18" s="12">
        <v>2000</v>
      </c>
      <c r="D18" s="11" t="s">
        <v>20</v>
      </c>
      <c r="E18" s="12">
        <v>3</v>
      </c>
      <c r="F18" s="13">
        <v>2.4864958323771345</v>
      </c>
      <c r="G18" s="13">
        <v>4.3798528000000003E-2</v>
      </c>
    </row>
    <row r="19" spans="1:27">
      <c r="A19" s="8">
        <v>8</v>
      </c>
      <c r="B19" s="77">
        <v>36599</v>
      </c>
      <c r="C19" s="12">
        <v>2000</v>
      </c>
      <c r="D19" s="11" t="s">
        <v>20</v>
      </c>
      <c r="E19" s="12">
        <v>3</v>
      </c>
      <c r="F19" s="13">
        <v>0.61220145148561822</v>
      </c>
      <c r="G19" s="13">
        <v>1.3364363000000001E-2</v>
      </c>
    </row>
    <row r="20" spans="1:27">
      <c r="A20" s="8">
        <v>15</v>
      </c>
      <c r="B20" s="77">
        <v>36598</v>
      </c>
      <c r="C20" s="12">
        <v>2000</v>
      </c>
      <c r="D20" s="11" t="s">
        <v>20</v>
      </c>
      <c r="E20" s="12">
        <v>3</v>
      </c>
      <c r="F20" s="13">
        <v>1.8999130352897891</v>
      </c>
      <c r="G20" s="13">
        <v>3.2077951666666667E-2</v>
      </c>
      <c r="I20" s="18">
        <f>AVERAGE(F18:F20)</f>
        <v>1.6662034397175141</v>
      </c>
      <c r="J20" s="18">
        <f>AVERAGE(G18:G20)</f>
        <v>2.9746947555555559E-2</v>
      </c>
      <c r="L20">
        <f>+J20/I20</f>
        <v>1.7853130564055741E-2</v>
      </c>
      <c r="M20">
        <f>+(L20-$L$927)/$L$928</f>
        <v>-0.36074172099304003</v>
      </c>
      <c r="N20">
        <f>+N17+M20</f>
        <v>-2.82493985281249</v>
      </c>
      <c r="Z20">
        <f>+(I20-$F$927)/$F$928</f>
        <v>-0.71263682201111633</v>
      </c>
      <c r="AA20">
        <f>+AA17+Z20</f>
        <v>-3.7015422440235581</v>
      </c>
    </row>
    <row r="21" spans="1:27">
      <c r="A21" s="8">
        <v>6</v>
      </c>
      <c r="B21" s="77">
        <v>36627</v>
      </c>
      <c r="C21" s="12">
        <v>2000</v>
      </c>
      <c r="D21" s="15" t="s">
        <v>21</v>
      </c>
      <c r="E21" s="12">
        <v>4</v>
      </c>
      <c r="F21" s="13">
        <v>5.022326198879675</v>
      </c>
      <c r="G21" s="13">
        <v>0</v>
      </c>
    </row>
    <row r="22" spans="1:27">
      <c r="A22" s="8">
        <v>8</v>
      </c>
      <c r="B22" s="77">
        <v>36626</v>
      </c>
      <c r="C22" s="12">
        <v>2000</v>
      </c>
      <c r="D22" s="15" t="s">
        <v>21</v>
      </c>
      <c r="E22" s="12">
        <v>4</v>
      </c>
      <c r="F22" s="13">
        <v>1.2058709934784821</v>
      </c>
      <c r="G22" s="13">
        <v>0</v>
      </c>
    </row>
    <row r="23" spans="1:27">
      <c r="A23" s="8">
        <v>15</v>
      </c>
      <c r="B23" s="77">
        <v>36627</v>
      </c>
      <c r="C23" s="12">
        <v>2000</v>
      </c>
      <c r="D23" s="15" t="s">
        <v>21</v>
      </c>
      <c r="E23" s="12">
        <v>4</v>
      </c>
      <c r="F23" s="13">
        <v>1.4114651038746628</v>
      </c>
      <c r="G23" s="13">
        <v>0</v>
      </c>
      <c r="I23" s="18">
        <f>AVERAGE(F21:F23)</f>
        <v>2.5465540987442736</v>
      </c>
      <c r="J23" s="18">
        <f>AVERAGE(G21:G23)</f>
        <v>0</v>
      </c>
      <c r="L23">
        <f>+J23/I23</f>
        <v>0</v>
      </c>
      <c r="M23">
        <f>+(L23-$L$927)/$L$928</f>
        <v>-0.7934602929434853</v>
      </c>
      <c r="N23">
        <f>+N20+M23</f>
        <v>-3.6184001457559756</v>
      </c>
      <c r="Z23">
        <f>+(I23-$F$927)/$F$928</f>
        <v>-0.47129375962878362</v>
      </c>
      <c r="AA23">
        <f>+AA20+Z23</f>
        <v>-4.1728360036523418</v>
      </c>
    </row>
    <row r="24" spans="1:27">
      <c r="A24" s="8">
        <v>6</v>
      </c>
      <c r="B24" s="77">
        <v>36662</v>
      </c>
      <c r="C24" s="12">
        <v>2000</v>
      </c>
      <c r="D24" s="15" t="s">
        <v>22</v>
      </c>
      <c r="E24" s="12">
        <v>5</v>
      </c>
      <c r="F24" s="13">
        <v>11.531826484625775</v>
      </c>
      <c r="G24" s="13">
        <v>0.13445944299999998</v>
      </c>
    </row>
    <row r="25" spans="1:27">
      <c r="A25" s="8">
        <v>8</v>
      </c>
      <c r="B25" s="77">
        <v>36663</v>
      </c>
      <c r="C25" s="12">
        <v>2000</v>
      </c>
      <c r="D25" s="15" t="s">
        <v>22</v>
      </c>
      <c r="E25" s="12">
        <v>5</v>
      </c>
      <c r="F25" s="13">
        <v>1.1071352573506272</v>
      </c>
      <c r="G25" s="13">
        <v>8.2881233333333346E-3</v>
      </c>
    </row>
    <row r="26" spans="1:27">
      <c r="A26" s="8">
        <v>15</v>
      </c>
      <c r="B26" s="77">
        <v>36662</v>
      </c>
      <c r="C26" s="12">
        <v>2000</v>
      </c>
      <c r="D26" s="15" t="s">
        <v>22</v>
      </c>
      <c r="E26" s="12">
        <v>5</v>
      </c>
      <c r="F26" s="13">
        <v>8.2380986981171329</v>
      </c>
      <c r="G26" s="13">
        <v>9.9368895833333332E-2</v>
      </c>
      <c r="I26" s="18">
        <f>AVERAGE(F24:F26)</f>
        <v>6.9590201466978456</v>
      </c>
      <c r="J26" s="18">
        <f>AVERAGE(G24:G26)</f>
        <v>8.0705487388888886E-2</v>
      </c>
      <c r="L26">
        <f>+J26/I26</f>
        <v>1.1597248705650721E-2</v>
      </c>
      <c r="M26">
        <f>+(L26-$L$927)/$L$928</f>
        <v>-0.5123698208574905</v>
      </c>
      <c r="N26">
        <f>+N23+M26</f>
        <v>-4.1307699666134656</v>
      </c>
      <c r="Z26">
        <f>+(I26-$F$927)/$F$928</f>
        <v>0.7383583917633294</v>
      </c>
      <c r="AA26">
        <f>+AA23+Z26</f>
        <v>-3.4344776118890126</v>
      </c>
    </row>
    <row r="27" spans="1:27">
      <c r="A27" s="8">
        <v>6</v>
      </c>
      <c r="B27" s="77">
        <v>36690</v>
      </c>
      <c r="C27" s="12">
        <v>2000</v>
      </c>
      <c r="D27" s="15" t="s">
        <v>23</v>
      </c>
      <c r="E27" s="12">
        <v>6</v>
      </c>
      <c r="F27" s="13">
        <v>13.424318765220505</v>
      </c>
      <c r="G27" s="13">
        <v>0.31851920516666671</v>
      </c>
    </row>
    <row r="28" spans="1:27">
      <c r="A28" s="8">
        <v>8</v>
      </c>
      <c r="B28" s="77">
        <v>36692</v>
      </c>
      <c r="C28" s="12">
        <v>2000</v>
      </c>
      <c r="D28" s="15" t="s">
        <v>23</v>
      </c>
      <c r="E28" s="12">
        <v>6</v>
      </c>
      <c r="F28" s="13">
        <v>1.1666711014926385</v>
      </c>
      <c r="G28" s="13">
        <v>0</v>
      </c>
    </row>
    <row r="29" spans="1:27">
      <c r="A29" s="8">
        <v>15</v>
      </c>
      <c r="B29" s="77">
        <v>36690</v>
      </c>
      <c r="C29" s="12">
        <v>2000</v>
      </c>
      <c r="D29" s="15" t="s">
        <v>23</v>
      </c>
      <c r="E29" s="12">
        <v>6</v>
      </c>
      <c r="F29" s="13">
        <v>11.750560627847415</v>
      </c>
      <c r="G29" s="13">
        <v>0.14712603533333332</v>
      </c>
      <c r="I29" s="18">
        <f>AVERAGE(F27:F29)</f>
        <v>8.7805168315201865</v>
      </c>
      <c r="J29" s="18">
        <f>AVERAGE(G27:G29)</f>
        <v>0.15521508016666666</v>
      </c>
      <c r="L29">
        <f>+J29/I29</f>
        <v>1.7677214581433016E-2</v>
      </c>
      <c r="M29">
        <f>+(L29-$L$927)/$L$928</f>
        <v>-0.36500551733456366</v>
      </c>
      <c r="N29">
        <f>+N26+M29</f>
        <v>-4.4957754839480293</v>
      </c>
      <c r="Z29">
        <f>+(I29-$F$927)/$F$928</f>
        <v>1.2377112161484225</v>
      </c>
      <c r="AA29">
        <f>+AA26+Z29</f>
        <v>-2.1967663957405899</v>
      </c>
    </row>
    <row r="30" spans="1:27">
      <c r="A30" s="8">
        <v>6</v>
      </c>
      <c r="B30" s="77">
        <v>36718</v>
      </c>
      <c r="C30" s="12">
        <v>2000</v>
      </c>
      <c r="D30" s="15" t="s">
        <v>24</v>
      </c>
      <c r="E30" s="12">
        <v>7</v>
      </c>
      <c r="F30" s="13">
        <v>7.6221527313395994</v>
      </c>
      <c r="G30" s="13">
        <v>0.62659155899999996</v>
      </c>
    </row>
    <row r="31" spans="1:27">
      <c r="A31" s="8">
        <v>8</v>
      </c>
      <c r="B31" s="77">
        <v>36719</v>
      </c>
      <c r="C31" s="12">
        <v>2000</v>
      </c>
      <c r="D31" s="15" t="s">
        <v>24</v>
      </c>
      <c r="E31" s="12">
        <v>7</v>
      </c>
      <c r="F31" s="13">
        <v>1.0363606903029337</v>
      </c>
      <c r="G31" s="13">
        <v>1.7252736166666668E-2</v>
      </c>
    </row>
    <row r="32" spans="1:27">
      <c r="A32" s="8">
        <v>15</v>
      </c>
      <c r="B32" s="77">
        <v>36718</v>
      </c>
      <c r="C32" s="12">
        <v>2000</v>
      </c>
      <c r="D32" s="15" t="s">
        <v>24</v>
      </c>
      <c r="E32" s="12">
        <v>7</v>
      </c>
      <c r="F32" s="13">
        <v>7.445195757866248</v>
      </c>
      <c r="G32" s="13">
        <v>0.4343788036666667</v>
      </c>
      <c r="I32" s="18">
        <f>AVERAGE(F30:F32)</f>
        <v>5.3679030598362614</v>
      </c>
      <c r="J32" s="18">
        <f>AVERAGE(G30:G32)</f>
        <v>0.35940769961111113</v>
      </c>
      <c r="L32">
        <f>+J32/I32</f>
        <v>6.6954953471546896E-2</v>
      </c>
      <c r="M32">
        <f>+(L32-$L$927)/$L$928</f>
        <v>0.82937284252620191</v>
      </c>
      <c r="N32">
        <f>+N29+M32</f>
        <v>-3.6664026414218274</v>
      </c>
      <c r="Z32">
        <f>+(I32-$F$927)/$F$928</f>
        <v>0.30216280718052907</v>
      </c>
      <c r="AA32">
        <f>+AA29+Z32</f>
        <v>-1.8946035885600607</v>
      </c>
    </row>
    <row r="33" spans="1:27">
      <c r="A33" s="8">
        <v>6</v>
      </c>
      <c r="B33" s="77">
        <v>36753</v>
      </c>
      <c r="C33" s="12">
        <v>2000</v>
      </c>
      <c r="D33" s="15" t="s">
        <v>25</v>
      </c>
      <c r="E33" s="12">
        <v>8</v>
      </c>
      <c r="F33" s="13">
        <v>12.145540664255593</v>
      </c>
      <c r="G33" s="13">
        <v>1.1538234475000002</v>
      </c>
    </row>
    <row r="34" spans="1:27">
      <c r="A34" s="8">
        <v>8</v>
      </c>
      <c r="B34" s="77">
        <v>36755</v>
      </c>
      <c r="C34" s="12">
        <v>2000</v>
      </c>
      <c r="D34" s="15" t="s">
        <v>25</v>
      </c>
      <c r="E34" s="12">
        <v>8</v>
      </c>
      <c r="F34" s="13">
        <v>1.4275565005543536</v>
      </c>
      <c r="G34" s="13">
        <v>1.3608310166666669E-2</v>
      </c>
    </row>
    <row r="35" spans="1:27">
      <c r="A35" s="8">
        <v>15</v>
      </c>
      <c r="B35" s="77">
        <v>36753</v>
      </c>
      <c r="C35" s="12">
        <v>2000</v>
      </c>
      <c r="D35" s="15" t="s">
        <v>25</v>
      </c>
      <c r="E35" s="12">
        <v>8</v>
      </c>
      <c r="F35" s="13">
        <v>16.704231616920122</v>
      </c>
      <c r="G35" s="13">
        <v>1.6519695373333332</v>
      </c>
      <c r="I35" s="18">
        <f>AVERAGE(F33:F35)</f>
        <v>10.092442927243356</v>
      </c>
      <c r="J35" s="18">
        <f>AVERAGE(G33:G35)</f>
        <v>0.93980043166666671</v>
      </c>
      <c r="L35">
        <f>+J35/I35</f>
        <v>9.3119221821882842E-2</v>
      </c>
      <c r="M35">
        <f>+(L35-$L$927)/$L$928</f>
        <v>1.4635341620809954</v>
      </c>
      <c r="N35">
        <f>+N32+M35</f>
        <v>-2.202868479340832</v>
      </c>
      <c r="Z35">
        <f>+(I35-$F$927)/$F$928</f>
        <v>1.5973681986412396</v>
      </c>
      <c r="AA35">
        <f>+AA32+Z35</f>
        <v>-0.29723538991882115</v>
      </c>
    </row>
    <row r="36" spans="1:27">
      <c r="A36" s="8">
        <v>6</v>
      </c>
      <c r="B36" s="77">
        <v>36781</v>
      </c>
      <c r="C36" s="12">
        <v>2000</v>
      </c>
      <c r="D36" s="15" t="s">
        <v>26</v>
      </c>
      <c r="E36" s="12">
        <v>9</v>
      </c>
      <c r="F36" s="13">
        <v>5.2565427098916953</v>
      </c>
      <c r="G36" s="13">
        <v>0.37598108083333331</v>
      </c>
    </row>
    <row r="37" spans="1:27">
      <c r="A37" s="8">
        <v>8</v>
      </c>
      <c r="B37" s="77">
        <v>36783</v>
      </c>
      <c r="C37" s="12">
        <v>2000</v>
      </c>
      <c r="D37" s="15" t="s">
        <v>26</v>
      </c>
      <c r="E37" s="12">
        <v>9</v>
      </c>
      <c r="F37" s="13">
        <v>1.9202883328733895</v>
      </c>
      <c r="G37" s="13">
        <v>2.3726404166666666E-2</v>
      </c>
    </row>
    <row r="38" spans="1:27">
      <c r="A38" s="8">
        <v>15</v>
      </c>
      <c r="B38" s="77">
        <v>36781</v>
      </c>
      <c r="C38" s="12">
        <v>2000</v>
      </c>
      <c r="D38" s="15" t="s">
        <v>26</v>
      </c>
      <c r="E38" s="12">
        <v>9</v>
      </c>
      <c r="F38" s="13">
        <v>3.4888421874924349</v>
      </c>
      <c r="G38" s="13">
        <v>0.29434883183333332</v>
      </c>
      <c r="I38" s="18">
        <f>AVERAGE(F36:F38)</f>
        <v>3.5552244100858399</v>
      </c>
      <c r="J38" s="18">
        <f>AVERAGE(G36:G38)</f>
        <v>0.23135210561111111</v>
      </c>
      <c r="L38">
        <f>+J38/I38</f>
        <v>6.5073840333337823E-2</v>
      </c>
      <c r="M38">
        <f>+(L38-$L$927)/$L$928</f>
        <v>0.78377901303380537</v>
      </c>
      <c r="N38">
        <f>+N35+M38</f>
        <v>-1.4190894663070266</v>
      </c>
      <c r="Z38">
        <f>+(I38-$F$927)/$F$928</f>
        <v>-0.19477260368117952</v>
      </c>
      <c r="AA38">
        <f>+AA35+Z38</f>
        <v>-0.49200799360000069</v>
      </c>
    </row>
    <row r="39" spans="1:27">
      <c r="A39" s="8">
        <v>6</v>
      </c>
      <c r="B39" s="77">
        <v>36817</v>
      </c>
      <c r="C39" s="12">
        <v>2000</v>
      </c>
      <c r="D39" s="15" t="s">
        <v>14</v>
      </c>
      <c r="E39" s="12">
        <v>10</v>
      </c>
      <c r="F39" s="14">
        <v>3.4158372305855664</v>
      </c>
      <c r="G39" s="14">
        <v>2.1628269833333335E-2</v>
      </c>
    </row>
    <row r="40" spans="1:27">
      <c r="A40" s="8">
        <v>8</v>
      </c>
      <c r="B40" s="77">
        <v>36815</v>
      </c>
      <c r="C40" s="12">
        <v>2000</v>
      </c>
      <c r="D40" s="15" t="s">
        <v>14</v>
      </c>
      <c r="E40" s="12">
        <v>10</v>
      </c>
      <c r="F40" s="14">
        <v>0.74574838611404204</v>
      </c>
      <c r="G40" s="14">
        <v>0</v>
      </c>
    </row>
    <row r="41" spans="1:27">
      <c r="A41" s="8">
        <v>15</v>
      </c>
      <c r="B41" s="77">
        <v>36817</v>
      </c>
      <c r="C41" s="12">
        <v>2000</v>
      </c>
      <c r="D41" s="15" t="s">
        <v>14</v>
      </c>
      <c r="E41" s="12">
        <v>10</v>
      </c>
      <c r="F41" s="14">
        <v>1.4058698228589261</v>
      </c>
      <c r="G41" s="14">
        <v>8.1944337833333332E-3</v>
      </c>
      <c r="I41" s="18">
        <f>AVERAGE(F39:F41)</f>
        <v>1.8558184798528448</v>
      </c>
      <c r="J41" s="18">
        <f>AVERAGE(G39:G41)</f>
        <v>9.9409012055555555E-3</v>
      </c>
      <c r="L41">
        <f>+J41/I41</f>
        <v>5.3566128980156559E-3</v>
      </c>
      <c r="M41">
        <f>+(L41-$L$927)/$L$928</f>
        <v>-0.66362839173130339</v>
      </c>
      <c r="N41">
        <f>+N38+M41</f>
        <v>-2.0827178580383299</v>
      </c>
      <c r="Z41">
        <f>+(I41-$F$927)/$F$928</f>
        <v>-0.66065495093419746</v>
      </c>
      <c r="AA41">
        <f>+AA38+Z41</f>
        <v>-1.1526629445341983</v>
      </c>
    </row>
    <row r="42" spans="1:27">
      <c r="A42" s="8">
        <v>6</v>
      </c>
      <c r="B42" s="77">
        <v>36845</v>
      </c>
      <c r="C42" s="12">
        <v>2000</v>
      </c>
      <c r="D42" s="15" t="s">
        <v>16</v>
      </c>
      <c r="E42" s="12">
        <v>11</v>
      </c>
      <c r="F42" s="14">
        <v>3.0933376734382509</v>
      </c>
      <c r="G42" s="14">
        <v>1.0428505500000001E-2</v>
      </c>
    </row>
    <row r="43" spans="1:27">
      <c r="A43" s="8">
        <v>8</v>
      </c>
      <c r="B43" s="77">
        <v>36846</v>
      </c>
      <c r="C43" s="12">
        <v>2000</v>
      </c>
      <c r="D43" s="15" t="s">
        <v>16</v>
      </c>
      <c r="E43" s="12">
        <v>11</v>
      </c>
      <c r="F43" s="14">
        <v>0.53539094207744464</v>
      </c>
      <c r="G43" s="14">
        <v>0</v>
      </c>
    </row>
    <row r="44" spans="1:27">
      <c r="A44" s="8">
        <v>15</v>
      </c>
      <c r="B44" s="77">
        <v>36845</v>
      </c>
      <c r="C44" s="12">
        <v>2000</v>
      </c>
      <c r="D44" s="15" t="s">
        <v>16</v>
      </c>
      <c r="E44" s="12">
        <v>11</v>
      </c>
      <c r="F44" s="14">
        <v>1.4195202317793862</v>
      </c>
      <c r="G44" s="14">
        <v>0</v>
      </c>
      <c r="I44" s="18">
        <f>AVERAGE(F42:F44)</f>
        <v>1.682749615765027</v>
      </c>
      <c r="J44" s="18">
        <f>AVERAGE(G42:G44)</f>
        <v>3.4761685000000001E-3</v>
      </c>
      <c r="L44">
        <f>+J44/I44</f>
        <v>2.0657669254136972E-3</v>
      </c>
      <c r="M44">
        <f>+(L44-$L$927)/$L$928</f>
        <v>-0.74339088294616051</v>
      </c>
      <c r="N44">
        <f>+N41+M44</f>
        <v>-2.8261087409844903</v>
      </c>
      <c r="Z44">
        <f>+(I44-$F$927)/$F$928</f>
        <v>-0.7081007831531021</v>
      </c>
      <c r="AA44">
        <f>+AA41+Z44</f>
        <v>-1.8607637276873004</v>
      </c>
    </row>
    <row r="45" spans="1:27">
      <c r="A45" s="8">
        <v>6</v>
      </c>
      <c r="B45" s="77">
        <v>36871</v>
      </c>
      <c r="C45" s="12">
        <v>2000</v>
      </c>
      <c r="D45" s="15" t="s">
        <v>17</v>
      </c>
      <c r="E45" s="12">
        <v>12</v>
      </c>
      <c r="F45" s="14">
        <v>2.1850567255155466</v>
      </c>
      <c r="G45" s="14">
        <v>5.0969966666666667E-3</v>
      </c>
    </row>
    <row r="46" spans="1:27">
      <c r="A46" s="8">
        <v>8</v>
      </c>
      <c r="B46" s="77">
        <v>36873</v>
      </c>
      <c r="C46" s="12">
        <v>2000</v>
      </c>
      <c r="D46" s="15" t="s">
        <v>17</v>
      </c>
      <c r="E46" s="12">
        <v>12</v>
      </c>
      <c r="F46" s="14">
        <v>2.077736344384836</v>
      </c>
      <c r="G46" s="14">
        <v>1.3774680666666667E-2</v>
      </c>
    </row>
    <row r="47" spans="1:27">
      <c r="A47" s="8">
        <v>15</v>
      </c>
      <c r="B47" s="77">
        <v>36871</v>
      </c>
      <c r="C47" s="12">
        <v>2000</v>
      </c>
      <c r="D47" s="15" t="s">
        <v>17</v>
      </c>
      <c r="E47" s="12">
        <v>12</v>
      </c>
      <c r="F47" s="16">
        <v>4.0582539529803396</v>
      </c>
      <c r="I47" s="18">
        <f>AVERAGE(F45:F47)</f>
        <v>2.7736823409602409</v>
      </c>
      <c r="J47" s="18">
        <f>AVERAGE(G45:G47)</f>
        <v>9.4358386666666665E-3</v>
      </c>
      <c r="L47">
        <f>+J47/I47</f>
        <v>3.4019175618358686E-3</v>
      </c>
      <c r="M47">
        <f>+(L47-$L$927)/$L$928</f>
        <v>-0.71100568343009685</v>
      </c>
      <c r="N47">
        <f>+N44+M47</f>
        <v>-3.5371144244145869</v>
      </c>
      <c r="Z47">
        <f>+(I47-$F$927)/$F$928</f>
        <v>-0.40902786027622623</v>
      </c>
      <c r="AA47">
        <f>+AA44+Z47</f>
        <v>-2.2697915879635264</v>
      </c>
    </row>
    <row r="48" spans="1:27">
      <c r="A48" s="8">
        <v>6</v>
      </c>
      <c r="B48" s="77">
        <v>36901</v>
      </c>
      <c r="C48" s="12">
        <v>2001</v>
      </c>
      <c r="D48" s="15" t="s">
        <v>18</v>
      </c>
      <c r="E48" s="12">
        <v>1</v>
      </c>
      <c r="F48" s="14">
        <v>2.7547221587334612</v>
      </c>
      <c r="G48" s="14">
        <v>3.9431800333333329E-2</v>
      </c>
    </row>
    <row r="49" spans="1:27">
      <c r="A49" s="8">
        <v>8</v>
      </c>
      <c r="B49" s="77">
        <v>36902</v>
      </c>
      <c r="C49" s="12">
        <v>2001</v>
      </c>
      <c r="D49" s="15" t="s">
        <v>18</v>
      </c>
      <c r="E49" s="12">
        <v>1</v>
      </c>
      <c r="F49" s="14">
        <v>2.4730812884833537</v>
      </c>
      <c r="G49" s="14">
        <v>1.8109119666666666E-2</v>
      </c>
    </row>
    <row r="50" spans="1:27">
      <c r="A50" s="8">
        <v>15</v>
      </c>
      <c r="B50" s="77">
        <v>36901</v>
      </c>
      <c r="C50" s="12">
        <v>2001</v>
      </c>
      <c r="D50" s="15" t="s">
        <v>18</v>
      </c>
      <c r="E50" s="12">
        <v>1</v>
      </c>
      <c r="F50" s="14">
        <v>3.6258114287200369</v>
      </c>
      <c r="G50" s="14">
        <v>3.5982049833333335E-2</v>
      </c>
      <c r="I50" s="18">
        <f>AVERAGE(F48:F50)</f>
        <v>2.9512049586456173</v>
      </c>
      <c r="J50" s="18">
        <f>AVERAGE(G48:G50)</f>
        <v>3.1174323277777777E-2</v>
      </c>
      <c r="L50">
        <f>+J50/I50</f>
        <v>1.0563252540780652E-2</v>
      </c>
      <c r="M50">
        <f>+(L50-$L$927)/$L$928</f>
        <v>-0.53743149518174815</v>
      </c>
      <c r="N50">
        <f>+N47+M50</f>
        <v>-4.0745459195963347</v>
      </c>
      <c r="Z50">
        <f>+(I50-$F$927)/$F$928</f>
        <v>-0.36036105716202027</v>
      </c>
      <c r="AA50">
        <f>+AA47+Z50</f>
        <v>-2.6301526451255466</v>
      </c>
    </row>
    <row r="51" spans="1:27">
      <c r="A51" s="12">
        <v>6</v>
      </c>
      <c r="B51" s="77">
        <v>36928</v>
      </c>
      <c r="C51" s="12">
        <v>2001</v>
      </c>
      <c r="D51" s="11" t="s">
        <v>19</v>
      </c>
      <c r="E51" s="12">
        <v>2</v>
      </c>
      <c r="F51" s="14">
        <v>2.3890516644127744</v>
      </c>
      <c r="G51" s="14">
        <v>2.9747611499999996E-2</v>
      </c>
    </row>
    <row r="52" spans="1:27">
      <c r="A52" s="12">
        <v>8</v>
      </c>
      <c r="B52" s="77">
        <v>36929</v>
      </c>
      <c r="C52" s="12">
        <v>2001</v>
      </c>
      <c r="D52" s="11" t="s">
        <v>19</v>
      </c>
      <c r="E52" s="12">
        <v>2</v>
      </c>
      <c r="F52" s="14">
        <v>1.3636171179404875</v>
      </c>
      <c r="G52" s="14">
        <v>2.1724506833333334E-2</v>
      </c>
    </row>
    <row r="53" spans="1:27">
      <c r="A53" s="12">
        <v>15</v>
      </c>
      <c r="B53" s="77">
        <v>36928</v>
      </c>
      <c r="C53" s="12">
        <v>2001</v>
      </c>
      <c r="D53" s="11" t="s">
        <v>19</v>
      </c>
      <c r="E53" s="12">
        <v>2</v>
      </c>
      <c r="F53" s="14">
        <v>2.701629826425525</v>
      </c>
      <c r="G53" s="14">
        <v>2.8939032E-2</v>
      </c>
      <c r="I53" s="18">
        <f>AVERAGE(F51:F53)</f>
        <v>2.151432869592929</v>
      </c>
      <c r="J53" s="18">
        <f>AVERAGE(G51:G53)</f>
        <v>2.6803716777777778E-2</v>
      </c>
      <c r="L53">
        <f>+J53/I53</f>
        <v>1.2458542005472514E-2</v>
      </c>
      <c r="M53">
        <f>+(L53-$L$927)/$L$928</f>
        <v>-0.49149406434004611</v>
      </c>
      <c r="N53">
        <f>+N50+M53</f>
        <v>-4.5660399839363812</v>
      </c>
      <c r="Z53">
        <f>+(I53-$F$927)/$F$928</f>
        <v>-0.57961396871578375</v>
      </c>
      <c r="AA53">
        <f>+AA50+Z53</f>
        <v>-3.2097666138413303</v>
      </c>
    </row>
    <row r="54" spans="1:27">
      <c r="A54" s="8">
        <v>6</v>
      </c>
      <c r="B54" s="77">
        <v>36965</v>
      </c>
      <c r="C54" s="12">
        <v>2001</v>
      </c>
      <c r="D54" s="11" t="s">
        <v>20</v>
      </c>
      <c r="E54" s="12">
        <v>3</v>
      </c>
      <c r="F54" s="14">
        <v>2.9077453926478527</v>
      </c>
      <c r="G54" s="14">
        <v>0</v>
      </c>
    </row>
    <row r="55" spans="1:27">
      <c r="A55" s="8">
        <v>8</v>
      </c>
      <c r="B55" s="77">
        <v>36962</v>
      </c>
      <c r="C55" s="12">
        <v>2001</v>
      </c>
      <c r="D55" s="11" t="s">
        <v>20</v>
      </c>
      <c r="E55" s="12">
        <v>3</v>
      </c>
      <c r="F55" s="14">
        <v>2.191786585873297</v>
      </c>
      <c r="G55" s="14">
        <v>5.8847143333333331E-2</v>
      </c>
    </row>
    <row r="56" spans="1:27">
      <c r="A56" s="8">
        <v>15</v>
      </c>
      <c r="B56" s="77">
        <v>36964</v>
      </c>
      <c r="C56" s="12">
        <v>2001</v>
      </c>
      <c r="D56" s="11" t="s">
        <v>20</v>
      </c>
      <c r="E56" s="12">
        <v>3</v>
      </c>
      <c r="F56" s="14">
        <v>2.4905588595304975</v>
      </c>
      <c r="G56" s="14">
        <v>3.1447169499999997E-2</v>
      </c>
      <c r="I56" s="18">
        <f>AVERAGE(F54:F56)</f>
        <v>2.5300302793505489</v>
      </c>
      <c r="J56" s="18">
        <f>AVERAGE(G54:G56)</f>
        <v>3.0098104277777777E-2</v>
      </c>
      <c r="L56">
        <f>+J56/I56</f>
        <v>1.1896341527384356E-2</v>
      </c>
      <c r="M56">
        <f>+(L56-$L$927)/$L$928</f>
        <v>-0.50512050297249289</v>
      </c>
      <c r="N56">
        <f>+N53+M56</f>
        <v>-5.071160486908874</v>
      </c>
      <c r="Z56">
        <f>+(I56-$F$927)/$F$928</f>
        <v>-0.47582366953893557</v>
      </c>
      <c r="AA56">
        <f>+AA53+Z56</f>
        <v>-3.6855902833802658</v>
      </c>
    </row>
    <row r="57" spans="1:27">
      <c r="A57" s="8">
        <v>6</v>
      </c>
      <c r="B57" s="77">
        <v>37000</v>
      </c>
      <c r="C57" s="12">
        <v>2001</v>
      </c>
      <c r="D57" s="15" t="s">
        <v>21</v>
      </c>
      <c r="E57" s="12">
        <v>4</v>
      </c>
      <c r="F57" s="14">
        <v>4.814884497431553</v>
      </c>
      <c r="G57" s="14">
        <v>3.2302714333333336E-2</v>
      </c>
    </row>
    <row r="58" spans="1:27">
      <c r="A58" s="8">
        <v>8</v>
      </c>
      <c r="B58" s="77">
        <v>36998</v>
      </c>
      <c r="C58" s="12">
        <v>2001</v>
      </c>
      <c r="D58" s="15" t="s">
        <v>21</v>
      </c>
      <c r="E58" s="12">
        <v>4</v>
      </c>
      <c r="F58" s="14">
        <v>0.60571313771529633</v>
      </c>
      <c r="G58" s="14">
        <v>0</v>
      </c>
    </row>
    <row r="59" spans="1:27">
      <c r="A59" s="8">
        <v>15</v>
      </c>
      <c r="B59" s="77">
        <v>36997</v>
      </c>
      <c r="C59" s="12">
        <v>2001</v>
      </c>
      <c r="D59" s="15" t="s">
        <v>21</v>
      </c>
      <c r="E59" s="12">
        <v>4</v>
      </c>
      <c r="F59" s="14">
        <v>3.859447166535396</v>
      </c>
      <c r="G59" s="14">
        <v>4.9688588833333339E-2</v>
      </c>
      <c r="I59" s="18">
        <f>AVERAGE(F57:F59)</f>
        <v>3.0933482672274155</v>
      </c>
      <c r="J59" s="18">
        <f>AVERAGE(G57:G59)</f>
        <v>2.7330434388888891E-2</v>
      </c>
      <c r="L59">
        <f>+J59/I59</f>
        <v>8.8352270833653348E-3</v>
      </c>
      <c r="M59">
        <f>+(L59-$L$927)/$L$928</f>
        <v>-0.57931483354326974</v>
      </c>
      <c r="N59">
        <f>+N56+M59</f>
        <v>-5.6504753204521441</v>
      </c>
      <c r="Z59">
        <f>+(I59-$F$927)/$F$928</f>
        <v>-0.32139328785494309</v>
      </c>
      <c r="AA59">
        <f>+AA56+Z59</f>
        <v>-4.0069835712352093</v>
      </c>
    </row>
    <row r="60" spans="1:27">
      <c r="A60" s="8">
        <v>6</v>
      </c>
      <c r="B60" s="77">
        <v>37026</v>
      </c>
      <c r="C60" s="12">
        <v>2001</v>
      </c>
      <c r="D60" s="15" t="s">
        <v>22</v>
      </c>
      <c r="E60" s="12">
        <v>5</v>
      </c>
      <c r="F60" s="14">
        <v>6.205030488723108</v>
      </c>
      <c r="G60" s="14">
        <v>9.3394548999999979E-2</v>
      </c>
    </row>
    <row r="61" spans="1:27">
      <c r="A61" s="8">
        <v>8</v>
      </c>
      <c r="B61" s="77">
        <v>37025</v>
      </c>
      <c r="C61" s="12">
        <v>2001</v>
      </c>
      <c r="D61" s="15" t="s">
        <v>22</v>
      </c>
      <c r="E61" s="12">
        <v>5</v>
      </c>
      <c r="F61" s="14">
        <v>0.86197970184224748</v>
      </c>
      <c r="G61" s="14">
        <v>2.3162086333333335E-2</v>
      </c>
    </row>
    <row r="62" spans="1:27">
      <c r="A62" s="8">
        <v>15</v>
      </c>
      <c r="B62" s="77">
        <v>37026</v>
      </c>
      <c r="C62" s="12">
        <v>2001</v>
      </c>
      <c r="D62" s="15" t="s">
        <v>22</v>
      </c>
      <c r="E62" s="12">
        <v>5</v>
      </c>
      <c r="F62" s="14">
        <v>3.5794526957542616</v>
      </c>
      <c r="G62" s="14">
        <v>9.0210236499999999E-2</v>
      </c>
      <c r="I62" s="18">
        <f>AVERAGE(F60:F62)</f>
        <v>3.548820962106539</v>
      </c>
      <c r="J62" s="18">
        <f>AVERAGE(G60:G62)</f>
        <v>6.8922290611111103E-2</v>
      </c>
      <c r="L62">
        <f>+J62/I62</f>
        <v>1.9421179976968923E-2</v>
      </c>
      <c r="M62">
        <f>+(L62-$L$927)/$L$928</f>
        <v>-0.32273583175871046</v>
      </c>
      <c r="N62">
        <f>+N59+M62</f>
        <v>-5.9732111522108546</v>
      </c>
      <c r="Z62">
        <f>+(I62-$F$927)/$F$928</f>
        <v>-0.19652807206106232</v>
      </c>
      <c r="AA62">
        <f>+AA59+Z62</f>
        <v>-4.203511643296272</v>
      </c>
    </row>
    <row r="63" spans="1:27">
      <c r="A63" s="8">
        <v>6</v>
      </c>
      <c r="B63" s="77">
        <v>37055</v>
      </c>
      <c r="C63" s="12">
        <v>2001</v>
      </c>
      <c r="D63" s="15" t="s">
        <v>23</v>
      </c>
      <c r="E63" s="12">
        <v>6</v>
      </c>
      <c r="F63" s="14">
        <v>8.4036698540666652</v>
      </c>
      <c r="G63" s="14">
        <v>0.34684129299999994</v>
      </c>
    </row>
    <row r="64" spans="1:27">
      <c r="A64" s="8">
        <v>8</v>
      </c>
      <c r="B64" s="77">
        <v>37054</v>
      </c>
      <c r="C64" s="12">
        <v>2001</v>
      </c>
      <c r="D64" s="15" t="s">
        <v>23</v>
      </c>
      <c r="E64" s="12">
        <v>6</v>
      </c>
      <c r="F64" s="14">
        <v>1.188037214238655</v>
      </c>
      <c r="G64" s="14">
        <v>0</v>
      </c>
    </row>
    <row r="65" spans="1:27">
      <c r="A65" s="8">
        <v>15</v>
      </c>
      <c r="B65" s="77">
        <v>37055</v>
      </c>
      <c r="C65" s="12">
        <v>2001</v>
      </c>
      <c r="D65" s="15" t="s">
        <v>23</v>
      </c>
      <c r="E65" s="12">
        <v>6</v>
      </c>
      <c r="F65" s="14">
        <v>8.4755321996998116</v>
      </c>
      <c r="G65" s="14">
        <v>0.67165825583333327</v>
      </c>
      <c r="I65" s="18">
        <f>AVERAGE(F63:F65)</f>
        <v>6.0224130893350436</v>
      </c>
      <c r="J65" s="18">
        <f>AVERAGE(G63:G65)</f>
        <v>0.33949984961111107</v>
      </c>
      <c r="L65">
        <f>+J65/I65</f>
        <v>5.6372727107066728E-2</v>
      </c>
      <c r="M65">
        <f>+(L65-$L$927)/$L$928</f>
        <v>0.5728841631842434</v>
      </c>
      <c r="N65">
        <f>+N62+M65</f>
        <v>-5.4003269890266115</v>
      </c>
      <c r="Z65">
        <f>+(I65-$F$927)/$F$928</f>
        <v>0.48159296181211159</v>
      </c>
      <c r="AA65">
        <f>+AA62+Z65</f>
        <v>-3.7219186814841603</v>
      </c>
    </row>
    <row r="66" spans="1:27">
      <c r="A66" s="8">
        <v>6</v>
      </c>
      <c r="B66" s="77">
        <v>37092</v>
      </c>
      <c r="C66" s="12">
        <v>2001</v>
      </c>
      <c r="D66" s="15" t="s">
        <v>24</v>
      </c>
      <c r="E66" s="12">
        <v>7</v>
      </c>
      <c r="F66" s="14">
        <v>7.6810494233998599</v>
      </c>
      <c r="G66" s="14">
        <v>0.80699274266666676</v>
      </c>
    </row>
    <row r="67" spans="1:27">
      <c r="A67" s="8">
        <v>8</v>
      </c>
      <c r="B67" s="77">
        <v>37090</v>
      </c>
      <c r="C67" s="12">
        <v>2001</v>
      </c>
      <c r="D67" s="15" t="s">
        <v>24</v>
      </c>
      <c r="E67" s="12">
        <v>7</v>
      </c>
      <c r="F67" s="14">
        <v>1.0569016834841709</v>
      </c>
      <c r="G67" s="14">
        <v>1.2997760833333333E-2</v>
      </c>
    </row>
    <row r="68" spans="1:27">
      <c r="A68" s="8">
        <v>15</v>
      </c>
      <c r="B68" s="77">
        <v>37092</v>
      </c>
      <c r="C68" s="12">
        <v>2001</v>
      </c>
      <c r="D68" s="15" t="s">
        <v>24</v>
      </c>
      <c r="E68" s="12">
        <v>7</v>
      </c>
      <c r="F68" s="14">
        <v>2.4321721252965971</v>
      </c>
      <c r="G68" s="14">
        <v>0.54032798300000007</v>
      </c>
      <c r="I68" s="18">
        <f>AVERAGE(F66:F68)</f>
        <v>3.7233744107268762</v>
      </c>
      <c r="J68" s="18">
        <f>AVERAGE(G66:G68)</f>
        <v>0.45343949550000007</v>
      </c>
      <c r="L68">
        <f>+J68/I68</f>
        <v>0.12178186920811966</v>
      </c>
      <c r="M68">
        <f>+(L68-$L$927)/$L$928</f>
        <v>2.1582504081080436</v>
      </c>
      <c r="N68">
        <f>+N65+M68</f>
        <v>-3.2420765809185679</v>
      </c>
      <c r="Z68">
        <f>+(I68-$F$927)/$F$928</f>
        <v>-0.14867524954372396</v>
      </c>
      <c r="AA68">
        <f>+AA65+Z68</f>
        <v>-3.8705939310278841</v>
      </c>
    </row>
    <row r="69" spans="1:27">
      <c r="A69" s="8">
        <v>6</v>
      </c>
      <c r="B69" s="77">
        <v>37118</v>
      </c>
      <c r="C69" s="12">
        <v>2001</v>
      </c>
      <c r="D69" s="15" t="s">
        <v>25</v>
      </c>
      <c r="E69" s="12">
        <v>8</v>
      </c>
      <c r="F69" s="14">
        <v>2.9668356791150874</v>
      </c>
      <c r="G69" s="14">
        <v>0.70965646033333329</v>
      </c>
    </row>
    <row r="70" spans="1:27">
      <c r="A70" s="8">
        <v>8</v>
      </c>
      <c r="B70" s="77">
        <v>37117</v>
      </c>
      <c r="C70" s="12">
        <v>2001</v>
      </c>
      <c r="D70" s="15" t="s">
        <v>25</v>
      </c>
      <c r="E70" s="12">
        <v>8</v>
      </c>
      <c r="F70" s="14">
        <v>0.75939941819857038</v>
      </c>
      <c r="G70" s="14">
        <v>0</v>
      </c>
    </row>
    <row r="71" spans="1:27">
      <c r="A71" s="8">
        <v>15</v>
      </c>
      <c r="B71" s="77">
        <v>37118</v>
      </c>
      <c r="C71" s="12">
        <v>2001</v>
      </c>
      <c r="D71" s="15" t="s">
        <v>25</v>
      </c>
      <c r="E71" s="12">
        <v>8</v>
      </c>
      <c r="F71" s="14">
        <v>5.5862372930010453</v>
      </c>
      <c r="G71" s="14">
        <v>0.26576455583333325</v>
      </c>
      <c r="I71" s="18">
        <f>AVERAGE(F69:F71)</f>
        <v>3.1041574634382343</v>
      </c>
      <c r="J71" s="18">
        <f>AVERAGE(G69:G71)</f>
        <v>0.3251403387222222</v>
      </c>
      <c r="L71">
        <f>+J71/I71</f>
        <v>0.10474350691027429</v>
      </c>
      <c r="M71">
        <f>+(L71-$L$927)/$L$928</f>
        <v>1.7452799335212572</v>
      </c>
      <c r="N71">
        <f>+N68+M71</f>
        <v>-1.4967966473973107</v>
      </c>
      <c r="Z71">
        <f>+(I71-$F$927)/$F$928</f>
        <v>-0.31843000897434964</v>
      </c>
      <c r="AA71">
        <f>+AA68+Z71</f>
        <v>-4.189023940002234</v>
      </c>
    </row>
    <row r="72" spans="1:27">
      <c r="A72" s="8">
        <v>6</v>
      </c>
      <c r="B72" s="77">
        <v>37152</v>
      </c>
      <c r="C72" s="12">
        <v>2001</v>
      </c>
      <c r="D72" s="15" t="s">
        <v>26</v>
      </c>
      <c r="E72" s="12">
        <v>9</v>
      </c>
      <c r="F72" s="14">
        <v>6.3473835958746339</v>
      </c>
      <c r="G72" s="14">
        <v>0.17096649816666665</v>
      </c>
    </row>
    <row r="73" spans="1:27">
      <c r="A73" s="8">
        <v>8</v>
      </c>
      <c r="B73" s="77">
        <v>37145</v>
      </c>
      <c r="C73" s="12">
        <v>2001</v>
      </c>
      <c r="D73" s="15" t="s">
        <v>26</v>
      </c>
      <c r="E73" s="12">
        <v>9</v>
      </c>
      <c r="F73" s="14">
        <v>3.1412798663020811</v>
      </c>
      <c r="G73" s="14">
        <v>4.026239483333334E-2</v>
      </c>
    </row>
    <row r="74" spans="1:27">
      <c r="A74" s="8">
        <v>15</v>
      </c>
      <c r="B74" s="77">
        <v>37145</v>
      </c>
      <c r="C74" s="12">
        <v>2001</v>
      </c>
      <c r="D74" s="15" t="s">
        <v>26</v>
      </c>
      <c r="E74" s="12">
        <v>9</v>
      </c>
      <c r="F74" s="14">
        <v>3.0149514231719947</v>
      </c>
      <c r="G74" s="14">
        <v>0.14796187149999998</v>
      </c>
      <c r="I74" s="18">
        <f>AVERAGE(F72:F74)</f>
        <v>4.1678716284495705</v>
      </c>
      <c r="J74" s="18">
        <f>AVERAGE(G72:G74)</f>
        <v>0.11973025483333333</v>
      </c>
      <c r="L74">
        <f>+J74/I74</f>
        <v>2.8726953588508783E-2</v>
      </c>
      <c r="M74">
        <f>+(L74-$L$927)/$L$928</f>
        <v>-9.7185413380719718E-2</v>
      </c>
      <c r="N74">
        <f>+N71+M74</f>
        <v>-1.5939820607780304</v>
      </c>
      <c r="Z74">
        <f>+(I74-$F$927)/$F$928</f>
        <v>-2.6818897593903109E-2</v>
      </c>
      <c r="AA74">
        <f>+AA71+Z74</f>
        <v>-4.2158428375961368</v>
      </c>
    </row>
    <row r="75" spans="1:27">
      <c r="A75" s="8">
        <v>6</v>
      </c>
      <c r="B75" s="77">
        <v>37180</v>
      </c>
      <c r="C75" s="12">
        <v>2001</v>
      </c>
      <c r="D75" s="15" t="s">
        <v>14</v>
      </c>
      <c r="E75" s="12">
        <v>10</v>
      </c>
      <c r="F75" s="13">
        <v>1.0548604323549744</v>
      </c>
      <c r="G75" s="13">
        <v>1.0048022541589258E-2</v>
      </c>
    </row>
    <row r="76" spans="1:27">
      <c r="A76" s="8">
        <v>8</v>
      </c>
      <c r="B76" s="77">
        <v>37182</v>
      </c>
      <c r="C76" s="12">
        <v>2001</v>
      </c>
      <c r="D76" s="15" t="s">
        <v>14</v>
      </c>
      <c r="E76" s="12">
        <v>10</v>
      </c>
      <c r="F76" s="13">
        <v>0.34843414570771769</v>
      </c>
      <c r="G76" s="13">
        <v>0</v>
      </c>
    </row>
    <row r="77" spans="1:27">
      <c r="A77" s="8">
        <v>15</v>
      </c>
      <c r="B77" s="77">
        <v>37180</v>
      </c>
      <c r="C77" s="12">
        <v>2001</v>
      </c>
      <c r="D77" s="15" t="s">
        <v>14</v>
      </c>
      <c r="E77" s="12">
        <v>10</v>
      </c>
      <c r="F77" s="13">
        <v>0.65471596515874708</v>
      </c>
      <c r="G77" s="13">
        <v>7.3458369834457724E-3</v>
      </c>
      <c r="I77" s="18">
        <f>AVERAGE(F75:F77)</f>
        <v>0.68600351440714646</v>
      </c>
      <c r="J77" s="18">
        <f>AVERAGE(G75:G77)</f>
        <v>5.7979531750116768E-3</v>
      </c>
      <c r="L77">
        <f>+J77/I77</f>
        <v>8.4517834868854079E-3</v>
      </c>
      <c r="M77">
        <f>+(L77-$L$927)/$L$928</f>
        <v>-0.58860861901674832</v>
      </c>
      <c r="N77">
        <f>+N74+M77</f>
        <v>-2.1825906797947789</v>
      </c>
      <c r="Z77">
        <f>+(I77-$F$927)/$F$928</f>
        <v>-0.98135298561672257</v>
      </c>
      <c r="AA77">
        <f>+AA74+Z77</f>
        <v>-5.1971958232128594</v>
      </c>
    </row>
    <row r="78" spans="1:27">
      <c r="A78" s="8">
        <v>6</v>
      </c>
      <c r="B78" s="77">
        <v>37201</v>
      </c>
      <c r="C78" s="12">
        <v>2001</v>
      </c>
      <c r="D78" s="15" t="s">
        <v>16</v>
      </c>
      <c r="E78" s="12">
        <v>11</v>
      </c>
      <c r="F78" s="13">
        <v>1.5054241934185941</v>
      </c>
      <c r="G78" s="13">
        <v>2.9287663637416507E-2</v>
      </c>
    </row>
    <row r="79" spans="1:27">
      <c r="A79" s="8">
        <v>8</v>
      </c>
      <c r="B79" s="77">
        <v>37202</v>
      </c>
      <c r="C79" s="12">
        <v>2001</v>
      </c>
      <c r="D79" s="15" t="s">
        <v>16</v>
      </c>
      <c r="E79" s="12">
        <v>11</v>
      </c>
      <c r="F79" s="13">
        <v>0.39829726707135099</v>
      </c>
      <c r="G79" s="13">
        <v>0</v>
      </c>
    </row>
    <row r="80" spans="1:27">
      <c r="A80" s="8">
        <v>15</v>
      </c>
      <c r="B80" s="77">
        <v>37201</v>
      </c>
      <c r="C80" s="12">
        <v>2001</v>
      </c>
      <c r="D80" s="15" t="s">
        <v>16</v>
      </c>
      <c r="E80" s="12">
        <v>11</v>
      </c>
      <c r="F80" s="13">
        <v>1.0344293256584844</v>
      </c>
      <c r="G80" s="13">
        <v>1.4687816461760818E-2</v>
      </c>
      <c r="I80" s="18">
        <f>AVERAGE(F78:F80)</f>
        <v>0.97938359538280972</v>
      </c>
      <c r="J80" s="18">
        <f>AVERAGE(G78:G80)</f>
        <v>1.4658493366392441E-2</v>
      </c>
      <c r="L80">
        <f>+J80/I80</f>
        <v>1.4967060338255823E-2</v>
      </c>
      <c r="M80">
        <f>+(L80-$L$927)/$L$928</f>
        <v>-0.43069338477413621</v>
      </c>
      <c r="N80">
        <f>+N77+M80</f>
        <v>-2.6132840645689153</v>
      </c>
      <c r="Z80">
        <f>+(I80-$F$927)/$F$928</f>
        <v>-0.90092452627653252</v>
      </c>
      <c r="AA80">
        <f>+AA77+Z80</f>
        <v>-6.0981203494893919</v>
      </c>
    </row>
    <row r="81" spans="1:27">
      <c r="A81" s="8">
        <v>6</v>
      </c>
      <c r="B81" s="77">
        <v>37229</v>
      </c>
      <c r="C81" s="12">
        <v>2001</v>
      </c>
      <c r="D81" s="15" t="s">
        <v>17</v>
      </c>
      <c r="E81" s="12">
        <v>12</v>
      </c>
      <c r="F81" s="13">
        <v>1.5010388464070443</v>
      </c>
      <c r="G81" s="13">
        <v>8.4840371946834376E-3</v>
      </c>
    </row>
    <row r="82" spans="1:27">
      <c r="A82" s="8">
        <v>8</v>
      </c>
      <c r="B82" s="77">
        <v>37230</v>
      </c>
      <c r="C82" s="12">
        <v>2001</v>
      </c>
      <c r="D82" s="15" t="s">
        <v>17</v>
      </c>
      <c r="E82" s="12">
        <v>12</v>
      </c>
      <c r="F82" s="13">
        <v>1.2760475538116831</v>
      </c>
      <c r="G82" s="13">
        <v>0</v>
      </c>
    </row>
    <row r="83" spans="1:27">
      <c r="A83" s="8">
        <v>15</v>
      </c>
      <c r="B83" s="77">
        <v>37229</v>
      </c>
      <c r="C83" s="12">
        <v>2001</v>
      </c>
      <c r="D83" s="15" t="s">
        <v>17</v>
      </c>
      <c r="E83" s="12">
        <v>12</v>
      </c>
      <c r="F83" s="18">
        <v>2.2357222942910799</v>
      </c>
      <c r="I83" s="18">
        <f>AVERAGE(F81:F83)</f>
        <v>1.6709362315032692</v>
      </c>
      <c r="J83" s="18">
        <f>AVERAGE(G81:G83)</f>
        <v>4.2420185973417188E-3</v>
      </c>
      <c r="L83">
        <f>+J83/I83</f>
        <v>2.5387076522515512E-3</v>
      </c>
      <c r="M83">
        <f>+(L83-$L$927)/$L$928</f>
        <v>-0.73192789413306625</v>
      </c>
      <c r="N83">
        <f>+N80+M83</f>
        <v>-3.3452119587019817</v>
      </c>
      <c r="Z83">
        <f>+(I83-$F$927)/$F$928</f>
        <v>-0.71133935440377138</v>
      </c>
      <c r="AA83">
        <f>+AA80+Z83</f>
        <v>-6.8094597038931628</v>
      </c>
    </row>
    <row r="84" spans="1:27">
      <c r="A84" s="8">
        <v>6</v>
      </c>
      <c r="B84" s="77">
        <v>37271</v>
      </c>
      <c r="C84" s="12">
        <v>2002</v>
      </c>
      <c r="D84" s="15" t="s">
        <v>18</v>
      </c>
      <c r="E84" s="12">
        <v>1</v>
      </c>
      <c r="F84" s="13">
        <v>4.9784751047341471</v>
      </c>
      <c r="G84" s="13">
        <v>1.832988954156882E-2</v>
      </c>
    </row>
    <row r="85" spans="1:27">
      <c r="A85" s="8">
        <v>8</v>
      </c>
      <c r="B85" s="77">
        <v>37272</v>
      </c>
      <c r="C85" s="12">
        <v>2002</v>
      </c>
      <c r="D85" s="15" t="s">
        <v>18</v>
      </c>
      <c r="E85" s="12">
        <v>1</v>
      </c>
      <c r="F85" s="13">
        <v>3.5602663218995922</v>
      </c>
      <c r="G85" s="13">
        <v>9.8623138931128226E-3</v>
      </c>
    </row>
    <row r="86" spans="1:27">
      <c r="A86" s="8">
        <v>15</v>
      </c>
      <c r="B86" s="77">
        <v>37271</v>
      </c>
      <c r="C86" s="12">
        <v>2002</v>
      </c>
      <c r="D86" s="15" t="s">
        <v>18</v>
      </c>
      <c r="E86" s="12">
        <v>1</v>
      </c>
      <c r="F86" s="13">
        <v>2.5369912431490143</v>
      </c>
      <c r="G86" s="13">
        <v>1.6652760407531438E-2</v>
      </c>
      <c r="I86" s="18">
        <f>AVERAGE(F84:F86)</f>
        <v>3.6919108899275845</v>
      </c>
      <c r="J86" s="18">
        <f>AVERAGE(G84:G86)</f>
        <v>1.4948321280737692E-2</v>
      </c>
      <c r="L86">
        <f>+J86/I86</f>
        <v>4.0489388087671038E-3</v>
      </c>
      <c r="M86">
        <f>+(L86-$L$927)/$L$928</f>
        <v>-0.69532338563984997</v>
      </c>
      <c r="N86">
        <f>+N83+M86</f>
        <v>-4.0405353443418317</v>
      </c>
      <c r="Z86">
        <f>+(I86-$F$927)/$F$928</f>
        <v>-0.15730079254204013</v>
      </c>
      <c r="AA86">
        <f>+AA83+Z86</f>
        <v>-6.966760496435203</v>
      </c>
    </row>
    <row r="87" spans="1:27">
      <c r="A87" s="8">
        <v>6</v>
      </c>
      <c r="B87" s="77">
        <v>37306</v>
      </c>
      <c r="C87" s="12">
        <v>2002</v>
      </c>
      <c r="D87" s="11" t="s">
        <v>19</v>
      </c>
      <c r="E87" s="12">
        <v>2</v>
      </c>
      <c r="F87" s="13">
        <v>1.6053943714545269</v>
      </c>
      <c r="G87" s="13">
        <v>6.3835885942277862E-2</v>
      </c>
    </row>
    <row r="88" spans="1:27">
      <c r="A88" s="8">
        <v>8</v>
      </c>
      <c r="B88" s="77">
        <v>37301</v>
      </c>
      <c r="C88" s="12">
        <v>2002</v>
      </c>
      <c r="D88" s="11" t="s">
        <v>19</v>
      </c>
      <c r="E88" s="12">
        <v>2</v>
      </c>
      <c r="F88" s="13">
        <v>1.4736650359067733</v>
      </c>
      <c r="G88" s="13">
        <v>1.0785420954684875E-2</v>
      </c>
    </row>
    <row r="89" spans="1:27">
      <c r="A89" s="8">
        <v>15</v>
      </c>
      <c r="B89" s="77">
        <v>37306</v>
      </c>
      <c r="C89" s="12">
        <v>2002</v>
      </c>
      <c r="D89" s="11" t="s">
        <v>19</v>
      </c>
      <c r="E89" s="12">
        <v>2</v>
      </c>
      <c r="F89" s="13">
        <v>1.5899224695832257</v>
      </c>
      <c r="G89" s="13">
        <v>5.2213186606694606E-2</v>
      </c>
      <c r="I89" s="18">
        <f>AVERAGE(F87:F89)</f>
        <v>1.5563272923148421</v>
      </c>
      <c r="J89" s="18">
        <f>AVERAGE(G87:G89)</f>
        <v>4.2278164501219108E-2</v>
      </c>
      <c r="L89">
        <f>+J89/I89</f>
        <v>2.7165342861998922E-2</v>
      </c>
      <c r="M89">
        <f>+(L89-$L$927)/$L$928</f>
        <v>-0.13503524375603376</v>
      </c>
      <c r="N89">
        <f>+N86+M89</f>
        <v>-4.1755705880978651</v>
      </c>
      <c r="Z89">
        <f>+(I89-$F$927)/$F$928</f>
        <v>-0.74275873493868705</v>
      </c>
      <c r="AA89">
        <f>+AA86+Z89</f>
        <v>-7.7095192313738901</v>
      </c>
    </row>
    <row r="90" spans="1:27">
      <c r="A90" s="8">
        <v>6</v>
      </c>
      <c r="B90" s="73">
        <v>37334</v>
      </c>
      <c r="C90" s="12">
        <v>2002</v>
      </c>
      <c r="D90" s="11" t="s">
        <v>20</v>
      </c>
      <c r="E90" s="12">
        <v>3</v>
      </c>
      <c r="F90" s="13">
        <v>4.1112805086380826</v>
      </c>
      <c r="G90" s="13">
        <v>2.8043175897414931E-2</v>
      </c>
    </row>
    <row r="91" spans="1:27">
      <c r="A91" s="8">
        <v>8</v>
      </c>
      <c r="B91" s="73">
        <v>37336</v>
      </c>
      <c r="C91" s="12">
        <v>2002</v>
      </c>
      <c r="D91" s="11" t="s">
        <v>20</v>
      </c>
      <c r="E91" s="12">
        <v>3</v>
      </c>
      <c r="F91" s="13">
        <v>0.87544326855861954</v>
      </c>
      <c r="G91" s="13">
        <v>1.0726004187655427E-2</v>
      </c>
    </row>
    <row r="92" spans="1:27">
      <c r="A92" s="8">
        <v>15</v>
      </c>
      <c r="B92" s="73">
        <v>37336</v>
      </c>
      <c r="C92" s="12">
        <v>2002</v>
      </c>
      <c r="D92" s="11" t="s">
        <v>20</v>
      </c>
      <c r="E92" s="12">
        <v>3</v>
      </c>
      <c r="F92" s="13">
        <v>4.1493642988653514</v>
      </c>
      <c r="G92" s="13">
        <v>1.9875270490674932E-2</v>
      </c>
      <c r="I92" s="18">
        <f>AVERAGE(F90:F92)</f>
        <v>3.0453626920206847</v>
      </c>
      <c r="J92" s="18">
        <f>AVERAGE(G90:G92)</f>
        <v>1.9548150191915095E-2</v>
      </c>
      <c r="L92">
        <f>+J92/I92</f>
        <v>6.4189891874403774E-3</v>
      </c>
      <c r="M92">
        <f>+(L92-$L$927)/$L$928</f>
        <v>-0.63787884886068635</v>
      </c>
      <c r="N92">
        <f>+N89+M92</f>
        <v>-4.8134494369585514</v>
      </c>
      <c r="Z92">
        <f>+(I92-$F$927)/$F$928</f>
        <v>-0.33454825690258727</v>
      </c>
      <c r="AA92">
        <f>+AA89+Z92</f>
        <v>-8.0440674882764771</v>
      </c>
    </row>
    <row r="93" spans="1:27">
      <c r="A93" s="8">
        <v>6</v>
      </c>
      <c r="B93" s="73">
        <v>37362</v>
      </c>
      <c r="C93" s="12">
        <v>2002</v>
      </c>
      <c r="D93" s="15" t="s">
        <v>21</v>
      </c>
      <c r="E93" s="12">
        <v>4</v>
      </c>
      <c r="F93" s="13">
        <v>0.99281640135308447</v>
      </c>
      <c r="G93" s="13">
        <v>1.9488125954656862E-2</v>
      </c>
    </row>
    <row r="94" spans="1:27">
      <c r="A94" s="8">
        <v>8</v>
      </c>
      <c r="B94" s="73">
        <v>37363</v>
      </c>
      <c r="C94" s="12">
        <v>2002</v>
      </c>
      <c r="D94" s="15" t="s">
        <v>21</v>
      </c>
      <c r="E94" s="12">
        <v>4</v>
      </c>
      <c r="F94" s="13">
        <v>1.0573415593632474</v>
      </c>
      <c r="G94" s="13">
        <v>0</v>
      </c>
    </row>
    <row r="95" spans="1:27">
      <c r="A95" s="8">
        <v>15</v>
      </c>
      <c r="B95" s="73">
        <v>37362</v>
      </c>
      <c r="C95" s="12">
        <v>2002</v>
      </c>
      <c r="D95" s="15" t="s">
        <v>21</v>
      </c>
      <c r="E95" s="12">
        <v>4</v>
      </c>
      <c r="F95" s="13">
        <v>0.76346537495358346</v>
      </c>
      <c r="G95" s="13">
        <v>2.5214778322776583E-2</v>
      </c>
      <c r="I95" s="18">
        <f>AVERAGE(F93:F95)</f>
        <v>0.9378744452233051</v>
      </c>
      <c r="J95" s="18">
        <f>AVERAGE(G93:G95)</f>
        <v>1.4900968092477816E-2</v>
      </c>
      <c r="L95">
        <f>+J95/I95</f>
        <v>1.5888020159169534E-2</v>
      </c>
      <c r="M95">
        <f>+(L95-$L$927)/$L$928</f>
        <v>-0.4083714498563541</v>
      </c>
      <c r="N95">
        <f>+N92+M95</f>
        <v>-5.2218208868149052</v>
      </c>
      <c r="Z95">
        <f>+(I95-$F$927)/$F$928</f>
        <v>-0.91230402070146754</v>
      </c>
      <c r="AA95">
        <f>+AA92+Z95</f>
        <v>-8.956371508977945</v>
      </c>
    </row>
    <row r="96" spans="1:27">
      <c r="A96" s="8">
        <v>6</v>
      </c>
      <c r="B96" s="73">
        <v>37392</v>
      </c>
      <c r="C96" s="12">
        <v>2002</v>
      </c>
      <c r="D96" s="15" t="s">
        <v>22</v>
      </c>
      <c r="E96" s="12">
        <v>5</v>
      </c>
      <c r="F96" s="13">
        <v>9.0420884745467927</v>
      </c>
      <c r="G96" s="20"/>
    </row>
    <row r="97" spans="1:10">
      <c r="A97" s="8">
        <v>8</v>
      </c>
      <c r="B97" s="73">
        <v>37392</v>
      </c>
      <c r="C97" s="12">
        <v>2002</v>
      </c>
      <c r="D97" s="15" t="s">
        <v>22</v>
      </c>
      <c r="E97" s="12">
        <v>5</v>
      </c>
      <c r="F97" s="13">
        <v>1.8410703540065909</v>
      </c>
      <c r="G97" s="20"/>
    </row>
    <row r="98" spans="1:10">
      <c r="A98" s="8">
        <v>15</v>
      </c>
      <c r="B98" s="73">
        <v>37392</v>
      </c>
      <c r="C98" s="12">
        <v>2002</v>
      </c>
      <c r="D98" s="15" t="s">
        <v>22</v>
      </c>
      <c r="E98" s="12">
        <v>5</v>
      </c>
      <c r="F98" s="13">
        <v>4.1235192731701682</v>
      </c>
      <c r="G98" s="20"/>
      <c r="I98" s="18">
        <f>AVERAGE(F96:F98)</f>
        <v>5.0022260339078501</v>
      </c>
      <c r="J98" s="18" t="e">
        <f>AVERAGE(G96:G98)</f>
        <v>#DIV/0!</v>
      </c>
    </row>
    <row r="99" spans="1:10">
      <c r="A99" s="8">
        <v>6</v>
      </c>
      <c r="B99" s="73">
        <v>37419</v>
      </c>
      <c r="C99" s="12">
        <v>2002</v>
      </c>
      <c r="D99" s="15" t="s">
        <v>23</v>
      </c>
      <c r="E99" s="12">
        <v>6</v>
      </c>
      <c r="F99" s="13">
        <v>5.8245031015438551</v>
      </c>
      <c r="G99" s="20"/>
    </row>
    <row r="100" spans="1:10">
      <c r="A100" s="8">
        <v>8</v>
      </c>
      <c r="B100" s="73">
        <v>37420</v>
      </c>
      <c r="C100" s="12">
        <v>2002</v>
      </c>
      <c r="D100" s="15" t="s">
        <v>23</v>
      </c>
      <c r="E100" s="12">
        <v>6</v>
      </c>
      <c r="F100" s="13">
        <v>3.0164005743077511</v>
      </c>
      <c r="G100" s="20"/>
    </row>
    <row r="101" spans="1:10">
      <c r="A101" s="8">
        <v>15</v>
      </c>
      <c r="B101" s="73">
        <v>37419</v>
      </c>
      <c r="C101" s="12">
        <v>2002</v>
      </c>
      <c r="D101" s="15" t="s">
        <v>23</v>
      </c>
      <c r="E101" s="12">
        <v>6</v>
      </c>
      <c r="F101" s="13">
        <v>7.0253142956519987</v>
      </c>
      <c r="G101" s="20"/>
      <c r="I101" s="18">
        <f>AVERAGE(F99:F101)</f>
        <v>5.2887393238345348</v>
      </c>
      <c r="J101" s="18" t="e">
        <f>AVERAGE(G99:G101)</f>
        <v>#DIV/0!</v>
      </c>
    </row>
    <row r="102" spans="1:10">
      <c r="A102" s="8">
        <v>6</v>
      </c>
      <c r="B102" s="73">
        <v>37454</v>
      </c>
      <c r="C102" s="12">
        <v>2002</v>
      </c>
      <c r="D102" s="15" t="s">
        <v>24</v>
      </c>
      <c r="E102" s="12">
        <v>7</v>
      </c>
      <c r="F102" s="13">
        <v>7.4154465513396506</v>
      </c>
      <c r="G102" s="20"/>
    </row>
    <row r="103" spans="1:10">
      <c r="A103" s="8">
        <v>8</v>
      </c>
      <c r="B103" s="73">
        <v>37453</v>
      </c>
      <c r="C103" s="12">
        <v>2002</v>
      </c>
      <c r="D103" s="15" t="s">
        <v>24</v>
      </c>
      <c r="E103" s="12">
        <v>7</v>
      </c>
      <c r="F103" s="13">
        <v>4.2360423075201492</v>
      </c>
      <c r="G103" s="20"/>
    </row>
    <row r="104" spans="1:10">
      <c r="A104" s="8">
        <v>15</v>
      </c>
      <c r="B104" s="73">
        <v>37454</v>
      </c>
      <c r="C104" s="12">
        <v>2002</v>
      </c>
      <c r="D104" s="15" t="s">
        <v>24</v>
      </c>
      <c r="E104" s="12">
        <v>7</v>
      </c>
      <c r="F104" s="13">
        <v>4.989614026242152</v>
      </c>
      <c r="G104" s="20"/>
      <c r="I104" s="18">
        <f>AVERAGE(F102:F104)</f>
        <v>5.5470342950339839</v>
      </c>
      <c r="J104" s="18" t="e">
        <f>AVERAGE(G102:G104)</f>
        <v>#DIV/0!</v>
      </c>
    </row>
    <row r="105" spans="1:10">
      <c r="A105" s="8">
        <v>6</v>
      </c>
      <c r="B105" s="73">
        <v>37482</v>
      </c>
      <c r="C105" s="12">
        <v>2002</v>
      </c>
      <c r="D105" s="15" t="s">
        <v>25</v>
      </c>
      <c r="E105" s="12">
        <v>8</v>
      </c>
      <c r="F105" s="13">
        <v>10.708924147704391</v>
      </c>
      <c r="G105" s="20"/>
    </row>
    <row r="106" spans="1:10">
      <c r="A106" s="8">
        <v>8</v>
      </c>
      <c r="B106" s="73">
        <v>37481</v>
      </c>
      <c r="C106" s="12">
        <v>2002</v>
      </c>
      <c r="D106" s="15" t="s">
        <v>25</v>
      </c>
      <c r="E106" s="12">
        <v>8</v>
      </c>
      <c r="F106" s="13">
        <v>2.3487286694991387</v>
      </c>
      <c r="G106" s="20"/>
    </row>
    <row r="107" spans="1:10">
      <c r="A107" s="8">
        <v>15</v>
      </c>
      <c r="B107" s="73">
        <v>37482</v>
      </c>
      <c r="C107" s="12">
        <v>2002</v>
      </c>
      <c r="D107" s="15" t="s">
        <v>25</v>
      </c>
      <c r="E107" s="12">
        <v>8</v>
      </c>
      <c r="F107" s="13">
        <v>5.7195566962697306</v>
      </c>
      <c r="G107" s="20"/>
      <c r="I107" s="18">
        <f>AVERAGE(F105:F107)</f>
        <v>6.2590698378244198</v>
      </c>
      <c r="J107" s="18" t="e">
        <f>AVERAGE(G105:G107)</f>
        <v>#DIV/0!</v>
      </c>
    </row>
    <row r="108" spans="1:10">
      <c r="A108" s="8">
        <v>6</v>
      </c>
      <c r="B108" s="73">
        <v>37517</v>
      </c>
      <c r="C108" s="12">
        <v>2002</v>
      </c>
      <c r="D108" s="15" t="s">
        <v>26</v>
      </c>
      <c r="E108" s="12">
        <v>9</v>
      </c>
      <c r="F108" s="13">
        <v>5.2143008682160099</v>
      </c>
      <c r="G108" s="20"/>
    </row>
    <row r="109" spans="1:10">
      <c r="A109" s="8">
        <v>8</v>
      </c>
      <c r="B109" s="73">
        <v>37518</v>
      </c>
      <c r="C109" s="12">
        <v>2002</v>
      </c>
      <c r="D109" s="15" t="s">
        <v>26</v>
      </c>
      <c r="E109" s="12">
        <v>9</v>
      </c>
      <c r="F109" s="13">
        <v>3.011770944896718</v>
      </c>
      <c r="G109" s="20"/>
    </row>
    <row r="110" spans="1:10">
      <c r="A110" s="8">
        <v>15</v>
      </c>
      <c r="B110" s="73">
        <v>37517</v>
      </c>
      <c r="C110" s="12">
        <v>2002</v>
      </c>
      <c r="D110" s="15" t="s">
        <v>26</v>
      </c>
      <c r="E110" s="12">
        <v>9</v>
      </c>
      <c r="F110" s="13">
        <v>5.9564108169403305</v>
      </c>
      <c r="G110" s="20"/>
      <c r="I110" s="18">
        <f>AVERAGE(F108:F110)</f>
        <v>4.727494210017686</v>
      </c>
      <c r="J110" s="18" t="e">
        <f>AVERAGE(G108:G110)</f>
        <v>#DIV/0!</v>
      </c>
    </row>
    <row r="111" spans="1:10">
      <c r="A111" s="8">
        <v>6</v>
      </c>
      <c r="B111" s="73">
        <v>37544</v>
      </c>
      <c r="C111" s="12">
        <v>2002</v>
      </c>
      <c r="D111" s="15" t="s">
        <v>14</v>
      </c>
      <c r="E111" s="12">
        <v>10</v>
      </c>
      <c r="F111" s="14">
        <v>3.4876385864598265</v>
      </c>
      <c r="G111" s="14">
        <v>4.2561841620149324E-2</v>
      </c>
    </row>
    <row r="112" spans="1:10">
      <c r="A112" s="8">
        <v>8</v>
      </c>
      <c r="B112" s="73">
        <v>37546</v>
      </c>
      <c r="C112" s="12">
        <v>2002</v>
      </c>
      <c r="D112" s="15" t="s">
        <v>14</v>
      </c>
      <c r="E112" s="12">
        <v>10</v>
      </c>
      <c r="F112" s="14">
        <v>4.8207283497322235</v>
      </c>
      <c r="G112" s="14">
        <v>6.5488022810806346E-2</v>
      </c>
    </row>
    <row r="113" spans="1:27">
      <c r="A113" s="8">
        <v>15</v>
      </c>
      <c r="B113" s="73">
        <v>37546</v>
      </c>
      <c r="C113" s="12">
        <v>2002</v>
      </c>
      <c r="D113" s="15" t="s">
        <v>14</v>
      </c>
      <c r="E113" s="12">
        <v>10</v>
      </c>
      <c r="F113" s="14">
        <v>6.0661447194553739</v>
      </c>
      <c r="G113" s="14">
        <v>0.67447140151391494</v>
      </c>
      <c r="I113" s="18">
        <f>AVERAGE(F111:F113)</f>
        <v>4.7915038852158078</v>
      </c>
      <c r="J113" s="18">
        <f>AVERAGE(G111:G113)</f>
        <v>0.26084042198162355</v>
      </c>
      <c r="L113">
        <f>+J113/I113</f>
        <v>5.4438111338372709E-2</v>
      </c>
      <c r="M113">
        <f>+(L113-$L$927)/$L$928</f>
        <v>0.52599355373631063</v>
      </c>
      <c r="N113">
        <f>+N95+M113</f>
        <v>-4.6958273330785945</v>
      </c>
      <c r="Z113">
        <f>+(I113-$F$927)/$F$928</f>
        <v>0.14414629349797295</v>
      </c>
      <c r="AA113">
        <f>+AA95+Z113</f>
        <v>-8.8122252154799714</v>
      </c>
    </row>
    <row r="114" spans="1:27">
      <c r="A114" s="8">
        <v>6</v>
      </c>
      <c r="B114" s="73">
        <v>37575</v>
      </c>
      <c r="C114" s="12">
        <v>2002</v>
      </c>
      <c r="D114" s="15" t="s">
        <v>16</v>
      </c>
      <c r="E114" s="12">
        <v>11</v>
      </c>
      <c r="F114" s="14">
        <v>2.4170835161500972</v>
      </c>
      <c r="G114" s="14">
        <v>1.2713746715556402E-2</v>
      </c>
    </row>
    <row r="115" spans="1:27">
      <c r="A115" s="8">
        <v>8</v>
      </c>
      <c r="B115" s="73">
        <v>37574</v>
      </c>
      <c r="C115" s="12">
        <v>2002</v>
      </c>
      <c r="D115" s="15" t="s">
        <v>16</v>
      </c>
      <c r="E115" s="12">
        <v>11</v>
      </c>
      <c r="F115" s="14">
        <v>1.7779877071740167</v>
      </c>
      <c r="G115" s="14">
        <v>6.1802847686377414E-3</v>
      </c>
    </row>
    <row r="116" spans="1:27">
      <c r="A116" s="8">
        <v>15</v>
      </c>
      <c r="B116" s="73">
        <v>37574</v>
      </c>
      <c r="C116" s="12">
        <v>2002</v>
      </c>
      <c r="D116" s="15" t="s">
        <v>16</v>
      </c>
      <c r="E116" s="12">
        <v>11</v>
      </c>
      <c r="F116" s="14">
        <v>3.5337504144745715</v>
      </c>
      <c r="G116" s="14">
        <v>2.96247096336721E-2</v>
      </c>
      <c r="I116" s="18">
        <f>AVERAGE(F114:F116)</f>
        <v>2.5762738792662283</v>
      </c>
      <c r="J116" s="18">
        <f>AVERAGE(G114:G116)</f>
        <v>1.6172913705955413E-2</v>
      </c>
      <c r="L116">
        <f>+J116/I116</f>
        <v>6.2776375742169795E-3</v>
      </c>
      <c r="M116">
        <f>+(L116-$L$927)/$L$928</f>
        <v>-0.64130488487142756</v>
      </c>
      <c r="N116">
        <f>+N113+M116</f>
        <v>-5.337132217950022</v>
      </c>
      <c r="Z116">
        <f>+(I116-$F$927)/$F$928</f>
        <v>-0.46314625298361473</v>
      </c>
      <c r="AA116">
        <f>+AA113+Z116</f>
        <v>-9.275371468463586</v>
      </c>
    </row>
    <row r="117" spans="1:27">
      <c r="A117" s="8">
        <v>6</v>
      </c>
      <c r="B117" s="73">
        <v>37609</v>
      </c>
      <c r="C117" s="12">
        <v>2002</v>
      </c>
      <c r="D117" s="15" t="s">
        <v>17</v>
      </c>
      <c r="E117" s="12">
        <v>12</v>
      </c>
      <c r="F117" s="14">
        <v>4.7745902695010765</v>
      </c>
      <c r="G117" s="14">
        <v>1.6358295915753315E-2</v>
      </c>
    </row>
    <row r="118" spans="1:27">
      <c r="A118" s="8">
        <v>8</v>
      </c>
      <c r="B118" s="73">
        <v>37608</v>
      </c>
      <c r="C118" s="12">
        <v>2002</v>
      </c>
      <c r="D118" s="15" t="s">
        <v>17</v>
      </c>
      <c r="E118" s="12">
        <v>12</v>
      </c>
      <c r="F118" s="14">
        <v>2.646531702604749</v>
      </c>
      <c r="G118" s="14">
        <v>1.4026161164302744E-2</v>
      </c>
    </row>
    <row r="119" spans="1:27">
      <c r="A119" s="8">
        <v>15</v>
      </c>
      <c r="B119" s="73">
        <v>37608</v>
      </c>
      <c r="C119" s="12">
        <v>2002</v>
      </c>
      <c r="D119" s="15" t="s">
        <v>17</v>
      </c>
      <c r="E119" s="12">
        <v>12</v>
      </c>
      <c r="F119" s="14">
        <v>4.5121651879294271</v>
      </c>
      <c r="G119" s="14">
        <v>3.2580444995829766E-2</v>
      </c>
      <c r="I119" s="18">
        <f>AVERAGE(F117:F119)</f>
        <v>3.9777623866784175</v>
      </c>
      <c r="J119" s="18">
        <f>AVERAGE(G117:G119)</f>
        <v>2.0988300691961944E-2</v>
      </c>
      <c r="L119">
        <f>+J119/I119</f>
        <v>5.276408857968002E-3</v>
      </c>
      <c r="M119">
        <f>+(L119-$L$927)/$L$928</f>
        <v>-0.66557235206641407</v>
      </c>
      <c r="N119">
        <f>+N116+M119</f>
        <v>-6.0027045700164363</v>
      </c>
      <c r="Z119">
        <f>+(I119-$F$927)/$F$928</f>
        <v>-7.8936251202698121E-2</v>
      </c>
      <c r="AA119">
        <f>+AA116+Z119</f>
        <v>-9.3543077196662843</v>
      </c>
    </row>
    <row r="120" spans="1:27">
      <c r="A120" s="8">
        <v>6</v>
      </c>
      <c r="B120" s="73">
        <v>37635</v>
      </c>
      <c r="C120" s="12">
        <v>2003</v>
      </c>
      <c r="D120" s="15" t="s">
        <v>18</v>
      </c>
      <c r="E120" s="12">
        <v>1</v>
      </c>
      <c r="F120" s="14">
        <v>5.1538707761866194</v>
      </c>
      <c r="G120" s="14">
        <v>4.8542039681697874E-2</v>
      </c>
    </row>
    <row r="121" spans="1:27">
      <c r="A121" s="8">
        <v>8</v>
      </c>
      <c r="B121" s="73">
        <v>37636</v>
      </c>
      <c r="C121" s="12">
        <v>2003</v>
      </c>
      <c r="D121" s="15" t="s">
        <v>18</v>
      </c>
      <c r="E121" s="12">
        <v>1</v>
      </c>
      <c r="F121" s="14">
        <v>2.1530136083186076</v>
      </c>
      <c r="G121" s="14">
        <v>4.3893133997819467E-2</v>
      </c>
    </row>
    <row r="122" spans="1:27">
      <c r="A122" s="8">
        <v>15</v>
      </c>
      <c r="B122" s="73">
        <v>37636</v>
      </c>
      <c r="C122" s="12">
        <v>2003</v>
      </c>
      <c r="D122" s="15" t="s">
        <v>18</v>
      </c>
      <c r="E122" s="12">
        <v>1</v>
      </c>
      <c r="F122" s="14">
        <v>4.7636943444502151</v>
      </c>
      <c r="G122" s="14">
        <v>6.1032527918125482E-2</v>
      </c>
      <c r="I122" s="18">
        <f>AVERAGE(F120:F122)</f>
        <v>4.0235262429851479</v>
      </c>
      <c r="J122" s="18">
        <f>AVERAGE(G120:G122)</f>
        <v>5.1155900532547614E-2</v>
      </c>
      <c r="L122">
        <f>+J122/I122</f>
        <v>1.2714195818092603E-2</v>
      </c>
      <c r="M122">
        <f>+(L122-$L$927)/$L$928</f>
        <v>-0.48529760751620038</v>
      </c>
      <c r="N122">
        <f>+N119+M122</f>
        <v>-6.4880021775326364</v>
      </c>
      <c r="Z122">
        <f>+(I122-$F$927)/$F$928</f>
        <v>-6.6390353594463769E-2</v>
      </c>
      <c r="AA122">
        <f>+AA119+Z122</f>
        <v>-9.4206980732607484</v>
      </c>
    </row>
    <row r="123" spans="1:27">
      <c r="A123" s="8">
        <v>6</v>
      </c>
      <c r="B123" s="73">
        <v>37665</v>
      </c>
      <c r="C123" s="12">
        <v>2003</v>
      </c>
      <c r="D123" s="11" t="s">
        <v>19</v>
      </c>
      <c r="E123" s="12">
        <v>2</v>
      </c>
      <c r="F123" s="14">
        <v>3.6944615935683589</v>
      </c>
      <c r="G123" s="14">
        <v>3.6183429835177874E-2</v>
      </c>
    </row>
    <row r="124" spans="1:27">
      <c r="A124" s="8">
        <v>8</v>
      </c>
      <c r="B124" s="73">
        <v>37663</v>
      </c>
      <c r="C124" s="12">
        <v>2003</v>
      </c>
      <c r="D124" s="11" t="s">
        <v>19</v>
      </c>
      <c r="E124" s="12">
        <v>2</v>
      </c>
      <c r="F124" s="14">
        <v>3.3425827597701399</v>
      </c>
      <c r="G124" s="14">
        <v>2.8661083581785572E-2</v>
      </c>
    </row>
    <row r="125" spans="1:27">
      <c r="A125" s="8">
        <v>15</v>
      </c>
      <c r="B125" s="73">
        <v>37663</v>
      </c>
      <c r="C125" s="12">
        <v>2003</v>
      </c>
      <c r="D125" s="11" t="s">
        <v>19</v>
      </c>
      <c r="E125" s="12">
        <v>2</v>
      </c>
      <c r="F125" s="14">
        <v>2.7941432541620128</v>
      </c>
      <c r="G125" s="14">
        <v>3.9898648431643827E-2</v>
      </c>
      <c r="I125" s="18">
        <f>AVERAGE(F123:F125)</f>
        <v>3.2770625358335042</v>
      </c>
      <c r="J125" s="18">
        <f>AVERAGE(G123:G125)</f>
        <v>3.4914387282869087E-2</v>
      </c>
      <c r="L125">
        <f>+J125/I125</f>
        <v>1.0654171808164409E-2</v>
      </c>
      <c r="M125">
        <f>+(L125-$L$927)/$L$928</f>
        <v>-0.53522782253151335</v>
      </c>
      <c r="N125">
        <f>+N122+M125</f>
        <v>-7.0232300000641494</v>
      </c>
      <c r="Z125">
        <f>+(I125-$F$927)/$F$928</f>
        <v>-0.27102907930452258</v>
      </c>
      <c r="AA125">
        <f>+AA122+Z125</f>
        <v>-9.6917271525652708</v>
      </c>
    </row>
    <row r="126" spans="1:27">
      <c r="A126" s="8">
        <v>6</v>
      </c>
      <c r="B126" s="73">
        <v>37692</v>
      </c>
      <c r="C126" s="12">
        <v>2003</v>
      </c>
      <c r="D126" s="11" t="s">
        <v>20</v>
      </c>
      <c r="E126" s="12">
        <v>3</v>
      </c>
      <c r="F126" s="14">
        <v>3.3938838345986131</v>
      </c>
      <c r="G126" s="14">
        <v>4.5305957620170256E-2</v>
      </c>
    </row>
    <row r="127" spans="1:27">
      <c r="A127" s="8">
        <v>8</v>
      </c>
      <c r="B127" s="73">
        <v>37691</v>
      </c>
      <c r="C127" s="12">
        <v>2003</v>
      </c>
      <c r="D127" s="11" t="s">
        <v>20</v>
      </c>
      <c r="E127" s="12">
        <v>3</v>
      </c>
      <c r="F127" s="14">
        <v>3.998385502802964</v>
      </c>
      <c r="G127" s="14">
        <v>3.7979964325939905E-2</v>
      </c>
    </row>
    <row r="128" spans="1:27">
      <c r="A128" s="8">
        <v>15</v>
      </c>
      <c r="B128" s="73">
        <v>37692</v>
      </c>
      <c r="C128" s="12">
        <v>2003</v>
      </c>
      <c r="D128" s="11" t="s">
        <v>20</v>
      </c>
      <c r="E128" s="12">
        <v>3</v>
      </c>
      <c r="F128" s="14">
        <v>3.2421167864607598</v>
      </c>
      <c r="G128" s="14">
        <v>4.8979947772029526E-2</v>
      </c>
      <c r="I128" s="18">
        <f>AVERAGE(F126:F128)</f>
        <v>3.5447953746207794</v>
      </c>
      <c r="J128" s="18">
        <f>AVERAGE(G126:G128)</f>
        <v>4.4088623239379898E-2</v>
      </c>
      <c r="L128">
        <f>+J128/I128</f>
        <v>1.243756510038227E-2</v>
      </c>
      <c r="M128">
        <f>+(L128-$L$927)/$L$928</f>
        <v>-0.49200249597796097</v>
      </c>
      <c r="N128">
        <f>+N125+M128</f>
        <v>-7.5152324960421106</v>
      </c>
      <c r="Z128">
        <f>+(I128-$F$927)/$F$928</f>
        <v>-0.19763166368303628</v>
      </c>
      <c r="AA128">
        <f>+AA125+Z128</f>
        <v>-9.8893588162483077</v>
      </c>
    </row>
    <row r="129" spans="1:27">
      <c r="A129" s="8">
        <v>6</v>
      </c>
      <c r="B129" s="73">
        <v>37726</v>
      </c>
      <c r="C129" s="12">
        <v>2003</v>
      </c>
      <c r="D129" s="11" t="s">
        <v>21</v>
      </c>
      <c r="E129" s="12">
        <v>4</v>
      </c>
      <c r="F129" s="14">
        <v>3.1432069936804568</v>
      </c>
      <c r="G129" s="14">
        <v>2.8337486076726016E-2</v>
      </c>
    </row>
    <row r="130" spans="1:27">
      <c r="A130" s="8">
        <v>8</v>
      </c>
      <c r="B130" s="73">
        <v>37727</v>
      </c>
      <c r="C130" s="12">
        <v>2003</v>
      </c>
      <c r="D130" s="11" t="s">
        <v>21</v>
      </c>
      <c r="E130" s="12">
        <v>4</v>
      </c>
      <c r="F130" s="14">
        <v>9.9080791706866496</v>
      </c>
      <c r="G130" s="14">
        <v>4.022290979004646E-2</v>
      </c>
    </row>
    <row r="131" spans="1:27">
      <c r="A131" s="8">
        <v>15</v>
      </c>
      <c r="B131" s="73">
        <v>37726</v>
      </c>
      <c r="C131" s="12">
        <v>2003</v>
      </c>
      <c r="D131" s="11" t="s">
        <v>21</v>
      </c>
      <c r="E131" s="12">
        <v>4</v>
      </c>
      <c r="F131" s="14">
        <v>4.1651057618615326</v>
      </c>
      <c r="G131" s="14">
        <v>3.6570877935328608E-2</v>
      </c>
      <c r="I131" s="18">
        <f>AVERAGE(F129:F131)</f>
        <v>5.7387973087428792</v>
      </c>
      <c r="J131" s="18">
        <f>AVERAGE(G129:G131)</f>
        <v>3.5043757934033699E-2</v>
      </c>
      <c r="L131">
        <f>+J131/I131</f>
        <v>6.1064637847804146E-3</v>
      </c>
      <c r="M131">
        <f>+(L131-$L$927)/$L$928</f>
        <v>-0.64545374142376044</v>
      </c>
      <c r="N131">
        <f>+N128+M131</f>
        <v>-8.1606862374658711</v>
      </c>
      <c r="Z131">
        <f>+(I131-$F$927)/$F$928</f>
        <v>0.40384132918001953</v>
      </c>
      <c r="AA131">
        <f>+AA128+Z131</f>
        <v>-9.4855174870682877</v>
      </c>
    </row>
    <row r="132" spans="1:27">
      <c r="A132" s="8">
        <v>6</v>
      </c>
      <c r="B132" s="73">
        <v>37761</v>
      </c>
      <c r="C132" s="12">
        <v>2003</v>
      </c>
      <c r="D132" s="11" t="s">
        <v>22</v>
      </c>
      <c r="E132" s="12">
        <v>5</v>
      </c>
      <c r="F132" s="14">
        <v>5.4586740063889092</v>
      </c>
      <c r="G132" s="14">
        <v>7.8927769310777857E-2</v>
      </c>
    </row>
    <row r="133" spans="1:27">
      <c r="A133" s="8">
        <v>8</v>
      </c>
      <c r="B133" s="73">
        <v>37756</v>
      </c>
      <c r="C133" s="12">
        <v>2003</v>
      </c>
      <c r="D133" s="11" t="s">
        <v>22</v>
      </c>
      <c r="E133" s="12">
        <v>5</v>
      </c>
      <c r="F133" s="14">
        <v>3.0452778185032008</v>
      </c>
      <c r="G133" s="14">
        <v>2.3009101580477614E-2</v>
      </c>
    </row>
    <row r="134" spans="1:27">
      <c r="A134" s="8">
        <v>15</v>
      </c>
      <c r="B134" s="73">
        <v>37761</v>
      </c>
      <c r="C134" s="12">
        <v>2003</v>
      </c>
      <c r="D134" s="11" t="s">
        <v>22</v>
      </c>
      <c r="E134" s="12">
        <v>5</v>
      </c>
      <c r="F134" s="14">
        <v>9.4575942407553839</v>
      </c>
      <c r="G134" s="14">
        <v>0.27278909410962393</v>
      </c>
      <c r="I134" s="18">
        <f>AVERAGE(F132:F134)</f>
        <v>5.9871820218824974</v>
      </c>
      <c r="J134" s="18">
        <f>AVERAGE(G132:G134)</f>
        <v>0.12490865500029313</v>
      </c>
      <c r="L134">
        <f>+J134/I134</f>
        <v>2.0862678726613893E-2</v>
      </c>
      <c r="M134">
        <f>+(L134-$L$927)/$L$928</f>
        <v>-0.28779723775825172</v>
      </c>
      <c r="N134">
        <f>+N131+M134</f>
        <v>-8.4484834752241227</v>
      </c>
      <c r="Z134">
        <f>+(I134-$F$927)/$F$928</f>
        <v>0.47193456759974628</v>
      </c>
      <c r="AA134">
        <f>+AA131+Z134</f>
        <v>-9.0135829194685417</v>
      </c>
    </row>
    <row r="135" spans="1:27">
      <c r="A135" s="8">
        <v>6</v>
      </c>
      <c r="B135" s="73">
        <v>37792</v>
      </c>
      <c r="C135" s="12">
        <v>2003</v>
      </c>
      <c r="D135" s="11" t="s">
        <v>23</v>
      </c>
      <c r="E135" s="12">
        <v>6</v>
      </c>
      <c r="F135" s="14">
        <v>15.832712659534909</v>
      </c>
      <c r="G135" s="14">
        <v>0.28148091836680644</v>
      </c>
    </row>
    <row r="136" spans="1:27">
      <c r="A136" s="8">
        <v>8</v>
      </c>
      <c r="B136" s="73">
        <v>37790</v>
      </c>
      <c r="C136" s="12">
        <v>2003</v>
      </c>
      <c r="D136" s="11" t="s">
        <v>23</v>
      </c>
      <c r="E136" s="12">
        <v>6</v>
      </c>
      <c r="F136" s="14">
        <v>15.114857572639529</v>
      </c>
      <c r="G136" s="14">
        <v>0.24028128321068007</v>
      </c>
    </row>
    <row r="137" spans="1:27">
      <c r="A137" s="8">
        <v>15</v>
      </c>
      <c r="B137" s="73">
        <v>37790</v>
      </c>
      <c r="C137" s="12">
        <v>2003</v>
      </c>
      <c r="D137" s="11" t="s">
        <v>23</v>
      </c>
      <c r="E137" s="12">
        <v>6</v>
      </c>
      <c r="F137" s="14">
        <v>11.282353868849933</v>
      </c>
      <c r="G137" s="14">
        <v>0.47741950510494841</v>
      </c>
      <c r="I137" s="18">
        <f>AVERAGE(F135:F137)</f>
        <v>14.076641367008124</v>
      </c>
      <c r="J137" s="18">
        <f>AVERAGE(G135:G137)</f>
        <v>0.33306056889414498</v>
      </c>
      <c r="L137">
        <f>+J137/I137</f>
        <v>2.3660513911702669E-2</v>
      </c>
      <c r="M137">
        <f>+(L137-$L$927)/$L$928</f>
        <v>-0.21998418718426363</v>
      </c>
      <c r="N137">
        <f>+N134+M137</f>
        <v>-8.6684676624083856</v>
      </c>
      <c r="Z137">
        <f>+(I137-$F$927)/$F$928</f>
        <v>2.6896132520552491</v>
      </c>
      <c r="AA137">
        <f>+AA134+Z137</f>
        <v>-6.3239696674132926</v>
      </c>
    </row>
    <row r="138" spans="1:27">
      <c r="A138" s="8">
        <v>6</v>
      </c>
      <c r="B138" s="73">
        <v>37819</v>
      </c>
      <c r="C138" s="12">
        <v>2003</v>
      </c>
      <c r="D138" s="15" t="s">
        <v>24</v>
      </c>
      <c r="E138" s="12">
        <v>7</v>
      </c>
      <c r="F138" s="14">
        <v>15.953109210142616</v>
      </c>
      <c r="G138" s="14">
        <v>1.9258609510432749</v>
      </c>
    </row>
    <row r="139" spans="1:27">
      <c r="A139" s="8">
        <v>8</v>
      </c>
      <c r="B139" s="73">
        <v>37818</v>
      </c>
      <c r="C139" s="12">
        <v>2003</v>
      </c>
      <c r="D139" s="15" t="s">
        <v>24</v>
      </c>
      <c r="E139" s="12">
        <v>7</v>
      </c>
      <c r="F139" s="14">
        <v>7.9433931678976784</v>
      </c>
      <c r="G139" s="14">
        <v>0.53823029027130842</v>
      </c>
    </row>
    <row r="140" spans="1:27">
      <c r="A140" s="8">
        <v>15</v>
      </c>
      <c r="B140" s="73">
        <v>37819</v>
      </c>
      <c r="C140" s="12">
        <v>2003</v>
      </c>
      <c r="D140" s="15" t="s">
        <v>24</v>
      </c>
      <c r="E140" s="12">
        <v>7</v>
      </c>
      <c r="F140" s="14">
        <v>12.777910973708968</v>
      </c>
      <c r="G140" s="14">
        <v>1.7717492559686869</v>
      </c>
      <c r="I140" s="18">
        <f>AVERAGE(F138:F140)</f>
        <v>12.224804450583088</v>
      </c>
      <c r="J140" s="18">
        <f>AVERAGE(G138:G140)</f>
        <v>1.4119468324277566</v>
      </c>
      <c r="L140">
        <f>+J140/I140</f>
        <v>0.11549852090766252</v>
      </c>
      <c r="M140">
        <f>+(L140-$L$927)/$L$928</f>
        <v>2.0059565852467935</v>
      </c>
      <c r="N140">
        <f>+N137+M140</f>
        <v>-6.6625110771615921</v>
      </c>
      <c r="Z140">
        <f>+(I140-$F$927)/$F$928</f>
        <v>2.1819428279349791</v>
      </c>
      <c r="AA140">
        <f>+AA137+Z140</f>
        <v>-4.142026839478314</v>
      </c>
    </row>
    <row r="141" spans="1:27">
      <c r="A141" s="8">
        <v>6</v>
      </c>
      <c r="B141" s="73">
        <v>37847</v>
      </c>
      <c r="C141" s="12">
        <v>2003</v>
      </c>
      <c r="D141" s="15" t="s">
        <v>25</v>
      </c>
      <c r="E141" s="12">
        <v>8</v>
      </c>
      <c r="F141" s="14">
        <v>14.195668450441072</v>
      </c>
      <c r="G141" s="14">
        <v>2.2244142603157493</v>
      </c>
    </row>
    <row r="142" spans="1:27">
      <c r="A142" s="8">
        <v>8</v>
      </c>
      <c r="B142" s="73">
        <v>37846</v>
      </c>
      <c r="C142" s="12">
        <v>2003</v>
      </c>
      <c r="D142" s="15" t="s">
        <v>25</v>
      </c>
      <c r="E142" s="12">
        <v>8</v>
      </c>
      <c r="F142" s="14">
        <v>4.7116439297159216</v>
      </c>
      <c r="G142" s="14">
        <v>3.766203457047123E-2</v>
      </c>
    </row>
    <row r="143" spans="1:27">
      <c r="A143" s="8">
        <v>15</v>
      </c>
      <c r="B143" s="73">
        <v>37847</v>
      </c>
      <c r="C143" s="12">
        <v>2003</v>
      </c>
      <c r="D143" s="15" t="s">
        <v>25</v>
      </c>
      <c r="E143" s="12">
        <v>8</v>
      </c>
      <c r="F143" s="14">
        <v>5.9788124531664577</v>
      </c>
      <c r="G143" s="14">
        <v>1.4398977099188743</v>
      </c>
      <c r="I143" s="18">
        <f>AVERAGE(F141:F143)</f>
        <v>8.2953749444411518</v>
      </c>
      <c r="J143" s="18">
        <f>AVERAGE(G141:G143)</f>
        <v>1.2339913349350315</v>
      </c>
      <c r="L143">
        <f>+J143/I143</f>
        <v>0.14875654725672727</v>
      </c>
      <c r="M143">
        <f>+(L143-$L$927)/$L$928</f>
        <v>2.8120541834255781</v>
      </c>
      <c r="N143">
        <f>+N140+M143</f>
        <v>-3.850456893736014</v>
      </c>
      <c r="Z143">
        <f>+(I143-$F$927)/$F$928</f>
        <v>1.1047123622064741</v>
      </c>
      <c r="AA143">
        <f>+AA140+Z143</f>
        <v>-3.0373144772718401</v>
      </c>
    </row>
    <row r="144" spans="1:27">
      <c r="A144" s="8">
        <v>6</v>
      </c>
      <c r="B144" s="73">
        <v>37888</v>
      </c>
      <c r="C144" s="12">
        <v>2003</v>
      </c>
      <c r="D144" s="15" t="s">
        <v>26</v>
      </c>
      <c r="E144" s="12">
        <v>9</v>
      </c>
      <c r="F144" s="14">
        <v>10.450080753489985</v>
      </c>
      <c r="G144" s="14">
        <v>0.84642112584330642</v>
      </c>
    </row>
    <row r="145" spans="1:27">
      <c r="A145" s="8">
        <v>8</v>
      </c>
      <c r="B145" s="73">
        <v>37886</v>
      </c>
      <c r="C145" s="12">
        <v>2003</v>
      </c>
      <c r="D145" s="15" t="s">
        <v>26</v>
      </c>
      <c r="E145" s="12">
        <v>9</v>
      </c>
      <c r="F145" s="14">
        <v>15.420783565527255</v>
      </c>
      <c r="G145" s="14">
        <v>0.41090439620067959</v>
      </c>
    </row>
    <row r="146" spans="1:27">
      <c r="A146" s="8">
        <v>15</v>
      </c>
      <c r="B146" s="73">
        <v>37886</v>
      </c>
      <c r="C146" s="12">
        <v>2003</v>
      </c>
      <c r="D146" s="15" t="s">
        <v>26</v>
      </c>
      <c r="E146" s="12">
        <v>9</v>
      </c>
      <c r="F146" s="14">
        <v>11.004315055400102</v>
      </c>
      <c r="G146" s="14">
        <v>0.62572498486043049</v>
      </c>
      <c r="I146" s="18">
        <f>AVERAGE(F144:F146)</f>
        <v>12.291726458139115</v>
      </c>
      <c r="J146" s="18">
        <f>AVERAGE(G144:G146)</f>
        <v>0.62768350230147218</v>
      </c>
      <c r="L146">
        <f>+J146/I146</f>
        <v>5.1065528055730849E-2</v>
      </c>
      <c r="M146">
        <f>+(L146-$L$927)/$L$928</f>
        <v>0.44424993926978429</v>
      </c>
      <c r="N146">
        <f>+N143+M146</f>
        <v>-3.4062069544662297</v>
      </c>
      <c r="Z146">
        <f>+(I146-$F$927)/$F$928</f>
        <v>2.2002891108379763</v>
      </c>
      <c r="AA146">
        <f>+AA143+Z146</f>
        <v>-0.83702536643386383</v>
      </c>
    </row>
    <row r="147" spans="1:27">
      <c r="A147" s="8">
        <v>6</v>
      </c>
      <c r="B147" s="73">
        <v>37910</v>
      </c>
      <c r="C147" s="12">
        <v>2003</v>
      </c>
      <c r="D147" s="15" t="s">
        <v>14</v>
      </c>
      <c r="E147" s="12">
        <v>10</v>
      </c>
      <c r="F147" s="13">
        <v>6.7571000000000003</v>
      </c>
      <c r="G147" s="14">
        <v>4.0424420374513576E-2</v>
      </c>
    </row>
    <row r="148" spans="1:27">
      <c r="A148" s="8">
        <v>8</v>
      </c>
      <c r="B148" s="73">
        <v>37910</v>
      </c>
      <c r="C148" s="12">
        <v>2003</v>
      </c>
      <c r="D148" s="15" t="s">
        <v>14</v>
      </c>
      <c r="E148" s="12">
        <v>10</v>
      </c>
      <c r="F148" s="13">
        <v>5.6172000000000004</v>
      </c>
      <c r="G148" s="14">
        <v>3.9161642851071217E-2</v>
      </c>
    </row>
    <row r="149" spans="1:27">
      <c r="A149" s="8">
        <v>15</v>
      </c>
      <c r="B149" s="73">
        <v>37910</v>
      </c>
      <c r="C149" s="12">
        <v>2003</v>
      </c>
      <c r="D149" s="15" t="s">
        <v>14</v>
      </c>
      <c r="E149" s="12">
        <v>10</v>
      </c>
      <c r="F149" s="13">
        <v>6.9024999999999999</v>
      </c>
      <c r="G149" s="14">
        <v>0.1477211860782755</v>
      </c>
      <c r="I149" s="18">
        <f>AVERAGE(F147:F149)</f>
        <v>6.4256000000000002</v>
      </c>
      <c r="J149" s="18">
        <f>AVERAGE(G147:G149)</f>
        <v>7.5769083101286758E-2</v>
      </c>
      <c r="L149">
        <f>+J149/I149</f>
        <v>1.1791752225673363E-2</v>
      </c>
      <c r="M149">
        <f>+(L149-$L$927)/$L$928</f>
        <v>-0.50765550562176454</v>
      </c>
      <c r="N149">
        <f>+N146+M149</f>
        <v>-3.9138624600879943</v>
      </c>
      <c r="Z149">
        <f>+(I149-$F$927)/$F$928</f>
        <v>0.59212433102801731</v>
      </c>
      <c r="AA149">
        <f>+AA146+Z149</f>
        <v>-0.24490103540584651</v>
      </c>
    </row>
    <row r="150" spans="1:27">
      <c r="A150" s="8">
        <v>6</v>
      </c>
      <c r="B150" s="73">
        <v>37943</v>
      </c>
      <c r="C150" s="12">
        <v>2003</v>
      </c>
      <c r="D150" s="15" t="s">
        <v>16</v>
      </c>
      <c r="E150" s="12">
        <v>11</v>
      </c>
      <c r="F150" s="13">
        <v>2.3603999999999998</v>
      </c>
      <c r="G150" s="14">
        <v>3.0627846273024714E-2</v>
      </c>
    </row>
    <row r="151" spans="1:27">
      <c r="A151" s="8">
        <v>8</v>
      </c>
      <c r="B151" s="73">
        <v>37942</v>
      </c>
      <c r="C151" s="12">
        <v>2003</v>
      </c>
      <c r="D151" s="15" t="s">
        <v>16</v>
      </c>
      <c r="E151" s="12">
        <v>11</v>
      </c>
      <c r="F151" s="13">
        <v>2.4371</v>
      </c>
      <c r="G151" s="14">
        <v>1.8901305820154982E-2</v>
      </c>
    </row>
    <row r="152" spans="1:27">
      <c r="A152" s="8">
        <v>15</v>
      </c>
      <c r="B152" s="73">
        <v>37942</v>
      </c>
      <c r="C152" s="12">
        <v>2003</v>
      </c>
      <c r="D152" s="15" t="s">
        <v>16</v>
      </c>
      <c r="E152" s="12">
        <v>11</v>
      </c>
      <c r="F152" s="13">
        <v>2.0104000000000002</v>
      </c>
      <c r="G152" s="14">
        <v>2.1852511438740788E-2</v>
      </c>
      <c r="I152" s="18">
        <f>AVERAGE(F150:F152)</f>
        <v>2.2692999999999999</v>
      </c>
      <c r="J152" s="18">
        <f>AVERAGE(G150:G152)</f>
        <v>2.3793887843973491E-2</v>
      </c>
      <c r="L152">
        <f>+J152/I152</f>
        <v>1.0485122215649536E-2</v>
      </c>
      <c r="M152">
        <f>+(L152-$L$927)/$L$928</f>
        <v>-0.53932519346594865</v>
      </c>
      <c r="N152">
        <f>+N149+M152</f>
        <v>-4.4531876535539432</v>
      </c>
      <c r="Z152">
        <f>+(I152-$F$927)/$F$928</f>
        <v>-0.54730137382534749</v>
      </c>
      <c r="AA152">
        <f>+AA149+Z152</f>
        <v>-0.792202409231194</v>
      </c>
    </row>
    <row r="153" spans="1:27">
      <c r="A153" s="8">
        <v>6</v>
      </c>
      <c r="B153" s="73">
        <v>37973</v>
      </c>
      <c r="C153" s="12">
        <v>2003</v>
      </c>
      <c r="D153" s="15" t="s">
        <v>17</v>
      </c>
      <c r="E153" s="12">
        <v>12</v>
      </c>
      <c r="F153" s="13">
        <v>7.0891999999999999</v>
      </c>
      <c r="G153" s="14">
        <v>7.1477347693988821E-2</v>
      </c>
    </row>
    <row r="154" spans="1:27">
      <c r="A154" s="8">
        <v>8</v>
      </c>
      <c r="B154" s="73">
        <v>37971</v>
      </c>
      <c r="C154" s="12">
        <v>2003</v>
      </c>
      <c r="D154" s="15" t="s">
        <v>17</v>
      </c>
      <c r="E154" s="12">
        <v>12</v>
      </c>
      <c r="F154" s="13">
        <v>4.7662000000000004</v>
      </c>
      <c r="G154" s="14">
        <v>3.8001821290813725E-2</v>
      </c>
    </row>
    <row r="155" spans="1:27">
      <c r="A155" s="8">
        <v>15</v>
      </c>
      <c r="B155" s="73">
        <v>37971</v>
      </c>
      <c r="C155" s="12">
        <v>2003</v>
      </c>
      <c r="D155" s="15" t="s">
        <v>17</v>
      </c>
      <c r="E155" s="12">
        <v>12</v>
      </c>
      <c r="F155" s="13">
        <v>5.1734</v>
      </c>
      <c r="G155" s="14">
        <v>4.1034955939978357E-2</v>
      </c>
      <c r="I155" s="18">
        <f>AVERAGE(F153:F155)</f>
        <v>5.6762666666666668</v>
      </c>
      <c r="J155" s="18">
        <f>AVERAGE(G153:G155)</f>
        <v>5.0171374974926963E-2</v>
      </c>
      <c r="L155">
        <f>+J155/I155</f>
        <v>8.8387980905748429E-3</v>
      </c>
      <c r="M155">
        <f>+(L155-$L$927)/$L$928</f>
        <v>-0.57922828059197773</v>
      </c>
      <c r="N155">
        <f>+N152+M155</f>
        <v>-5.0324159341459209</v>
      </c>
      <c r="Z155">
        <f>+(I155-$F$927)/$F$928</f>
        <v>0.38669891382919747</v>
      </c>
      <c r="AA155">
        <f>+AA152+Z155</f>
        <v>-0.40550349540199654</v>
      </c>
    </row>
    <row r="156" spans="1:27">
      <c r="A156" s="8">
        <v>6</v>
      </c>
      <c r="B156" s="73">
        <v>37999</v>
      </c>
      <c r="C156" s="12">
        <v>2004</v>
      </c>
      <c r="D156" s="15" t="s">
        <v>18</v>
      </c>
      <c r="E156" s="12">
        <v>1</v>
      </c>
      <c r="F156" s="13">
        <v>4.9983000000000004</v>
      </c>
      <c r="G156" s="13">
        <v>2.8103955243482588E-2</v>
      </c>
    </row>
    <row r="157" spans="1:27">
      <c r="A157" s="8">
        <v>8</v>
      </c>
      <c r="C157" s="12">
        <v>2004</v>
      </c>
      <c r="D157" s="15" t="s">
        <v>18</v>
      </c>
      <c r="E157" s="12">
        <v>1</v>
      </c>
      <c r="F157" s="13"/>
    </row>
    <row r="158" spans="1:27">
      <c r="A158" s="8">
        <v>15</v>
      </c>
      <c r="C158" s="12">
        <v>2004</v>
      </c>
      <c r="D158" s="15" t="s">
        <v>18</v>
      </c>
      <c r="E158" s="12">
        <v>1</v>
      </c>
      <c r="F158" s="13"/>
      <c r="I158" s="18">
        <f>AVERAGE(F156:F158)</f>
        <v>4.9983000000000004</v>
      </c>
      <c r="J158" s="18">
        <f>AVERAGE(G156:G158)</f>
        <v>2.8103955243482588E-2</v>
      </c>
      <c r="L158">
        <f>+J158/I158</f>
        <v>5.6227027676375137E-3</v>
      </c>
      <c r="M158">
        <f>+(L158-$L$927)/$L$928</f>
        <v>-0.65717898903522565</v>
      </c>
      <c r="N158">
        <f>+N155+M158</f>
        <v>-5.6895949231811462</v>
      </c>
      <c r="Z158">
        <f>+(I158-$F$927)/$F$928</f>
        <v>0.20083825722747178</v>
      </c>
      <c r="AA158">
        <f>+AA155+Z158</f>
        <v>-0.20466523817452476</v>
      </c>
    </row>
    <row r="159" spans="1:27">
      <c r="A159" s="8">
        <v>6</v>
      </c>
      <c r="B159" s="73">
        <v>38027</v>
      </c>
      <c r="C159" s="12">
        <v>2004</v>
      </c>
      <c r="D159" s="11" t="s">
        <v>19</v>
      </c>
      <c r="E159" s="12">
        <v>2</v>
      </c>
      <c r="F159" s="13">
        <v>5.3985000000000003</v>
      </c>
      <c r="G159" s="13">
        <v>4.1080273567025788E-2</v>
      </c>
    </row>
    <row r="160" spans="1:27">
      <c r="A160" s="8">
        <v>8</v>
      </c>
      <c r="B160" s="73">
        <v>38026</v>
      </c>
      <c r="C160" s="12">
        <v>2004</v>
      </c>
      <c r="D160" s="11" t="s">
        <v>19</v>
      </c>
      <c r="E160" s="12">
        <v>2</v>
      </c>
      <c r="F160" s="13">
        <v>9.5776000000000003</v>
      </c>
      <c r="G160" s="13">
        <v>5.3840809296802711E-2</v>
      </c>
    </row>
    <row r="161" spans="1:27">
      <c r="A161" s="8">
        <v>15</v>
      </c>
      <c r="B161" s="73">
        <v>38026</v>
      </c>
      <c r="C161" s="12">
        <v>2004</v>
      </c>
      <c r="D161" s="11" t="s">
        <v>19</v>
      </c>
      <c r="E161" s="12">
        <v>2</v>
      </c>
      <c r="F161" s="13">
        <v>7.0206999999999997</v>
      </c>
      <c r="G161" s="13">
        <v>4.8034347387898114E-2</v>
      </c>
      <c r="I161" s="18">
        <f>AVERAGE(F159:F161)</f>
        <v>7.3322666666666665</v>
      </c>
      <c r="J161" s="18">
        <f>AVERAGE(G159:G161)</f>
        <v>4.7651810083908869E-2</v>
      </c>
      <c r="L161">
        <f>+J161/I161</f>
        <v>6.4989193997184412E-3</v>
      </c>
      <c r="M161">
        <f>+(L161-$L$927)/$L$928</f>
        <v>-0.63594152547706106</v>
      </c>
      <c r="N161">
        <f>+N158+M161</f>
        <v>-6.3255364486582071</v>
      </c>
      <c r="Z161">
        <f>+(I161-$F$927)/$F$928</f>
        <v>0.84068177532552146</v>
      </c>
      <c r="AA161">
        <f>+AA158+Z161</f>
        <v>0.63601653715099671</v>
      </c>
    </row>
    <row r="162" spans="1:27">
      <c r="A162" s="8">
        <v>6</v>
      </c>
      <c r="B162" s="73">
        <v>38063</v>
      </c>
      <c r="C162" s="12">
        <v>2004</v>
      </c>
      <c r="D162" s="11" t="s">
        <v>20</v>
      </c>
      <c r="E162" s="12">
        <v>3</v>
      </c>
      <c r="F162" s="13">
        <v>8.1742000000000008</v>
      </c>
      <c r="G162" s="13">
        <v>4.3755540987836211E-2</v>
      </c>
    </row>
    <row r="163" spans="1:27">
      <c r="A163" s="8">
        <v>8</v>
      </c>
      <c r="B163" s="73">
        <v>38061</v>
      </c>
      <c r="C163" s="12">
        <v>2004</v>
      </c>
      <c r="D163" s="11" t="s">
        <v>20</v>
      </c>
      <c r="E163" s="12">
        <v>3</v>
      </c>
      <c r="F163" s="13">
        <v>6.0446999999999997</v>
      </c>
      <c r="G163" s="13">
        <v>3.0852133818707148E-2</v>
      </c>
    </row>
    <row r="164" spans="1:27">
      <c r="A164" s="8">
        <v>15</v>
      </c>
      <c r="B164" s="73">
        <v>38063</v>
      </c>
      <c r="C164" s="12">
        <v>2004</v>
      </c>
      <c r="D164" s="11" t="s">
        <v>20</v>
      </c>
      <c r="E164" s="12">
        <v>3</v>
      </c>
      <c r="F164" s="13">
        <v>3.8525999999999998</v>
      </c>
      <c r="G164" s="13">
        <v>4.1912317736254485E-2</v>
      </c>
      <c r="I164" s="18">
        <f>AVERAGE(F162:F164)</f>
        <v>6.0238333333333332</v>
      </c>
      <c r="J164" s="18">
        <f>AVERAGE(G162:G164)</f>
        <v>3.883999751426595E-2</v>
      </c>
      <c r="L164">
        <f>+J164/I164</f>
        <v>6.4477211378578345E-3</v>
      </c>
      <c r="M164">
        <f>+(L164-$L$927)/$L$928</f>
        <v>-0.63718245286955266</v>
      </c>
      <c r="N164">
        <f>+N161+M164</f>
        <v>-6.9627189015277597</v>
      </c>
      <c r="Z164">
        <f>+(I164-$F$927)/$F$928</f>
        <v>0.48198231352368553</v>
      </c>
      <c r="AA164">
        <f>+AA161+Z164</f>
        <v>1.1179988506746823</v>
      </c>
    </row>
    <row r="165" spans="1:27">
      <c r="A165" s="8">
        <v>6</v>
      </c>
      <c r="B165" s="73">
        <v>38094</v>
      </c>
      <c r="C165" s="12">
        <v>2004</v>
      </c>
      <c r="D165" s="11" t="s">
        <v>21</v>
      </c>
      <c r="E165" s="12">
        <v>4</v>
      </c>
      <c r="F165" s="13">
        <v>4.3901000000000003</v>
      </c>
      <c r="G165" s="21">
        <v>5.3123293560136009E-2</v>
      </c>
    </row>
    <row r="166" spans="1:27">
      <c r="A166" s="8">
        <v>8</v>
      </c>
      <c r="B166" s="73">
        <v>38093</v>
      </c>
      <c r="C166" s="12">
        <v>2004</v>
      </c>
      <c r="D166" s="11" t="s">
        <v>21</v>
      </c>
      <c r="E166" s="12">
        <v>4</v>
      </c>
      <c r="F166" s="13">
        <v>1.3182</v>
      </c>
      <c r="G166" s="21">
        <v>5.7468091585649445E-2</v>
      </c>
    </row>
    <row r="167" spans="1:27">
      <c r="A167" s="8">
        <v>15</v>
      </c>
      <c r="B167" s="73">
        <v>38094</v>
      </c>
      <c r="C167" s="12">
        <v>2004</v>
      </c>
      <c r="D167" s="11" t="s">
        <v>21</v>
      </c>
      <c r="E167" s="12">
        <v>4</v>
      </c>
      <c r="F167" s="13">
        <v>3.8311000000000002</v>
      </c>
      <c r="G167" s="21">
        <v>4.5963847463636201E-2</v>
      </c>
      <c r="I167" s="18">
        <f>AVERAGE(F165:F167)</f>
        <v>3.1798000000000002</v>
      </c>
      <c r="J167" s="18">
        <f>AVERAGE(G165:G167)</f>
        <v>5.2185077536473889E-2</v>
      </c>
      <c r="L167">
        <f>+J167/I167</f>
        <v>1.6411433906684033E-2</v>
      </c>
      <c r="M167">
        <f>+(L167-$L$927)/$L$928</f>
        <v>-0.39568511181882776</v>
      </c>
      <c r="N167">
        <f>+N164+M167</f>
        <v>-7.3584040133465871</v>
      </c>
      <c r="Z167">
        <f>+(I167-$F$927)/$F$928</f>
        <v>-0.2976930432743794</v>
      </c>
      <c r="AA167">
        <f>+AA164+Z167</f>
        <v>0.8203058074003029</v>
      </c>
    </row>
    <row r="168" spans="1:27">
      <c r="A168" s="8">
        <v>6</v>
      </c>
      <c r="B168" s="73">
        <v>38118</v>
      </c>
      <c r="C168" s="12">
        <v>2004</v>
      </c>
      <c r="D168" s="11" t="s">
        <v>22</v>
      </c>
      <c r="E168" s="12">
        <v>5</v>
      </c>
      <c r="F168" s="13">
        <v>2.6059999999999999</v>
      </c>
      <c r="G168" s="21">
        <v>0.1896166146680629</v>
      </c>
    </row>
    <row r="169" spans="1:27">
      <c r="A169" s="8">
        <v>8</v>
      </c>
      <c r="B169" s="73">
        <v>38117</v>
      </c>
      <c r="C169" s="12">
        <v>2004</v>
      </c>
      <c r="D169" s="11" t="s">
        <v>22</v>
      </c>
      <c r="E169" s="12">
        <v>5</v>
      </c>
      <c r="F169" s="13">
        <v>2.4889000000000001</v>
      </c>
      <c r="G169" s="21">
        <v>3.8775222027608788E-2</v>
      </c>
    </row>
    <row r="170" spans="1:27">
      <c r="A170" s="8">
        <v>15</v>
      </c>
      <c r="B170" s="73">
        <v>38118</v>
      </c>
      <c r="C170" s="12">
        <v>2004</v>
      </c>
      <c r="D170" s="11" t="s">
        <v>22</v>
      </c>
      <c r="E170" s="12">
        <v>5</v>
      </c>
      <c r="F170" s="13">
        <v>2.1602999999999999</v>
      </c>
      <c r="G170" s="21">
        <v>0.13654257517253945</v>
      </c>
      <c r="I170" s="18">
        <f>AVERAGE(F168:F170)</f>
        <v>2.4184000000000001</v>
      </c>
      <c r="J170" s="18">
        <f>AVERAGE(G168:G170)</f>
        <v>0.1216448039560704</v>
      </c>
      <c r="L170">
        <f>+J170/I170</f>
        <v>5.0299703918322197E-2</v>
      </c>
      <c r="M170">
        <f>+(L170-$L$927)/$L$928</f>
        <v>0.42568813432943153</v>
      </c>
      <c r="N170">
        <f>+N167+M170</f>
        <v>-6.9327158790171559</v>
      </c>
      <c r="Z170">
        <f>+(I170-$F$927)/$F$928</f>
        <v>-0.5064264676362763</v>
      </c>
      <c r="AA170">
        <f>+AA167+Z170</f>
        <v>0.3138793397640266</v>
      </c>
    </row>
    <row r="171" spans="1:27">
      <c r="A171" s="8">
        <v>6</v>
      </c>
      <c r="B171" s="73">
        <v>38153</v>
      </c>
      <c r="C171" s="12">
        <v>2004</v>
      </c>
      <c r="D171" s="11" t="s">
        <v>23</v>
      </c>
      <c r="E171" s="12">
        <v>6</v>
      </c>
      <c r="F171" s="13">
        <v>13.8576</v>
      </c>
      <c r="G171" s="21">
        <v>0.77399943751929978</v>
      </c>
    </row>
    <row r="172" spans="1:27">
      <c r="A172" s="8">
        <v>8</v>
      </c>
      <c r="B172" s="73">
        <v>38160</v>
      </c>
      <c r="C172" s="12">
        <v>2004</v>
      </c>
      <c r="D172" s="11" t="s">
        <v>23</v>
      </c>
      <c r="E172" s="12">
        <v>6</v>
      </c>
      <c r="F172" s="13">
        <v>2.9472</v>
      </c>
      <c r="G172" s="21">
        <v>2.1540694739961057E-2</v>
      </c>
    </row>
    <row r="173" spans="1:27">
      <c r="A173" s="8">
        <v>15</v>
      </c>
      <c r="B173" s="73">
        <v>38155</v>
      </c>
      <c r="C173" s="12">
        <v>2004</v>
      </c>
      <c r="D173" s="11" t="s">
        <v>23</v>
      </c>
      <c r="E173" s="12">
        <v>6</v>
      </c>
      <c r="F173" s="13">
        <v>4.3376000000000001</v>
      </c>
      <c r="G173" s="21">
        <v>0.41455044398767116</v>
      </c>
      <c r="I173" s="18">
        <f>AVERAGE(F171:F173)</f>
        <v>7.0474666666666677</v>
      </c>
      <c r="J173" s="18">
        <f>AVERAGE(G171:G173)</f>
        <v>0.40336352541564402</v>
      </c>
      <c r="L173">
        <f>+J173/I173</f>
        <v>5.7235251260355113E-2</v>
      </c>
      <c r="M173">
        <f>+(L173-$L$927)/$L$928</f>
        <v>0.5937897527414695</v>
      </c>
      <c r="N173">
        <f>+N170+M173</f>
        <v>-6.3389261262756866</v>
      </c>
      <c r="Z173">
        <f>+(I173-$F$927)/$F$928</f>
        <v>0.76260549576383518</v>
      </c>
      <c r="AA173">
        <f>+AA170+Z173</f>
        <v>1.0764848355278618</v>
      </c>
    </row>
    <row r="174" spans="1:27">
      <c r="A174" s="8">
        <v>6</v>
      </c>
      <c r="B174" s="73">
        <v>38181</v>
      </c>
      <c r="C174" s="12">
        <v>2004</v>
      </c>
      <c r="D174" s="15" t="s">
        <v>24</v>
      </c>
      <c r="E174" s="12">
        <v>7</v>
      </c>
      <c r="F174" s="13">
        <v>11.0219</v>
      </c>
      <c r="G174" s="21">
        <v>1.383534482477788</v>
      </c>
    </row>
    <row r="175" spans="1:27">
      <c r="A175" s="8">
        <v>8</v>
      </c>
      <c r="B175" s="73">
        <v>38182</v>
      </c>
      <c r="C175" s="12">
        <v>2004</v>
      </c>
      <c r="D175" s="15" t="s">
        <v>24</v>
      </c>
      <c r="E175" s="12">
        <v>7</v>
      </c>
      <c r="F175" s="13">
        <v>2.2934000000000001</v>
      </c>
      <c r="G175" s="21">
        <v>2.4472552703339871E-2</v>
      </c>
    </row>
    <row r="176" spans="1:27">
      <c r="A176" s="8">
        <v>15</v>
      </c>
      <c r="B176" s="73">
        <v>38182</v>
      </c>
      <c r="C176" s="12">
        <v>2004</v>
      </c>
      <c r="D176" s="15" t="s">
        <v>24</v>
      </c>
      <c r="E176" s="12">
        <v>7</v>
      </c>
      <c r="F176" s="13">
        <v>4.0551000000000004</v>
      </c>
      <c r="G176" s="21">
        <v>0.59854148525957673</v>
      </c>
      <c r="I176" s="18">
        <f>AVERAGE(F174:F176)</f>
        <v>5.7901333333333334</v>
      </c>
      <c r="J176" s="18">
        <f>AVERAGE(G174:G176)</f>
        <v>0.66884950681356814</v>
      </c>
      <c r="L176">
        <f>+J176/I176</f>
        <v>0.11551538942342747</v>
      </c>
      <c r="M176">
        <f>+(L176-$L$927)/$L$928</f>
        <v>2.0063654390344552</v>
      </c>
      <c r="N176">
        <f>+N173+M176</f>
        <v>-4.3325606872412319</v>
      </c>
      <c r="Z176">
        <f>+(I176-$F$927)/$F$928</f>
        <v>0.41791480462773695</v>
      </c>
      <c r="AA176">
        <f>+AA173+Z176</f>
        <v>1.4943996401555988</v>
      </c>
    </row>
    <row r="177" spans="1:27">
      <c r="A177" s="8">
        <v>6</v>
      </c>
      <c r="B177" s="73">
        <v>38217</v>
      </c>
      <c r="C177" s="12">
        <v>2004</v>
      </c>
      <c r="D177" s="15" t="s">
        <v>25</v>
      </c>
      <c r="E177" s="12">
        <v>8</v>
      </c>
      <c r="F177" s="13">
        <v>15.412599999999999</v>
      </c>
      <c r="G177" s="20"/>
    </row>
    <row r="178" spans="1:27">
      <c r="A178" s="8">
        <v>8</v>
      </c>
      <c r="B178" s="73">
        <v>38218</v>
      </c>
      <c r="C178" s="12">
        <v>2004</v>
      </c>
      <c r="D178" s="15" t="s">
        <v>25</v>
      </c>
      <c r="E178" s="12">
        <v>8</v>
      </c>
      <c r="F178" s="13">
        <v>3.7090000000000001</v>
      </c>
      <c r="G178" s="20"/>
    </row>
    <row r="179" spans="1:27">
      <c r="A179" s="8">
        <v>15</v>
      </c>
      <c r="B179" s="73">
        <v>38218</v>
      </c>
      <c r="C179" s="12">
        <v>2004</v>
      </c>
      <c r="D179" s="15" t="s">
        <v>25</v>
      </c>
      <c r="E179" s="12">
        <v>8</v>
      </c>
      <c r="F179" s="13">
        <v>3.0560999999999998</v>
      </c>
      <c r="G179" s="20"/>
      <c r="I179" s="18">
        <f>AVERAGE(F177:F179)</f>
        <v>7.3925666666666672</v>
      </c>
      <c r="J179" s="18" t="e">
        <f>AVERAGE(G177:G179)</f>
        <v>#DIV/0!</v>
      </c>
      <c r="Z179">
        <f>+(I179-$F$927)/$F$928</f>
        <v>0.8572126729995726</v>
      </c>
      <c r="AA179">
        <f>+AA176+Z179</f>
        <v>2.3516123131551714</v>
      </c>
    </row>
    <row r="180" spans="1:27">
      <c r="A180" s="8">
        <v>6</v>
      </c>
      <c r="B180" s="73">
        <v>38244</v>
      </c>
      <c r="C180" s="12">
        <v>2004</v>
      </c>
      <c r="D180" s="15" t="s">
        <v>26</v>
      </c>
      <c r="E180" s="12">
        <v>9</v>
      </c>
      <c r="F180" s="13">
        <v>9.4573999999999998</v>
      </c>
      <c r="G180" s="21">
        <v>0.52264106620423934</v>
      </c>
    </row>
    <row r="181" spans="1:27">
      <c r="A181" s="8">
        <v>8</v>
      </c>
      <c r="B181" s="73">
        <v>38246</v>
      </c>
      <c r="C181" s="12">
        <v>2004</v>
      </c>
      <c r="D181" s="15" t="s">
        <v>26</v>
      </c>
      <c r="E181" s="12">
        <v>9</v>
      </c>
      <c r="F181" s="13">
        <v>1.6736</v>
      </c>
      <c r="G181" s="21">
        <v>3.6530730398316315E-2</v>
      </c>
    </row>
    <row r="182" spans="1:27">
      <c r="A182" s="8">
        <v>15</v>
      </c>
      <c r="B182" s="73">
        <v>38246</v>
      </c>
      <c r="C182" s="12">
        <v>2004</v>
      </c>
      <c r="D182" s="15" t="s">
        <v>26</v>
      </c>
      <c r="E182" s="12">
        <v>9</v>
      </c>
      <c r="F182" s="13">
        <v>2.9839000000000002</v>
      </c>
      <c r="G182" s="21">
        <v>0.20182827734025394</v>
      </c>
      <c r="I182" s="18">
        <f>AVERAGE(F180:F182)</f>
        <v>4.7049666666666665</v>
      </c>
      <c r="J182" s="18">
        <f>AVERAGE(G180:G182)</f>
        <v>0.25366669131426983</v>
      </c>
      <c r="L182">
        <f>+J182/I182</f>
        <v>5.3914662799085328E-2</v>
      </c>
      <c r="M182">
        <f>+(L182-$L$927)/$L$928</f>
        <v>0.51330637242671928</v>
      </c>
      <c r="N182">
        <f>+N176+M182</f>
        <v>-3.8192543148145126</v>
      </c>
      <c r="Z182">
        <f>+(I182-$F$927)/$F$928</f>
        <v>0.1204226134841614</v>
      </c>
      <c r="AA182">
        <f>+AA179+Z182</f>
        <v>2.4720349266393327</v>
      </c>
    </row>
    <row r="183" spans="1:27">
      <c r="A183" s="8">
        <v>6</v>
      </c>
      <c r="B183" s="73">
        <v>38273</v>
      </c>
      <c r="C183" s="12">
        <v>2004</v>
      </c>
      <c r="D183" s="15" t="s">
        <v>14</v>
      </c>
      <c r="E183" s="12">
        <v>10</v>
      </c>
      <c r="F183" s="14">
        <v>8.5496300000000005</v>
      </c>
      <c r="G183" s="14">
        <v>0.30373179492856295</v>
      </c>
    </row>
    <row r="184" spans="1:27">
      <c r="A184" s="8">
        <v>8</v>
      </c>
      <c r="B184" s="73">
        <v>38274</v>
      </c>
      <c r="C184" s="12">
        <v>2004</v>
      </c>
      <c r="D184" s="15" t="s">
        <v>14</v>
      </c>
      <c r="E184" s="12">
        <v>10</v>
      </c>
      <c r="F184" s="14">
        <v>1.54593</v>
      </c>
      <c r="G184" s="14">
        <v>7.0958206206480712E-3</v>
      </c>
    </row>
    <row r="185" spans="1:27">
      <c r="A185" s="8">
        <v>15</v>
      </c>
      <c r="B185" s="73">
        <v>38273</v>
      </c>
      <c r="C185" s="12">
        <v>2004</v>
      </c>
      <c r="D185" s="15" t="s">
        <v>14</v>
      </c>
      <c r="E185" s="12">
        <v>10</v>
      </c>
      <c r="F185" s="14">
        <v>1.51335</v>
      </c>
      <c r="G185" s="14">
        <v>4.5453761436060863E-2</v>
      </c>
      <c r="I185" s="18">
        <f>AVERAGE(F183:F185)</f>
        <v>3.8696366666666671</v>
      </c>
      <c r="J185" s="18">
        <f>AVERAGE(G183:G185)</f>
        <v>0.11876045899509062</v>
      </c>
      <c r="L185">
        <f>+J185/I185</f>
        <v>3.069033845427967E-2</v>
      </c>
      <c r="M185">
        <f>+(L185-$L$927)/$L$928</f>
        <v>-4.9597507592588241E-2</v>
      </c>
      <c r="N185">
        <f>+N182+M185</f>
        <v>-3.8688518224071009</v>
      </c>
      <c r="Z185">
        <f>+(I185-$F$927)/$F$928</f>
        <v>-0.10857829454344983</v>
      </c>
      <c r="AA185">
        <f>+AA182+Z185</f>
        <v>2.363456632095883</v>
      </c>
    </row>
    <row r="186" spans="1:27">
      <c r="A186" s="8">
        <v>6</v>
      </c>
      <c r="B186" s="73">
        <v>38307</v>
      </c>
      <c r="C186" s="12">
        <v>2004</v>
      </c>
      <c r="D186" s="15" t="s">
        <v>16</v>
      </c>
      <c r="E186" s="12">
        <v>11</v>
      </c>
      <c r="F186" s="14">
        <v>1.90208</v>
      </c>
      <c r="G186" s="14">
        <v>2.5623494989009298E-2</v>
      </c>
    </row>
    <row r="187" spans="1:27">
      <c r="A187" s="8">
        <v>8</v>
      </c>
      <c r="B187" s="73">
        <v>38309</v>
      </c>
      <c r="C187" s="12">
        <v>2004</v>
      </c>
      <c r="D187" s="15" t="s">
        <v>16</v>
      </c>
      <c r="E187" s="12">
        <v>11</v>
      </c>
      <c r="F187" s="14">
        <v>1.50061</v>
      </c>
      <c r="G187" s="14">
        <v>1.4022026203371301E-2</v>
      </c>
    </row>
    <row r="188" spans="1:27">
      <c r="A188" s="8">
        <v>15</v>
      </c>
      <c r="B188" s="73">
        <v>38307</v>
      </c>
      <c r="C188" s="12">
        <v>2004</v>
      </c>
      <c r="D188" s="15" t="s">
        <v>16</v>
      </c>
      <c r="E188" s="12">
        <v>11</v>
      </c>
      <c r="F188" s="14">
        <v>1.69478</v>
      </c>
      <c r="G188" s="14">
        <v>1.6773497024880943E-2</v>
      </c>
      <c r="I188" s="18">
        <f>AVERAGE(F186:F188)</f>
        <v>1.6991566666666664</v>
      </c>
      <c r="J188" s="18">
        <f>AVERAGE(G186:G188)</f>
        <v>1.8806339405753849E-2</v>
      </c>
      <c r="L188">
        <f>+J188/I188</f>
        <v>1.1068043209133464E-2</v>
      </c>
      <c r="M188">
        <f>+(L188-$L$927)/$L$928</f>
        <v>-0.52519653748848416</v>
      </c>
      <c r="N188">
        <f>+N185+M188</f>
        <v>-4.3940483598955851</v>
      </c>
      <c r="Z188">
        <f>+(I188-$F$927)/$F$928</f>
        <v>-0.70360288465247278</v>
      </c>
      <c r="AA188">
        <f>+AA185+Z188</f>
        <v>1.6598537474434103</v>
      </c>
    </row>
    <row r="189" spans="1:27">
      <c r="A189" s="8">
        <v>6</v>
      </c>
      <c r="B189" s="73">
        <v>38337</v>
      </c>
      <c r="C189" s="12">
        <v>2004</v>
      </c>
      <c r="D189" s="15" t="s">
        <v>17</v>
      </c>
      <c r="E189" s="12">
        <v>12</v>
      </c>
      <c r="F189" s="14">
        <v>3.1585000000000001</v>
      </c>
      <c r="G189" s="14">
        <v>4.568020741387558E-2</v>
      </c>
    </row>
    <row r="190" spans="1:27">
      <c r="A190" s="8">
        <v>8</v>
      </c>
      <c r="B190" s="73">
        <v>38337</v>
      </c>
      <c r="C190" s="12">
        <v>2004</v>
      </c>
      <c r="D190" s="15" t="s">
        <v>17</v>
      </c>
      <c r="E190" s="12">
        <v>12</v>
      </c>
      <c r="F190" s="14">
        <v>2.3885800000000001</v>
      </c>
      <c r="G190" s="14">
        <v>7.5598375387956494E-3</v>
      </c>
    </row>
    <row r="191" spans="1:27">
      <c r="A191" s="8">
        <v>15</v>
      </c>
      <c r="B191" s="73">
        <v>38337</v>
      </c>
      <c r="C191" s="12">
        <v>2004</v>
      </c>
      <c r="D191" s="15" t="s">
        <v>17</v>
      </c>
      <c r="E191" s="12">
        <v>12</v>
      </c>
      <c r="F191" s="14">
        <v>2.2125400000000002</v>
      </c>
      <c r="G191" s="14">
        <v>2.8245626315026692E-2</v>
      </c>
      <c r="I191" s="18">
        <f>AVERAGE(F189:F191)</f>
        <v>2.5865399999999998</v>
      </c>
      <c r="J191" s="18">
        <f>AVERAGE(G189:G191)</f>
        <v>2.7161890422565973E-2</v>
      </c>
      <c r="L191">
        <f>+J191/I191</f>
        <v>1.0501245069693866E-2</v>
      </c>
      <c r="M191">
        <f>+(L191-$L$927)/$L$928</f>
        <v>-0.538934412792901</v>
      </c>
      <c r="N191">
        <f>+N188+M191</f>
        <v>-4.9329827726884865</v>
      </c>
      <c r="Z191">
        <f>+(I191-$F$927)/$F$928</f>
        <v>-0.46033185511695751</v>
      </c>
      <c r="AA191">
        <f>+AA188+Z191</f>
        <v>1.1995218923264528</v>
      </c>
    </row>
    <row r="192" spans="1:27">
      <c r="A192" s="8">
        <v>6</v>
      </c>
      <c r="B192" s="78">
        <v>38363</v>
      </c>
      <c r="C192" s="12">
        <v>2005</v>
      </c>
      <c r="D192" s="15" t="s">
        <v>18</v>
      </c>
      <c r="E192" s="12">
        <v>1</v>
      </c>
      <c r="F192" s="14">
        <v>3.3628</v>
      </c>
      <c r="G192" s="14">
        <v>1.7405030816151738E-2</v>
      </c>
    </row>
    <row r="193" spans="1:27">
      <c r="A193" s="8">
        <v>8</v>
      </c>
      <c r="B193" s="78">
        <v>38364</v>
      </c>
      <c r="C193" s="12">
        <v>2005</v>
      </c>
      <c r="D193" s="15" t="s">
        <v>18</v>
      </c>
      <c r="E193" s="12">
        <v>1</v>
      </c>
      <c r="F193" s="14">
        <v>1.08186</v>
      </c>
      <c r="G193" s="14">
        <v>4.7527175271589225E-3</v>
      </c>
    </row>
    <row r="194" spans="1:27">
      <c r="A194" s="8">
        <v>15</v>
      </c>
      <c r="B194" s="78">
        <v>38363</v>
      </c>
      <c r="C194" s="12">
        <v>2005</v>
      </c>
      <c r="D194" s="15" t="s">
        <v>18</v>
      </c>
      <c r="E194" s="12">
        <v>1</v>
      </c>
      <c r="F194" s="14">
        <v>3.7126399999999999</v>
      </c>
      <c r="G194" s="14">
        <v>2.0506782537323152E-2</v>
      </c>
      <c r="I194" s="18">
        <f>AVERAGE(F192:F194)</f>
        <v>2.7190999999999996</v>
      </c>
      <c r="J194" s="18">
        <f>AVERAGE(G192:G194)</f>
        <v>1.4221510293544605E-2</v>
      </c>
      <c r="L194">
        <f>+J194/I194</f>
        <v>5.2302270212734384E-3</v>
      </c>
      <c r="M194">
        <f>+(L194-$L$927)/$L$928</f>
        <v>-0.6666916929211073</v>
      </c>
      <c r="N194">
        <f>+N191+M194</f>
        <v>-5.5996744656095938</v>
      </c>
      <c r="Z194">
        <f>+(I194-$F$927)/$F$928</f>
        <v>-0.42399129465804891</v>
      </c>
      <c r="AA194">
        <f>+AA191+Z194</f>
        <v>0.77553059766840393</v>
      </c>
    </row>
    <row r="195" spans="1:27">
      <c r="A195" s="8">
        <v>6</v>
      </c>
      <c r="B195" s="78">
        <v>38399</v>
      </c>
      <c r="C195" s="12">
        <v>2005</v>
      </c>
      <c r="D195" s="11" t="s">
        <v>19</v>
      </c>
      <c r="E195" s="12">
        <v>2</v>
      </c>
      <c r="F195" s="14">
        <v>3.0975199999999998</v>
      </c>
      <c r="G195" s="14">
        <v>4.3515744209258751E-2</v>
      </c>
    </row>
    <row r="196" spans="1:27">
      <c r="A196" s="8">
        <v>8</v>
      </c>
      <c r="B196" s="78">
        <v>38398</v>
      </c>
      <c r="C196" s="12">
        <v>2005</v>
      </c>
      <c r="D196" s="11" t="s">
        <v>19</v>
      </c>
      <c r="E196" s="12">
        <v>2</v>
      </c>
      <c r="F196" s="14">
        <v>3.34823</v>
      </c>
      <c r="G196" s="14">
        <v>2.8639184406994537E-2</v>
      </c>
    </row>
    <row r="197" spans="1:27">
      <c r="A197" s="8">
        <v>15</v>
      </c>
      <c r="B197" s="78">
        <v>38398</v>
      </c>
      <c r="C197" s="12">
        <v>2005</v>
      </c>
      <c r="D197" s="11" t="s">
        <v>19</v>
      </c>
      <c r="E197" s="12">
        <v>2</v>
      </c>
      <c r="F197" s="14">
        <v>2.5410400000000002</v>
      </c>
      <c r="G197" s="14">
        <v>4.4782444488295721E-2</v>
      </c>
      <c r="I197" s="18">
        <f>AVERAGE(F195:F197)</f>
        <v>2.9955966666666671</v>
      </c>
      <c r="J197" s="18">
        <f>AVERAGE(G195:G197)</f>
        <v>3.8979124368183009E-2</v>
      </c>
      <c r="L197">
        <f>+J197/I197</f>
        <v>1.301214038656172E-2</v>
      </c>
      <c r="M197">
        <f>+(L197-$L$927)/$L$928</f>
        <v>-0.47807612063322663</v>
      </c>
      <c r="N197">
        <f>+N194+M197</f>
        <v>-6.0777505862428205</v>
      </c>
      <c r="Z197">
        <f>+(I197-$F$927)/$F$928</f>
        <v>-0.34819132610277781</v>
      </c>
      <c r="AA197">
        <f>+AA194+Z197</f>
        <v>0.42733927156562612</v>
      </c>
    </row>
    <row r="198" spans="1:27">
      <c r="A198" s="8">
        <v>6</v>
      </c>
      <c r="B198" s="78">
        <v>38428</v>
      </c>
      <c r="C198" s="12">
        <v>2005</v>
      </c>
      <c r="D198" s="11" t="s">
        <v>20</v>
      </c>
      <c r="E198" s="12">
        <v>3</v>
      </c>
      <c r="F198" s="14">
        <v>1.57328</v>
      </c>
      <c r="G198" s="14">
        <v>1.0755055531601863E-2</v>
      </c>
    </row>
    <row r="199" spans="1:27">
      <c r="A199" s="8">
        <v>8</v>
      </c>
      <c r="B199" s="78">
        <v>38427</v>
      </c>
      <c r="C199" s="12">
        <v>2005</v>
      </c>
      <c r="D199" s="11" t="s">
        <v>20</v>
      </c>
      <c r="E199" s="12">
        <v>3</v>
      </c>
      <c r="F199" s="14">
        <v>1.8873200000000001</v>
      </c>
      <c r="G199" s="14">
        <v>1.0210272070147786E-2</v>
      </c>
    </row>
    <row r="200" spans="1:27">
      <c r="A200" s="8">
        <v>15</v>
      </c>
      <c r="B200" s="78">
        <v>38427</v>
      </c>
      <c r="C200" s="12">
        <v>2005</v>
      </c>
      <c r="D200" s="11" t="s">
        <v>20</v>
      </c>
      <c r="E200" s="12">
        <v>3</v>
      </c>
      <c r="F200" s="14">
        <v>1.9217599999999999</v>
      </c>
      <c r="G200" s="14">
        <v>1.580162839232005E-2</v>
      </c>
      <c r="I200" s="18">
        <f>AVERAGE(F198:F200)</f>
        <v>1.7941200000000002</v>
      </c>
      <c r="J200" s="18">
        <f>AVERAGE(G198:G200)</f>
        <v>1.2255651998023233E-2</v>
      </c>
      <c r="L200">
        <f>+J200/I200</f>
        <v>6.8310101877372929E-3</v>
      </c>
      <c r="M200">
        <f>+(L200-$L$927)/$L$928</f>
        <v>-0.6278924132480419</v>
      </c>
      <c r="N200">
        <f>+N197+M200</f>
        <v>-6.7056429994908626</v>
      </c>
      <c r="Z200">
        <f>+(I200-$F$927)/$F$928</f>
        <v>-0.67756923380470924</v>
      </c>
      <c r="AA200">
        <f>+AA197+Z200</f>
        <v>-0.25022996223908311</v>
      </c>
    </row>
    <row r="201" spans="1:27">
      <c r="A201" s="8">
        <v>6</v>
      </c>
      <c r="B201" s="78">
        <v>38469</v>
      </c>
      <c r="C201" s="12">
        <v>2005</v>
      </c>
      <c r="D201" s="11" t="s">
        <v>21</v>
      </c>
      <c r="E201" s="12">
        <v>4</v>
      </c>
      <c r="F201" s="14">
        <v>4.1978900000000001</v>
      </c>
      <c r="G201" s="14">
        <v>4.5410394122357048E-2</v>
      </c>
    </row>
    <row r="202" spans="1:27">
      <c r="A202" s="8">
        <v>8</v>
      </c>
      <c r="B202" s="78">
        <v>38470</v>
      </c>
      <c r="C202" s="12">
        <v>2005</v>
      </c>
      <c r="D202" s="11" t="s">
        <v>21</v>
      </c>
      <c r="E202" s="12">
        <v>4</v>
      </c>
      <c r="F202" s="14">
        <v>1.4016</v>
      </c>
      <c r="G202" s="14">
        <v>1.3948572982867334E-2</v>
      </c>
    </row>
    <row r="203" spans="1:27">
      <c r="A203" s="8">
        <v>15</v>
      </c>
      <c r="B203" s="78">
        <v>38469</v>
      </c>
      <c r="C203" s="12">
        <v>2005</v>
      </c>
      <c r="D203" s="11" t="s">
        <v>21</v>
      </c>
      <c r="E203" s="12">
        <v>4</v>
      </c>
      <c r="F203" s="14">
        <v>3.1296499999999998</v>
      </c>
      <c r="G203" s="14">
        <v>2.8113394128505238E-2</v>
      </c>
      <c r="I203" s="18">
        <f>AVERAGE(F201:F203)</f>
        <v>2.9097133333333338</v>
      </c>
      <c r="J203" s="18">
        <f>AVERAGE(G201:G203)</f>
        <v>2.9157453744576539E-2</v>
      </c>
      <c r="L203">
        <f>+J203/I203</f>
        <v>1.0020730705857576E-2</v>
      </c>
      <c r="M203">
        <f>+(L203-$L$927)/$L$928</f>
        <v>-0.55058096904111131</v>
      </c>
      <c r="N203">
        <f>+N200+M203</f>
        <v>-7.256223968531974</v>
      </c>
      <c r="Z203">
        <f>+(I203-$F$927)/$F$928</f>
        <v>-0.3717357472510322</v>
      </c>
      <c r="AA203">
        <f>+AA200+Z203</f>
        <v>-0.62196570949011531</v>
      </c>
    </row>
    <row r="204" spans="1:27">
      <c r="A204" s="8">
        <v>6</v>
      </c>
      <c r="B204" s="78">
        <v>38490</v>
      </c>
      <c r="C204" s="12">
        <v>2005</v>
      </c>
      <c r="D204" s="11" t="s">
        <v>22</v>
      </c>
      <c r="E204" s="12">
        <v>5</v>
      </c>
      <c r="F204" s="14">
        <v>6.09511</v>
      </c>
      <c r="G204" s="14">
        <v>8.532753418701261E-2</v>
      </c>
    </row>
    <row r="205" spans="1:27">
      <c r="A205" s="8">
        <v>8</v>
      </c>
      <c r="B205" s="78">
        <v>38488</v>
      </c>
      <c r="C205" s="12">
        <v>2005</v>
      </c>
      <c r="D205" s="11" t="s">
        <v>22</v>
      </c>
      <c r="E205" s="12">
        <v>5</v>
      </c>
      <c r="F205" s="14">
        <v>1.2165699999999999</v>
      </c>
      <c r="G205" s="14">
        <v>1.6143768416427548E-2</v>
      </c>
    </row>
    <row r="206" spans="1:27">
      <c r="A206" s="8">
        <v>15</v>
      </c>
      <c r="B206" s="78">
        <v>38488</v>
      </c>
      <c r="C206" s="12">
        <v>2005</v>
      </c>
      <c r="D206" s="11" t="s">
        <v>22</v>
      </c>
      <c r="E206" s="12">
        <v>5</v>
      </c>
      <c r="F206" s="14">
        <v>1.8910100000000001</v>
      </c>
      <c r="G206" s="14">
        <v>3.602627323653685E-2</v>
      </c>
      <c r="I206" s="18">
        <f>AVERAGE(F204:F206)</f>
        <v>3.0675633333333336</v>
      </c>
      <c r="J206" s="18">
        <f>AVERAGE(G204:G206)</f>
        <v>4.5832525279992341E-2</v>
      </c>
      <c r="L206">
        <f>+J206/I206</f>
        <v>1.4941020053916518E-2</v>
      </c>
      <c r="M206">
        <f>+(L206-$L$927)/$L$928</f>
        <v>-0.43132454100816808</v>
      </c>
      <c r="N206">
        <f>+N203+M206</f>
        <v>-7.6875485095401421</v>
      </c>
      <c r="Z206">
        <f>+(I206-$F$927)/$F$928</f>
        <v>-0.32846207896166341</v>
      </c>
      <c r="AA206">
        <f>+AA203+Z206</f>
        <v>-0.95042778845177867</v>
      </c>
    </row>
    <row r="207" spans="1:27">
      <c r="A207" s="8">
        <v>6</v>
      </c>
      <c r="B207" s="78">
        <v>38518</v>
      </c>
      <c r="C207" s="12">
        <v>2005</v>
      </c>
      <c r="D207" s="11" t="s">
        <v>23</v>
      </c>
      <c r="E207" s="12">
        <v>6</v>
      </c>
      <c r="F207" s="14">
        <v>8.4142499999999991</v>
      </c>
      <c r="G207" s="14">
        <v>0.14539404281754165</v>
      </c>
    </row>
    <row r="208" spans="1:27">
      <c r="A208" s="8">
        <v>8</v>
      </c>
      <c r="B208" s="78">
        <v>38525</v>
      </c>
      <c r="C208" s="12">
        <v>2005</v>
      </c>
      <c r="D208" s="11" t="s">
        <v>23</v>
      </c>
      <c r="E208" s="12">
        <v>6</v>
      </c>
      <c r="F208" s="14">
        <v>3.2334000000000001</v>
      </c>
      <c r="G208" s="14">
        <v>6.5102534145358687E-2</v>
      </c>
    </row>
    <row r="209" spans="1:27">
      <c r="A209" s="8">
        <v>15</v>
      </c>
      <c r="B209" s="78">
        <v>38525</v>
      </c>
      <c r="C209" s="12">
        <v>2005</v>
      </c>
      <c r="D209" s="11" t="s">
        <v>23</v>
      </c>
      <c r="E209" s="12">
        <v>6</v>
      </c>
      <c r="F209" s="14">
        <v>5.8687399999999998</v>
      </c>
      <c r="G209" s="14">
        <v>0.5701205122957097</v>
      </c>
      <c r="I209" s="18">
        <f>AVERAGE(F207:F209)</f>
        <v>5.8387966666666662</v>
      </c>
      <c r="J209" s="18">
        <f>AVERAGE(G207:G209)</f>
        <v>0.26020569641953667</v>
      </c>
      <c r="L209">
        <f>+J209/I209</f>
        <v>4.4564952553500466E-2</v>
      </c>
      <c r="M209">
        <f>+(L209-$L$927)/$L$928</f>
        <v>0.28669103171076388</v>
      </c>
      <c r="N209">
        <f>+N206+M209</f>
        <v>-7.4008574778293781</v>
      </c>
      <c r="Z209">
        <f>+(I209-$F$927)/$F$928</f>
        <v>0.43125557716192531</v>
      </c>
      <c r="AA209">
        <f>+AA206+Z209</f>
        <v>-0.51917221128985336</v>
      </c>
    </row>
    <row r="210" spans="1:27">
      <c r="A210" s="8">
        <v>6</v>
      </c>
      <c r="B210" s="78">
        <v>38547</v>
      </c>
      <c r="C210" s="12">
        <v>2005</v>
      </c>
      <c r="D210" s="15" t="s">
        <v>24</v>
      </c>
      <c r="E210" s="12">
        <v>7</v>
      </c>
      <c r="F210" s="14">
        <v>9.1883400000000002</v>
      </c>
      <c r="G210" s="14">
        <v>1.1952094956802013</v>
      </c>
    </row>
    <row r="211" spans="1:27">
      <c r="A211" s="8">
        <v>8</v>
      </c>
      <c r="B211" s="78">
        <v>38546</v>
      </c>
      <c r="C211" s="12">
        <v>2005</v>
      </c>
      <c r="D211" s="15" t="s">
        <v>24</v>
      </c>
      <c r="E211" s="12">
        <v>7</v>
      </c>
      <c r="F211" s="14">
        <v>6.8234500000000002</v>
      </c>
      <c r="G211" s="14">
        <v>8.3841461891660918E-2</v>
      </c>
    </row>
    <row r="212" spans="1:27">
      <c r="A212" s="8">
        <v>15</v>
      </c>
      <c r="B212" s="78">
        <v>38546</v>
      </c>
      <c r="C212" s="12">
        <v>2005</v>
      </c>
      <c r="D212" s="15" t="s">
        <v>24</v>
      </c>
      <c r="E212" s="12">
        <v>7</v>
      </c>
      <c r="F212" s="14">
        <v>6.5940000000000003</v>
      </c>
      <c r="G212" s="14">
        <v>1.6562899544123075</v>
      </c>
      <c r="I212" s="18">
        <f>AVERAGE(F210:F212)</f>
        <v>7.5352633333333339</v>
      </c>
      <c r="J212" s="18">
        <f>AVERAGE(G210:G212)</f>
        <v>0.97844697066138997</v>
      </c>
      <c r="L212">
        <f>+J212/I212</f>
        <v>0.12984907459479053</v>
      </c>
      <c r="M212">
        <f>+(L212-$L$927)/$L$928</f>
        <v>2.3537807988160662</v>
      </c>
      <c r="N212">
        <f>+N209+M212</f>
        <v>-5.0470766790133119</v>
      </c>
      <c r="Z212">
        <f>+(I212-$F$927)/$F$928</f>
        <v>0.89633214223829272</v>
      </c>
      <c r="AA212">
        <f>+AA209+Z212</f>
        <v>0.37715993094843936</v>
      </c>
    </row>
    <row r="213" spans="1:27">
      <c r="A213" s="8">
        <v>6</v>
      </c>
      <c r="B213" s="78">
        <v>38587</v>
      </c>
      <c r="C213" s="12">
        <v>2005</v>
      </c>
      <c r="D213" s="15" t="s">
        <v>25</v>
      </c>
      <c r="E213" s="12">
        <v>8</v>
      </c>
      <c r="F213" s="14">
        <v>10.99231</v>
      </c>
      <c r="G213" s="14">
        <v>1.4566681935065244</v>
      </c>
    </row>
    <row r="214" spans="1:27">
      <c r="A214" s="8">
        <v>8</v>
      </c>
      <c r="B214" s="78">
        <v>38587</v>
      </c>
      <c r="C214" s="12">
        <v>2005</v>
      </c>
      <c r="D214" s="15" t="s">
        <v>25</v>
      </c>
      <c r="E214" s="12">
        <v>8</v>
      </c>
      <c r="F214" s="14">
        <v>14.17001</v>
      </c>
      <c r="G214" s="14">
        <v>0.50005374550592474</v>
      </c>
    </row>
    <row r="215" spans="1:27">
      <c r="A215" s="8">
        <v>15</v>
      </c>
      <c r="B215" s="78">
        <v>38587</v>
      </c>
      <c r="C215" s="12">
        <v>2005</v>
      </c>
      <c r="D215" s="15" t="s">
        <v>25</v>
      </c>
      <c r="E215" s="12">
        <v>8</v>
      </c>
      <c r="F215" s="14">
        <v>6.8003099999999996</v>
      </c>
      <c r="G215" s="14">
        <v>0.50856905371325678</v>
      </c>
      <c r="I215" s="18">
        <f>AVERAGE(F213:F215)</f>
        <v>10.654210000000001</v>
      </c>
      <c r="J215" s="18">
        <f>AVERAGE(G213:G215)</f>
        <v>0.82176366424190184</v>
      </c>
      <c r="L215">
        <f>+J215/I215</f>
        <v>7.7130417388234493E-2</v>
      </c>
      <c r="M215">
        <f>+(L215-$L$927)/$L$928</f>
        <v>1.0760025413997016</v>
      </c>
      <c r="N215">
        <f>+N212+M215</f>
        <v>-3.9710741376136101</v>
      </c>
      <c r="Z215">
        <f>+(I215-$F$927)/$F$928</f>
        <v>1.7513734058782415</v>
      </c>
      <c r="AA215">
        <f>+AA212+Z215</f>
        <v>2.1285333368266808</v>
      </c>
    </row>
    <row r="216" spans="1:27">
      <c r="A216" s="8">
        <v>6</v>
      </c>
      <c r="B216" s="78">
        <v>38608</v>
      </c>
      <c r="C216" s="12">
        <v>2005</v>
      </c>
      <c r="D216" s="15" t="s">
        <v>26</v>
      </c>
      <c r="E216" s="12">
        <v>9</v>
      </c>
      <c r="F216" s="14">
        <v>6.3655600000000003</v>
      </c>
      <c r="G216" s="14">
        <v>0.62658324406109644</v>
      </c>
    </row>
    <row r="217" spans="1:27">
      <c r="A217" s="8">
        <v>8</v>
      </c>
      <c r="B217" s="78">
        <v>38609</v>
      </c>
      <c r="C217" s="12">
        <v>2005</v>
      </c>
      <c r="D217" s="15" t="s">
        <v>26</v>
      </c>
      <c r="E217" s="12">
        <v>9</v>
      </c>
      <c r="F217" s="14">
        <v>21.48677</v>
      </c>
      <c r="G217" s="14">
        <v>0.30245862444202321</v>
      </c>
    </row>
    <row r="218" spans="1:27">
      <c r="A218" s="8">
        <v>15</v>
      </c>
      <c r="B218" s="78">
        <v>38609</v>
      </c>
      <c r="C218" s="12">
        <v>2005</v>
      </c>
      <c r="D218" s="15" t="s">
        <v>26</v>
      </c>
      <c r="E218" s="12">
        <v>9</v>
      </c>
      <c r="F218" s="14">
        <v>7.8046199999999999</v>
      </c>
      <c r="G218" s="14">
        <v>0.84152385633623017</v>
      </c>
      <c r="I218" s="18">
        <f>AVERAGE(F216:F218)</f>
        <v>11.88565</v>
      </c>
      <c r="J218" s="18">
        <f>AVERAGE(G216:G218)</f>
        <v>0.59018857494644994</v>
      </c>
      <c r="L218">
        <f>+J218/I218</f>
        <v>4.9655557327234937E-2</v>
      </c>
      <c r="M218">
        <f>+(L218-$L$927)/$L$928</f>
        <v>0.41007551154476363</v>
      </c>
      <c r="N218">
        <f>+N215+M218</f>
        <v>-3.5609986260688462</v>
      </c>
      <c r="Z218">
        <f>+(I218-$F$927)/$F$928</f>
        <v>2.0889655888257255</v>
      </c>
      <c r="AA218">
        <f>+AA215+Z218</f>
        <v>4.2174989256524062</v>
      </c>
    </row>
    <row r="219" spans="1:27">
      <c r="A219" s="8">
        <v>6</v>
      </c>
      <c r="B219" s="78">
        <v>38636</v>
      </c>
      <c r="C219" s="12">
        <v>2005</v>
      </c>
      <c r="D219" s="15" t="s">
        <v>14</v>
      </c>
      <c r="E219" s="12">
        <v>10</v>
      </c>
      <c r="F219" s="14">
        <v>7.0763999999999996</v>
      </c>
      <c r="G219" s="14">
        <v>8.8300000000000003E-2</v>
      </c>
    </row>
    <row r="220" spans="1:27">
      <c r="A220" s="8">
        <v>8</v>
      </c>
      <c r="B220" s="78">
        <v>38642</v>
      </c>
      <c r="C220" s="12">
        <v>2005</v>
      </c>
      <c r="D220" s="15" t="s">
        <v>14</v>
      </c>
      <c r="E220" s="12">
        <v>10</v>
      </c>
      <c r="F220" s="14">
        <v>6.02</v>
      </c>
      <c r="G220" s="14">
        <v>9.5399999999999999E-2</v>
      </c>
    </row>
    <row r="221" spans="1:27">
      <c r="A221" s="8">
        <v>15</v>
      </c>
      <c r="B221" s="78">
        <v>38637</v>
      </c>
      <c r="C221" s="12">
        <v>2005</v>
      </c>
      <c r="D221" s="15" t="s">
        <v>14</v>
      </c>
      <c r="E221" s="12">
        <v>10</v>
      </c>
      <c r="F221" s="14">
        <v>8.5502000000000002</v>
      </c>
      <c r="G221" s="14">
        <v>0.223</v>
      </c>
      <c r="I221" s="18">
        <f>AVERAGE(F219:F221)</f>
        <v>7.2155333333333331</v>
      </c>
      <c r="J221" s="18">
        <f>AVERAGE(G219:G221)</f>
        <v>0.13556666666666667</v>
      </c>
      <c r="L221">
        <f>+J221/I221</f>
        <v>1.8788169966646034E-2</v>
      </c>
      <c r="M221">
        <f>+(L221-$L$927)/$L$928</f>
        <v>-0.33807852959618323</v>
      </c>
      <c r="N221">
        <f>+N218+M221</f>
        <v>-3.8990771556650294</v>
      </c>
      <c r="Z221">
        <f>+(I221-$F$927)/$F$928</f>
        <v>0.80868000437221788</v>
      </c>
      <c r="AA221">
        <f>+AA218+Z221</f>
        <v>5.0261789300246242</v>
      </c>
    </row>
    <row r="222" spans="1:27">
      <c r="A222" s="8">
        <v>6</v>
      </c>
      <c r="B222" s="78">
        <v>38671</v>
      </c>
      <c r="C222" s="12">
        <v>2005</v>
      </c>
      <c r="D222" s="15" t="s">
        <v>16</v>
      </c>
      <c r="E222" s="12">
        <v>11</v>
      </c>
      <c r="F222" s="14">
        <v>4.6013000000000002</v>
      </c>
      <c r="G222" s="14">
        <v>1.7399999999999999E-2</v>
      </c>
    </row>
    <row r="223" spans="1:27">
      <c r="A223" s="8">
        <v>8</v>
      </c>
      <c r="B223" s="78">
        <v>38670</v>
      </c>
      <c r="C223" s="12">
        <v>2005</v>
      </c>
      <c r="D223" s="15" t="s">
        <v>16</v>
      </c>
      <c r="E223" s="12">
        <v>11</v>
      </c>
      <c r="F223" s="14">
        <v>1.0083</v>
      </c>
      <c r="G223" s="14">
        <v>4.5999999999999999E-3</v>
      </c>
    </row>
    <row r="224" spans="1:27">
      <c r="A224" s="8">
        <v>15</v>
      </c>
      <c r="B224" s="78">
        <v>38670</v>
      </c>
      <c r="C224" s="12">
        <v>2005</v>
      </c>
      <c r="D224" s="15" t="s">
        <v>16</v>
      </c>
      <c r="E224" s="12">
        <v>11</v>
      </c>
      <c r="F224" s="14">
        <v>2.6530999999999998</v>
      </c>
      <c r="G224" s="14">
        <v>8.3999999999999995E-3</v>
      </c>
      <c r="I224" s="18">
        <f>AVERAGE(F222:F224)</f>
        <v>2.7542333333333335</v>
      </c>
      <c r="J224" s="18">
        <f>AVERAGE(G222:G224)</f>
        <v>1.0133333333333333E-2</v>
      </c>
      <c r="L224">
        <f>+J224/I224</f>
        <v>3.6791847701114645E-3</v>
      </c>
      <c r="M224">
        <f>+(L224-$L$927)/$L$928</f>
        <v>-0.70428536790990126</v>
      </c>
      <c r="N224">
        <f>+N221+M224</f>
        <v>-4.6033625235749307</v>
      </c>
      <c r="Z224">
        <f>+(I224-$F$927)/$F$928</f>
        <v>-0.41435969369152048</v>
      </c>
      <c r="AA224">
        <f>+AA221+Z224</f>
        <v>4.6118192363331039</v>
      </c>
    </row>
    <row r="225" spans="1:27">
      <c r="A225" s="8">
        <v>6</v>
      </c>
      <c r="B225" s="78">
        <v>38707</v>
      </c>
      <c r="C225" s="12">
        <v>2005</v>
      </c>
      <c r="D225" s="15" t="s">
        <v>17</v>
      </c>
      <c r="E225" s="12">
        <v>12</v>
      </c>
      <c r="F225" s="14">
        <v>6.2308000000000003</v>
      </c>
      <c r="G225" s="14">
        <v>3.5799999999999998E-2</v>
      </c>
    </row>
    <row r="226" spans="1:27">
      <c r="A226" s="8">
        <v>8</v>
      </c>
      <c r="B226" s="78">
        <v>38706</v>
      </c>
      <c r="C226" s="12">
        <v>2005</v>
      </c>
      <c r="D226" s="15" t="s">
        <v>17</v>
      </c>
      <c r="E226" s="12">
        <v>12</v>
      </c>
      <c r="F226" s="14">
        <v>2.7450999999999999</v>
      </c>
      <c r="G226" s="14">
        <v>8.0000000000000002E-3</v>
      </c>
    </row>
    <row r="227" spans="1:27">
      <c r="A227" s="8">
        <v>15</v>
      </c>
      <c r="B227" s="78">
        <v>38706</v>
      </c>
      <c r="C227" s="12">
        <v>2005</v>
      </c>
      <c r="D227" s="15" t="s">
        <v>17</v>
      </c>
      <c r="E227" s="12">
        <v>12</v>
      </c>
      <c r="F227" s="14">
        <v>7.9623999999999997</v>
      </c>
      <c r="G227" s="14">
        <v>3.7900000000000003E-2</v>
      </c>
      <c r="I227" s="18">
        <f>AVERAGE(F225:F227)</f>
        <v>5.6460999999999997</v>
      </c>
      <c r="J227" s="18">
        <f>AVERAGE(G225:G227)</f>
        <v>2.7233333333333332E-2</v>
      </c>
      <c r="L227">
        <f>+J227/I227</f>
        <v>4.8233884156025104E-3</v>
      </c>
      <c r="M227">
        <f>+(L227-$L$927)/$L$928</f>
        <v>-0.6765525192803048</v>
      </c>
      <c r="N227">
        <f>+N224+M227</f>
        <v>-5.2799150428552357</v>
      </c>
      <c r="Z227">
        <f>+(I227-$F$927)/$F$928</f>
        <v>0.37842889592150464</v>
      </c>
      <c r="AA227">
        <f>+AA224+Z227</f>
        <v>4.9902481322546084</v>
      </c>
    </row>
    <row r="228" spans="1:27">
      <c r="A228" s="12">
        <v>6</v>
      </c>
      <c r="B228" s="78">
        <v>38734</v>
      </c>
      <c r="C228" s="12">
        <v>2006</v>
      </c>
      <c r="D228" s="11" t="s">
        <v>18</v>
      </c>
      <c r="E228" s="12">
        <v>1</v>
      </c>
      <c r="F228" s="14">
        <v>4.1159999999999997</v>
      </c>
      <c r="G228" s="14">
        <v>3.9699999999999999E-2</v>
      </c>
    </row>
    <row r="229" spans="1:27">
      <c r="A229" s="12">
        <v>8</v>
      </c>
      <c r="B229" s="78">
        <v>38740</v>
      </c>
      <c r="C229" s="12">
        <v>2006</v>
      </c>
      <c r="D229" s="11" t="s">
        <v>18</v>
      </c>
      <c r="E229" s="12">
        <v>1</v>
      </c>
      <c r="F229" s="14">
        <v>3.9529999999999998</v>
      </c>
      <c r="G229" s="14">
        <v>2.6200000000000001E-2</v>
      </c>
    </row>
    <row r="230" spans="1:27">
      <c r="A230" s="12">
        <v>15</v>
      </c>
      <c r="B230" s="78">
        <v>38737</v>
      </c>
      <c r="C230" s="12">
        <v>2006</v>
      </c>
      <c r="D230" s="11" t="s">
        <v>18</v>
      </c>
      <c r="E230" s="12">
        <v>1</v>
      </c>
      <c r="F230" s="14">
        <v>3.8660999999999999</v>
      </c>
      <c r="G230" s="14">
        <v>3.2399999999999998E-2</v>
      </c>
      <c r="I230" s="18">
        <f>AVERAGE(F228:F230)</f>
        <v>3.9783666666666662</v>
      </c>
      <c r="J230" s="18">
        <f>AVERAGE(G228:G230)</f>
        <v>3.2766666666666666E-2</v>
      </c>
      <c r="L230">
        <f>+J230/I230</f>
        <v>8.2362108402945933E-3</v>
      </c>
      <c r="M230">
        <f>+(L230-$L$927)/$L$928</f>
        <v>-0.59383360112560968</v>
      </c>
      <c r="N230">
        <f>+N227+M230</f>
        <v>-5.8737486439808455</v>
      </c>
      <c r="Z230">
        <f>+(I230-$F$927)/$F$928</f>
        <v>-7.8770591324551928E-2</v>
      </c>
      <c r="AA230">
        <f>+AA227+Z230</f>
        <v>4.9114775409300568</v>
      </c>
    </row>
    <row r="231" spans="1:27">
      <c r="A231" s="12">
        <v>6</v>
      </c>
      <c r="B231" s="78">
        <v>38762</v>
      </c>
      <c r="C231" s="15">
        <v>2006</v>
      </c>
      <c r="D231" s="11" t="s">
        <v>28</v>
      </c>
      <c r="E231" s="15">
        <v>2</v>
      </c>
      <c r="F231" s="14">
        <v>7.2595999999999998</v>
      </c>
      <c r="G231" s="14">
        <v>5.5599999999999997E-2</v>
      </c>
    </row>
    <row r="232" spans="1:27">
      <c r="A232" s="12">
        <v>8</v>
      </c>
      <c r="B232" s="78">
        <v>38763</v>
      </c>
      <c r="C232" s="15">
        <v>2006</v>
      </c>
      <c r="D232" s="11" t="s">
        <v>28</v>
      </c>
      <c r="E232" s="15">
        <v>2</v>
      </c>
      <c r="F232" s="14">
        <v>2.5998999999999999</v>
      </c>
      <c r="G232" s="14">
        <v>2.7900000000000001E-2</v>
      </c>
    </row>
    <row r="233" spans="1:27">
      <c r="A233" s="12">
        <v>15</v>
      </c>
      <c r="B233" s="78">
        <v>38763</v>
      </c>
      <c r="C233" s="15">
        <v>2006</v>
      </c>
      <c r="D233" s="11" t="s">
        <v>28</v>
      </c>
      <c r="E233" s="15">
        <v>2</v>
      </c>
      <c r="F233" s="14">
        <v>4.6071</v>
      </c>
      <c r="G233" s="14">
        <v>4.4900000000000002E-2</v>
      </c>
      <c r="I233" s="18">
        <f>AVERAGE(F231:F233)</f>
        <v>4.8221999999999996</v>
      </c>
      <c r="J233" s="18">
        <f>AVERAGE(G231:G233)</f>
        <v>4.2799999999999998E-2</v>
      </c>
      <c r="L233">
        <f>+J233/I233</f>
        <v>8.8756169383269051E-3</v>
      </c>
      <c r="M233">
        <f>+(L233-$L$927)/$L$928</f>
        <v>-0.57833587692288613</v>
      </c>
      <c r="N233">
        <f>+N230+M233</f>
        <v>-6.4520845209037319</v>
      </c>
      <c r="Z233">
        <f>+(I233-$F$927)/$F$928</f>
        <v>0.15256145655748202</v>
      </c>
      <c r="AA233">
        <f>+AA230+Z233</f>
        <v>5.0640389974875388</v>
      </c>
    </row>
    <row r="234" spans="1:27">
      <c r="A234" s="12">
        <v>6</v>
      </c>
      <c r="B234" s="78">
        <v>38789</v>
      </c>
      <c r="C234" s="12">
        <v>2006</v>
      </c>
      <c r="D234" s="11" t="s">
        <v>29</v>
      </c>
      <c r="E234" s="15">
        <v>3</v>
      </c>
      <c r="F234" s="14">
        <v>4.0525000000000002</v>
      </c>
      <c r="G234" s="14">
        <v>2.1700000000000001E-2</v>
      </c>
    </row>
    <row r="235" spans="1:27">
      <c r="A235" s="12">
        <v>8</v>
      </c>
      <c r="B235" s="78">
        <v>38792</v>
      </c>
      <c r="C235" s="12">
        <v>2006</v>
      </c>
      <c r="D235" s="11" t="s">
        <v>29</v>
      </c>
      <c r="E235" s="15">
        <v>3</v>
      </c>
      <c r="F235" s="14">
        <v>3.1962999999999999</v>
      </c>
      <c r="G235" s="14">
        <v>1.8200000000000001E-2</v>
      </c>
    </row>
    <row r="236" spans="1:27">
      <c r="A236" s="12">
        <v>15</v>
      </c>
      <c r="B236" s="78">
        <v>38792</v>
      </c>
      <c r="C236" s="12">
        <v>2006</v>
      </c>
      <c r="D236" s="11" t="s">
        <v>29</v>
      </c>
      <c r="E236" s="15">
        <v>3</v>
      </c>
      <c r="F236" s="14">
        <v>4.2167000000000003</v>
      </c>
      <c r="G236" s="14">
        <v>2.1299999999999999E-2</v>
      </c>
      <c r="I236" s="18">
        <f>AVERAGE(F234:F236)</f>
        <v>3.8218333333333336</v>
      </c>
      <c r="J236" s="18">
        <f>AVERAGE(G234:G236)</f>
        <v>2.0400000000000001E-2</v>
      </c>
      <c r="L236">
        <f>+J236/I236</f>
        <v>5.337752387597575E-3</v>
      </c>
      <c r="M236">
        <f>+(L236-$L$927)/$L$928</f>
        <v>-0.66408552685979461</v>
      </c>
      <c r="N236">
        <f>+N233+M236</f>
        <v>-7.1161700477635268</v>
      </c>
      <c r="Z236">
        <f>+(I236-$F$927)/$F$928</f>
        <v>-0.12168330303120908</v>
      </c>
      <c r="AA236">
        <f>+AA233+Z236</f>
        <v>4.9423556944563298</v>
      </c>
    </row>
    <row r="237" spans="1:27">
      <c r="A237" s="12">
        <v>6</v>
      </c>
      <c r="B237" s="77">
        <v>38825</v>
      </c>
      <c r="C237" s="12">
        <v>2006</v>
      </c>
      <c r="D237" s="11" t="s">
        <v>30</v>
      </c>
      <c r="E237" s="12">
        <v>4</v>
      </c>
      <c r="F237" s="14">
        <v>4.0721999999999996</v>
      </c>
      <c r="G237" s="14">
        <v>9.5299999999999996E-2</v>
      </c>
    </row>
    <row r="238" spans="1:27">
      <c r="A238" s="12">
        <v>8</v>
      </c>
      <c r="B238" s="77">
        <v>38826</v>
      </c>
      <c r="C238" s="12">
        <v>2006</v>
      </c>
      <c r="D238" s="11" t="s">
        <v>30</v>
      </c>
      <c r="E238" s="12">
        <v>4</v>
      </c>
      <c r="F238" s="14">
        <v>0.61629999999999996</v>
      </c>
      <c r="G238" s="14">
        <v>8.0000000000000002E-3</v>
      </c>
    </row>
    <row r="239" spans="1:27">
      <c r="A239" s="12">
        <v>15</v>
      </c>
      <c r="B239" s="77">
        <v>38826</v>
      </c>
      <c r="C239" s="12">
        <v>2006</v>
      </c>
      <c r="D239" s="11" t="s">
        <v>30</v>
      </c>
      <c r="E239" s="12">
        <v>4</v>
      </c>
      <c r="F239" s="14">
        <v>3.2526000000000002</v>
      </c>
      <c r="G239" s="14">
        <v>6.0600000000000001E-2</v>
      </c>
      <c r="I239" s="18">
        <f>AVERAGE(F237:F239)</f>
        <v>2.6470333333333333</v>
      </c>
      <c r="J239" s="18">
        <f>AVERAGE(G237:G239)</f>
        <v>5.4633333333333332E-2</v>
      </c>
      <c r="L239">
        <f>+J239/I239</f>
        <v>2.0639458009595647E-2</v>
      </c>
      <c r="M239">
        <f>+(L239-$L$927)/$L$928</f>
        <v>-0.29320759139630564</v>
      </c>
      <c r="N239">
        <f>+N236+M239</f>
        <v>-7.4093776391598327</v>
      </c>
      <c r="Z239">
        <f>+(I239-$F$927)/$F$928</f>
        <v>-0.44374795622316665</v>
      </c>
      <c r="AA239">
        <f>+AA236+Z239</f>
        <v>4.4986077382331633</v>
      </c>
    </row>
    <row r="240" spans="1:27">
      <c r="A240" s="12">
        <v>6</v>
      </c>
      <c r="B240" s="77">
        <v>38852</v>
      </c>
      <c r="C240" s="12">
        <v>2006</v>
      </c>
      <c r="D240" s="11" t="s">
        <v>31</v>
      </c>
      <c r="E240" s="12">
        <v>5</v>
      </c>
      <c r="F240" s="14">
        <v>5.1787999999999998</v>
      </c>
      <c r="G240" s="14">
        <v>0.1966</v>
      </c>
    </row>
    <row r="241" spans="1:27">
      <c r="A241" s="12">
        <v>8</v>
      </c>
      <c r="B241" s="77">
        <v>38853</v>
      </c>
      <c r="C241" s="12">
        <v>2006</v>
      </c>
      <c r="D241" s="11" t="s">
        <v>31</v>
      </c>
      <c r="E241" s="12">
        <v>5</v>
      </c>
      <c r="F241" s="14">
        <v>8.0970999999999993</v>
      </c>
      <c r="G241" s="14">
        <v>0.2019</v>
      </c>
    </row>
    <row r="242" spans="1:27">
      <c r="A242" s="12">
        <v>15</v>
      </c>
      <c r="B242" s="77">
        <v>38853</v>
      </c>
      <c r="C242" s="12">
        <v>2006</v>
      </c>
      <c r="D242" s="11" t="s">
        <v>31</v>
      </c>
      <c r="E242" s="12">
        <v>5</v>
      </c>
      <c r="F242" s="14">
        <v>5.1483999999999996</v>
      </c>
      <c r="G242" s="14">
        <v>0.1968</v>
      </c>
      <c r="I242" s="18">
        <f>AVERAGE(F240:F242)</f>
        <v>6.1414333333333326</v>
      </c>
      <c r="J242" s="18">
        <f>AVERAGE(G240:G242)</f>
        <v>0.19843333333333332</v>
      </c>
      <c r="L242">
        <f>+J242/I242</f>
        <v>3.2310589818880499E-2</v>
      </c>
      <c r="M242">
        <f>+(L242-$L$927)/$L$928</f>
        <v>-1.0326363846941591E-2</v>
      </c>
      <c r="N242">
        <f>+N239+M242</f>
        <v>-7.4197040030067747</v>
      </c>
      <c r="Z242">
        <f>+(I242-$F$927)/$F$928</f>
        <v>0.51422167615168524</v>
      </c>
      <c r="AA242">
        <f>+AA239+Z242</f>
        <v>5.0128294143848482</v>
      </c>
    </row>
    <row r="243" spans="1:27">
      <c r="A243" s="12">
        <v>6</v>
      </c>
      <c r="B243" s="77">
        <v>38883</v>
      </c>
      <c r="C243" s="12">
        <v>2006</v>
      </c>
      <c r="D243" s="11" t="s">
        <v>32</v>
      </c>
      <c r="E243" s="12">
        <v>6</v>
      </c>
      <c r="F243" s="14">
        <v>18.313400000000001</v>
      </c>
      <c r="G243" s="14">
        <v>0.47249999999999998</v>
      </c>
    </row>
    <row r="244" spans="1:27">
      <c r="A244" s="12">
        <v>8</v>
      </c>
      <c r="B244" s="77">
        <v>38884</v>
      </c>
      <c r="C244" s="12">
        <v>2006</v>
      </c>
      <c r="D244" s="11" t="s">
        <v>32</v>
      </c>
      <c r="E244" s="12">
        <v>6</v>
      </c>
      <c r="F244" s="14">
        <v>6.8802000000000003</v>
      </c>
      <c r="G244" s="14">
        <v>0.14610000000000001</v>
      </c>
    </row>
    <row r="245" spans="1:27">
      <c r="A245" s="12">
        <v>15</v>
      </c>
      <c r="B245" s="77">
        <v>38884</v>
      </c>
      <c r="C245" s="12">
        <v>2006</v>
      </c>
      <c r="D245" s="11" t="s">
        <v>32</v>
      </c>
      <c r="E245" s="12">
        <v>6</v>
      </c>
      <c r="F245" s="14">
        <v>13.961499999999999</v>
      </c>
      <c r="G245" s="14">
        <v>0.46560000000000001</v>
      </c>
      <c r="I245" s="18">
        <f>AVERAGE(F243:F245)</f>
        <v>13.051700000000002</v>
      </c>
      <c r="J245" s="18">
        <f>AVERAGE(G243:G245)</f>
        <v>0.3614</v>
      </c>
      <c r="L245">
        <f>+J245/I245</f>
        <v>2.7689879479301543E-2</v>
      </c>
      <c r="M245">
        <f>+(L245-$L$927)/$L$928</f>
        <v>-0.12232168995321294</v>
      </c>
      <c r="N245">
        <f>+N242+M245</f>
        <v>-7.5420256929599878</v>
      </c>
      <c r="Z245">
        <f>+(I245-$F$927)/$F$928</f>
        <v>2.408631479917386</v>
      </c>
      <c r="AA245">
        <f>+AA242+Z245</f>
        <v>7.4214608943022338</v>
      </c>
    </row>
    <row r="246" spans="1:27">
      <c r="A246" s="12">
        <v>6</v>
      </c>
      <c r="B246" s="77">
        <v>38916</v>
      </c>
      <c r="C246" s="12">
        <v>2006</v>
      </c>
      <c r="D246" s="11" t="s">
        <v>33</v>
      </c>
      <c r="E246" s="12">
        <v>7</v>
      </c>
      <c r="F246" s="14">
        <v>11.2727</v>
      </c>
      <c r="G246" s="14">
        <v>1.3785000000000001</v>
      </c>
    </row>
    <row r="247" spans="1:27">
      <c r="A247" s="12">
        <v>8</v>
      </c>
      <c r="B247" s="77">
        <v>38915</v>
      </c>
      <c r="C247" s="12">
        <v>2006</v>
      </c>
      <c r="D247" s="11" t="s">
        <v>33</v>
      </c>
      <c r="E247" s="12">
        <v>7</v>
      </c>
      <c r="F247" s="14">
        <v>8.0587999999999997</v>
      </c>
      <c r="G247" s="14">
        <v>0.16539999999999999</v>
      </c>
    </row>
    <row r="248" spans="1:27">
      <c r="A248" s="12">
        <v>15</v>
      </c>
      <c r="B248" s="77">
        <v>38915</v>
      </c>
      <c r="C248" s="12">
        <v>2006</v>
      </c>
      <c r="D248" s="11" t="s">
        <v>33</v>
      </c>
      <c r="E248" s="12">
        <v>7</v>
      </c>
      <c r="F248" s="14">
        <v>6.4635999999999996</v>
      </c>
      <c r="G248" s="14">
        <v>0.71579999999999999</v>
      </c>
      <c r="I248" s="18">
        <f>AVERAGE(F246:F248)</f>
        <v>8.5983666666666654</v>
      </c>
      <c r="J248" s="18">
        <f>AVERAGE(G246:G248)</f>
        <v>0.75323333333333331</v>
      </c>
      <c r="L248">
        <f>+J248/I248</f>
        <v>8.7601908889672855E-2</v>
      </c>
      <c r="M248">
        <f>+(L248-$L$927)/$L$928</f>
        <v>1.3298072639068261</v>
      </c>
      <c r="N248">
        <f>+N245+M248</f>
        <v>-6.2122184290531619</v>
      </c>
      <c r="Z248">
        <f>+(I248-$F$927)/$F$928</f>
        <v>1.187775797632584</v>
      </c>
      <c r="AA248">
        <f>+AA245+Z248</f>
        <v>8.609236691934818</v>
      </c>
    </row>
    <row r="249" spans="1:27">
      <c r="A249" s="12">
        <v>6</v>
      </c>
      <c r="B249" s="77">
        <v>38953</v>
      </c>
      <c r="C249" s="12">
        <v>2006</v>
      </c>
      <c r="D249" s="11" t="s">
        <v>34</v>
      </c>
      <c r="E249" s="12">
        <v>8</v>
      </c>
      <c r="F249" s="14">
        <v>8.9014000000000006</v>
      </c>
      <c r="G249" s="14">
        <v>0.40050000000000002</v>
      </c>
    </row>
    <row r="250" spans="1:27">
      <c r="A250" s="12">
        <v>8</v>
      </c>
      <c r="B250" s="77">
        <v>38952</v>
      </c>
      <c r="C250" s="12">
        <v>2006</v>
      </c>
      <c r="D250" s="11" t="s">
        <v>34</v>
      </c>
      <c r="E250" s="12">
        <v>8</v>
      </c>
      <c r="F250" s="14">
        <v>6.9972000000000003</v>
      </c>
      <c r="G250" s="14">
        <v>7.46E-2</v>
      </c>
    </row>
    <row r="251" spans="1:27">
      <c r="A251" s="12">
        <v>15</v>
      </c>
      <c r="B251" s="77">
        <v>38952</v>
      </c>
      <c r="C251" s="12">
        <v>2006</v>
      </c>
      <c r="D251" s="11" t="s">
        <v>34</v>
      </c>
      <c r="E251" s="12">
        <v>8</v>
      </c>
      <c r="F251" s="14">
        <v>7.4080000000000004</v>
      </c>
      <c r="G251" s="14">
        <v>1.2624</v>
      </c>
      <c r="I251" s="18">
        <f>AVERAGE(F249:F251)</f>
        <v>7.7688666666666677</v>
      </c>
      <c r="J251" s="18">
        <f>AVERAGE(G249:G251)</f>
        <v>0.57916666666666672</v>
      </c>
      <c r="L251">
        <f>+J251/I251</f>
        <v>7.4549698368702427E-2</v>
      </c>
      <c r="M251">
        <f>+(L251-$L$927)/$L$928</f>
        <v>1.013451884262538</v>
      </c>
      <c r="N251">
        <f>+N248+M251</f>
        <v>-5.1987665447906242</v>
      </c>
      <c r="Z251">
        <f>+(I251-$F$927)/$F$928</f>
        <v>0.96037315052437155</v>
      </c>
      <c r="AA251">
        <f>+AA248+Z251</f>
        <v>9.5696098424591902</v>
      </c>
    </row>
    <row r="252" spans="1:27">
      <c r="A252" s="12">
        <v>6</v>
      </c>
      <c r="B252" s="77">
        <v>38972</v>
      </c>
      <c r="C252" s="12">
        <v>2006</v>
      </c>
      <c r="D252" s="11" t="s">
        <v>35</v>
      </c>
      <c r="E252" s="12">
        <v>9</v>
      </c>
      <c r="F252" s="14">
        <v>12.767300000000001</v>
      </c>
      <c r="G252" s="14">
        <v>0.92810000000000004</v>
      </c>
    </row>
    <row r="253" spans="1:27">
      <c r="A253" s="12">
        <v>8</v>
      </c>
      <c r="B253" s="77">
        <v>38975</v>
      </c>
      <c r="C253" s="12">
        <v>2006</v>
      </c>
      <c r="D253" s="11" t="s">
        <v>35</v>
      </c>
      <c r="E253" s="12">
        <v>9</v>
      </c>
      <c r="F253" s="14">
        <v>8.2116000000000007</v>
      </c>
      <c r="G253" s="14">
        <v>0.1062</v>
      </c>
    </row>
    <row r="254" spans="1:27">
      <c r="A254" s="12">
        <v>15</v>
      </c>
      <c r="B254" s="77">
        <v>38975</v>
      </c>
      <c r="C254" s="12">
        <v>2006</v>
      </c>
      <c r="D254" s="11" t="s">
        <v>35</v>
      </c>
      <c r="E254" s="12">
        <v>9</v>
      </c>
      <c r="F254" s="14">
        <v>6.4158999999999997</v>
      </c>
      <c r="G254" s="14">
        <v>0.1731</v>
      </c>
      <c r="I254" s="18">
        <f>AVERAGE(F252:F254)</f>
        <v>9.1316000000000006</v>
      </c>
      <c r="J254" s="18">
        <f>AVERAGE(G252:G254)</f>
        <v>0.40246666666666669</v>
      </c>
      <c r="L254">
        <f>+J254/I254</f>
        <v>4.4074057850394963E-2</v>
      </c>
      <c r="M254">
        <f>+(L254-$L$927)/$L$928</f>
        <v>0.27479288005922547</v>
      </c>
      <c r="N254">
        <f>+N251+M254</f>
        <v>-4.923973664731399</v>
      </c>
      <c r="Z254">
        <f>+(I254-$F$927)/$F$928</f>
        <v>1.3339586445600542</v>
      </c>
      <c r="AA254">
        <f>+AA251+Z254</f>
        <v>10.903568487019244</v>
      </c>
    </row>
    <row r="255" spans="1:27">
      <c r="A255" s="12">
        <v>6</v>
      </c>
      <c r="B255" s="77">
        <v>39008</v>
      </c>
      <c r="C255" s="12">
        <v>2006</v>
      </c>
      <c r="D255" s="11" t="s">
        <v>36</v>
      </c>
      <c r="E255" s="12">
        <v>10</v>
      </c>
      <c r="F255" s="14">
        <v>9.7240000000000002</v>
      </c>
      <c r="G255" s="14">
        <v>0.48399999999999999</v>
      </c>
    </row>
    <row r="256" spans="1:27">
      <c r="A256" s="12">
        <v>8</v>
      </c>
      <c r="B256" s="77">
        <v>39006</v>
      </c>
      <c r="C256" s="12">
        <v>2006</v>
      </c>
      <c r="D256" s="11" t="s">
        <v>36</v>
      </c>
      <c r="E256" s="12">
        <v>10</v>
      </c>
      <c r="F256" s="14">
        <v>3.0350000000000001</v>
      </c>
      <c r="G256" s="14">
        <v>0.29599999999999999</v>
      </c>
    </row>
    <row r="257" spans="1:27">
      <c r="A257" s="12">
        <v>15</v>
      </c>
      <c r="B257" s="77">
        <v>39006</v>
      </c>
      <c r="C257" s="12">
        <v>2006</v>
      </c>
      <c r="D257" s="11" t="s">
        <v>36</v>
      </c>
      <c r="E257" s="12">
        <v>10</v>
      </c>
      <c r="F257" s="14">
        <v>8.3379999999999992</v>
      </c>
      <c r="G257" s="14">
        <v>0.47499999999999998</v>
      </c>
      <c r="I257" s="18">
        <f>AVERAGE(F255:F257)</f>
        <v>7.0323333333333338</v>
      </c>
      <c r="J257" s="18">
        <f>AVERAGE(G255:G257)</f>
        <v>0.41833333333333328</v>
      </c>
      <c r="L257">
        <f>+J257/I257</f>
        <v>5.9487130871687909E-2</v>
      </c>
      <c r="M257">
        <f>+(L257-$L$927)/$L$928</f>
        <v>0.64837010357260616</v>
      </c>
      <c r="N257">
        <f>+N254+M257</f>
        <v>-4.2756035611587926</v>
      </c>
      <c r="Z257">
        <f>+(I257-$F$927)/$F$928</f>
        <v>0.75845677959798696</v>
      </c>
      <c r="AA257">
        <f>+AA254+Z257</f>
        <v>11.662025266617231</v>
      </c>
    </row>
    <row r="258" spans="1:27">
      <c r="A258" s="12">
        <v>6</v>
      </c>
      <c r="B258" s="77">
        <v>39035</v>
      </c>
      <c r="C258" s="12">
        <v>2006</v>
      </c>
      <c r="D258" s="11" t="s">
        <v>37</v>
      </c>
      <c r="E258" s="12">
        <v>11</v>
      </c>
      <c r="F258" s="14">
        <v>11.513999999999999</v>
      </c>
      <c r="G258" s="14">
        <v>0.13300000000000001</v>
      </c>
    </row>
    <row r="259" spans="1:27">
      <c r="A259" s="12">
        <v>8</v>
      </c>
      <c r="B259" s="77">
        <v>39041</v>
      </c>
      <c r="C259" s="12">
        <v>2006</v>
      </c>
      <c r="D259" s="11" t="s">
        <v>37</v>
      </c>
      <c r="E259" s="12">
        <v>11</v>
      </c>
      <c r="F259" s="14">
        <v>1.508</v>
      </c>
      <c r="G259" s="14">
        <v>8.9999999999999993E-3</v>
      </c>
    </row>
    <row r="260" spans="1:27">
      <c r="A260" s="12">
        <v>15</v>
      </c>
      <c r="B260" s="77">
        <v>39041</v>
      </c>
      <c r="C260" s="12">
        <v>2006</v>
      </c>
      <c r="D260" s="11" t="s">
        <v>37</v>
      </c>
      <c r="E260" s="12">
        <v>11</v>
      </c>
      <c r="F260" s="14">
        <v>5.242</v>
      </c>
      <c r="G260" s="14">
        <v>9.9000000000000005E-2</v>
      </c>
      <c r="I260" s="18">
        <f>AVERAGE(F258:F260)</f>
        <v>6.0880000000000001</v>
      </c>
      <c r="J260" s="18">
        <f>AVERAGE(G258:G260)</f>
        <v>8.033333333333334E-2</v>
      </c>
      <c r="L260">
        <f>+J260/I260</f>
        <v>1.3195356986421377E-2</v>
      </c>
      <c r="M260">
        <f>+(L260-$L$927)/$L$928</f>
        <v>-0.47363537422382618</v>
      </c>
      <c r="N260">
        <f>+N257+M260</f>
        <v>-4.7492389353826185</v>
      </c>
      <c r="Z260">
        <f>+(I260-$F$927)/$F$928</f>
        <v>0.49957323559253475</v>
      </c>
      <c r="AA260">
        <f>+AA257+Z260</f>
        <v>12.161598502209767</v>
      </c>
    </row>
    <row r="261" spans="1:27">
      <c r="A261" s="12">
        <v>6</v>
      </c>
      <c r="B261" s="78">
        <v>39063</v>
      </c>
      <c r="C261" s="15">
        <v>2006</v>
      </c>
      <c r="D261" s="11" t="s">
        <v>38</v>
      </c>
      <c r="E261" s="15">
        <v>12</v>
      </c>
      <c r="F261" s="14">
        <v>7.4880000000000004</v>
      </c>
      <c r="G261" s="14">
        <v>0.151</v>
      </c>
    </row>
    <row r="262" spans="1:27">
      <c r="A262" s="12">
        <v>8</v>
      </c>
      <c r="B262" s="78">
        <v>39062</v>
      </c>
      <c r="C262" s="15">
        <v>2006</v>
      </c>
      <c r="D262" s="11" t="s">
        <v>38</v>
      </c>
      <c r="E262" s="15">
        <v>12</v>
      </c>
      <c r="F262" s="14">
        <v>3.0649999999999999</v>
      </c>
      <c r="G262" s="14">
        <v>2.5000000000000001E-2</v>
      </c>
    </row>
    <row r="263" spans="1:27">
      <c r="A263" s="12">
        <v>15</v>
      </c>
      <c r="B263" s="78">
        <v>39062</v>
      </c>
      <c r="C263" s="15">
        <v>2006</v>
      </c>
      <c r="D263" s="11" t="s">
        <v>38</v>
      </c>
      <c r="E263" s="15">
        <v>12</v>
      </c>
      <c r="F263" s="14">
        <v>6.2370000000000001</v>
      </c>
      <c r="G263" s="14">
        <v>0.1</v>
      </c>
      <c r="I263" s="18">
        <f>AVERAGE(F261:F263)</f>
        <v>5.5966666666666667</v>
      </c>
      <c r="J263" s="18">
        <f>AVERAGE(G261:G263)</f>
        <v>9.2000000000000012E-2</v>
      </c>
      <c r="L263">
        <f>+J263/I263</f>
        <v>1.6438356164383564E-2</v>
      </c>
      <c r="M263">
        <f>+(L263-$L$927)/$L$928</f>
        <v>-0.3950325785914689</v>
      </c>
      <c r="N263">
        <f>+N260+M263</f>
        <v>-5.1442715139740871</v>
      </c>
      <c r="Z263">
        <f>+(I263-$F$927)/$F$928</f>
        <v>0.36487703232249008</v>
      </c>
      <c r="AA263">
        <f>+AA260+Z263</f>
        <v>12.526475534532256</v>
      </c>
    </row>
    <row r="264" spans="1:27">
      <c r="A264" s="15">
        <v>6</v>
      </c>
      <c r="B264" s="78">
        <v>39100</v>
      </c>
      <c r="C264" s="15">
        <v>2007</v>
      </c>
      <c r="D264" s="11" t="s">
        <v>39</v>
      </c>
      <c r="E264" s="15">
        <v>1</v>
      </c>
      <c r="F264" s="14">
        <v>17.344999999999999</v>
      </c>
      <c r="G264" s="14">
        <v>0.48599999999999999</v>
      </c>
    </row>
    <row r="265" spans="1:27">
      <c r="A265" s="15">
        <v>8</v>
      </c>
      <c r="B265" s="78">
        <v>39100</v>
      </c>
      <c r="C265" s="15">
        <v>2007</v>
      </c>
      <c r="D265" s="11" t="s">
        <v>39</v>
      </c>
      <c r="E265" s="15">
        <v>1</v>
      </c>
      <c r="F265" s="14">
        <v>1.1359999999999999</v>
      </c>
      <c r="G265" s="14">
        <v>8.9999999999999993E-3</v>
      </c>
    </row>
    <row r="266" spans="1:27">
      <c r="A266" s="15">
        <v>15</v>
      </c>
      <c r="B266" s="78">
        <v>39100</v>
      </c>
      <c r="C266" s="15">
        <v>2007</v>
      </c>
      <c r="D266" s="11" t="s">
        <v>39</v>
      </c>
      <c r="E266" s="15">
        <v>1</v>
      </c>
      <c r="F266" s="14">
        <v>5.3250000000000002</v>
      </c>
      <c r="G266" s="14">
        <v>4.4999999999999998E-2</v>
      </c>
      <c r="I266" s="18">
        <f>AVERAGE(F264:F266)</f>
        <v>7.9353333333333325</v>
      </c>
      <c r="J266" s="18">
        <f>AVERAGE(G264:G266)</f>
        <v>0.18000000000000002</v>
      </c>
      <c r="L266">
        <f>+J266/I266</f>
        <v>2.268335713685626E-2</v>
      </c>
      <c r="M266">
        <f>+(L266-$L$927)/$L$928</f>
        <v>-0.24366820622317356</v>
      </c>
      <c r="N266">
        <f>+N263+M266</f>
        <v>-5.3879397201972603</v>
      </c>
      <c r="Z266">
        <f>+(I266-$F$927)/$F$928</f>
        <v>1.0060090283486995</v>
      </c>
      <c r="AA266">
        <f>+AA263+Z266</f>
        <v>13.532484562880956</v>
      </c>
    </row>
    <row r="267" spans="1:27">
      <c r="A267" s="15">
        <v>6</v>
      </c>
      <c r="B267" s="78">
        <v>39134</v>
      </c>
      <c r="C267" s="15">
        <v>2007</v>
      </c>
      <c r="D267" s="11" t="s">
        <v>28</v>
      </c>
      <c r="E267" s="15">
        <v>2</v>
      </c>
      <c r="F267" s="14">
        <v>4.9550000000000001</v>
      </c>
      <c r="G267" s="14">
        <v>4.7E-2</v>
      </c>
    </row>
    <row r="268" spans="1:27">
      <c r="A268" s="15">
        <v>8</v>
      </c>
      <c r="B268" s="78">
        <v>39135</v>
      </c>
      <c r="C268" s="15">
        <v>2007</v>
      </c>
      <c r="D268" s="11" t="s">
        <v>28</v>
      </c>
      <c r="E268" s="15">
        <v>2</v>
      </c>
      <c r="F268" s="14">
        <v>3.0470000000000002</v>
      </c>
      <c r="G268" s="14">
        <v>1.4E-2</v>
      </c>
    </row>
    <row r="269" spans="1:27">
      <c r="A269" s="15">
        <v>15</v>
      </c>
      <c r="B269" s="78">
        <v>39135</v>
      </c>
      <c r="C269" s="15">
        <v>2007</v>
      </c>
      <c r="D269" s="11" t="s">
        <v>28</v>
      </c>
      <c r="E269" s="15">
        <v>2</v>
      </c>
      <c r="F269" s="14">
        <v>3.0609999999999999</v>
      </c>
      <c r="G269" s="14">
        <v>2.9000000000000001E-2</v>
      </c>
      <c r="I269" s="18">
        <f>AVERAGE(F267:F269)</f>
        <v>3.6876666666666669</v>
      </c>
      <c r="J269" s="18">
        <f>AVERAGE(G267:G269)</f>
        <v>0.03</v>
      </c>
      <c r="L269">
        <f>+J269/I269</f>
        <v>8.1352255265298729E-3</v>
      </c>
      <c r="M269">
        <f>+(L269-$L$927)/$L$928</f>
        <v>-0.59628125144684885</v>
      </c>
      <c r="N269">
        <f>+N266+M269</f>
        <v>-5.9842209716441088</v>
      </c>
      <c r="Z269">
        <f>+(I269-$F$927)/$F$928</f>
        <v>-0.15846432190243906</v>
      </c>
      <c r="AA269">
        <f>+AA266+Z269</f>
        <v>13.374020240978517</v>
      </c>
    </row>
    <row r="270" spans="1:27">
      <c r="A270" s="15">
        <v>6</v>
      </c>
      <c r="B270" s="78">
        <v>39154</v>
      </c>
      <c r="C270" s="15">
        <v>2007</v>
      </c>
      <c r="D270" s="11" t="s">
        <v>29</v>
      </c>
      <c r="E270" s="15">
        <v>3</v>
      </c>
      <c r="F270" s="14">
        <v>2.3919999999999999</v>
      </c>
      <c r="G270" s="14">
        <v>1.7999999999999999E-2</v>
      </c>
    </row>
    <row r="271" spans="1:27">
      <c r="A271" s="15">
        <v>8</v>
      </c>
      <c r="B271" s="78">
        <v>39153</v>
      </c>
      <c r="C271" s="15">
        <v>2007</v>
      </c>
      <c r="D271" s="11" t="s">
        <v>29</v>
      </c>
      <c r="E271" s="15">
        <v>3</v>
      </c>
      <c r="F271" s="14">
        <v>1.5880000000000001</v>
      </c>
      <c r="G271" s="14">
        <v>0.03</v>
      </c>
    </row>
    <row r="272" spans="1:27">
      <c r="A272" s="15">
        <v>15</v>
      </c>
      <c r="B272" s="78">
        <v>39153</v>
      </c>
      <c r="C272" s="15">
        <v>2007</v>
      </c>
      <c r="D272" s="11" t="s">
        <v>29</v>
      </c>
      <c r="E272" s="15">
        <v>3</v>
      </c>
      <c r="F272" s="14">
        <v>1.9370000000000001</v>
      </c>
      <c r="G272" s="14">
        <v>2.8000000000000001E-2</v>
      </c>
      <c r="I272" s="18">
        <f>AVERAGE(F270:F272)</f>
        <v>1.9723333333333333</v>
      </c>
      <c r="J272" s="18">
        <f>AVERAGE(G270:G272)</f>
        <v>2.5333333333333333E-2</v>
      </c>
      <c r="L272">
        <f>+J272/I272</f>
        <v>1.2844346797363529E-2</v>
      </c>
      <c r="M272">
        <f>+(L272-$L$927)/$L$928</f>
        <v>-0.48214304895371196</v>
      </c>
      <c r="N272">
        <f>+N269+M272</f>
        <v>-6.4663640205978208</v>
      </c>
      <c r="Z272">
        <f>+(I272-$F$927)/$F$928</f>
        <v>-0.62871307497411466</v>
      </c>
      <c r="AA272">
        <f>+AA269+Z272</f>
        <v>12.745307166004402</v>
      </c>
    </row>
    <row r="273" spans="1:27">
      <c r="A273" s="15">
        <v>6</v>
      </c>
      <c r="B273" s="78">
        <v>39190</v>
      </c>
      <c r="C273" s="15">
        <v>2007</v>
      </c>
      <c r="D273" s="11" t="s">
        <v>30</v>
      </c>
      <c r="E273" s="15">
        <v>4</v>
      </c>
      <c r="F273" s="14">
        <v>5.9420000000000002</v>
      </c>
      <c r="G273" s="14">
        <v>3.5999999999999997E-2</v>
      </c>
    </row>
    <row r="274" spans="1:27">
      <c r="A274" s="15">
        <v>8</v>
      </c>
      <c r="B274" s="78">
        <v>39191</v>
      </c>
      <c r="C274" s="15">
        <v>2007</v>
      </c>
      <c r="D274" s="11" t="s">
        <v>30</v>
      </c>
      <c r="E274" s="15">
        <v>4</v>
      </c>
      <c r="F274" s="14">
        <v>2.1269999999999998</v>
      </c>
      <c r="G274" s="14">
        <v>8.0000000000000002E-3</v>
      </c>
    </row>
    <row r="275" spans="1:27">
      <c r="A275" s="15">
        <v>15</v>
      </c>
      <c r="B275" s="78">
        <v>39191</v>
      </c>
      <c r="C275" s="15">
        <v>2007</v>
      </c>
      <c r="D275" s="11" t="s">
        <v>30</v>
      </c>
      <c r="E275" s="15">
        <v>4</v>
      </c>
      <c r="F275" s="14">
        <v>4.8029999999999999</v>
      </c>
      <c r="G275" s="14">
        <v>0.02</v>
      </c>
      <c r="I275" s="18">
        <f>AVERAGE(F273:F275)</f>
        <v>4.2906666666666666</v>
      </c>
      <c r="J275" s="18">
        <f>AVERAGE(G273:G275)</f>
        <v>2.1333333333333333E-2</v>
      </c>
      <c r="L275">
        <f>+J275/I275</f>
        <v>4.972032318210068E-3</v>
      </c>
      <c r="M275">
        <f>+(L275-$L$927)/$L$928</f>
        <v>-0.67294973504956701</v>
      </c>
      <c r="N275">
        <f>+N272+M275</f>
        <v>-7.1393137556473878</v>
      </c>
      <c r="Z275">
        <f>+(I275-$F$927)/$F$928</f>
        <v>6.8446548380701926E-3</v>
      </c>
      <c r="AA275">
        <f>+AA272+Z275</f>
        <v>12.752151820842473</v>
      </c>
    </row>
    <row r="276" spans="1:27">
      <c r="A276" s="15">
        <v>6</v>
      </c>
      <c r="B276" s="78">
        <v>39217</v>
      </c>
      <c r="C276" s="15">
        <v>2007</v>
      </c>
      <c r="D276" s="11" t="s">
        <v>31</v>
      </c>
      <c r="E276" s="15">
        <v>5</v>
      </c>
      <c r="F276" s="14">
        <v>9.2240000000000002</v>
      </c>
      <c r="G276" s="14">
        <v>0.16800000000000001</v>
      </c>
    </row>
    <row r="277" spans="1:27">
      <c r="A277" s="15">
        <v>8</v>
      </c>
      <c r="B277" s="78">
        <v>39216</v>
      </c>
      <c r="C277" s="15">
        <v>2007</v>
      </c>
      <c r="D277" s="11" t="s">
        <v>31</v>
      </c>
      <c r="E277" s="15">
        <v>5</v>
      </c>
      <c r="F277" s="14">
        <v>17.225000000000001</v>
      </c>
      <c r="G277" s="14">
        <v>0.19900000000000001</v>
      </c>
    </row>
    <row r="278" spans="1:27">
      <c r="A278" s="15">
        <v>15</v>
      </c>
      <c r="B278" s="78">
        <v>39216</v>
      </c>
      <c r="C278" s="15">
        <v>2007</v>
      </c>
      <c r="D278" s="11" t="s">
        <v>31</v>
      </c>
      <c r="E278" s="15">
        <v>5</v>
      </c>
      <c r="F278" s="14">
        <v>9.6329999999999991</v>
      </c>
      <c r="G278" s="14">
        <v>0.17499999999999999</v>
      </c>
      <c r="I278" s="18">
        <f>AVERAGE(F276:F278)</f>
        <v>12.027333333333333</v>
      </c>
      <c r="J278" s="18">
        <f>AVERAGE(G276:G278)</f>
        <v>0.18066666666666667</v>
      </c>
      <c r="L278">
        <f>+J278/I278</f>
        <v>1.5021340280472258E-2</v>
      </c>
      <c r="M278">
        <f>+(L278-$L$927)/$L$928</f>
        <v>-0.429377764580962</v>
      </c>
      <c r="N278">
        <f>+N275+M278</f>
        <v>-7.5686915202283496</v>
      </c>
      <c r="Z278">
        <f>+(I278-$F$927)/$F$928</f>
        <v>2.1278072585678776</v>
      </c>
      <c r="AA278">
        <f>+AA275+Z278</f>
        <v>14.87995907941035</v>
      </c>
    </row>
    <row r="279" spans="1:27">
      <c r="A279" s="15">
        <v>6</v>
      </c>
      <c r="B279" s="78">
        <v>39246</v>
      </c>
      <c r="C279" s="15">
        <v>2007</v>
      </c>
      <c r="D279" s="11" t="s">
        <v>32</v>
      </c>
      <c r="E279" s="15">
        <v>6</v>
      </c>
      <c r="F279" s="14">
        <v>24.803000000000001</v>
      </c>
      <c r="G279" s="14">
        <v>0.34100000000000003</v>
      </c>
    </row>
    <row r="280" spans="1:27">
      <c r="A280" s="15">
        <v>8</v>
      </c>
      <c r="B280" s="78">
        <v>39248</v>
      </c>
      <c r="C280" s="15">
        <v>2007</v>
      </c>
      <c r="D280" s="11" t="s">
        <v>32</v>
      </c>
      <c r="E280" s="15">
        <v>6</v>
      </c>
      <c r="F280" s="14">
        <v>12.871</v>
      </c>
      <c r="G280" s="14">
        <v>0.20799999999999999</v>
      </c>
    </row>
    <row r="281" spans="1:27">
      <c r="A281" s="15">
        <v>15</v>
      </c>
      <c r="B281" s="78">
        <v>39248</v>
      </c>
      <c r="C281" s="15">
        <v>2007</v>
      </c>
      <c r="D281" s="11" t="s">
        <v>32</v>
      </c>
      <c r="E281" s="15">
        <v>6</v>
      </c>
      <c r="F281" s="14">
        <v>18.126999999999999</v>
      </c>
      <c r="G281" s="14">
        <v>0.218</v>
      </c>
      <c r="I281" s="18">
        <f>AVERAGE(F279:F281)</f>
        <v>18.600333333333335</v>
      </c>
      <c r="J281" s="18">
        <f>AVERAGE(G279:G281)</f>
        <v>0.25566666666666665</v>
      </c>
      <c r="L281">
        <f>+J281/I281</f>
        <v>1.374527338219745E-2</v>
      </c>
      <c r="M281">
        <f>+(L281-$L$927)/$L$928</f>
        <v>-0.4603066733207225</v>
      </c>
      <c r="N281">
        <f>+N278+M281</f>
        <v>-8.0289981935490715</v>
      </c>
      <c r="Z281">
        <f>+(I281-$F$927)/$F$928</f>
        <v>3.9297573483114396</v>
      </c>
      <c r="AA281">
        <f>+AA278+Z281</f>
        <v>18.809716427721789</v>
      </c>
    </row>
    <row r="282" spans="1:27">
      <c r="A282" s="15">
        <v>6</v>
      </c>
      <c r="B282" s="78">
        <v>39280</v>
      </c>
      <c r="C282" s="15">
        <v>2007</v>
      </c>
      <c r="D282" s="11" t="s">
        <v>33</v>
      </c>
      <c r="E282" s="15">
        <v>7</v>
      </c>
      <c r="F282" s="14">
        <v>13.331</v>
      </c>
      <c r="G282" s="14">
        <v>1.8049999999999999</v>
      </c>
    </row>
    <row r="283" spans="1:27">
      <c r="A283" s="15">
        <v>8</v>
      </c>
      <c r="B283" s="78">
        <v>39279</v>
      </c>
      <c r="C283" s="15">
        <v>2007</v>
      </c>
      <c r="D283" s="11" t="s">
        <v>33</v>
      </c>
      <c r="E283" s="15">
        <v>7</v>
      </c>
      <c r="F283" s="14">
        <v>6.2880000000000003</v>
      </c>
      <c r="G283" s="14">
        <v>4.5999999999999999E-2</v>
      </c>
    </row>
    <row r="284" spans="1:27">
      <c r="A284" s="15">
        <v>15</v>
      </c>
      <c r="B284" s="78">
        <v>39279</v>
      </c>
      <c r="C284" s="15">
        <v>2007</v>
      </c>
      <c r="D284" s="11" t="s">
        <v>33</v>
      </c>
      <c r="E284" s="15">
        <v>7</v>
      </c>
      <c r="F284" s="14">
        <v>4.6980000000000004</v>
      </c>
      <c r="G284" s="14">
        <v>0.20899999999999999</v>
      </c>
      <c r="I284" s="18">
        <f>AVERAGE(F282:F284)</f>
        <v>8.1056666666666661</v>
      </c>
      <c r="J284" s="18">
        <f>AVERAGE(G282:G284)</f>
        <v>0.68666666666666665</v>
      </c>
      <c r="L284">
        <f>+J284/I284</f>
        <v>8.4714397335197603E-2</v>
      </c>
      <c r="M284">
        <f>+(L284-$L$927)/$L$928</f>
        <v>1.2598206656539372</v>
      </c>
      <c r="N284">
        <f>+N281+M284</f>
        <v>-6.7691775278951347</v>
      </c>
      <c r="Z284">
        <f>+(I284-$F$927)/$F$928</f>
        <v>1.0527049305678264</v>
      </c>
      <c r="AA284">
        <f>+AA281+Z284</f>
        <v>19.862421358289616</v>
      </c>
    </row>
    <row r="285" spans="1:27">
      <c r="A285" s="15">
        <v>6</v>
      </c>
      <c r="B285" s="78">
        <v>39308</v>
      </c>
      <c r="C285" s="15">
        <v>2007</v>
      </c>
      <c r="D285" s="11" t="s">
        <v>34</v>
      </c>
      <c r="E285" s="15">
        <v>8</v>
      </c>
      <c r="F285" s="14">
        <v>15.651999999999999</v>
      </c>
      <c r="G285" s="14">
        <v>2.359</v>
      </c>
    </row>
    <row r="286" spans="1:27">
      <c r="A286" s="15">
        <v>8</v>
      </c>
      <c r="B286" s="78">
        <v>39308</v>
      </c>
      <c r="C286" s="15">
        <v>2007</v>
      </c>
      <c r="D286" s="11" t="s">
        <v>34</v>
      </c>
      <c r="E286" s="15">
        <v>8</v>
      </c>
      <c r="F286" s="14">
        <v>10.67</v>
      </c>
      <c r="G286" s="14">
        <v>0.17799999999999999</v>
      </c>
    </row>
    <row r="287" spans="1:27">
      <c r="A287" s="15">
        <v>15</v>
      </c>
      <c r="B287" s="78">
        <v>39308</v>
      </c>
      <c r="C287" s="15">
        <v>2007</v>
      </c>
      <c r="D287" s="11" t="s">
        <v>34</v>
      </c>
      <c r="E287" s="15">
        <v>8</v>
      </c>
      <c r="F287" s="14">
        <v>9.2789999999999999</v>
      </c>
      <c r="G287" s="14">
        <v>1.653</v>
      </c>
      <c r="I287" s="18">
        <f>AVERAGE(F285:F287)</f>
        <v>11.866999999999999</v>
      </c>
      <c r="J287" s="18">
        <f>AVERAGE(G285:G287)</f>
        <v>1.3966666666666665</v>
      </c>
      <c r="L287">
        <f>+J287/I287</f>
        <v>0.11769332322125782</v>
      </c>
      <c r="M287">
        <f>+(L287-$L$927)/$L$928</f>
        <v>2.0591535144601281</v>
      </c>
      <c r="N287">
        <f>+N284+M287</f>
        <v>-4.7100240134350067</v>
      </c>
      <c r="Z287">
        <f>+(I287-$F$927)/$F$928</f>
        <v>2.0838527987490907</v>
      </c>
      <c r="AA287">
        <f>+AA284+Z287</f>
        <v>21.946274157038708</v>
      </c>
    </row>
    <row r="288" spans="1:27">
      <c r="A288" s="15">
        <v>6</v>
      </c>
      <c r="B288" s="78">
        <v>39336</v>
      </c>
      <c r="C288" s="15">
        <v>2007</v>
      </c>
      <c r="D288" s="11" t="s">
        <v>40</v>
      </c>
      <c r="E288" s="15">
        <v>9</v>
      </c>
      <c r="F288" s="14">
        <v>12.808</v>
      </c>
      <c r="G288" s="14">
        <v>2.0089999999999999</v>
      </c>
    </row>
    <row r="289" spans="1:27">
      <c r="A289" s="15">
        <v>8</v>
      </c>
      <c r="B289" s="78">
        <v>39335</v>
      </c>
      <c r="C289" s="15">
        <v>2007</v>
      </c>
      <c r="D289" s="11" t="s">
        <v>40</v>
      </c>
      <c r="E289" s="15">
        <v>9</v>
      </c>
      <c r="F289" s="14">
        <v>5.8520000000000003</v>
      </c>
      <c r="G289" s="14">
        <v>6.3E-2</v>
      </c>
    </row>
    <row r="290" spans="1:27">
      <c r="A290" s="15">
        <v>15</v>
      </c>
      <c r="B290" s="78">
        <v>39335</v>
      </c>
      <c r="C290" s="15">
        <v>2007</v>
      </c>
      <c r="D290" s="11" t="s">
        <v>40</v>
      </c>
      <c r="E290" s="15">
        <v>9</v>
      </c>
      <c r="F290" s="14">
        <v>8.2789999999999999</v>
      </c>
      <c r="G290" s="14">
        <v>1.1559999999999999</v>
      </c>
      <c r="I290" s="18">
        <f>AVERAGE(F288:F290)</f>
        <v>8.9796666666666667</v>
      </c>
      <c r="J290" s="18">
        <f>AVERAGE(G288:G290)</f>
        <v>1.0759999999999998</v>
      </c>
      <c r="L290">
        <f>+J290/I290</f>
        <v>0.11982627417498792</v>
      </c>
      <c r="M290">
        <f>+(L290-$L$927)/$L$928</f>
        <v>2.1108513098370727</v>
      </c>
      <c r="N290">
        <f>+N287+M290</f>
        <v>-2.599172703597934</v>
      </c>
      <c r="Z290">
        <f>+(I290-$F$927)/$F$928</f>
        <v>1.2923069963575531</v>
      </c>
      <c r="AA290">
        <f>+AA287+Z290</f>
        <v>23.238581153396261</v>
      </c>
    </row>
    <row r="291" spans="1:27">
      <c r="A291" s="15">
        <v>6</v>
      </c>
      <c r="B291" s="78">
        <v>39370</v>
      </c>
      <c r="C291" s="15">
        <v>2007</v>
      </c>
      <c r="D291" s="11" t="s">
        <v>36</v>
      </c>
      <c r="E291" s="15">
        <v>10</v>
      </c>
      <c r="F291" s="14">
        <v>7.6589999999999998</v>
      </c>
      <c r="G291" s="14">
        <v>1.6639999999999999</v>
      </c>
    </row>
    <row r="292" spans="1:27">
      <c r="A292" s="15">
        <v>8</v>
      </c>
      <c r="B292" s="78">
        <v>39370</v>
      </c>
      <c r="C292" s="15">
        <v>2007</v>
      </c>
      <c r="D292" s="11" t="s">
        <v>36</v>
      </c>
      <c r="E292" s="15">
        <v>10</v>
      </c>
      <c r="F292" s="14">
        <v>1.9419999999999999</v>
      </c>
      <c r="G292" s="14">
        <v>1.2E-2</v>
      </c>
    </row>
    <row r="293" spans="1:27">
      <c r="A293" s="15">
        <v>15</v>
      </c>
      <c r="B293" s="78">
        <v>39370</v>
      </c>
      <c r="C293" s="15">
        <v>2007</v>
      </c>
      <c r="D293" s="11" t="s">
        <v>36</v>
      </c>
      <c r="E293" s="15">
        <v>10</v>
      </c>
      <c r="F293" s="14">
        <v>6.4880000000000004</v>
      </c>
      <c r="G293" s="14">
        <v>0.41199999999999998</v>
      </c>
      <c r="I293" s="18">
        <f>AVERAGE(F291:F293)</f>
        <v>5.3629999999999995</v>
      </c>
      <c r="J293" s="18">
        <f>AVERAGE(G291:G293)</f>
        <v>0.69600000000000006</v>
      </c>
      <c r="L293">
        <f>+J293/I293</f>
        <v>0.12977810926720121</v>
      </c>
      <c r="M293">
        <f>+(L293-$L$927)/$L$928</f>
        <v>2.3520607634921622</v>
      </c>
      <c r="N293">
        <f>+N290+M293</f>
        <v>-0.24711194010577175</v>
      </c>
      <c r="Z293">
        <f>+(I293-$F$927)/$F$928</f>
        <v>0.30081866156787579</v>
      </c>
      <c r="AA293">
        <f>+AA290+Z293</f>
        <v>23.539399814964138</v>
      </c>
    </row>
    <row r="294" spans="1:27">
      <c r="A294" s="15">
        <v>6</v>
      </c>
      <c r="B294" s="78">
        <v>39400</v>
      </c>
      <c r="C294" s="15">
        <v>2007</v>
      </c>
      <c r="D294" s="11" t="s">
        <v>37</v>
      </c>
      <c r="E294" s="15">
        <v>11</v>
      </c>
      <c r="F294" s="14">
        <v>4.7519999999999998</v>
      </c>
      <c r="G294" s="14">
        <v>6.4000000000000001E-2</v>
      </c>
    </row>
    <row r="295" spans="1:27">
      <c r="A295" s="15">
        <v>8</v>
      </c>
      <c r="B295" s="78">
        <v>39400</v>
      </c>
      <c r="C295" s="15">
        <v>2007</v>
      </c>
      <c r="D295" s="11" t="s">
        <v>37</v>
      </c>
      <c r="E295" s="15">
        <v>11</v>
      </c>
      <c r="F295" s="14">
        <v>0.77700000000000002</v>
      </c>
      <c r="G295" s="14">
        <v>3.0000000000000001E-3</v>
      </c>
    </row>
    <row r="296" spans="1:27">
      <c r="A296" s="15">
        <v>15</v>
      </c>
      <c r="B296" s="78">
        <v>39400</v>
      </c>
      <c r="C296" s="15">
        <v>2007</v>
      </c>
      <c r="D296" s="11" t="s">
        <v>37</v>
      </c>
      <c r="E296" s="15">
        <v>11</v>
      </c>
      <c r="F296" s="14">
        <v>5.4020000000000001</v>
      </c>
      <c r="G296" s="14">
        <v>2.1999999999999999E-2</v>
      </c>
      <c r="I296" s="18">
        <f>AVERAGE(F294:F296)</f>
        <v>3.6436666666666668</v>
      </c>
      <c r="J296" s="18">
        <f>AVERAGE(G294:G296)</f>
        <v>2.9666666666666664E-2</v>
      </c>
      <c r="L296">
        <f>+J296/I296</f>
        <v>8.1419815204464355E-3</v>
      </c>
      <c r="M296">
        <f>+(L296-$L$927)/$L$928</f>
        <v>-0.59611750178797573</v>
      </c>
      <c r="N296">
        <f>+N293+M296</f>
        <v>-0.84322944189374749</v>
      </c>
      <c r="Z296">
        <f>+(I296-$F$927)/$F$928</f>
        <v>-0.1705266684639356</v>
      </c>
      <c r="AA296">
        <f>+AA293+Z296</f>
        <v>23.368873146500203</v>
      </c>
    </row>
    <row r="297" spans="1:27">
      <c r="A297" s="15">
        <v>6</v>
      </c>
      <c r="B297" s="78">
        <v>39427</v>
      </c>
      <c r="C297" s="15">
        <v>2007</v>
      </c>
      <c r="D297" s="11" t="s">
        <v>38</v>
      </c>
      <c r="E297" s="15">
        <v>12</v>
      </c>
      <c r="F297" s="14">
        <v>2.9740000000000002</v>
      </c>
      <c r="G297" s="14">
        <v>0.02</v>
      </c>
    </row>
    <row r="298" spans="1:27">
      <c r="A298" s="15">
        <v>8</v>
      </c>
      <c r="B298" s="78">
        <v>39434</v>
      </c>
      <c r="C298" s="15">
        <v>2007</v>
      </c>
      <c r="D298" s="11" t="s">
        <v>38</v>
      </c>
      <c r="E298" s="15">
        <v>12</v>
      </c>
      <c r="F298" s="14">
        <v>5.484</v>
      </c>
      <c r="G298" s="14">
        <v>1.2999999999999999E-2</v>
      </c>
    </row>
    <row r="299" spans="1:27">
      <c r="A299" s="15">
        <v>15</v>
      </c>
      <c r="B299" s="78">
        <v>39434</v>
      </c>
      <c r="C299" s="15">
        <v>2007</v>
      </c>
      <c r="D299" s="11" t="s">
        <v>38</v>
      </c>
      <c r="E299" s="15">
        <v>12</v>
      </c>
      <c r="F299" s="14">
        <v>8.7189999999999994</v>
      </c>
      <c r="G299" s="14">
        <v>6.4000000000000001E-2</v>
      </c>
      <c r="I299" s="18">
        <f>AVERAGE(F297:F299)</f>
        <v>5.7256666666666662</v>
      </c>
      <c r="J299" s="18">
        <f>AVERAGE(G297:G299)</f>
        <v>3.2333333333333332E-2</v>
      </c>
      <c r="L299">
        <f>+J299/I299</f>
        <v>5.6470862199452755E-3</v>
      </c>
      <c r="M299">
        <f>+(L299-$L$927)/$L$928</f>
        <v>-0.65658799057565687</v>
      </c>
      <c r="N299">
        <f>+N296+M299</f>
        <v>-1.4998174324694045</v>
      </c>
      <c r="Z299">
        <f>+(I299-$F$927)/$F$928</f>
        <v>0.4002416392868775</v>
      </c>
      <c r="AA299">
        <f>+AA296+Z299</f>
        <v>23.769114785787082</v>
      </c>
    </row>
    <row r="300" spans="1:27">
      <c r="A300" s="15">
        <v>6</v>
      </c>
      <c r="B300" s="78">
        <v>39462</v>
      </c>
      <c r="C300" s="15">
        <v>2008</v>
      </c>
      <c r="D300" s="11" t="s">
        <v>39</v>
      </c>
      <c r="E300" s="15">
        <v>1</v>
      </c>
      <c r="F300" s="23">
        <v>4.6150000000000002</v>
      </c>
      <c r="G300" s="23">
        <v>8.7999999999999995E-2</v>
      </c>
    </row>
    <row r="301" spans="1:27">
      <c r="A301" s="15">
        <v>8</v>
      </c>
      <c r="B301" s="78">
        <v>39463</v>
      </c>
      <c r="C301" s="15">
        <v>2008</v>
      </c>
      <c r="D301" s="11" t="s">
        <v>39</v>
      </c>
      <c r="E301" s="15">
        <v>1</v>
      </c>
      <c r="F301" s="23">
        <v>1.212</v>
      </c>
      <c r="G301" s="23">
        <v>0.01</v>
      </c>
    </row>
    <row r="302" spans="1:27">
      <c r="A302" s="15">
        <v>15</v>
      </c>
      <c r="B302" s="78">
        <v>39463</v>
      </c>
      <c r="C302" s="15">
        <v>2008</v>
      </c>
      <c r="D302" s="11" t="s">
        <v>39</v>
      </c>
      <c r="E302" s="15">
        <v>1</v>
      </c>
      <c r="F302" s="23">
        <v>5.5389999999999997</v>
      </c>
      <c r="G302" s="23">
        <v>0.106</v>
      </c>
      <c r="I302" s="18">
        <f>AVERAGE(F300:F302)</f>
        <v>3.7886666666666664</v>
      </c>
      <c r="J302" s="18">
        <f>AVERAGE(G300:G302)</f>
        <v>6.7999999999999991E-2</v>
      </c>
      <c r="L302">
        <f>+J302/I302</f>
        <v>1.7948266760513813E-2</v>
      </c>
      <c r="M302">
        <f>+(L302-$L$927)/$L$928</f>
        <v>-0.35843583974020155</v>
      </c>
      <c r="N302">
        <f>+N299+M302</f>
        <v>-1.8582532722096059</v>
      </c>
      <c r="Z302">
        <f>+(I302-$F$927)/$F$928</f>
        <v>-0.13077575365900396</v>
      </c>
      <c r="AA302">
        <f>+AA299+Z302</f>
        <v>23.638339032128076</v>
      </c>
    </row>
    <row r="303" spans="1:27">
      <c r="A303" s="15">
        <v>6</v>
      </c>
      <c r="B303" s="78">
        <v>39490</v>
      </c>
      <c r="C303" s="15">
        <v>2008</v>
      </c>
      <c r="D303" s="11" t="s">
        <v>28</v>
      </c>
      <c r="E303" s="15">
        <v>2</v>
      </c>
      <c r="F303" s="23">
        <v>3.996</v>
      </c>
      <c r="G303" s="23">
        <v>0.11</v>
      </c>
    </row>
    <row r="304" spans="1:27">
      <c r="A304" s="15">
        <v>8</v>
      </c>
      <c r="B304" s="78">
        <v>39493</v>
      </c>
      <c r="C304" s="15">
        <v>2008</v>
      </c>
      <c r="D304" s="11" t="s">
        <v>28</v>
      </c>
      <c r="E304" s="15">
        <v>2</v>
      </c>
      <c r="F304" s="23">
        <v>1.27</v>
      </c>
      <c r="G304" s="23">
        <v>1.0999999999999999E-2</v>
      </c>
    </row>
    <row r="305" spans="1:27">
      <c r="A305" s="15">
        <v>15</v>
      </c>
      <c r="B305" s="78">
        <v>39493</v>
      </c>
      <c r="C305" s="15">
        <v>2008</v>
      </c>
      <c r="D305" s="11" t="s">
        <v>28</v>
      </c>
      <c r="E305" s="15">
        <v>2</v>
      </c>
      <c r="F305" s="23">
        <v>4.3520000000000003</v>
      </c>
      <c r="G305" s="23">
        <v>3.4000000000000002E-2</v>
      </c>
      <c r="I305" s="18">
        <f>AVERAGE(F303:F305)</f>
        <v>3.206</v>
      </c>
      <c r="J305" s="18">
        <f>AVERAGE(G303:G305)</f>
        <v>5.1666666666666666E-2</v>
      </c>
      <c r="L305">
        <f>+J305/I305</f>
        <v>1.6115616552297776E-2</v>
      </c>
      <c r="M305">
        <f>+(L305-$L$927)/$L$928</f>
        <v>-0.40285503995489919</v>
      </c>
      <c r="N305">
        <f>+N302+M305</f>
        <v>-2.261108312164505</v>
      </c>
      <c r="Z305">
        <f>+(I305-$F$927)/$F$928</f>
        <v>-0.29051046418548832</v>
      </c>
      <c r="AA305">
        <f>+AA302+Z305</f>
        <v>23.347828567942589</v>
      </c>
    </row>
    <row r="306" spans="1:27">
      <c r="A306" s="15">
        <v>6</v>
      </c>
      <c r="B306" s="78">
        <v>39517</v>
      </c>
      <c r="C306" s="15">
        <v>2008</v>
      </c>
      <c r="D306" s="11" t="s">
        <v>29</v>
      </c>
      <c r="E306" s="15">
        <v>3</v>
      </c>
      <c r="F306" s="24">
        <v>2.3260000000000001</v>
      </c>
      <c r="G306" s="23">
        <v>6.0999999999999999E-2</v>
      </c>
    </row>
    <row r="307" spans="1:27">
      <c r="A307" s="15">
        <v>8</v>
      </c>
      <c r="B307" s="78">
        <v>39517</v>
      </c>
      <c r="C307" s="15">
        <v>2008</v>
      </c>
      <c r="D307" s="11" t="s">
        <v>29</v>
      </c>
      <c r="E307" s="15">
        <v>3</v>
      </c>
      <c r="F307" s="24">
        <v>1.3839999999999999</v>
      </c>
      <c r="G307" s="23">
        <v>1.4E-2</v>
      </c>
    </row>
    <row r="308" spans="1:27">
      <c r="A308" s="15">
        <v>15</v>
      </c>
      <c r="B308" s="78">
        <v>39517</v>
      </c>
      <c r="C308" s="15">
        <v>2008</v>
      </c>
      <c r="D308" s="11" t="s">
        <v>29</v>
      </c>
      <c r="E308" s="15">
        <v>3</v>
      </c>
      <c r="F308" s="24">
        <v>2.589</v>
      </c>
      <c r="G308" s="23">
        <v>2.9000000000000001E-2</v>
      </c>
      <c r="I308" s="18">
        <f>AVERAGE(F306:F308)</f>
        <v>2.0996666666666663</v>
      </c>
      <c r="J308" s="18">
        <f>AVERAGE(G306:G308)</f>
        <v>3.4666666666666665E-2</v>
      </c>
      <c r="L308">
        <f>+J308/I308</f>
        <v>1.6510557231306559E-2</v>
      </c>
      <c r="M308">
        <f>+(L308-$L$927)/$L$928</f>
        <v>-0.39328259180567127</v>
      </c>
      <c r="N308">
        <f>+N305+M308</f>
        <v>-2.6543909039701763</v>
      </c>
      <c r="Z308">
        <f>+(I308-$F$927)/$F$928</f>
        <v>-0.59380537507645048</v>
      </c>
      <c r="AA308">
        <f>+AA305+Z308</f>
        <v>22.754023192866139</v>
      </c>
    </row>
    <row r="309" spans="1:27">
      <c r="A309" s="15">
        <v>6</v>
      </c>
      <c r="B309" s="78">
        <v>39553</v>
      </c>
      <c r="C309" s="15">
        <v>2008</v>
      </c>
      <c r="D309" s="11" t="s">
        <v>30</v>
      </c>
      <c r="E309" s="15">
        <v>4</v>
      </c>
      <c r="F309" s="24">
        <v>3.3140000000000001</v>
      </c>
      <c r="G309" s="23">
        <v>6.6000000000000003E-2</v>
      </c>
    </row>
    <row r="310" spans="1:27">
      <c r="A310" s="15">
        <v>8</v>
      </c>
      <c r="B310" s="78">
        <v>39552</v>
      </c>
      <c r="C310" s="15">
        <v>2008</v>
      </c>
      <c r="D310" s="11" t="s">
        <v>30</v>
      </c>
      <c r="E310" s="15">
        <v>4</v>
      </c>
      <c r="F310" s="24">
        <v>1.2050000000000001</v>
      </c>
      <c r="G310" s="23">
        <v>7.0000000000000001E-3</v>
      </c>
    </row>
    <row r="311" spans="1:27">
      <c r="A311" s="15">
        <v>15</v>
      </c>
      <c r="B311" s="78">
        <v>39552</v>
      </c>
      <c r="C311" s="15">
        <v>2008</v>
      </c>
      <c r="D311" s="11" t="s">
        <v>30</v>
      </c>
      <c r="E311" s="15">
        <v>4</v>
      </c>
      <c r="F311" s="24">
        <v>4.49</v>
      </c>
      <c r="G311" s="23">
        <v>2.8000000000000001E-2</v>
      </c>
      <c r="I311" s="18">
        <f>AVERAGE(F309:F311)</f>
        <v>3.0030000000000001</v>
      </c>
      <c r="J311" s="18">
        <f>AVERAGE(G309:G311)</f>
        <v>3.3666666666666671E-2</v>
      </c>
      <c r="L311">
        <f>+J311/I311</f>
        <v>1.1211011211011212E-2</v>
      </c>
      <c r="M311">
        <f>+(L311-$L$927)/$L$928</f>
        <v>-0.52173132395715527</v>
      </c>
      <c r="N311">
        <f>+N308+M311</f>
        <v>-3.1761222279273316</v>
      </c>
      <c r="Z311">
        <f>+(I311-$F$927)/$F$928</f>
        <v>-0.34616174491239277</v>
      </c>
      <c r="AA311">
        <f>+AA308+Z311</f>
        <v>22.407861447953746</v>
      </c>
    </row>
    <row r="312" spans="1:27">
      <c r="A312" s="15">
        <v>6</v>
      </c>
      <c r="B312" s="78">
        <v>39582</v>
      </c>
      <c r="C312" s="15">
        <v>2008</v>
      </c>
      <c r="D312" s="11" t="s">
        <v>31</v>
      </c>
      <c r="E312" s="15">
        <v>5</v>
      </c>
      <c r="F312" s="24">
        <v>2.105</v>
      </c>
      <c r="G312" s="23">
        <v>2.8000000000000001E-2</v>
      </c>
    </row>
    <row r="313" spans="1:27">
      <c r="A313" s="15">
        <v>8</v>
      </c>
      <c r="B313" s="78">
        <v>39583</v>
      </c>
      <c r="C313" s="15">
        <v>2008</v>
      </c>
      <c r="D313" s="11" t="s">
        <v>31</v>
      </c>
      <c r="E313" s="15">
        <v>5</v>
      </c>
      <c r="F313" s="24">
        <v>2.3159999999999998</v>
      </c>
      <c r="G313" s="23">
        <v>0.04</v>
      </c>
    </row>
    <row r="314" spans="1:27">
      <c r="A314" s="15">
        <v>15</v>
      </c>
      <c r="B314" s="78">
        <v>39583</v>
      </c>
      <c r="C314" s="15">
        <v>2008</v>
      </c>
      <c r="D314" s="11" t="s">
        <v>31</v>
      </c>
      <c r="E314" s="15">
        <v>5</v>
      </c>
      <c r="F314" s="24">
        <v>7.4509999999999996</v>
      </c>
      <c r="G314" s="23">
        <v>0.17699999999999999</v>
      </c>
      <c r="I314" s="18">
        <f>AVERAGE(F312:F314)</f>
        <v>3.9573333333333331</v>
      </c>
      <c r="J314" s="18">
        <f>AVERAGE(G312:G314)</f>
        <v>8.1666666666666665E-2</v>
      </c>
      <c r="L314">
        <f>+J314/I314</f>
        <v>2.0636792452830188E-2</v>
      </c>
      <c r="M314">
        <f>+(L314-$L$927)/$L$928</f>
        <v>-0.29327219832408585</v>
      </c>
      <c r="N314">
        <f>+N311+M314</f>
        <v>-3.4693944262514176</v>
      </c>
      <c r="Z314">
        <f>+(I314-$F$927)/$F$928</f>
        <v>-8.4536758506600571E-2</v>
      </c>
      <c r="AA314">
        <f>+AA311+Z314</f>
        <v>22.323324689447144</v>
      </c>
    </row>
    <row r="315" spans="1:27">
      <c r="A315" s="15">
        <v>6</v>
      </c>
      <c r="B315" s="78">
        <v>39616</v>
      </c>
      <c r="C315" s="15">
        <v>2008</v>
      </c>
      <c r="D315" s="11" t="s">
        <v>32</v>
      </c>
      <c r="E315" s="15">
        <v>6</v>
      </c>
      <c r="F315" s="24">
        <v>7.9009999999999998</v>
      </c>
      <c r="G315" s="23">
        <v>0.64800000000000002</v>
      </c>
    </row>
    <row r="316" spans="1:27">
      <c r="A316" s="15">
        <v>8</v>
      </c>
      <c r="B316" s="78">
        <v>39617</v>
      </c>
      <c r="C316" s="15">
        <v>2008</v>
      </c>
      <c r="D316" s="11" t="s">
        <v>32</v>
      </c>
      <c r="E316" s="15">
        <v>6</v>
      </c>
      <c r="F316" s="24">
        <v>2.8180000000000001</v>
      </c>
      <c r="G316" s="23">
        <v>8.9999999999999993E-3</v>
      </c>
    </row>
    <row r="317" spans="1:27">
      <c r="A317" s="15">
        <v>15</v>
      </c>
      <c r="B317" s="78">
        <v>39617</v>
      </c>
      <c r="C317" s="15">
        <v>2008</v>
      </c>
      <c r="D317" s="11" t="s">
        <v>32</v>
      </c>
      <c r="E317" s="15">
        <v>6</v>
      </c>
      <c r="F317" s="24">
        <v>4.1379999999999999</v>
      </c>
      <c r="G317" s="23">
        <v>0.39400000000000002</v>
      </c>
      <c r="I317" s="18">
        <f>AVERAGE(F315:F317)</f>
        <v>4.9523333333333328</v>
      </c>
      <c r="J317" s="18">
        <f>AVERAGE(G315:G317)</f>
        <v>0.35033333333333339</v>
      </c>
      <c r="L317">
        <f>+J317/I317</f>
        <v>7.0741064817930965E-2</v>
      </c>
      <c r="M317">
        <f>+(L317-$L$927)/$L$928</f>
        <v>0.92113942033587592</v>
      </c>
      <c r="N317">
        <f>+N314+M317</f>
        <v>-2.5482550059155415</v>
      </c>
      <c r="Z317">
        <f>+(I317-$F$927)/$F$928</f>
        <v>0.18823676032724143</v>
      </c>
      <c r="AA317">
        <f>+AA314+Z317</f>
        <v>22.511561449774387</v>
      </c>
    </row>
    <row r="318" spans="1:27">
      <c r="A318" s="15">
        <v>6</v>
      </c>
      <c r="B318" s="78">
        <v>39644</v>
      </c>
      <c r="C318" s="15">
        <v>2008</v>
      </c>
      <c r="D318" s="11" t="s">
        <v>33</v>
      </c>
      <c r="E318" s="15">
        <v>7</v>
      </c>
      <c r="F318" s="24">
        <v>6.5490000000000004</v>
      </c>
      <c r="G318" s="23">
        <v>1.1579999999999999</v>
      </c>
    </row>
    <row r="319" spans="1:27">
      <c r="A319" s="15">
        <v>8</v>
      </c>
      <c r="B319" s="78">
        <v>39645</v>
      </c>
      <c r="C319" s="15">
        <v>2008</v>
      </c>
      <c r="D319" s="11" t="s">
        <v>33</v>
      </c>
      <c r="E319" s="15">
        <v>7</v>
      </c>
      <c r="F319" s="24">
        <v>3.5419999999999998</v>
      </c>
      <c r="G319" s="23">
        <v>1.7999999999999999E-2</v>
      </c>
    </row>
    <row r="320" spans="1:27">
      <c r="A320" s="15">
        <v>15</v>
      </c>
      <c r="B320" s="78">
        <v>39645</v>
      </c>
      <c r="C320" s="15">
        <v>2008</v>
      </c>
      <c r="D320" s="11" t="s">
        <v>33</v>
      </c>
      <c r="E320" s="15">
        <v>7</v>
      </c>
      <c r="F320" s="24">
        <v>4.4009999999999998</v>
      </c>
      <c r="G320" s="23">
        <v>0.30099999999999999</v>
      </c>
      <c r="I320" s="18">
        <f>AVERAGE(F318:F320)</f>
        <v>4.8306666666666667</v>
      </c>
      <c r="J320" s="18">
        <f>AVERAGE(G318:G320)</f>
        <v>0.49233333333333329</v>
      </c>
      <c r="L320">
        <f>+J320/I320</f>
        <v>0.10191829975158707</v>
      </c>
      <c r="M320">
        <f>+(L320-$L$927)/$L$928</f>
        <v>1.6768034496471829</v>
      </c>
      <c r="N320">
        <f>+N317+M320</f>
        <v>-0.87145155626835868</v>
      </c>
      <c r="Z320">
        <f>+(I320-$F$927)/$F$928</f>
        <v>0.15488254445643676</v>
      </c>
      <c r="AA320">
        <f>+AA317+Z320</f>
        <v>22.666443994230825</v>
      </c>
    </row>
    <row r="321" spans="1:27">
      <c r="A321" s="15">
        <v>6</v>
      </c>
      <c r="B321" s="78">
        <v>39672</v>
      </c>
      <c r="C321" s="15">
        <v>2008</v>
      </c>
      <c r="D321" s="11" t="s">
        <v>34</v>
      </c>
      <c r="E321" s="15">
        <v>8</v>
      </c>
      <c r="F321" s="24">
        <v>6.8209999999999997</v>
      </c>
      <c r="G321" s="23">
        <v>1.6379999999999999</v>
      </c>
    </row>
    <row r="322" spans="1:27">
      <c r="A322" s="15">
        <v>8</v>
      </c>
      <c r="B322" s="78">
        <v>39672</v>
      </c>
      <c r="C322" s="15">
        <v>2008</v>
      </c>
      <c r="D322" s="11" t="s">
        <v>34</v>
      </c>
      <c r="E322" s="15">
        <v>8</v>
      </c>
      <c r="F322" s="24">
        <v>7.8410000000000002</v>
      </c>
      <c r="G322" s="23">
        <v>1.7000000000000001E-2</v>
      </c>
    </row>
    <row r="323" spans="1:27">
      <c r="A323" s="15">
        <v>15</v>
      </c>
      <c r="B323" s="78">
        <v>39672</v>
      </c>
      <c r="C323" s="15">
        <v>2008</v>
      </c>
      <c r="D323" s="11" t="s">
        <v>34</v>
      </c>
      <c r="E323" s="15">
        <v>8</v>
      </c>
      <c r="F323" s="24">
        <v>4.0529999999999999</v>
      </c>
      <c r="G323" s="23">
        <v>6.9000000000000006E-2</v>
      </c>
      <c r="I323" s="18">
        <f>AVERAGE(F321:F323)</f>
        <v>6.2383333333333333</v>
      </c>
      <c r="J323" s="18">
        <f>AVERAGE(G321:G323)</f>
        <v>0.57466666666666655</v>
      </c>
      <c r="L323">
        <f>+J323/I323</f>
        <v>9.2118621426663092E-2</v>
      </c>
      <c r="M323">
        <f>+(L323-$L$927)/$L$928</f>
        <v>1.4392819239337951</v>
      </c>
      <c r="N323">
        <f>+N320+M323</f>
        <v>0.56783036766543638</v>
      </c>
      <c r="Z323">
        <f>+(I323-$F$927)/$F$928</f>
        <v>0.54078625301098115</v>
      </c>
      <c r="AA323">
        <f>+AA320+Z323</f>
        <v>23.207230247241807</v>
      </c>
    </row>
    <row r="324" spans="1:27">
      <c r="A324" s="15">
        <v>6</v>
      </c>
      <c r="B324" s="78">
        <v>39709</v>
      </c>
      <c r="C324" s="15">
        <v>2008</v>
      </c>
      <c r="D324" s="11" t="s">
        <v>40</v>
      </c>
      <c r="E324" s="15">
        <v>9</v>
      </c>
      <c r="F324" s="23">
        <v>18.856000000000002</v>
      </c>
      <c r="G324" s="23">
        <v>1.276</v>
      </c>
    </row>
    <row r="325" spans="1:27">
      <c r="A325" s="15">
        <v>8</v>
      </c>
      <c r="B325" s="78">
        <v>39709</v>
      </c>
      <c r="C325" s="15">
        <v>2008</v>
      </c>
      <c r="D325" s="11" t="s">
        <v>40</v>
      </c>
      <c r="E325" s="15">
        <v>9</v>
      </c>
      <c r="F325" s="23">
        <v>4.0910000000000002</v>
      </c>
      <c r="G325" s="23">
        <v>6.8000000000000005E-2</v>
      </c>
    </row>
    <row r="326" spans="1:27">
      <c r="A326" s="15">
        <v>15</v>
      </c>
      <c r="B326" s="78">
        <v>39709</v>
      </c>
      <c r="C326" s="15">
        <v>2008</v>
      </c>
      <c r="D326" s="11" t="s">
        <v>40</v>
      </c>
      <c r="E326" s="15">
        <v>9</v>
      </c>
      <c r="F326" s="23">
        <v>9.84</v>
      </c>
      <c r="G326" s="23">
        <v>0.1</v>
      </c>
      <c r="I326" s="18">
        <f>AVERAGE(F324:F326)</f>
        <v>10.929000000000002</v>
      </c>
      <c r="J326" s="18">
        <f>AVERAGE(G324:G326)</f>
        <v>0.48133333333333339</v>
      </c>
      <c r="L326">
        <f>+J326/I326</f>
        <v>4.4041845853539513E-2</v>
      </c>
      <c r="M326">
        <f>+(L326-$L$927)/$L$928</f>
        <v>0.27401213579541406</v>
      </c>
      <c r="N326">
        <f>+N323+M326</f>
        <v>0.84184250346085043</v>
      </c>
      <c r="Z326">
        <f>+(I326-$F$927)/$F$928</f>
        <v>1.826705501597188</v>
      </c>
      <c r="AA326">
        <f>+AA323+Z326</f>
        <v>25.033935748838996</v>
      </c>
    </row>
    <row r="327" spans="1:27">
      <c r="A327" s="15">
        <v>6</v>
      </c>
      <c r="B327" s="78">
        <v>39737</v>
      </c>
      <c r="C327" s="15">
        <v>2008</v>
      </c>
      <c r="D327" s="11" t="s">
        <v>36</v>
      </c>
      <c r="E327" s="15">
        <v>10</v>
      </c>
      <c r="F327" s="23">
        <v>8.9269999999999996</v>
      </c>
      <c r="G327" s="23">
        <v>0.68400000000000005</v>
      </c>
    </row>
    <row r="328" spans="1:27">
      <c r="A328" s="15">
        <v>8</v>
      </c>
      <c r="B328" s="78">
        <v>39735</v>
      </c>
      <c r="C328" s="15">
        <v>2008</v>
      </c>
      <c r="D328" s="11" t="s">
        <v>36</v>
      </c>
      <c r="E328" s="15">
        <v>10</v>
      </c>
      <c r="F328" s="23">
        <v>10.298</v>
      </c>
      <c r="G328" s="23">
        <v>0.71</v>
      </c>
    </row>
    <row r="329" spans="1:27">
      <c r="A329" s="15">
        <v>15</v>
      </c>
      <c r="B329" s="78">
        <v>39735</v>
      </c>
      <c r="C329" s="15">
        <v>2008</v>
      </c>
      <c r="D329" s="11" t="s">
        <v>36</v>
      </c>
      <c r="E329" s="15">
        <v>10</v>
      </c>
      <c r="F329" s="23">
        <v>2.0609999999999999</v>
      </c>
      <c r="G329" s="23">
        <v>1.2E-2</v>
      </c>
      <c r="I329" s="18">
        <f>AVERAGE(F327:F329)</f>
        <v>7.0953333333333335</v>
      </c>
      <c r="J329" s="18">
        <f>AVERAGE(G327:G329)</f>
        <v>0.46866666666666673</v>
      </c>
      <c r="L329">
        <f>+J329/I329</f>
        <v>6.6052804660340136E-2</v>
      </c>
      <c r="M329">
        <f>+(L329-$L$927)/$L$928</f>
        <v>0.80750684295421993</v>
      </c>
      <c r="N329">
        <f>+N326+M329</f>
        <v>1.6493493464150704</v>
      </c>
      <c r="Z329">
        <f>+(I329-$F$927)/$F$928</f>
        <v>0.77572786672012961</v>
      </c>
      <c r="AA329">
        <f>+AA326+Z329</f>
        <v>25.809663615559124</v>
      </c>
    </row>
    <row r="330" spans="1:27">
      <c r="A330" s="15">
        <v>6</v>
      </c>
      <c r="B330" s="78">
        <v>39763</v>
      </c>
      <c r="C330" s="15">
        <v>2008</v>
      </c>
      <c r="D330" s="11" t="s">
        <v>37</v>
      </c>
      <c r="E330" s="15">
        <v>11</v>
      </c>
      <c r="F330" s="23">
        <v>2.73</v>
      </c>
      <c r="G330" s="23">
        <v>2.5000000000000001E-2</v>
      </c>
    </row>
    <row r="331" spans="1:27">
      <c r="A331" s="15">
        <v>8</v>
      </c>
      <c r="B331" s="78">
        <v>39769</v>
      </c>
      <c r="C331" s="15">
        <v>2008</v>
      </c>
      <c r="D331" s="11" t="s">
        <v>37</v>
      </c>
      <c r="E331" s="15">
        <v>11</v>
      </c>
      <c r="F331" s="23">
        <v>0.91900000000000004</v>
      </c>
      <c r="G331" s="23">
        <v>5.0000000000000001E-3</v>
      </c>
    </row>
    <row r="332" spans="1:27">
      <c r="A332" s="15">
        <v>15</v>
      </c>
      <c r="B332" s="78">
        <v>39769</v>
      </c>
      <c r="C332" s="15">
        <v>2008</v>
      </c>
      <c r="D332" s="11" t="s">
        <v>37</v>
      </c>
      <c r="E332" s="15">
        <v>11</v>
      </c>
      <c r="F332" s="23">
        <v>3.798</v>
      </c>
      <c r="G332" s="23">
        <v>2.3E-2</v>
      </c>
      <c r="I332" s="18">
        <f>AVERAGE(F330:F332)</f>
        <v>2.4823333333333335</v>
      </c>
      <c r="J332" s="18">
        <f>AVERAGE(G330:G332)</f>
        <v>1.7666666666666667E-2</v>
      </c>
      <c r="L332">
        <f>+J332/I332</f>
        <v>7.1169598496038673E-3</v>
      </c>
      <c r="M332">
        <f>+(L332-$L$927)/$L$928</f>
        <v>-0.62096165514437707</v>
      </c>
      <c r="N332">
        <f>+N329+M332</f>
        <v>1.0283876912706933</v>
      </c>
      <c r="Z332">
        <f>+(I332-$F$927)/$F$928</f>
        <v>-0.48889951255676839</v>
      </c>
      <c r="AA332">
        <f>+AA329+Z332</f>
        <v>25.320764103002357</v>
      </c>
    </row>
    <row r="333" spans="1:27">
      <c r="A333" s="15">
        <v>6</v>
      </c>
      <c r="B333" s="78">
        <v>39797</v>
      </c>
      <c r="C333" s="15">
        <v>2008</v>
      </c>
      <c r="D333" s="11" t="s">
        <v>38</v>
      </c>
      <c r="E333" s="15">
        <v>12</v>
      </c>
      <c r="F333" s="23">
        <v>3.5739999999999998</v>
      </c>
      <c r="G333" s="23">
        <v>0.02</v>
      </c>
    </row>
    <row r="334" spans="1:27">
      <c r="A334" s="15">
        <v>8</v>
      </c>
      <c r="B334" s="78">
        <v>39797</v>
      </c>
      <c r="C334" s="15">
        <v>2008</v>
      </c>
      <c r="D334" s="11" t="s">
        <v>38</v>
      </c>
      <c r="E334" s="15">
        <v>12</v>
      </c>
      <c r="F334" s="23">
        <v>0.628</v>
      </c>
      <c r="G334" s="23">
        <v>9.9989999999999996E-4</v>
      </c>
    </row>
    <row r="335" spans="1:27">
      <c r="A335" s="15">
        <v>15</v>
      </c>
      <c r="B335" s="78">
        <v>39797</v>
      </c>
      <c r="C335" s="15">
        <v>2008</v>
      </c>
      <c r="D335" s="11" t="s">
        <v>38</v>
      </c>
      <c r="E335" s="15">
        <v>12</v>
      </c>
      <c r="F335" s="23">
        <v>2.6560000000000001</v>
      </c>
      <c r="G335" s="23">
        <v>8.0000000000000002E-3</v>
      </c>
      <c r="I335" s="18">
        <f>AVERAGE(F333:F335)</f>
        <v>2.286</v>
      </c>
      <c r="J335" s="18">
        <f>AVERAGE(G333:G335)</f>
        <v>9.666633333333334E-3</v>
      </c>
      <c r="L335">
        <f>+J335/I335</f>
        <v>4.2286235053951588E-3</v>
      </c>
      <c r="M335">
        <f>+(L335-$L$927)/$L$928</f>
        <v>-0.6909682443918056</v>
      </c>
      <c r="N335">
        <f>+N332+M335</f>
        <v>0.3374194468788877</v>
      </c>
      <c r="Z335">
        <f>+(I335-$F$927)/$F$928</f>
        <v>-0.54272316501677953</v>
      </c>
      <c r="AA335">
        <f>+AA332+Z335</f>
        <v>24.778040937985576</v>
      </c>
    </row>
    <row r="336" spans="1:27">
      <c r="A336" s="15">
        <v>6</v>
      </c>
      <c r="B336" s="78">
        <v>39825</v>
      </c>
      <c r="C336" s="15">
        <v>2009</v>
      </c>
      <c r="D336" s="11" t="s">
        <v>39</v>
      </c>
      <c r="E336" s="12">
        <v>1</v>
      </c>
      <c r="F336" s="23">
        <v>5.0339999999999998</v>
      </c>
      <c r="G336" s="23">
        <v>4.4999999999999998E-2</v>
      </c>
    </row>
    <row r="337" spans="1:27">
      <c r="A337" s="15">
        <v>8</v>
      </c>
      <c r="B337" s="78">
        <v>39826</v>
      </c>
      <c r="C337" s="15">
        <v>2009</v>
      </c>
      <c r="D337" s="11" t="s">
        <v>39</v>
      </c>
      <c r="E337" s="12">
        <v>1</v>
      </c>
      <c r="F337" s="23">
        <v>1.4219999999999999</v>
      </c>
      <c r="G337" s="23">
        <v>5.0000000000000001E-3</v>
      </c>
    </row>
    <row r="338" spans="1:27">
      <c r="A338" s="15">
        <v>15</v>
      </c>
      <c r="B338" s="78">
        <v>39826</v>
      </c>
      <c r="C338" s="15">
        <v>2009</v>
      </c>
      <c r="D338" s="11" t="s">
        <v>39</v>
      </c>
      <c r="E338" s="12">
        <v>1</v>
      </c>
      <c r="F338" s="23">
        <v>3.698</v>
      </c>
      <c r="G338" s="23">
        <v>8.9999999999999993E-3</v>
      </c>
      <c r="I338" s="18">
        <f>AVERAGE(F336:F338)</f>
        <v>3.3846666666666665</v>
      </c>
      <c r="J338" s="18">
        <f>AVERAGE(G336:G338)</f>
        <v>1.9666666666666666E-2</v>
      </c>
      <c r="L338">
        <f>+J338/I338</f>
        <v>5.8105180224542049E-3</v>
      </c>
      <c r="M338">
        <f>+(L338-$L$927)/$L$928</f>
        <v>-0.65262678187115464</v>
      </c>
      <c r="N338">
        <f>+N335+M338</f>
        <v>-0.31520733499226694</v>
      </c>
      <c r="Z338">
        <f>+(I338-$F$927)/$F$928</f>
        <v>-0.24153002663274487</v>
      </c>
      <c r="AA338">
        <f>+AA335+Z338</f>
        <v>24.536510911352831</v>
      </c>
    </row>
    <row r="339" spans="1:27">
      <c r="A339" s="12">
        <v>6</v>
      </c>
      <c r="B339" s="78">
        <v>39854</v>
      </c>
      <c r="C339" s="15">
        <v>2009</v>
      </c>
      <c r="D339" s="11" t="s">
        <v>28</v>
      </c>
      <c r="E339" s="12">
        <v>2</v>
      </c>
      <c r="F339" s="23">
        <v>3.08</v>
      </c>
      <c r="G339" s="23">
        <v>1.9E-2</v>
      </c>
    </row>
    <row r="340" spans="1:27">
      <c r="A340" s="12">
        <v>8</v>
      </c>
      <c r="B340" s="78">
        <v>39855</v>
      </c>
      <c r="C340" s="15">
        <v>2009</v>
      </c>
      <c r="D340" s="11" t="s">
        <v>28</v>
      </c>
      <c r="E340" s="12">
        <v>2</v>
      </c>
      <c r="F340" s="23">
        <v>2.1640000000000001</v>
      </c>
      <c r="G340" s="23">
        <v>1.4999999999999999E-2</v>
      </c>
    </row>
    <row r="341" spans="1:27">
      <c r="A341" s="12">
        <v>15</v>
      </c>
      <c r="B341" s="78">
        <v>39855</v>
      </c>
      <c r="C341" s="15">
        <v>2009</v>
      </c>
      <c r="D341" s="11" t="s">
        <v>28</v>
      </c>
      <c r="E341" s="12">
        <v>2</v>
      </c>
      <c r="F341" s="23">
        <v>2.4750000000000001</v>
      </c>
      <c r="G341" s="23">
        <v>1.7999999999999999E-2</v>
      </c>
      <c r="I341" s="18">
        <f>AVERAGE(F339:F341)</f>
        <v>2.573</v>
      </c>
      <c r="J341" s="18">
        <f>AVERAGE(G339:G341)</f>
        <v>1.7333333333333336E-2</v>
      </c>
      <c r="L341">
        <f>+J341/I341</f>
        <v>6.7366239150148995E-3</v>
      </c>
      <c r="M341">
        <f>+(L341-$L$927)/$L$928</f>
        <v>-0.63018011808488372</v>
      </c>
      <c r="N341">
        <f>+N338+M341</f>
        <v>-0.94538745307715066</v>
      </c>
      <c r="Z341">
        <f>+(I341-$F$927)/$F$928</f>
        <v>-0.46404376812701803</v>
      </c>
      <c r="AA341">
        <f>+AA338+Z341</f>
        <v>24.072467143225815</v>
      </c>
    </row>
    <row r="342" spans="1:27">
      <c r="A342" s="12">
        <v>6</v>
      </c>
      <c r="B342" s="78">
        <v>39890</v>
      </c>
      <c r="C342" s="15">
        <v>2009</v>
      </c>
      <c r="D342" s="11" t="s">
        <v>29</v>
      </c>
      <c r="E342" s="12">
        <v>3</v>
      </c>
      <c r="F342" s="23">
        <v>5.8040000000000003</v>
      </c>
      <c r="G342" s="25">
        <v>3.3000000000000002E-2</v>
      </c>
    </row>
    <row r="343" spans="1:27">
      <c r="A343" s="12">
        <v>8</v>
      </c>
      <c r="B343" s="78">
        <v>39888</v>
      </c>
      <c r="C343" s="15">
        <v>2009</v>
      </c>
      <c r="D343" s="11" t="s">
        <v>29</v>
      </c>
      <c r="E343" s="12">
        <v>3</v>
      </c>
      <c r="F343" s="23">
        <v>1.9910000000000001</v>
      </c>
      <c r="G343" s="25">
        <v>1.4999999999999999E-2</v>
      </c>
    </row>
    <row r="344" spans="1:27">
      <c r="A344" s="12">
        <v>15</v>
      </c>
      <c r="B344" s="78">
        <v>39888</v>
      </c>
      <c r="C344" s="15">
        <v>2009</v>
      </c>
      <c r="D344" s="11" t="s">
        <v>29</v>
      </c>
      <c r="E344" s="12">
        <v>3</v>
      </c>
      <c r="F344" s="23">
        <v>3.77</v>
      </c>
      <c r="G344" s="25">
        <v>2.1999999999999999E-2</v>
      </c>
      <c r="I344" s="18">
        <f>AVERAGE(F342:F344)</f>
        <v>3.855</v>
      </c>
      <c r="J344" s="18">
        <f>AVERAGE(G342:G344)</f>
        <v>2.3333333333333334E-2</v>
      </c>
      <c r="L344">
        <f>+J344/I344</f>
        <v>6.0527453523562475E-3</v>
      </c>
      <c r="M344">
        <f>+(L344-$L$927)/$L$928</f>
        <v>-0.6467557519189282</v>
      </c>
      <c r="N344">
        <f>+N341+M344</f>
        <v>-1.5921432049960789</v>
      </c>
      <c r="Z344">
        <f>+(I344-$F$927)/$F$928</f>
        <v>-0.11259085240341443</v>
      </c>
      <c r="AA344">
        <f>+AA341+Z344</f>
        <v>23.9598762908224</v>
      </c>
    </row>
    <row r="345" spans="1:27">
      <c r="A345" s="12">
        <v>6</v>
      </c>
      <c r="B345" s="78">
        <v>39920</v>
      </c>
      <c r="C345" s="15">
        <v>2009</v>
      </c>
      <c r="D345" s="11" t="s">
        <v>30</v>
      </c>
      <c r="E345" s="12">
        <v>4</v>
      </c>
      <c r="F345" s="23">
        <v>1.2190000000000001</v>
      </c>
      <c r="G345" s="25">
        <v>2.3E-2</v>
      </c>
    </row>
    <row r="346" spans="1:27">
      <c r="A346" s="12">
        <v>8</v>
      </c>
      <c r="B346" s="78">
        <v>39916</v>
      </c>
      <c r="C346" s="15">
        <v>2009</v>
      </c>
      <c r="D346" s="11" t="s">
        <v>30</v>
      </c>
      <c r="E346" s="12">
        <v>4</v>
      </c>
      <c r="F346" s="23">
        <v>0.41199999999999998</v>
      </c>
      <c r="G346" s="25">
        <v>8.9999999999999993E-3</v>
      </c>
    </row>
    <row r="347" spans="1:27">
      <c r="A347" s="12">
        <v>15</v>
      </c>
      <c r="B347" s="78">
        <v>39916</v>
      </c>
      <c r="C347" s="15">
        <v>2009</v>
      </c>
      <c r="D347" s="11" t="s">
        <v>30</v>
      </c>
      <c r="E347" s="12">
        <v>4</v>
      </c>
      <c r="F347" s="23">
        <v>1.7949999999999999</v>
      </c>
      <c r="G347" s="25">
        <v>2.5999999999999999E-2</v>
      </c>
      <c r="I347" s="18">
        <f>AVERAGE(F345:F347)</f>
        <v>1.1420000000000001</v>
      </c>
      <c r="J347" s="18">
        <f>AVERAGE(G345:G347)</f>
        <v>1.9333333333333331E-2</v>
      </c>
      <c r="L347">
        <f>+J347/I347</f>
        <v>1.6929363689433739E-2</v>
      </c>
      <c r="M347">
        <f>+(L347-$L$927)/$L$928</f>
        <v>-0.38313169239706651</v>
      </c>
      <c r="N347">
        <f>+N344+M347</f>
        <v>-1.9752748973931453</v>
      </c>
      <c r="Z347">
        <f>+(I347-$F$927)/$F$928</f>
        <v>-0.85634417561568932</v>
      </c>
      <c r="AA347">
        <f>+AA344+Z347</f>
        <v>23.103532115206711</v>
      </c>
    </row>
    <row r="348" spans="1:27">
      <c r="A348" s="12">
        <v>6</v>
      </c>
      <c r="B348" s="78">
        <v>39945</v>
      </c>
      <c r="C348" s="15">
        <v>2009</v>
      </c>
      <c r="D348" s="11" t="s">
        <v>31</v>
      </c>
      <c r="E348" s="12">
        <v>5</v>
      </c>
      <c r="F348" s="23">
        <v>8.4529999999999994</v>
      </c>
      <c r="G348" s="25">
        <v>0.14899999999999999</v>
      </c>
    </row>
    <row r="349" spans="1:27">
      <c r="A349" s="12">
        <v>8</v>
      </c>
      <c r="B349" s="78">
        <v>39946</v>
      </c>
      <c r="C349" s="15">
        <v>2009</v>
      </c>
      <c r="D349" s="11" t="s">
        <v>31</v>
      </c>
      <c r="E349" s="12">
        <v>5</v>
      </c>
      <c r="F349" s="23">
        <v>0.33900000000000002</v>
      </c>
      <c r="G349" s="25">
        <v>9.9989999999999996E-4</v>
      </c>
    </row>
    <row r="350" spans="1:27">
      <c r="A350" s="12">
        <v>15</v>
      </c>
      <c r="B350" s="78">
        <v>39946</v>
      </c>
      <c r="C350" s="15">
        <v>2009</v>
      </c>
      <c r="D350" s="11" t="s">
        <v>31</v>
      </c>
      <c r="E350" s="12">
        <v>5</v>
      </c>
      <c r="F350" s="23">
        <v>7.6669999999999998</v>
      </c>
      <c r="G350" s="25">
        <v>0.16400000000000001</v>
      </c>
      <c r="I350" s="18">
        <f>AVERAGE(F348:F350)</f>
        <v>5.4863333333333335</v>
      </c>
      <c r="J350" s="18">
        <f>AVERAGE(G348:G350)</f>
        <v>0.10466663333333333</v>
      </c>
      <c r="L350">
        <f>+J350/I350</f>
        <v>1.9077702169026062E-2</v>
      </c>
      <c r="M350">
        <f>+(L350-$L$927)/$L$928</f>
        <v>-0.33106093900062711</v>
      </c>
      <c r="N350">
        <f>+N347+M350</f>
        <v>-2.3063358363937723</v>
      </c>
      <c r="Z350">
        <f>+(I350-$F$927)/$F$928</f>
        <v>0.33462978450540409</v>
      </c>
      <c r="AA350">
        <f>+AA347+Z350</f>
        <v>23.438161899712114</v>
      </c>
    </row>
    <row r="351" spans="1:27">
      <c r="A351" s="15">
        <v>6</v>
      </c>
      <c r="B351" s="78">
        <v>39980</v>
      </c>
      <c r="C351" s="15">
        <v>2009</v>
      </c>
      <c r="D351" s="11" t="s">
        <v>32</v>
      </c>
      <c r="E351" s="12">
        <v>6</v>
      </c>
      <c r="F351" s="23">
        <v>15.779</v>
      </c>
      <c r="G351" s="25">
        <v>0.246</v>
      </c>
    </row>
    <row r="352" spans="1:27">
      <c r="A352" s="15">
        <v>8</v>
      </c>
      <c r="B352" s="78">
        <v>39983</v>
      </c>
      <c r="C352" s="15">
        <v>2009</v>
      </c>
      <c r="D352" s="11" t="s">
        <v>32</v>
      </c>
      <c r="E352" s="12">
        <v>6</v>
      </c>
      <c r="F352" s="23">
        <v>2.0019999999999998</v>
      </c>
      <c r="G352" s="25">
        <v>1.4999999999999999E-2</v>
      </c>
    </row>
    <row r="353" spans="1:27">
      <c r="A353" s="15">
        <v>15</v>
      </c>
      <c r="B353" s="78">
        <v>39983</v>
      </c>
      <c r="C353" s="15">
        <v>2009</v>
      </c>
      <c r="D353" s="11" t="s">
        <v>32</v>
      </c>
      <c r="E353" s="12">
        <v>6</v>
      </c>
      <c r="F353" s="23">
        <v>8.2710000000000008</v>
      </c>
      <c r="G353" s="25">
        <v>0.61299999999999999</v>
      </c>
      <c r="I353" s="18">
        <f>AVERAGE(F351:F353)</f>
        <v>8.6839999999999993</v>
      </c>
      <c r="J353" s="18">
        <f>AVERAGE(G351:G353)</f>
        <v>0.29133333333333333</v>
      </c>
      <c r="L353">
        <f>+J353/I353</f>
        <v>3.3548288039306005E-2</v>
      </c>
      <c r="M353">
        <f>+(L353-$L$927)/$L$928</f>
        <v>1.9672576928544721E-2</v>
      </c>
      <c r="N353">
        <f>+N350+M353</f>
        <v>-2.2866632594652274</v>
      </c>
      <c r="Z353">
        <f>+(I353-$F$927)/$F$928</f>
        <v>1.2112516827208302</v>
      </c>
      <c r="AA353">
        <f>+AA350+Z353</f>
        <v>24.649413582432945</v>
      </c>
    </row>
    <row r="354" spans="1:27">
      <c r="A354" s="15">
        <v>6</v>
      </c>
      <c r="B354" s="78">
        <v>40007</v>
      </c>
      <c r="C354" s="15">
        <v>2009</v>
      </c>
      <c r="D354" s="11" t="s">
        <v>33</v>
      </c>
      <c r="E354" s="12">
        <v>7</v>
      </c>
      <c r="F354" s="23">
        <v>9.7100000000000009</v>
      </c>
      <c r="G354" s="25">
        <v>1.454</v>
      </c>
    </row>
    <row r="355" spans="1:27">
      <c r="A355" s="15">
        <v>8</v>
      </c>
      <c r="B355" s="78">
        <v>40007</v>
      </c>
      <c r="C355" s="15">
        <v>2009</v>
      </c>
      <c r="D355" s="11" t="s">
        <v>33</v>
      </c>
      <c r="E355" s="12">
        <v>7</v>
      </c>
      <c r="F355" s="23">
        <v>1.663</v>
      </c>
      <c r="G355" s="25">
        <v>1.4999999999999999E-2</v>
      </c>
    </row>
    <row r="356" spans="1:27">
      <c r="A356" s="15">
        <v>15</v>
      </c>
      <c r="B356" s="78">
        <v>40007</v>
      </c>
      <c r="C356" s="15">
        <v>2009</v>
      </c>
      <c r="D356" s="11" t="s">
        <v>33</v>
      </c>
      <c r="E356" s="12">
        <v>7</v>
      </c>
      <c r="F356" s="23">
        <v>12.875999999999999</v>
      </c>
      <c r="G356" s="25">
        <v>1.4670000000000001</v>
      </c>
      <c r="I356" s="18">
        <f>AVERAGE(F354:F356)</f>
        <v>8.0830000000000002</v>
      </c>
      <c r="J356" s="18">
        <f>AVERAGE(G354:G356)</f>
        <v>0.97866666666666668</v>
      </c>
      <c r="L356">
        <f>+J356/I356</f>
        <v>0.12107715782094107</v>
      </c>
      <c r="M356">
        <f>+(L356-$L$927)/$L$928</f>
        <v>2.1411698348156998</v>
      </c>
      <c r="N356">
        <f>+N353+M356</f>
        <v>-0.14549342464952764</v>
      </c>
      <c r="Z356">
        <f>+(I356-$F$927)/$F$928</f>
        <v>1.0464909944603891</v>
      </c>
      <c r="AA356">
        <f>+AA353+Z356</f>
        <v>25.695904576893334</v>
      </c>
    </row>
    <row r="357" spans="1:27">
      <c r="A357" s="15">
        <v>6</v>
      </c>
      <c r="B357" s="78">
        <v>40043</v>
      </c>
      <c r="C357" s="15">
        <v>2009</v>
      </c>
      <c r="D357" s="11" t="s">
        <v>34</v>
      </c>
      <c r="E357" s="12">
        <v>8</v>
      </c>
      <c r="F357" s="23">
        <v>8.4060000000000006</v>
      </c>
      <c r="G357" s="25">
        <v>1.5780000000000001</v>
      </c>
    </row>
    <row r="358" spans="1:27">
      <c r="A358" s="15">
        <v>8</v>
      </c>
      <c r="B358" s="78">
        <v>40042</v>
      </c>
      <c r="C358" s="15">
        <v>2009</v>
      </c>
      <c r="D358" s="11" t="s">
        <v>34</v>
      </c>
      <c r="E358" s="12">
        <v>8</v>
      </c>
      <c r="F358" s="23">
        <v>3.9969999999999999</v>
      </c>
      <c r="G358" s="25">
        <v>6.2E-2</v>
      </c>
    </row>
    <row r="359" spans="1:27">
      <c r="A359" s="15">
        <v>15</v>
      </c>
      <c r="B359" s="78">
        <v>40042</v>
      </c>
      <c r="C359" s="15">
        <v>2009</v>
      </c>
      <c r="D359" s="11" t="s">
        <v>34</v>
      </c>
      <c r="E359" s="12">
        <v>8</v>
      </c>
      <c r="F359" s="23">
        <v>4.3540000000000001</v>
      </c>
      <c r="G359" s="25">
        <v>0.97599999999999998</v>
      </c>
      <c r="I359" s="18">
        <f>AVERAGE(F357:F359)</f>
        <v>5.5856666666666674</v>
      </c>
      <c r="J359" s="18">
        <f>AVERAGE(G357:G359)</f>
        <v>0.872</v>
      </c>
      <c r="L359">
        <f>+J359/I359</f>
        <v>0.15611386286328099</v>
      </c>
      <c r="M359">
        <f>+(L359-$L$927)/$L$928</f>
        <v>2.9903784885794531</v>
      </c>
      <c r="N359">
        <f>+N356+M359</f>
        <v>2.8448850639299255</v>
      </c>
      <c r="Z359">
        <f>+(I359-$F$927)/$F$928</f>
        <v>0.36186144568211615</v>
      </c>
      <c r="AA359">
        <f>+AA356+Z359</f>
        <v>26.05776602257545</v>
      </c>
    </row>
    <row r="360" spans="1:27">
      <c r="A360" s="15">
        <v>6</v>
      </c>
      <c r="B360" s="78">
        <v>40070</v>
      </c>
      <c r="C360" s="15">
        <v>2009</v>
      </c>
      <c r="D360" s="11" t="s">
        <v>40</v>
      </c>
      <c r="E360" s="12">
        <v>9</v>
      </c>
      <c r="F360" s="23">
        <v>15.342000000000001</v>
      </c>
      <c r="G360" s="25">
        <v>0.51700000000000002</v>
      </c>
    </row>
    <row r="361" spans="1:27">
      <c r="A361" s="15">
        <v>8</v>
      </c>
      <c r="B361" s="78">
        <v>40071</v>
      </c>
      <c r="C361" s="15">
        <v>2009</v>
      </c>
      <c r="D361" s="11" t="s">
        <v>40</v>
      </c>
      <c r="E361" s="12">
        <v>9</v>
      </c>
      <c r="F361" s="23">
        <v>3.0209999999999999</v>
      </c>
      <c r="G361" s="25">
        <v>3.2000000000000001E-2</v>
      </c>
    </row>
    <row r="362" spans="1:27">
      <c r="A362" s="15">
        <v>15</v>
      </c>
      <c r="B362" s="78">
        <v>40071</v>
      </c>
      <c r="C362" s="15">
        <v>2009</v>
      </c>
      <c r="D362" s="11" t="s">
        <v>40</v>
      </c>
      <c r="E362" s="12">
        <v>9</v>
      </c>
      <c r="F362" s="23">
        <v>5.6849999999999996</v>
      </c>
      <c r="G362" s="25">
        <v>0.41099999999999998</v>
      </c>
      <c r="I362" s="18">
        <f>AVERAGE(F360:F362)</f>
        <v>8.016</v>
      </c>
      <c r="J362" s="18">
        <f>AVERAGE(G360:G362)</f>
        <v>0.32</v>
      </c>
      <c r="L362">
        <f>+J362/I362</f>
        <v>3.9920159680638723E-2</v>
      </c>
      <c r="M362">
        <f>+(L362-$L$927)/$L$928</f>
        <v>0.17411200072574945</v>
      </c>
      <c r="N362">
        <f>+N359+M362</f>
        <v>3.0189970646556747</v>
      </c>
      <c r="Z362">
        <f>+(I362-$F$927)/$F$928</f>
        <v>1.0281233303781101</v>
      </c>
      <c r="AA362">
        <f>+AA359+Z362</f>
        <v>27.085889352953561</v>
      </c>
    </row>
    <row r="363" spans="1:27">
      <c r="A363" s="15">
        <v>6</v>
      </c>
      <c r="B363" s="78">
        <v>40099</v>
      </c>
      <c r="C363" s="15">
        <v>2009</v>
      </c>
      <c r="D363" s="11" t="s">
        <v>36</v>
      </c>
      <c r="E363" s="12">
        <v>10</v>
      </c>
      <c r="F363" s="23">
        <v>7.2110000000000003</v>
      </c>
      <c r="G363" s="25">
        <v>0.97099999999999997</v>
      </c>
    </row>
    <row r="364" spans="1:27">
      <c r="A364" s="15">
        <v>8</v>
      </c>
      <c r="B364" s="78">
        <v>40100</v>
      </c>
      <c r="C364" s="15">
        <v>2009</v>
      </c>
      <c r="D364" s="11" t="s">
        <v>36</v>
      </c>
      <c r="E364" s="12">
        <v>10</v>
      </c>
      <c r="F364" s="23">
        <v>1.18</v>
      </c>
      <c r="G364" s="25">
        <v>8.9999999999999993E-3</v>
      </c>
    </row>
    <row r="365" spans="1:27">
      <c r="A365" s="15">
        <v>15</v>
      </c>
      <c r="B365" s="78">
        <v>40100</v>
      </c>
      <c r="C365" s="15">
        <v>2009</v>
      </c>
      <c r="D365" s="11" t="s">
        <v>36</v>
      </c>
      <c r="E365" s="12">
        <v>10</v>
      </c>
      <c r="F365" s="23">
        <v>5.5419999999999998</v>
      </c>
      <c r="G365" s="25">
        <v>8.5000000000000006E-2</v>
      </c>
      <c r="I365" s="18">
        <f>AVERAGE(F363:F365)</f>
        <v>4.644333333333333</v>
      </c>
      <c r="J365" s="18">
        <f>AVERAGE(G363:G365)</f>
        <v>0.35499999999999998</v>
      </c>
      <c r="L365">
        <f>+J365/I365</f>
        <v>7.6437235340558393E-2</v>
      </c>
      <c r="M365">
        <f>+(L365-$L$927)/$L$928</f>
        <v>1.059201412617504</v>
      </c>
      <c r="N365">
        <f>+N362+M365</f>
        <v>4.0781984772731787</v>
      </c>
      <c r="Z365">
        <f>+(I365-$F$927)/$F$928</f>
        <v>0.10380033439676574</v>
      </c>
      <c r="AA365">
        <f>+AA362+Z365</f>
        <v>27.189689687350327</v>
      </c>
    </row>
    <row r="366" spans="1:27">
      <c r="A366" s="15">
        <v>6</v>
      </c>
      <c r="B366" s="78">
        <v>40133</v>
      </c>
      <c r="C366" s="15">
        <v>2009</v>
      </c>
      <c r="D366" s="11" t="s">
        <v>37</v>
      </c>
      <c r="E366" s="12">
        <v>11</v>
      </c>
      <c r="F366" s="23">
        <v>3.5150000000000001</v>
      </c>
      <c r="G366" s="25">
        <v>3.7999999999999999E-2</v>
      </c>
    </row>
    <row r="367" spans="1:27">
      <c r="A367" s="15">
        <v>8</v>
      </c>
      <c r="B367" s="78">
        <v>40133</v>
      </c>
      <c r="C367" s="15">
        <v>2009</v>
      </c>
      <c r="D367" s="11" t="s">
        <v>37</v>
      </c>
      <c r="E367" s="12">
        <v>11</v>
      </c>
      <c r="F367" s="23">
        <v>2.919</v>
      </c>
      <c r="G367" s="25">
        <v>4.1000000000000002E-2</v>
      </c>
    </row>
    <row r="368" spans="1:27">
      <c r="A368" s="15">
        <v>15</v>
      </c>
      <c r="B368" s="78">
        <v>40133</v>
      </c>
      <c r="C368" s="15">
        <v>2009</v>
      </c>
      <c r="D368" s="11" t="s">
        <v>37</v>
      </c>
      <c r="E368" s="12">
        <v>11</v>
      </c>
      <c r="F368" s="23">
        <v>3.758</v>
      </c>
      <c r="G368" s="25">
        <v>4.1000000000000002E-2</v>
      </c>
      <c r="I368" s="18">
        <f>AVERAGE(F366:F368)</f>
        <v>3.3973333333333335</v>
      </c>
      <c r="J368" s="18">
        <f>AVERAGE(G366:G368)</f>
        <v>0.04</v>
      </c>
      <c r="L368">
        <f>+J368/I368</f>
        <v>1.1773940345368916E-2</v>
      </c>
      <c r="M368">
        <f>+(L368-$L$927)/$L$928</f>
        <v>-0.50808722438287701</v>
      </c>
      <c r="N368">
        <f>+N365+M368</f>
        <v>3.5701112528903018</v>
      </c>
      <c r="Z368">
        <f>+(I368-$F$927)/$F$928</f>
        <v>-0.23805753292564727</v>
      </c>
      <c r="AA368">
        <f>+AA365+Z368</f>
        <v>26.951632154424679</v>
      </c>
    </row>
    <row r="369" spans="1:27">
      <c r="A369" s="15">
        <v>6</v>
      </c>
      <c r="B369" s="78">
        <v>40161</v>
      </c>
      <c r="C369" s="15">
        <v>2009</v>
      </c>
      <c r="D369" s="11" t="s">
        <v>38</v>
      </c>
      <c r="E369" s="12">
        <v>12</v>
      </c>
      <c r="F369" s="23">
        <v>2.84</v>
      </c>
      <c r="G369" s="25">
        <v>2.1000000000000001E-2</v>
      </c>
    </row>
    <row r="370" spans="1:27">
      <c r="A370" s="15">
        <v>8</v>
      </c>
      <c r="B370" s="78">
        <v>40161</v>
      </c>
      <c r="C370" s="15">
        <v>2009</v>
      </c>
      <c r="D370" s="11" t="s">
        <v>38</v>
      </c>
      <c r="E370" s="12">
        <v>12</v>
      </c>
      <c r="F370" s="23">
        <v>2.5099999999999998</v>
      </c>
      <c r="G370" s="25">
        <v>1.0999999999999999E-2</v>
      </c>
    </row>
    <row r="371" spans="1:27">
      <c r="A371" s="15">
        <v>15</v>
      </c>
      <c r="B371" s="78">
        <v>40161</v>
      </c>
      <c r="C371" s="15">
        <v>2009</v>
      </c>
      <c r="D371" s="11" t="s">
        <v>38</v>
      </c>
      <c r="E371" s="12">
        <v>12</v>
      </c>
      <c r="F371" s="23">
        <v>1.82</v>
      </c>
      <c r="G371" s="25">
        <v>8.9999999999999993E-3</v>
      </c>
      <c r="I371" s="18">
        <f>AVERAGE(F369:F371)</f>
        <v>2.39</v>
      </c>
      <c r="J371" s="18">
        <f>AVERAGE(G369:G371)</f>
        <v>1.3666666666666667E-2</v>
      </c>
      <c r="L371">
        <f>+J371/I371</f>
        <v>5.7182705718270572E-3</v>
      </c>
      <c r="M371">
        <f>+(L371-$L$927)/$L$928</f>
        <v>-0.65486264660973537</v>
      </c>
      <c r="N371">
        <f>+N368+M371</f>
        <v>2.9152486062805663</v>
      </c>
      <c r="Z371">
        <f>+(I371-$F$927)/$F$928</f>
        <v>-0.51421216405324222</v>
      </c>
      <c r="AA371">
        <f>+AA368+Z371</f>
        <v>26.437419990371438</v>
      </c>
    </row>
    <row r="372" spans="1:27">
      <c r="A372" s="15">
        <v>6</v>
      </c>
      <c r="B372" s="73">
        <v>40197</v>
      </c>
      <c r="C372" s="15">
        <v>2010</v>
      </c>
      <c r="D372" s="11" t="s">
        <v>39</v>
      </c>
      <c r="E372" s="15">
        <v>1</v>
      </c>
      <c r="F372" s="26">
        <v>4.9989999999999997</v>
      </c>
      <c r="G372" s="18">
        <v>2.1874625000000002E-2</v>
      </c>
    </row>
    <row r="373" spans="1:27">
      <c r="A373" s="15">
        <v>8</v>
      </c>
      <c r="B373" s="73">
        <v>40197</v>
      </c>
      <c r="C373" s="15">
        <v>2010</v>
      </c>
      <c r="D373" s="11" t="s">
        <v>39</v>
      </c>
      <c r="E373" s="15">
        <v>1</v>
      </c>
      <c r="F373" s="26">
        <v>5.9050000000000002</v>
      </c>
      <c r="G373" s="18">
        <v>1.5281125E-2</v>
      </c>
    </row>
    <row r="374" spans="1:27">
      <c r="A374" s="15">
        <v>15</v>
      </c>
      <c r="B374" s="73">
        <v>40197</v>
      </c>
      <c r="C374" s="15">
        <v>2010</v>
      </c>
      <c r="D374" s="11" t="s">
        <v>39</v>
      </c>
      <c r="E374" s="15">
        <v>1</v>
      </c>
      <c r="F374" s="26">
        <v>4.7960000000000003</v>
      </c>
      <c r="G374" s="18">
        <v>2.3786000000000002E-2</v>
      </c>
      <c r="I374" s="18">
        <f>AVERAGE(F372:F374)</f>
        <v>5.2333333333333334</v>
      </c>
      <c r="J374" s="18">
        <f>AVERAGE(G372:G374)</f>
        <v>2.0313916666666668E-2</v>
      </c>
      <c r="L374">
        <f>+J374/I374</f>
        <v>3.8816401273885351E-3</v>
      </c>
      <c r="M374">
        <f>+(L374-$L$927)/$L$928</f>
        <v>-0.69937831854002586</v>
      </c>
      <c r="N374">
        <f>+N371+M374</f>
        <v>2.2158702877405405</v>
      </c>
      <c r="Z374">
        <f>+(I374-$F$927)/$F$928</f>
        <v>0.26527129177679903</v>
      </c>
      <c r="AA374">
        <f>+AA371+Z374</f>
        <v>26.702691282148237</v>
      </c>
    </row>
    <row r="375" spans="1:27">
      <c r="A375" s="15">
        <v>6</v>
      </c>
      <c r="B375" s="73">
        <v>40225</v>
      </c>
      <c r="C375" s="15">
        <v>2010</v>
      </c>
      <c r="D375" s="11" t="s">
        <v>28</v>
      </c>
      <c r="E375" s="15">
        <v>2</v>
      </c>
      <c r="F375" s="26">
        <v>12.962999999999999</v>
      </c>
      <c r="G375" s="18">
        <v>7.0670750000000004E-2</v>
      </c>
    </row>
    <row r="376" spans="1:27">
      <c r="A376" s="15">
        <v>8</v>
      </c>
      <c r="B376" s="73">
        <v>40225</v>
      </c>
      <c r="C376" s="15">
        <v>2010</v>
      </c>
      <c r="D376" s="11" t="s">
        <v>28</v>
      </c>
      <c r="E376" s="15">
        <v>2</v>
      </c>
      <c r="F376" s="26">
        <v>6.0780000000000003</v>
      </c>
      <c r="G376" s="18">
        <v>0.17010137499999997</v>
      </c>
    </row>
    <row r="377" spans="1:27">
      <c r="A377" s="15">
        <v>15</v>
      </c>
      <c r="B377" s="73">
        <v>40225</v>
      </c>
      <c r="C377" s="15">
        <v>2010</v>
      </c>
      <c r="D377" s="11" t="s">
        <v>28</v>
      </c>
      <c r="E377" s="15">
        <v>2</v>
      </c>
      <c r="F377" s="26">
        <v>6.5510000000000002</v>
      </c>
      <c r="G377" s="18">
        <v>4.7679625000000003E-2</v>
      </c>
      <c r="I377" s="18">
        <f>AVERAGE(F375:F377)</f>
        <v>8.5306666666666668</v>
      </c>
      <c r="J377" s="18">
        <f>AVERAGE(G375:G377)</f>
        <v>9.6150583333333331E-2</v>
      </c>
      <c r="L377">
        <f>+J377/I377</f>
        <v>1.1271168724601438E-2</v>
      </c>
      <c r="M377">
        <f>+(L377-$L$927)/$L$928</f>
        <v>-0.52027324503483663</v>
      </c>
      <c r="N377">
        <f>+N374+M377</f>
        <v>1.6955970427057039</v>
      </c>
      <c r="Z377">
        <f>+(I377-$F$927)/$F$928</f>
        <v>1.1692162325822817</v>
      </c>
      <c r="AA377">
        <f>+AA374+Z377</f>
        <v>27.87190751473052</v>
      </c>
    </row>
    <row r="378" spans="1:27">
      <c r="A378" s="15">
        <v>6</v>
      </c>
      <c r="B378" s="73">
        <v>40254</v>
      </c>
      <c r="C378" s="15">
        <v>2010</v>
      </c>
      <c r="D378" s="11" t="s">
        <v>29</v>
      </c>
      <c r="E378" s="15">
        <v>3</v>
      </c>
      <c r="F378" s="26">
        <v>6.1379999999999999</v>
      </c>
      <c r="G378" s="18">
        <v>5.5063624999999984E-2</v>
      </c>
    </row>
    <row r="379" spans="1:27">
      <c r="A379" s="15">
        <v>8</v>
      </c>
      <c r="B379" s="73">
        <v>40255</v>
      </c>
      <c r="C379" s="15">
        <v>2010</v>
      </c>
      <c r="D379" s="11" t="s">
        <v>29</v>
      </c>
      <c r="E379" s="15">
        <v>3</v>
      </c>
      <c r="F379" s="26">
        <v>6.1959999999999997</v>
      </c>
      <c r="G379" s="18">
        <v>7.8760374999999994E-2</v>
      </c>
    </row>
    <row r="380" spans="1:27">
      <c r="A380" s="15">
        <v>15</v>
      </c>
      <c r="B380" s="73">
        <v>40255</v>
      </c>
      <c r="C380" s="15">
        <v>2010</v>
      </c>
      <c r="D380" s="11" t="s">
        <v>29</v>
      </c>
      <c r="E380" s="15">
        <v>3</v>
      </c>
      <c r="F380" s="26">
        <v>6.1070000000000002</v>
      </c>
      <c r="G380" s="18">
        <v>8.5736499999999993E-2</v>
      </c>
      <c r="I380" s="18">
        <f>AVERAGE(F378:F380)</f>
        <v>6.1469999999999994</v>
      </c>
      <c r="J380" s="18">
        <f>AVERAGE(G378:G380)</f>
        <v>7.3186833333333326E-2</v>
      </c>
      <c r="L380">
        <f>+J380/I380</f>
        <v>1.1906105959546663E-2</v>
      </c>
      <c r="M380">
        <f>+(L380-$L$927)/$L$928</f>
        <v>-0.50488383573220019</v>
      </c>
      <c r="N380">
        <f>+N377+M380</f>
        <v>1.1907132069735038</v>
      </c>
      <c r="Z380">
        <f>+(I380-$F$927)/$F$928</f>
        <v>0.5157477457545413</v>
      </c>
      <c r="AA380">
        <f>+AA377+Z380</f>
        <v>28.387655260485062</v>
      </c>
    </row>
    <row r="381" spans="1:27">
      <c r="A381" s="15">
        <v>6</v>
      </c>
      <c r="B381" s="73">
        <v>40280</v>
      </c>
      <c r="C381" s="15">
        <v>2010</v>
      </c>
      <c r="D381" s="11" t="s">
        <v>30</v>
      </c>
      <c r="E381" s="15">
        <v>4</v>
      </c>
      <c r="F381" s="26">
        <v>2.9020000000000001</v>
      </c>
      <c r="G381" s="18">
        <v>3.3315749999999998E-2</v>
      </c>
    </row>
    <row r="382" spans="1:27">
      <c r="A382" s="15">
        <v>8</v>
      </c>
      <c r="B382" s="73">
        <v>40281</v>
      </c>
      <c r="C382" s="15">
        <v>2010</v>
      </c>
      <c r="D382" s="11" t="s">
        <v>30</v>
      </c>
      <c r="E382" s="15">
        <v>4</v>
      </c>
      <c r="F382" s="26">
        <v>0.80500000000000005</v>
      </c>
      <c r="G382" s="18">
        <v>6.3816250000000001E-3</v>
      </c>
    </row>
    <row r="383" spans="1:27">
      <c r="A383" s="15">
        <v>15</v>
      </c>
      <c r="B383" s="73">
        <v>40281</v>
      </c>
      <c r="C383" s="15">
        <v>2010</v>
      </c>
      <c r="D383" s="11" t="s">
        <v>30</v>
      </c>
      <c r="E383" s="15">
        <v>4</v>
      </c>
      <c r="F383" s="26">
        <v>1.873</v>
      </c>
      <c r="G383" s="18">
        <v>1.3408500000000002E-2</v>
      </c>
      <c r="I383" s="18">
        <f>AVERAGE(F381:F383)</f>
        <v>1.86</v>
      </c>
      <c r="J383" s="18">
        <f>AVERAGE(G381:G383)</f>
        <v>1.7701958333333333E-2</v>
      </c>
      <c r="L383">
        <f>+J383/I383</f>
        <v>9.5171818996415761E-3</v>
      </c>
      <c r="M383">
        <f>+(L383-$L$927)/$L$928</f>
        <v>-0.56278582686990208</v>
      </c>
      <c r="N383">
        <f>+N380+M383</f>
        <v>0.62792738010360172</v>
      </c>
      <c r="Z383">
        <f>+(I383-$F$927)/$F$928</f>
        <v>-0.65950861127126859</v>
      </c>
      <c r="AA383">
        <f>+AA380+Z383</f>
        <v>27.728146649213794</v>
      </c>
    </row>
    <row r="384" spans="1:27">
      <c r="A384" s="15">
        <v>6</v>
      </c>
      <c r="B384" s="78">
        <v>40315</v>
      </c>
      <c r="C384" s="15">
        <v>2010</v>
      </c>
      <c r="D384" s="11" t="s">
        <v>31</v>
      </c>
      <c r="E384" s="15">
        <v>5</v>
      </c>
      <c r="F384" s="27">
        <v>6.8540000000000001</v>
      </c>
      <c r="G384" s="18">
        <v>0.23109987499999998</v>
      </c>
    </row>
    <row r="385" spans="1:27">
      <c r="A385" s="15">
        <v>8</v>
      </c>
      <c r="B385" s="78">
        <v>40317</v>
      </c>
      <c r="C385" s="15">
        <v>2010</v>
      </c>
      <c r="D385" s="11" t="s">
        <v>31</v>
      </c>
      <c r="E385" s="15">
        <v>5</v>
      </c>
      <c r="F385" s="27">
        <v>1.6919999999999999</v>
      </c>
      <c r="G385" s="18">
        <v>2.2913999999999997E-2</v>
      </c>
    </row>
    <row r="386" spans="1:27">
      <c r="A386" s="15">
        <v>15</v>
      </c>
      <c r="B386" s="78">
        <v>40317</v>
      </c>
      <c r="C386" s="15">
        <v>2010</v>
      </c>
      <c r="D386" s="11" t="s">
        <v>31</v>
      </c>
      <c r="E386" s="15">
        <v>5</v>
      </c>
      <c r="F386" s="27">
        <v>4.1239999999999997</v>
      </c>
      <c r="G386" s="18">
        <v>0.41578087499999988</v>
      </c>
      <c r="I386" s="18">
        <f>AVERAGE(F384:F386)</f>
        <v>4.2233333333333327</v>
      </c>
      <c r="J386" s="18">
        <f>AVERAGE(G384:G386)</f>
        <v>0.22326491666666662</v>
      </c>
      <c r="L386">
        <f>+J386/I386</f>
        <v>5.2864621152328331E-2</v>
      </c>
      <c r="M386">
        <f>+(L386-$L$927)/$L$928</f>
        <v>0.48785579275146707</v>
      </c>
      <c r="N386">
        <f>+N383+M386</f>
        <v>1.1157831728550689</v>
      </c>
      <c r="Z386">
        <f>+(I386-$F$927)/$F$928</f>
        <v>-1.1614390657553451E-2</v>
      </c>
      <c r="AA386">
        <f>+AA383+Z386</f>
        <v>27.716532258556242</v>
      </c>
    </row>
    <row r="387" spans="1:27">
      <c r="A387" s="15">
        <v>6</v>
      </c>
      <c r="B387" s="78">
        <v>40344</v>
      </c>
      <c r="C387" s="15">
        <v>2010</v>
      </c>
      <c r="D387" s="11" t="s">
        <v>32</v>
      </c>
      <c r="E387" s="15">
        <v>6</v>
      </c>
      <c r="F387" s="27">
        <v>9.5589999999999993</v>
      </c>
      <c r="G387" s="18">
        <v>1.2212901249999997</v>
      </c>
    </row>
    <row r="388" spans="1:27">
      <c r="A388" s="15">
        <v>8</v>
      </c>
      <c r="B388" s="78">
        <v>40345</v>
      </c>
      <c r="C388" s="15">
        <v>2010</v>
      </c>
      <c r="D388" s="11" t="s">
        <v>32</v>
      </c>
      <c r="E388" s="15">
        <v>6</v>
      </c>
      <c r="F388" s="27">
        <v>4.774</v>
      </c>
      <c r="G388" s="18">
        <v>8.3474999999999994E-2</v>
      </c>
    </row>
    <row r="389" spans="1:27">
      <c r="A389" s="15">
        <v>15</v>
      </c>
      <c r="B389" s="78">
        <v>40345</v>
      </c>
      <c r="C389" s="15">
        <v>2010</v>
      </c>
      <c r="D389" s="11" t="s">
        <v>32</v>
      </c>
      <c r="E389" s="15">
        <v>6</v>
      </c>
      <c r="F389" s="27">
        <v>3.863</v>
      </c>
      <c r="G389" s="18">
        <v>0.91202050000000012</v>
      </c>
      <c r="I389" s="18">
        <f>AVERAGE(F387:F389)</f>
        <v>6.0653333333333324</v>
      </c>
      <c r="J389" s="18">
        <f>AVERAGE(G387:G389)</f>
        <v>0.73892854166666666</v>
      </c>
      <c r="L389">
        <f>+J389/I389</f>
        <v>0.1218281833919543</v>
      </c>
      <c r="M389">
        <f>+(L389-$L$927)/$L$928</f>
        <v>2.159372956751155</v>
      </c>
      <c r="N389">
        <f>+N386+M389</f>
        <v>3.2751561296062239</v>
      </c>
      <c r="Z389">
        <f>+(I389-$F$927)/$F$928</f>
        <v>0.49335929948509682</v>
      </c>
      <c r="AA389">
        <f>+AA386+Z389</f>
        <v>28.209891558041338</v>
      </c>
    </row>
    <row r="390" spans="1:27">
      <c r="A390" s="15">
        <v>6</v>
      </c>
      <c r="B390" s="78">
        <v>40374</v>
      </c>
      <c r="C390" s="15">
        <v>2010</v>
      </c>
      <c r="D390" s="11" t="s">
        <v>33</v>
      </c>
      <c r="E390" s="15">
        <v>7</v>
      </c>
      <c r="F390" s="27">
        <v>7.5309999999999997</v>
      </c>
      <c r="G390" s="18">
        <v>1.8868426250000001</v>
      </c>
    </row>
    <row r="391" spans="1:27">
      <c r="A391" s="15">
        <v>8</v>
      </c>
      <c r="B391" s="78">
        <v>40374</v>
      </c>
      <c r="C391" s="15">
        <v>2010</v>
      </c>
      <c r="D391" s="11" t="s">
        <v>33</v>
      </c>
      <c r="E391" s="15">
        <v>7</v>
      </c>
      <c r="F391" s="27">
        <v>5.3780000000000001</v>
      </c>
      <c r="G391" s="18">
        <v>9.4454125E-2</v>
      </c>
    </row>
    <row r="392" spans="1:27">
      <c r="A392" s="15">
        <v>15</v>
      </c>
      <c r="B392" s="78">
        <v>40374</v>
      </c>
      <c r="C392" s="15">
        <v>2010</v>
      </c>
      <c r="D392" s="11" t="s">
        <v>33</v>
      </c>
      <c r="E392" s="15">
        <v>7</v>
      </c>
      <c r="F392" s="27">
        <v>5.258</v>
      </c>
      <c r="G392" s="18">
        <v>0.72480949999999988</v>
      </c>
      <c r="I392" s="18">
        <f>AVERAGE(F390:F392)</f>
        <v>6.0556666666666663</v>
      </c>
      <c r="J392" s="18">
        <f>AVERAGE(G390:G392)</f>
        <v>0.90203541666666665</v>
      </c>
      <c r="L392">
        <f>+J392/I392</f>
        <v>0.14895724390378159</v>
      </c>
      <c r="M392">
        <f>+(L392-$L$927)/$L$928</f>
        <v>2.816918605729386</v>
      </c>
      <c r="N392">
        <f>+N389+M392</f>
        <v>6.0920747353356095</v>
      </c>
      <c r="Z392">
        <f>+(I392-$F$927)/$F$928</f>
        <v>0.49070923849810155</v>
      </c>
      <c r="AA392">
        <f>+AA389+Z392</f>
        <v>28.70060079653944</v>
      </c>
    </row>
    <row r="393" spans="1:27">
      <c r="A393" s="15">
        <v>6</v>
      </c>
      <c r="B393" s="78">
        <v>40407</v>
      </c>
      <c r="C393" s="15">
        <v>2010</v>
      </c>
      <c r="D393" s="11" t="s">
        <v>34</v>
      </c>
      <c r="E393" s="15">
        <v>8</v>
      </c>
      <c r="F393" s="27">
        <v>6.5019999999999998</v>
      </c>
      <c r="G393" s="18">
        <v>1.2353462500000001</v>
      </c>
    </row>
    <row r="394" spans="1:27">
      <c r="A394" s="15">
        <v>8</v>
      </c>
      <c r="B394" s="78">
        <v>40409</v>
      </c>
      <c r="C394" s="15">
        <v>2010</v>
      </c>
      <c r="D394" s="11" t="s">
        <v>34</v>
      </c>
      <c r="E394" s="15">
        <v>8</v>
      </c>
      <c r="F394" s="27">
        <v>6.0250000000000004</v>
      </c>
      <c r="G394" s="18">
        <v>8.6458624999999997E-2</v>
      </c>
    </row>
    <row r="395" spans="1:27">
      <c r="A395" s="15">
        <v>8</v>
      </c>
      <c r="B395" s="78">
        <v>40409</v>
      </c>
      <c r="C395" s="15">
        <v>2010</v>
      </c>
      <c r="D395" s="11" t="s">
        <v>34</v>
      </c>
      <c r="E395" s="15">
        <v>8</v>
      </c>
      <c r="F395" s="27">
        <v>6.0250000000000004</v>
      </c>
      <c r="G395" s="18">
        <v>8.7501499999999996E-2</v>
      </c>
      <c r="H395" t="s">
        <v>13</v>
      </c>
    </row>
    <row r="396" spans="1:27">
      <c r="A396" s="15">
        <v>15</v>
      </c>
      <c r="B396" s="78">
        <v>40409</v>
      </c>
      <c r="C396" s="15">
        <v>2010</v>
      </c>
      <c r="D396" s="11" t="s">
        <v>34</v>
      </c>
      <c r="E396" s="15">
        <v>8</v>
      </c>
      <c r="F396" s="27">
        <v>7.1319999999999997</v>
      </c>
      <c r="G396" s="18">
        <v>0.42832524999999994</v>
      </c>
      <c r="I396" s="18">
        <f>AVERAGE(F393:F396)</f>
        <v>6.4209999999999994</v>
      </c>
      <c r="J396" s="18">
        <f>AVERAGE(G393:G396)</f>
        <v>0.45940790624999994</v>
      </c>
      <c r="L396">
        <f>+J396/I396</f>
        <v>7.1547719397290141E-2</v>
      </c>
      <c r="M396">
        <f>+(L396-$L$927)/$L$928</f>
        <v>0.94069086070568719</v>
      </c>
      <c r="N396">
        <f>+N392+M396</f>
        <v>7.0327655960412967</v>
      </c>
      <c r="Z396">
        <f>+(I396-$F$927)/$F$928</f>
        <v>0.59086326752386054</v>
      </c>
      <c r="AA396">
        <f>+AA392+Z396</f>
        <v>29.291464064063302</v>
      </c>
    </row>
    <row r="397" spans="1:27">
      <c r="A397" s="15">
        <v>6</v>
      </c>
      <c r="B397" s="78">
        <v>40436</v>
      </c>
      <c r="C397" s="15">
        <v>2010</v>
      </c>
      <c r="D397" s="11" t="s">
        <v>40</v>
      </c>
      <c r="E397" s="15">
        <v>9</v>
      </c>
      <c r="F397" s="27">
        <v>8.3450000000000006</v>
      </c>
      <c r="G397" s="18">
        <v>0.608402</v>
      </c>
    </row>
    <row r="398" spans="1:27">
      <c r="A398" s="15">
        <v>8</v>
      </c>
      <c r="B398" s="78">
        <v>40434</v>
      </c>
      <c r="C398" s="15">
        <v>2010</v>
      </c>
      <c r="D398" s="11" t="s">
        <v>40</v>
      </c>
      <c r="E398" s="15">
        <v>9</v>
      </c>
      <c r="F398" s="27">
        <v>6.6950000000000003</v>
      </c>
      <c r="G398" s="18">
        <v>9.3220249999999991E-2</v>
      </c>
    </row>
    <row r="399" spans="1:27">
      <c r="A399" s="15">
        <v>15</v>
      </c>
      <c r="B399" s="78">
        <v>40434</v>
      </c>
      <c r="C399" s="15">
        <v>2010</v>
      </c>
      <c r="D399" s="11" t="s">
        <v>40</v>
      </c>
      <c r="E399" s="15">
        <v>9</v>
      </c>
      <c r="F399" s="27">
        <v>5.4589999999999996</v>
      </c>
      <c r="G399" s="18">
        <v>0.73892062499999989</v>
      </c>
      <c r="I399" s="18">
        <f>AVERAGE(F397:F399)</f>
        <v>6.8330000000000011</v>
      </c>
      <c r="J399" s="18">
        <f>AVERAGE(G397:G399)</f>
        <v>0.48018095833333324</v>
      </c>
      <c r="L399">
        <f>+J399/I399</f>
        <v>7.0273812137177399E-2</v>
      </c>
      <c r="M399">
        <f>+(L399-$L$927)/$L$928</f>
        <v>0.90981429659747837</v>
      </c>
      <c r="N399">
        <f>+N396+M399</f>
        <v>7.9425798926387747</v>
      </c>
      <c r="Z399">
        <f>+(I399-$F$927)/$F$928</f>
        <v>0.70381069441787403</v>
      </c>
      <c r="AA399">
        <f>+AA396+Z399</f>
        <v>29.995274758481177</v>
      </c>
    </row>
    <row r="400" spans="1:27">
      <c r="A400" s="15">
        <v>6</v>
      </c>
      <c r="B400" s="78">
        <v>40464</v>
      </c>
      <c r="C400" s="15">
        <v>2010</v>
      </c>
      <c r="D400" s="11" t="s">
        <v>36</v>
      </c>
      <c r="E400" s="15">
        <v>10</v>
      </c>
      <c r="F400" s="26">
        <v>6.468</v>
      </c>
      <c r="G400" s="18">
        <v>0.27667025000000001</v>
      </c>
    </row>
    <row r="401" spans="1:27">
      <c r="A401" s="15">
        <v>8</v>
      </c>
      <c r="B401" s="78">
        <v>40463</v>
      </c>
      <c r="C401" s="15">
        <v>2010</v>
      </c>
      <c r="D401" s="11" t="s">
        <v>36</v>
      </c>
      <c r="E401" s="15">
        <v>10</v>
      </c>
      <c r="F401" s="26">
        <v>3.1059999999999999</v>
      </c>
      <c r="G401" s="18">
        <v>2.9628374999999998E-2</v>
      </c>
    </row>
    <row r="402" spans="1:27">
      <c r="A402" s="15">
        <v>15</v>
      </c>
      <c r="B402" s="78">
        <v>40463</v>
      </c>
      <c r="C402" s="15">
        <v>2010</v>
      </c>
      <c r="D402" s="11" t="s">
        <v>36</v>
      </c>
      <c r="E402" s="15">
        <v>10</v>
      </c>
      <c r="F402" s="26">
        <v>3.3380000000000001</v>
      </c>
      <c r="G402" s="18">
        <v>0.1522995</v>
      </c>
      <c r="I402" s="18">
        <f>AVERAGE(F400:F402)</f>
        <v>4.3039999999999994</v>
      </c>
      <c r="J402" s="18">
        <f>AVERAGE(G400:G402)</f>
        <v>0.15286604166666665</v>
      </c>
      <c r="L402">
        <f>+J402/I402</f>
        <v>3.5517202989467166E-2</v>
      </c>
      <c r="M402">
        <f>+(L402-$L$927)/$L$928</f>
        <v>6.7394519165440092E-2</v>
      </c>
      <c r="N402">
        <f>+N399+M402</f>
        <v>8.0099744118042153</v>
      </c>
      <c r="Z402">
        <f>+(I402-$F$927)/$F$928</f>
        <v>1.0499911371856862E-2</v>
      </c>
      <c r="AA402">
        <f>+AA399+Z402</f>
        <v>30.005774669853032</v>
      </c>
    </row>
    <row r="403" spans="1:27">
      <c r="A403" s="15">
        <v>6</v>
      </c>
      <c r="B403" s="78">
        <v>40498</v>
      </c>
      <c r="C403" s="15">
        <v>2010</v>
      </c>
      <c r="D403" s="11" t="s">
        <v>37</v>
      </c>
      <c r="E403" s="15">
        <v>11</v>
      </c>
      <c r="F403" s="26">
        <v>1.373</v>
      </c>
      <c r="G403" s="18">
        <v>1.5401875000000001E-2</v>
      </c>
    </row>
    <row r="404" spans="1:27">
      <c r="A404" s="15">
        <v>8</v>
      </c>
      <c r="B404" s="78">
        <v>40500</v>
      </c>
      <c r="C404" s="15">
        <v>2010</v>
      </c>
      <c r="D404" s="11" t="s">
        <v>37</v>
      </c>
      <c r="E404" s="15">
        <v>11</v>
      </c>
      <c r="F404" s="26">
        <v>2.5230000000000001</v>
      </c>
      <c r="G404" s="18">
        <v>1.3466000000000001E-2</v>
      </c>
    </row>
    <row r="405" spans="1:27">
      <c r="A405" s="15">
        <v>15</v>
      </c>
      <c r="B405" s="78">
        <v>40500</v>
      </c>
      <c r="C405" s="15">
        <v>2010</v>
      </c>
      <c r="D405" s="11" t="s">
        <v>37</v>
      </c>
      <c r="E405" s="15">
        <v>11</v>
      </c>
      <c r="F405" s="26">
        <v>3.8769999999999998</v>
      </c>
      <c r="G405" s="18">
        <v>0.14167325</v>
      </c>
      <c r="I405" s="18">
        <f>AVERAGE(F403:F405)</f>
        <v>2.5909999999999997</v>
      </c>
      <c r="J405" s="18">
        <f>AVERAGE(G403:G405)</f>
        <v>5.6847041666666674E-2</v>
      </c>
      <c r="L405">
        <f>+J405/I405</f>
        <v>2.1940193618937353E-2</v>
      </c>
      <c r="M405">
        <f>+(L405-$L$927)/$L$928</f>
        <v>-0.26168077018475611</v>
      </c>
      <c r="N405">
        <f>+N402+M405</f>
        <v>7.7482936416194592</v>
      </c>
      <c r="Z405">
        <f>+(I405-$F$927)/$F$928</f>
        <v>-0.45910917180640587</v>
      </c>
      <c r="AA405">
        <f>+AA402+Z405</f>
        <v>29.546665498046625</v>
      </c>
    </row>
    <row r="406" spans="1:27">
      <c r="A406" s="15">
        <v>6</v>
      </c>
      <c r="B406" s="78">
        <v>40520</v>
      </c>
      <c r="C406" s="15">
        <v>2010</v>
      </c>
      <c r="D406" s="11" t="s">
        <v>38</v>
      </c>
      <c r="E406" s="15">
        <v>12</v>
      </c>
      <c r="F406" s="26">
        <v>3.7120000000000002</v>
      </c>
      <c r="G406" s="18">
        <v>0.20973059999999999</v>
      </c>
    </row>
    <row r="407" spans="1:27">
      <c r="A407" s="15">
        <v>8</v>
      </c>
      <c r="B407" s="78">
        <v>40521</v>
      </c>
      <c r="C407" s="15">
        <v>2010</v>
      </c>
      <c r="D407" s="11" t="s">
        <v>38</v>
      </c>
      <c r="E407" s="15">
        <v>12</v>
      </c>
      <c r="F407" s="26">
        <v>1.1579999999999999</v>
      </c>
      <c r="G407" s="18">
        <v>1.3161124999999999E-2</v>
      </c>
    </row>
    <row r="408" spans="1:27">
      <c r="A408" s="15">
        <v>15</v>
      </c>
      <c r="B408" s="78">
        <v>40521</v>
      </c>
      <c r="C408" s="15">
        <v>2010</v>
      </c>
      <c r="D408" s="11" t="s">
        <v>38</v>
      </c>
      <c r="E408" s="15">
        <v>12</v>
      </c>
      <c r="F408" s="26">
        <v>3.177</v>
      </c>
      <c r="G408" s="18">
        <v>8.2773374999999969E-2</v>
      </c>
      <c r="I408" s="18">
        <f>AVERAGE(F406:F408)</f>
        <v>2.6823333333333337</v>
      </c>
      <c r="J408" s="18">
        <f>AVERAGE(G406:G408)</f>
        <v>0.10188836666666666</v>
      </c>
      <c r="L408">
        <f>+J408/I408</f>
        <v>3.7984975767366716E-2</v>
      </c>
      <c r="M408">
        <f>+(L408-$L$927)/$L$928</f>
        <v>0.12720762076795761</v>
      </c>
      <c r="N408">
        <f>+N405+M408</f>
        <v>7.8755012623874165</v>
      </c>
      <c r="Z408">
        <f>+(I408-$F$927)/$F$928</f>
        <v>-0.4340706645499659</v>
      </c>
      <c r="AA408">
        <f>+AA405+Z408</f>
        <v>29.112594833496658</v>
      </c>
    </row>
    <row r="409" spans="1:27">
      <c r="A409" s="15">
        <v>6</v>
      </c>
      <c r="B409" s="78">
        <v>40562</v>
      </c>
      <c r="C409" s="15">
        <v>2011</v>
      </c>
      <c r="D409" s="11" t="s">
        <v>39</v>
      </c>
      <c r="E409" s="15">
        <v>1</v>
      </c>
      <c r="F409" s="26">
        <v>2.3679999999999999</v>
      </c>
      <c r="G409" s="18">
        <v>1.0345E-2</v>
      </c>
    </row>
    <row r="410" spans="1:27">
      <c r="A410" s="15">
        <v>8</v>
      </c>
      <c r="B410" s="78">
        <v>40563</v>
      </c>
      <c r="C410" s="15">
        <v>2011</v>
      </c>
      <c r="D410" s="11" t="s">
        <v>39</v>
      </c>
      <c r="E410" s="15">
        <v>1</v>
      </c>
      <c r="F410" s="26">
        <v>2.976</v>
      </c>
      <c r="G410" s="18">
        <v>1.1605625E-2</v>
      </c>
    </row>
    <row r="411" spans="1:27">
      <c r="A411" s="15">
        <v>15</v>
      </c>
      <c r="B411" s="78">
        <v>40563</v>
      </c>
      <c r="C411" s="15">
        <v>2011</v>
      </c>
      <c r="D411" s="11" t="s">
        <v>39</v>
      </c>
      <c r="E411" s="15">
        <v>1</v>
      </c>
      <c r="F411" s="26">
        <v>3.0059999999999998</v>
      </c>
      <c r="G411" s="18">
        <v>2.4199374999999999E-2</v>
      </c>
      <c r="I411" s="18">
        <f>AVERAGE(F409:F411)</f>
        <v>2.7833333333333332</v>
      </c>
      <c r="J411" s="18">
        <f>AVERAGE(G409:G411)</f>
        <v>1.5383333333333332E-2</v>
      </c>
      <c r="L411">
        <f>+J411/I411</f>
        <v>5.5269461077844311E-3</v>
      </c>
      <c r="M411">
        <f>+(L411-$L$927)/$L$928</f>
        <v>-0.65949990888497978</v>
      </c>
      <c r="N411">
        <f>+N408+M411</f>
        <v>7.2160013535024365</v>
      </c>
      <c r="Z411">
        <f>+(I411-$F$927)/$F$928</f>
        <v>-0.40638209630653083</v>
      </c>
      <c r="AA411">
        <f>+AA408+Z411</f>
        <v>28.706212737190128</v>
      </c>
    </row>
    <row r="412" spans="1:27">
      <c r="A412" s="15">
        <v>6</v>
      </c>
      <c r="B412" s="78">
        <v>40591</v>
      </c>
      <c r="C412" s="15">
        <v>2011</v>
      </c>
      <c r="D412" s="11" t="s">
        <v>28</v>
      </c>
      <c r="E412" s="15">
        <v>2</v>
      </c>
      <c r="F412" s="26">
        <v>1.8620000000000001</v>
      </c>
      <c r="G412" s="18">
        <v>1.6084374999999998E-2</v>
      </c>
    </row>
    <row r="413" spans="1:27">
      <c r="A413" s="15">
        <v>8</v>
      </c>
      <c r="B413" s="78">
        <v>40598</v>
      </c>
      <c r="C413" s="15">
        <v>2011</v>
      </c>
      <c r="D413" s="11" t="s">
        <v>28</v>
      </c>
      <c r="E413" s="15">
        <v>2</v>
      </c>
      <c r="F413" s="26">
        <v>4.9710000000000001</v>
      </c>
      <c r="G413" s="18">
        <v>2.3078624999999998E-2</v>
      </c>
    </row>
    <row r="414" spans="1:27">
      <c r="A414" s="15">
        <v>15</v>
      </c>
      <c r="B414" s="78">
        <v>40598</v>
      </c>
      <c r="C414" s="15">
        <v>2011</v>
      </c>
      <c r="D414" s="11" t="s">
        <v>28</v>
      </c>
      <c r="E414" s="15">
        <v>2</v>
      </c>
      <c r="F414" s="26">
        <v>2.8839999999999999</v>
      </c>
      <c r="G414" s="18">
        <v>1.073525E-2</v>
      </c>
      <c r="I414" s="18">
        <f>AVERAGE(F412:F414)</f>
        <v>3.2390000000000003</v>
      </c>
      <c r="J414" s="18">
        <f>AVERAGE(G412:G414)</f>
        <v>1.6632749999999998E-2</v>
      </c>
      <c r="L414">
        <f>+J414/I414</f>
        <v>5.1351497375733239E-3</v>
      </c>
      <c r="M414">
        <f>+(L414-$L$927)/$L$928</f>
        <v>-0.66899614626501969</v>
      </c>
      <c r="N414">
        <f>+N411+M414</f>
        <v>6.547005207237417</v>
      </c>
      <c r="Z414">
        <f>+(I414-$F$927)/$F$928</f>
        <v>-0.28146370426436584</v>
      </c>
      <c r="AA414">
        <f>+AA411+Z414</f>
        <v>28.424749032925764</v>
      </c>
    </row>
    <row r="415" spans="1:27">
      <c r="A415" s="15">
        <v>6</v>
      </c>
      <c r="B415" s="78">
        <v>40619</v>
      </c>
      <c r="C415" s="15">
        <v>2011</v>
      </c>
      <c r="D415" s="11" t="s">
        <v>29</v>
      </c>
      <c r="E415" s="15">
        <v>3</v>
      </c>
      <c r="F415" s="26">
        <v>1.2869999999999999</v>
      </c>
      <c r="G415" s="18">
        <v>1.0146624999999999E-2</v>
      </c>
    </row>
    <row r="416" spans="1:27">
      <c r="A416" s="15">
        <v>8</v>
      </c>
      <c r="B416" s="78">
        <v>40617</v>
      </c>
      <c r="C416" s="15">
        <v>2011</v>
      </c>
      <c r="D416" s="11" t="s">
        <v>29</v>
      </c>
      <c r="E416" s="15">
        <v>3</v>
      </c>
      <c r="F416" s="26">
        <v>2.1829999999999998</v>
      </c>
      <c r="G416" s="18">
        <v>9.0141249999999996E-3</v>
      </c>
    </row>
    <row r="417" spans="1:27">
      <c r="A417" s="15">
        <v>8</v>
      </c>
      <c r="B417" s="78">
        <v>40617</v>
      </c>
      <c r="C417" s="15">
        <v>2011</v>
      </c>
      <c r="D417" s="11" t="s">
        <v>29</v>
      </c>
      <c r="E417" s="15">
        <v>3</v>
      </c>
      <c r="F417" s="26">
        <v>2.1829999999999998</v>
      </c>
      <c r="G417" s="18">
        <v>9.5099999999999994E-3</v>
      </c>
      <c r="H417" t="s">
        <v>13</v>
      </c>
      <c r="I417" s="18"/>
      <c r="J417" s="18"/>
    </row>
    <row r="418" spans="1:27">
      <c r="A418" s="15">
        <v>15</v>
      </c>
      <c r="B418" s="78">
        <v>40617</v>
      </c>
      <c r="C418" s="15">
        <v>2011</v>
      </c>
      <c r="D418" s="11" t="s">
        <v>29</v>
      </c>
      <c r="E418" s="15">
        <v>3</v>
      </c>
      <c r="F418" s="26">
        <v>2.274</v>
      </c>
      <c r="G418" s="18">
        <v>1.3963375E-2</v>
      </c>
      <c r="I418" s="18">
        <f>AVERAGE(F415:F418)</f>
        <v>1.9817499999999999</v>
      </c>
      <c r="J418" s="18">
        <f>AVERAGE(G415:G418)</f>
        <v>1.0658531249999999E-2</v>
      </c>
      <c r="L418">
        <f>+J418/I418</f>
        <v>5.3783430049198933E-3</v>
      </c>
      <c r="M418">
        <f>+(L418-$L$927)/$L$928</f>
        <v>-0.66310170422435921</v>
      </c>
      <c r="N418">
        <f>+N414+M418</f>
        <v>5.883903503013058</v>
      </c>
      <c r="Z418">
        <f>+(I418-$F$927)/$F$928</f>
        <v>-0.62613155004712773</v>
      </c>
      <c r="AA418">
        <f>+AA414+Z418</f>
        <v>27.798617482878637</v>
      </c>
    </row>
    <row r="419" spans="1:27">
      <c r="A419" s="15">
        <v>6</v>
      </c>
      <c r="B419" s="78">
        <v>40646</v>
      </c>
      <c r="C419" s="15">
        <v>2011</v>
      </c>
      <c r="D419" s="11" t="s">
        <v>30</v>
      </c>
      <c r="E419" s="15">
        <v>4</v>
      </c>
      <c r="F419" s="26">
        <v>1.804</v>
      </c>
      <c r="G419" s="18">
        <v>1.16375E-2</v>
      </c>
    </row>
    <row r="420" spans="1:27">
      <c r="A420" s="15">
        <v>8</v>
      </c>
      <c r="B420" s="78">
        <v>40647</v>
      </c>
      <c r="C420" s="15">
        <v>2011</v>
      </c>
      <c r="D420" s="11" t="s">
        <v>30</v>
      </c>
      <c r="E420" s="15">
        <v>4</v>
      </c>
      <c r="F420" s="26">
        <v>1.5169999999999999</v>
      </c>
      <c r="G420" s="18">
        <v>6.4710000000000002E-3</v>
      </c>
      <c r="I420" s="18"/>
      <c r="J420" s="18"/>
    </row>
    <row r="421" spans="1:27">
      <c r="A421" s="15">
        <v>15</v>
      </c>
      <c r="B421" s="78">
        <v>40647</v>
      </c>
      <c r="C421" s="15">
        <v>2011</v>
      </c>
      <c r="D421" s="11" t="s">
        <v>30</v>
      </c>
      <c r="E421" s="15">
        <v>4</v>
      </c>
      <c r="F421" s="26">
        <v>1.119</v>
      </c>
      <c r="G421" s="18">
        <v>9.8975E-3</v>
      </c>
      <c r="I421" s="18">
        <f>AVERAGE(F419:F421)</f>
        <v>1.4799999999999998</v>
      </c>
      <c r="J421" s="18">
        <f>AVERAGE(G419:G421)</f>
        <v>9.3353333333333326E-3</v>
      </c>
      <c r="L421">
        <f>+J421/I421</f>
        <v>6.3076576576576579E-3</v>
      </c>
      <c r="M421">
        <f>+(L421-$L$927)/$L$928</f>
        <v>-0.64057726751660693</v>
      </c>
      <c r="N421">
        <f>+N418+M421</f>
        <v>5.2433262354964514</v>
      </c>
      <c r="Z421">
        <f>+(I421-$F$927)/$F$928</f>
        <v>-0.76368342248419341</v>
      </c>
      <c r="AA421">
        <f>+AA418+Z421</f>
        <v>27.034934060394445</v>
      </c>
    </row>
    <row r="422" spans="1:27">
      <c r="A422" s="15">
        <v>6</v>
      </c>
      <c r="B422" s="78">
        <v>40681</v>
      </c>
      <c r="C422" s="15">
        <v>2011</v>
      </c>
      <c r="D422" s="11" t="s">
        <v>31</v>
      </c>
      <c r="E422" s="15">
        <v>5</v>
      </c>
      <c r="F422" s="26">
        <v>3.1560000000000001</v>
      </c>
      <c r="G422" s="18">
        <v>0.34382800000000008</v>
      </c>
    </row>
    <row r="423" spans="1:27">
      <c r="A423" s="15">
        <v>6</v>
      </c>
      <c r="B423" s="78">
        <v>40681</v>
      </c>
      <c r="C423" s="15">
        <v>2011</v>
      </c>
      <c r="D423" s="11" t="s">
        <v>31</v>
      </c>
      <c r="E423" s="15">
        <v>5</v>
      </c>
      <c r="F423" s="26">
        <v>3.1560000000000001</v>
      </c>
      <c r="G423" s="18">
        <v>0.30735625</v>
      </c>
      <c r="H423" t="s">
        <v>13</v>
      </c>
    </row>
    <row r="424" spans="1:27">
      <c r="A424" s="15">
        <v>8</v>
      </c>
      <c r="B424" s="78">
        <v>40682</v>
      </c>
      <c r="C424" s="15">
        <v>2011</v>
      </c>
      <c r="D424" s="11" t="s">
        <v>31</v>
      </c>
      <c r="E424" s="15">
        <v>5</v>
      </c>
      <c r="F424" s="26">
        <v>1.4690000000000001</v>
      </c>
      <c r="G424" s="18">
        <v>1.1472624999999997E-2</v>
      </c>
    </row>
    <row r="425" spans="1:27">
      <c r="A425" s="15">
        <v>15</v>
      </c>
      <c r="B425" s="78">
        <v>40682</v>
      </c>
      <c r="C425" s="15">
        <v>2011</v>
      </c>
      <c r="D425" s="11" t="s">
        <v>31</v>
      </c>
      <c r="E425" s="15">
        <v>5</v>
      </c>
      <c r="F425" s="26">
        <v>0.86399999999999999</v>
      </c>
      <c r="G425" s="18">
        <v>7.544625000000001E-3</v>
      </c>
      <c r="I425" s="18">
        <f>AVERAGE(F422:F425)</f>
        <v>2.1612500000000003</v>
      </c>
      <c r="J425" s="18">
        <f>AVERAGE(G422:G425)</f>
        <v>0.167550375</v>
      </c>
      <c r="L425">
        <f>+J425/I425</f>
        <v>7.7524754193175241E-2</v>
      </c>
      <c r="M425">
        <f>+(L425-$L$927)/$L$928</f>
        <v>1.0855603530389113</v>
      </c>
      <c r="N425">
        <f>+N421+M425</f>
        <v>6.3288865885353625</v>
      </c>
      <c r="Z425">
        <f>+(I425-$F$927)/$F$928</f>
        <v>-0.57692265896102246</v>
      </c>
      <c r="AA425">
        <f>+AA421+Z425</f>
        <v>26.458011401433421</v>
      </c>
    </row>
    <row r="426" spans="1:27">
      <c r="A426" s="15">
        <v>6</v>
      </c>
      <c r="B426" s="78">
        <v>40709</v>
      </c>
      <c r="C426" s="15">
        <v>2011</v>
      </c>
      <c r="D426" s="11" t="s">
        <v>32</v>
      </c>
      <c r="E426" s="15">
        <v>6</v>
      </c>
      <c r="F426" s="26">
        <v>4.5199999999999996</v>
      </c>
      <c r="G426" s="18">
        <v>0.86125874999999985</v>
      </c>
    </row>
    <row r="427" spans="1:27">
      <c r="A427" s="15">
        <v>6</v>
      </c>
      <c r="B427" s="78">
        <v>40709</v>
      </c>
      <c r="C427" s="15">
        <v>2011</v>
      </c>
      <c r="D427" s="11" t="s">
        <v>32</v>
      </c>
      <c r="E427" s="15">
        <v>6</v>
      </c>
      <c r="F427" s="26">
        <v>4.5199999999999996</v>
      </c>
      <c r="G427" s="18">
        <v>0.86686574999999988</v>
      </c>
      <c r="H427" t="s">
        <v>13</v>
      </c>
    </row>
    <row r="428" spans="1:27">
      <c r="A428" s="15">
        <v>8</v>
      </c>
      <c r="B428" s="78">
        <v>40709</v>
      </c>
      <c r="C428" s="15">
        <v>2011</v>
      </c>
      <c r="D428" s="11" t="s">
        <v>32</v>
      </c>
      <c r="E428" s="15">
        <v>6</v>
      </c>
      <c r="F428" s="26">
        <v>5.7460000000000004</v>
      </c>
      <c r="G428" s="18">
        <v>0.10052474999999998</v>
      </c>
    </row>
    <row r="429" spans="1:27">
      <c r="A429" s="15">
        <v>15</v>
      </c>
      <c r="B429" s="78">
        <v>40709</v>
      </c>
      <c r="C429" s="15">
        <v>2011</v>
      </c>
      <c r="D429" s="11" t="s">
        <v>32</v>
      </c>
      <c r="E429" s="15">
        <v>6</v>
      </c>
      <c r="F429" s="26">
        <v>2.988</v>
      </c>
      <c r="G429" s="18">
        <v>0.35061874999999992</v>
      </c>
      <c r="I429" s="18">
        <f>AVERAGE(F426:F429)</f>
        <v>4.4435000000000002</v>
      </c>
      <c r="J429" s="18">
        <f>AVERAGE(G426:G429)</f>
        <v>0.54481699999999988</v>
      </c>
      <c r="L429">
        <f>+J429/I429</f>
        <v>0.12260987959941484</v>
      </c>
      <c r="M429">
        <f>+(L429-$L$927)/$L$928</f>
        <v>2.178319463940904</v>
      </c>
      <c r="N429">
        <f>+N425+M429</f>
        <v>8.5072060524762669</v>
      </c>
      <c r="Z429">
        <f>+(I429-$F$927)/$F$928</f>
        <v>4.8743032856601788E-2</v>
      </c>
      <c r="AA429">
        <f>+AA425+Z429</f>
        <v>26.506754434290023</v>
      </c>
    </row>
    <row r="430" spans="1:27">
      <c r="A430" s="15">
        <v>6</v>
      </c>
      <c r="B430" s="78">
        <v>40735</v>
      </c>
      <c r="C430" s="15">
        <v>2011</v>
      </c>
      <c r="D430" s="11" t="s">
        <v>33</v>
      </c>
      <c r="E430" s="15">
        <v>7</v>
      </c>
      <c r="F430" s="26">
        <v>1.407</v>
      </c>
      <c r="G430" s="18">
        <v>0.13803262499999999</v>
      </c>
    </row>
    <row r="431" spans="1:27">
      <c r="A431" s="15">
        <v>8</v>
      </c>
      <c r="B431" s="78">
        <v>40736</v>
      </c>
      <c r="C431" s="15">
        <v>2011</v>
      </c>
      <c r="D431" s="11" t="s">
        <v>33</v>
      </c>
      <c r="E431" s="15">
        <v>7</v>
      </c>
      <c r="F431" s="26">
        <v>3.21</v>
      </c>
      <c r="G431" s="18">
        <v>5.6336999999999991E-2</v>
      </c>
    </row>
    <row r="432" spans="1:27">
      <c r="A432" s="15">
        <v>15</v>
      </c>
      <c r="B432" s="78">
        <v>40736</v>
      </c>
      <c r="C432" s="15">
        <v>2011</v>
      </c>
      <c r="D432" s="11" t="s">
        <v>33</v>
      </c>
      <c r="E432" s="15">
        <v>7</v>
      </c>
      <c r="F432" s="26">
        <v>1.7130000000000001</v>
      </c>
      <c r="G432" s="18">
        <v>0.10397324999999999</v>
      </c>
      <c r="I432" s="18">
        <f>AVERAGE(F430:F432)</f>
        <v>2.11</v>
      </c>
      <c r="J432" s="18">
        <f>AVERAGE(G430:G432)</f>
        <v>9.9447624999999998E-2</v>
      </c>
      <c r="L432">
        <f>+J432/I432</f>
        <v>4.713157582938389E-2</v>
      </c>
      <c r="M432">
        <f>+(L432-$L$927)/$L$928</f>
        <v>0.3489000406400497</v>
      </c>
      <c r="N432">
        <f>+N429+M432</f>
        <v>8.8561060931163169</v>
      </c>
      <c r="Z432">
        <f>+(I432-$F$927)/$F$928</f>
        <v>-0.59097255126276571</v>
      </c>
      <c r="AA432">
        <f>+AA429+Z432</f>
        <v>25.915781883027257</v>
      </c>
    </row>
    <row r="433" spans="1:27">
      <c r="A433" s="15">
        <v>15</v>
      </c>
      <c r="B433" s="78">
        <v>40736</v>
      </c>
      <c r="C433" s="15">
        <v>2011</v>
      </c>
      <c r="D433" s="11" t="s">
        <v>33</v>
      </c>
      <c r="E433" s="15">
        <v>7</v>
      </c>
      <c r="F433" s="26">
        <v>1.7130000000000001</v>
      </c>
      <c r="G433" s="18">
        <v>8.9612374999999994E-2</v>
      </c>
      <c r="H433" t="s">
        <v>13</v>
      </c>
    </row>
    <row r="434" spans="1:27">
      <c r="A434" s="15">
        <v>6</v>
      </c>
      <c r="B434" s="78">
        <v>40771</v>
      </c>
      <c r="C434" s="15">
        <v>2011</v>
      </c>
      <c r="D434" s="11" t="s">
        <v>34</v>
      </c>
      <c r="E434" s="15">
        <v>8</v>
      </c>
      <c r="F434" s="26">
        <v>2.86</v>
      </c>
      <c r="G434" s="18">
        <v>0.2015825</v>
      </c>
    </row>
    <row r="435" spans="1:27">
      <c r="A435" s="15">
        <v>8</v>
      </c>
      <c r="B435" s="78">
        <v>40772</v>
      </c>
      <c r="C435" s="15">
        <v>2011</v>
      </c>
      <c r="D435" s="11" t="s">
        <v>34</v>
      </c>
      <c r="E435" s="15">
        <v>8</v>
      </c>
      <c r="F435" s="26">
        <v>22.92</v>
      </c>
      <c r="G435" s="18">
        <v>0.46562537500000001</v>
      </c>
    </row>
    <row r="436" spans="1:27">
      <c r="A436" s="15">
        <v>15</v>
      </c>
      <c r="B436" s="78">
        <v>40772</v>
      </c>
      <c r="C436" s="15">
        <v>2011</v>
      </c>
      <c r="D436" s="11" t="s">
        <v>34</v>
      </c>
      <c r="E436" s="15">
        <v>8</v>
      </c>
      <c r="F436" s="26">
        <v>1.569</v>
      </c>
      <c r="G436" s="18">
        <v>0.31423174999999998</v>
      </c>
      <c r="I436" s="18">
        <f>AVERAGE(F434:F436)</f>
        <v>9.1163333333333334</v>
      </c>
      <c r="J436" s="18">
        <f>AVERAGE(G434:G436)</f>
        <v>0.32714654166666662</v>
      </c>
      <c r="L436">
        <f>+J436/I436</f>
        <v>3.5885759077114332E-2</v>
      </c>
      <c r="M436">
        <f>+(L436-$L$927)/$L$928</f>
        <v>7.6327465875156833E-2</v>
      </c>
      <c r="N436">
        <f>+N432+M436</f>
        <v>8.9324335589914732</v>
      </c>
      <c r="Z436">
        <f>+(I436-$F$927)/$F$928</f>
        <v>1.3297733758288681</v>
      </c>
      <c r="AA436">
        <f>+AA432+Z436</f>
        <v>27.245555258856125</v>
      </c>
    </row>
    <row r="437" spans="1:27">
      <c r="A437" s="15">
        <v>6</v>
      </c>
      <c r="B437" s="78">
        <v>40799</v>
      </c>
      <c r="C437" s="15">
        <v>2011</v>
      </c>
      <c r="D437" s="11" t="s">
        <v>40</v>
      </c>
      <c r="E437" s="15">
        <v>9</v>
      </c>
      <c r="F437" s="26">
        <v>6.6159999999999997</v>
      </c>
      <c r="G437" s="18">
        <v>1.7577207500000001</v>
      </c>
    </row>
    <row r="438" spans="1:27">
      <c r="A438" s="15">
        <v>8</v>
      </c>
      <c r="B438" s="78">
        <v>40798</v>
      </c>
      <c r="C438" s="15">
        <v>2011</v>
      </c>
      <c r="D438" s="11" t="s">
        <v>40</v>
      </c>
      <c r="E438" s="15">
        <v>9</v>
      </c>
      <c r="F438" s="26">
        <v>10.555999999999999</v>
      </c>
      <c r="G438" s="18">
        <v>0.17965900000000001</v>
      </c>
    </row>
    <row r="439" spans="1:27">
      <c r="A439" s="15">
        <v>15</v>
      </c>
      <c r="B439" s="78">
        <v>40798</v>
      </c>
      <c r="C439" s="15">
        <v>2011</v>
      </c>
      <c r="D439" s="11" t="s">
        <v>40</v>
      </c>
      <c r="E439" s="15">
        <v>9</v>
      </c>
      <c r="F439" s="26">
        <v>5.335</v>
      </c>
      <c r="G439" s="18">
        <v>0.51705262499999993</v>
      </c>
    </row>
    <row r="440" spans="1:27">
      <c r="A440" s="15">
        <v>15</v>
      </c>
      <c r="B440" s="78">
        <v>40798</v>
      </c>
      <c r="C440" s="15">
        <v>2011</v>
      </c>
      <c r="D440" s="11" t="s">
        <v>40</v>
      </c>
      <c r="E440" s="15">
        <v>9</v>
      </c>
      <c r="F440" s="26">
        <v>5.335</v>
      </c>
      <c r="G440" s="18">
        <v>0.49057962499999996</v>
      </c>
      <c r="I440" s="18">
        <f>AVERAGE(F437:F440)</f>
        <v>6.9604999999999997</v>
      </c>
      <c r="J440" s="18">
        <f>AVERAGE(G437:G440)</f>
        <v>0.73625300000000005</v>
      </c>
      <c r="L440">
        <f>+J440/I440</f>
        <v>0.10577587816967172</v>
      </c>
      <c r="M440">
        <f>+(L440-$L$927)/$L$928</f>
        <v>1.7703022238969603</v>
      </c>
      <c r="N440">
        <f>+N436+M440</f>
        <v>10.702735782888434</v>
      </c>
      <c r="Z440">
        <f>+(I440-$F$927)/$F$928</f>
        <v>0.73876408502221025</v>
      </c>
      <c r="AA440">
        <f>+AA436+Z440</f>
        <v>27.984319343878337</v>
      </c>
    </row>
    <row r="441" spans="1:27">
      <c r="A441" s="15">
        <v>6</v>
      </c>
      <c r="B441" s="78">
        <v>40827</v>
      </c>
      <c r="C441" s="15">
        <v>2011</v>
      </c>
      <c r="D441" s="11" t="s">
        <v>36</v>
      </c>
      <c r="E441" s="15">
        <v>10</v>
      </c>
      <c r="F441" s="27">
        <v>3.1709999999999998</v>
      </c>
      <c r="G441" s="18">
        <v>0.28199487500000003</v>
      </c>
    </row>
    <row r="442" spans="1:27">
      <c r="A442" s="15">
        <v>6</v>
      </c>
      <c r="B442" s="78">
        <v>40827</v>
      </c>
      <c r="C442" s="15">
        <v>2011</v>
      </c>
      <c r="D442" s="11" t="s">
        <v>36</v>
      </c>
      <c r="E442" s="15">
        <v>10</v>
      </c>
      <c r="F442" s="27">
        <v>3.1709999999999998</v>
      </c>
      <c r="G442" s="18">
        <v>0.26819562499999999</v>
      </c>
    </row>
    <row r="443" spans="1:27">
      <c r="A443" s="15">
        <v>8</v>
      </c>
      <c r="B443" s="78">
        <v>40829</v>
      </c>
      <c r="C443" s="15">
        <v>2011</v>
      </c>
      <c r="D443" s="11" t="s">
        <v>36</v>
      </c>
      <c r="E443" s="15">
        <v>10</v>
      </c>
      <c r="F443" s="27">
        <v>1.8959999999999999</v>
      </c>
      <c r="G443" s="18">
        <v>3.0916250000000003E-2</v>
      </c>
    </row>
    <row r="444" spans="1:27">
      <c r="A444" s="15">
        <v>15</v>
      </c>
      <c r="B444" s="78">
        <v>40829</v>
      </c>
      <c r="C444" s="15">
        <v>2011</v>
      </c>
      <c r="D444" s="11" t="s">
        <v>36</v>
      </c>
      <c r="E444" s="15">
        <v>10</v>
      </c>
      <c r="F444" s="27">
        <v>1.623</v>
      </c>
      <c r="G444" s="18">
        <v>2.7736749999999998E-2</v>
      </c>
      <c r="I444" s="18">
        <f>AVERAGE(F441:F444)</f>
        <v>2.4652499999999997</v>
      </c>
      <c r="J444" s="18">
        <f>AVERAGE(G441:G444)</f>
        <v>0.152210875</v>
      </c>
      <c r="L444">
        <f>+J444/I444</f>
        <v>6.1742571747287298E-2</v>
      </c>
      <c r="M444">
        <f>+(L444-$L$927)/$L$928</f>
        <v>0.70303677120864427</v>
      </c>
      <c r="N444">
        <f>+N440+M444</f>
        <v>11.405772554097078</v>
      </c>
      <c r="Z444">
        <f>+(I444-$F$927)/$F$928</f>
        <v>-0.49358280999068288</v>
      </c>
      <c r="AA444">
        <f>+AA440+Z444</f>
        <v>27.490736533887652</v>
      </c>
    </row>
    <row r="445" spans="1:27">
      <c r="A445" s="15">
        <v>6</v>
      </c>
      <c r="B445" s="79">
        <v>40862</v>
      </c>
      <c r="C445" s="15">
        <v>2011</v>
      </c>
      <c r="D445" s="11" t="s">
        <v>37</v>
      </c>
      <c r="E445" s="15">
        <v>11</v>
      </c>
      <c r="F445" s="27">
        <v>7.1029999999999998</v>
      </c>
      <c r="G445" s="18">
        <v>0.16696212499999999</v>
      </c>
    </row>
    <row r="446" spans="1:27">
      <c r="A446" s="15">
        <v>8</v>
      </c>
      <c r="B446" s="79">
        <v>40865</v>
      </c>
      <c r="C446" s="15">
        <v>2011</v>
      </c>
      <c r="D446" s="11" t="s">
        <v>37</v>
      </c>
      <c r="E446" s="15">
        <v>11</v>
      </c>
      <c r="F446" s="27">
        <v>1.5029999999999999</v>
      </c>
      <c r="G446" s="18">
        <v>1.2982875E-2</v>
      </c>
    </row>
    <row r="447" spans="1:27">
      <c r="A447" s="15">
        <v>15</v>
      </c>
      <c r="B447" s="79">
        <v>40865</v>
      </c>
      <c r="C447" s="15">
        <v>2011</v>
      </c>
      <c r="D447" s="11" t="s">
        <v>37</v>
      </c>
      <c r="E447" s="15">
        <v>11</v>
      </c>
      <c r="F447" s="27">
        <v>4.1970000000000001</v>
      </c>
      <c r="G447" s="18">
        <v>4.3196375000000002E-2</v>
      </c>
      <c r="I447" s="18">
        <f>AVERAGE(F445:F447)</f>
        <v>4.2676666666666669</v>
      </c>
      <c r="J447" s="18">
        <f>AVERAGE(G445:G447)</f>
        <v>7.438045833333333E-2</v>
      </c>
      <c r="L447">
        <f>+J447/I447</f>
        <v>1.7428835038662813E-2</v>
      </c>
      <c r="M447">
        <f>+(L447-$L$927)/$L$928</f>
        <v>-0.37102566269022563</v>
      </c>
      <c r="N447">
        <f>+N444+M447</f>
        <v>11.034746891406852</v>
      </c>
      <c r="Z447">
        <f>+(I447-$F$927)/$F$928</f>
        <v>5.3933731728799859E-4</v>
      </c>
      <c r="AA447">
        <f>+AA444+Z447</f>
        <v>27.491275871204941</v>
      </c>
    </row>
    <row r="448" spans="1:27">
      <c r="A448" s="15">
        <v>6</v>
      </c>
      <c r="B448" s="79">
        <v>40891</v>
      </c>
      <c r="C448" s="15">
        <v>2011</v>
      </c>
      <c r="D448" s="11" t="s">
        <v>38</v>
      </c>
      <c r="E448" s="15">
        <v>12</v>
      </c>
      <c r="F448" s="27">
        <v>4.149</v>
      </c>
      <c r="G448" s="18">
        <v>3.1641124999999992E-2</v>
      </c>
    </row>
    <row r="449" spans="1:27">
      <c r="A449" s="15">
        <v>8</v>
      </c>
      <c r="B449" s="79">
        <v>40891</v>
      </c>
      <c r="C449" s="15">
        <v>2011</v>
      </c>
      <c r="D449" s="11" t="s">
        <v>38</v>
      </c>
      <c r="E449" s="15">
        <v>12</v>
      </c>
      <c r="F449" s="27">
        <v>0.69399999999999995</v>
      </c>
      <c r="G449" s="18">
        <v>0</v>
      </c>
    </row>
    <row r="450" spans="1:27">
      <c r="A450" s="15">
        <v>15</v>
      </c>
      <c r="B450" s="79">
        <v>40891</v>
      </c>
      <c r="C450" s="15">
        <v>2011</v>
      </c>
      <c r="D450" s="11" t="s">
        <v>38</v>
      </c>
      <c r="E450" s="15">
        <v>12</v>
      </c>
      <c r="F450" s="27">
        <v>3.49</v>
      </c>
      <c r="G450" s="18">
        <v>3.9792750000000002E-2</v>
      </c>
      <c r="I450" s="18">
        <f>AVERAGE(F448:F450)</f>
        <v>2.7776666666666667</v>
      </c>
      <c r="J450" s="18">
        <f>AVERAGE(G448:G450)</f>
        <v>2.3811291666666665E-2</v>
      </c>
      <c r="L450">
        <f>+J450/I450</f>
        <v>8.572407896315852E-3</v>
      </c>
      <c r="M450">
        <f>+(L450-$L$927)/$L$928</f>
        <v>-0.58568496246229529</v>
      </c>
      <c r="N450">
        <f>+N447+M450</f>
        <v>10.449061928944557</v>
      </c>
      <c r="Z450">
        <f>+(I450-$F$927)/$F$928</f>
        <v>-0.40793558033339017</v>
      </c>
      <c r="AA450">
        <f>+AA447+Z450</f>
        <v>27.083340290871551</v>
      </c>
    </row>
    <row r="451" spans="1:27">
      <c r="A451" s="15">
        <v>6</v>
      </c>
      <c r="B451" s="78">
        <v>40919</v>
      </c>
      <c r="C451" s="15">
        <v>2012</v>
      </c>
      <c r="D451" s="11" t="s">
        <v>39</v>
      </c>
      <c r="E451" s="15">
        <v>1</v>
      </c>
      <c r="F451" s="29">
        <v>5.1779999999999999</v>
      </c>
      <c r="G451" s="18">
        <v>2.0210749999999996E-2</v>
      </c>
    </row>
    <row r="452" spans="1:27">
      <c r="A452" s="15">
        <v>8</v>
      </c>
      <c r="B452" s="78">
        <v>40919</v>
      </c>
      <c r="C452" s="15">
        <v>2012</v>
      </c>
      <c r="D452" s="11" t="s">
        <v>39</v>
      </c>
      <c r="E452" s="15">
        <v>1</v>
      </c>
      <c r="F452" s="29">
        <v>1.081</v>
      </c>
      <c r="G452" s="18">
        <v>9.3997499999999984E-3</v>
      </c>
    </row>
    <row r="453" spans="1:27">
      <c r="A453" s="15">
        <v>15</v>
      </c>
      <c r="B453" s="78">
        <v>40919</v>
      </c>
      <c r="C453" s="15">
        <v>2012</v>
      </c>
      <c r="D453" s="11" t="s">
        <v>39</v>
      </c>
      <c r="E453" s="15">
        <v>1</v>
      </c>
      <c r="F453" s="29">
        <v>3.7160000000000002</v>
      </c>
      <c r="G453" s="18">
        <v>1.9422374999999999E-2</v>
      </c>
      <c r="I453" s="18">
        <f>AVERAGE(F451:F453)</f>
        <v>3.3250000000000006</v>
      </c>
      <c r="J453" s="18">
        <f>AVERAGE(G451:G453)</f>
        <v>1.6344291666666663E-2</v>
      </c>
      <c r="L453">
        <f>+J453/I453</f>
        <v>4.9155764411027546E-3</v>
      </c>
      <c r="M453">
        <f>+(L453-$L$927)/$L$928</f>
        <v>-0.67431809486928795</v>
      </c>
      <c r="N453">
        <f>+N450+M453</f>
        <v>9.7747438340752701</v>
      </c>
      <c r="Z453">
        <f>+(I453-$F$927)/$F$928</f>
        <v>-0.25788729962144069</v>
      </c>
      <c r="AA453">
        <f>+AA450+Z453</f>
        <v>26.82545299125011</v>
      </c>
    </row>
    <row r="454" spans="1:27">
      <c r="A454" s="15">
        <v>6</v>
      </c>
      <c r="B454" s="78">
        <v>40962</v>
      </c>
      <c r="C454" s="15">
        <v>2012</v>
      </c>
      <c r="D454" s="11" t="s">
        <v>28</v>
      </c>
      <c r="E454" s="15">
        <v>2</v>
      </c>
      <c r="F454" s="29">
        <v>3.669</v>
      </c>
      <c r="G454" s="18">
        <v>3.5093249999999993E-2</v>
      </c>
    </row>
    <row r="455" spans="1:27">
      <c r="A455" s="15">
        <v>8</v>
      </c>
      <c r="B455" s="78">
        <v>40960</v>
      </c>
      <c r="C455" s="15">
        <v>2012</v>
      </c>
      <c r="D455" s="11" t="s">
        <v>28</v>
      </c>
      <c r="E455" s="15">
        <v>2</v>
      </c>
      <c r="F455" s="29">
        <v>1.252</v>
      </c>
      <c r="G455" s="18">
        <v>2.4071750000000003E-2</v>
      </c>
    </row>
    <row r="456" spans="1:27">
      <c r="A456" s="15">
        <v>15</v>
      </c>
      <c r="B456" s="78">
        <v>40960</v>
      </c>
      <c r="C456" s="15">
        <v>2012</v>
      </c>
      <c r="D456" s="11" t="s">
        <v>28</v>
      </c>
      <c r="E456" s="15">
        <v>2</v>
      </c>
      <c r="F456" s="29">
        <v>3.2050000000000001</v>
      </c>
      <c r="G456" s="18">
        <v>4.4421249999999995E-2</v>
      </c>
      <c r="I456" s="18">
        <f>AVERAGE(F454:F456)</f>
        <v>2.7086666666666672</v>
      </c>
      <c r="J456" s="18">
        <f>AVERAGE(G454:G456)</f>
        <v>3.4528749999999997E-2</v>
      </c>
      <c r="L456">
        <f>+J456/I456</f>
        <v>1.2747507999015502E-2</v>
      </c>
      <c r="M456">
        <f>+(L456-$L$927)/$L$928</f>
        <v>-0.48449019733646798</v>
      </c>
      <c r="N456">
        <f>+N453+M456</f>
        <v>9.290253636738802</v>
      </c>
      <c r="Z456">
        <f>+(I456-$F$927)/$F$928</f>
        <v>-0.42685153289573685</v>
      </c>
      <c r="AA456">
        <f>+AA453+Z456</f>
        <v>26.398601458354374</v>
      </c>
    </row>
    <row r="457" spans="1:27">
      <c r="A457" s="15">
        <v>6</v>
      </c>
      <c r="B457" s="78">
        <v>40980</v>
      </c>
      <c r="C457" s="15">
        <v>2012</v>
      </c>
      <c r="D457" s="11" t="s">
        <v>29</v>
      </c>
      <c r="E457" s="15">
        <v>3</v>
      </c>
      <c r="F457" s="29">
        <v>2.4209999999999998</v>
      </c>
      <c r="G457" s="18">
        <v>5.052412500000001E-2</v>
      </c>
    </row>
    <row r="458" spans="1:27">
      <c r="A458" s="15">
        <v>8</v>
      </c>
      <c r="B458" s="78">
        <v>40982</v>
      </c>
      <c r="C458" s="15">
        <v>2012</v>
      </c>
      <c r="D458" s="11" t="s">
        <v>29</v>
      </c>
      <c r="E458" s="15">
        <v>3</v>
      </c>
      <c r="F458" s="29">
        <v>1.1220000000000001</v>
      </c>
      <c r="G458" s="18">
        <v>1.9312625E-2</v>
      </c>
    </row>
    <row r="459" spans="1:27">
      <c r="A459" s="15">
        <v>15</v>
      </c>
      <c r="B459" s="78">
        <v>40982</v>
      </c>
      <c r="C459" s="15">
        <v>2012</v>
      </c>
      <c r="D459" s="11" t="s">
        <v>29</v>
      </c>
      <c r="E459" s="15">
        <v>3</v>
      </c>
      <c r="F459" s="29">
        <v>0.95699999999999996</v>
      </c>
      <c r="G459" s="18">
        <v>1.6431874999999999E-2</v>
      </c>
      <c r="I459" s="18">
        <f>AVERAGE(F457:F459)</f>
        <v>1.5</v>
      </c>
      <c r="J459" s="18">
        <f>AVERAGE(G457:G459)</f>
        <v>2.8756208333333335E-2</v>
      </c>
      <c r="L459">
        <f>+J459/I459</f>
        <v>1.9170805555555556E-2</v>
      </c>
      <c r="M459">
        <f>+(L459-$L$927)/$L$928</f>
        <v>-0.32880432835644657</v>
      </c>
      <c r="N459">
        <f>+N456+M459</f>
        <v>8.9614493083823561</v>
      </c>
      <c r="Z459">
        <f>+(I459-$F$927)/$F$928</f>
        <v>-0.75820053768351303</v>
      </c>
      <c r="AA459">
        <f>+AA456+Z459</f>
        <v>25.64040092067086</v>
      </c>
    </row>
    <row r="460" spans="1:27">
      <c r="A460" s="15">
        <v>6</v>
      </c>
      <c r="B460" s="78">
        <v>41015</v>
      </c>
      <c r="C460" s="15">
        <v>2012</v>
      </c>
      <c r="D460" s="11" t="s">
        <v>30</v>
      </c>
      <c r="E460" s="15">
        <v>4</v>
      </c>
      <c r="F460" s="26">
        <v>2.6419999999999999</v>
      </c>
      <c r="G460" s="18">
        <v>2.3458000000000003E-2</v>
      </c>
    </row>
    <row r="461" spans="1:27">
      <c r="A461" s="15">
        <v>8</v>
      </c>
      <c r="B461" s="78">
        <v>41016</v>
      </c>
      <c r="C461" s="15">
        <v>2012</v>
      </c>
      <c r="D461" s="11" t="s">
        <v>30</v>
      </c>
      <c r="E461" s="15">
        <v>4</v>
      </c>
      <c r="F461" s="26">
        <v>1.998</v>
      </c>
      <c r="G461" s="18">
        <v>2.0338124999999995E-2</v>
      </c>
    </row>
    <row r="462" spans="1:27">
      <c r="A462" s="15">
        <v>15</v>
      </c>
      <c r="B462" s="78">
        <v>41016</v>
      </c>
      <c r="C462" s="15">
        <v>2012</v>
      </c>
      <c r="D462" s="11" t="s">
        <v>30</v>
      </c>
      <c r="E462" s="15">
        <v>4</v>
      </c>
      <c r="F462" s="26">
        <v>1.831</v>
      </c>
      <c r="G462" s="18">
        <v>2.4456749999999996E-2</v>
      </c>
      <c r="I462" s="18"/>
      <c r="J462" s="18"/>
    </row>
    <row r="463" spans="1:27">
      <c r="A463" s="15">
        <v>15</v>
      </c>
      <c r="B463" s="78">
        <v>41016</v>
      </c>
      <c r="C463" s="15">
        <v>2012</v>
      </c>
      <c r="D463" s="11" t="s">
        <v>30</v>
      </c>
      <c r="E463" s="15">
        <v>4</v>
      </c>
      <c r="F463" s="26">
        <v>1.831</v>
      </c>
      <c r="G463" s="18">
        <v>2.5596249999999994E-2</v>
      </c>
      <c r="I463" s="18">
        <f>AVERAGE(F460:F463)</f>
        <v>2.0754999999999999</v>
      </c>
      <c r="J463" s="18">
        <f>AVERAGE(G460:G463)</f>
        <v>2.3462281249999994E-2</v>
      </c>
      <c r="L463">
        <f>+J463/I463</f>
        <v>1.1304399542278966E-2</v>
      </c>
      <c r="M463">
        <f>+(L463-$L$927)/$L$928</f>
        <v>-0.51946780691189387</v>
      </c>
      <c r="N463">
        <f>+N459+M463</f>
        <v>8.4419815014704618</v>
      </c>
      <c r="Z463">
        <f>+(I463-$F$927)/$F$928</f>
        <v>-0.60043052754393911</v>
      </c>
      <c r="AA463">
        <f>+AA459+Z463</f>
        <v>25.039970393126922</v>
      </c>
    </row>
    <row r="464" spans="1:27">
      <c r="A464" s="15">
        <v>6</v>
      </c>
      <c r="B464" s="78">
        <v>41045</v>
      </c>
      <c r="C464" s="15">
        <v>2012</v>
      </c>
      <c r="D464" s="11" t="s">
        <v>31</v>
      </c>
      <c r="E464" s="15">
        <v>5</v>
      </c>
      <c r="F464" s="26">
        <v>4.5250000000000004</v>
      </c>
      <c r="G464" s="18">
        <v>7.7995875000000006E-2</v>
      </c>
    </row>
    <row r="465" spans="1:27">
      <c r="A465" s="15">
        <v>8</v>
      </c>
      <c r="B465" s="78">
        <v>41051</v>
      </c>
      <c r="C465" s="15">
        <v>2012</v>
      </c>
      <c r="D465" s="11" t="s">
        <v>31</v>
      </c>
      <c r="E465" s="15">
        <v>5</v>
      </c>
      <c r="F465" s="26">
        <v>2.125</v>
      </c>
      <c r="G465" s="18">
        <v>1.6594500000000002E-2</v>
      </c>
    </row>
    <row r="466" spans="1:27">
      <c r="A466" s="15">
        <v>8</v>
      </c>
      <c r="B466" s="78">
        <v>41051</v>
      </c>
      <c r="C466" s="15">
        <v>2012</v>
      </c>
      <c r="D466" s="11" t="s">
        <v>31</v>
      </c>
      <c r="E466" s="15">
        <v>5</v>
      </c>
      <c r="F466" s="26">
        <v>2.125</v>
      </c>
      <c r="G466" s="18">
        <v>1.7456874999999997E-2</v>
      </c>
      <c r="H466" t="s">
        <v>13</v>
      </c>
    </row>
    <row r="467" spans="1:27">
      <c r="A467" s="15">
        <v>15</v>
      </c>
      <c r="B467" s="78">
        <v>41051</v>
      </c>
      <c r="C467" s="15">
        <v>2012</v>
      </c>
      <c r="D467" s="11" t="s">
        <v>31</v>
      </c>
      <c r="E467" s="15">
        <v>5</v>
      </c>
      <c r="F467" s="26">
        <v>7.6310000000000002</v>
      </c>
      <c r="G467" s="18">
        <v>0.13724700000000001</v>
      </c>
      <c r="I467" s="18">
        <f>AVERAGE(F464:F467)</f>
        <v>4.1014999999999997</v>
      </c>
      <c r="J467" s="18">
        <f>AVERAGE(G464:G467)</f>
        <v>6.2323562499999999E-2</v>
      </c>
      <c r="L467">
        <f>+J467/I467</f>
        <v>1.5195309642813605E-2</v>
      </c>
      <c r="M467">
        <f>+(L467-$L$927)/$L$928</f>
        <v>-0.42516114981049474</v>
      </c>
      <c r="N467">
        <f>+N463+M467</f>
        <v>8.0168203516599679</v>
      </c>
      <c r="Z467">
        <f>+(I467-$F$927)/$F$928</f>
        <v>-4.5014297235030511E-2</v>
      </c>
      <c r="AA467">
        <f>+AA463+Z467</f>
        <v>24.99495609589189</v>
      </c>
    </row>
    <row r="468" spans="1:27">
      <c r="A468" s="15">
        <v>6</v>
      </c>
      <c r="B468" s="78">
        <v>41073</v>
      </c>
      <c r="C468" s="15">
        <v>2012</v>
      </c>
      <c r="D468" s="11" t="s">
        <v>32</v>
      </c>
      <c r="E468" s="15">
        <v>6</v>
      </c>
      <c r="F468" s="26">
        <v>13.755000000000001</v>
      </c>
      <c r="G468" s="18">
        <v>0.22710575</v>
      </c>
    </row>
    <row r="469" spans="1:27">
      <c r="A469" s="15">
        <v>8</v>
      </c>
      <c r="B469" s="78">
        <v>41080</v>
      </c>
      <c r="C469" s="15">
        <v>2012</v>
      </c>
      <c r="D469" s="11" t="s">
        <v>32</v>
      </c>
      <c r="E469" s="15">
        <v>6</v>
      </c>
      <c r="F469" s="26">
        <v>2.5510000000000002</v>
      </c>
      <c r="G469" s="18">
        <v>5.4044500000000009E-2</v>
      </c>
    </row>
    <row r="470" spans="1:27">
      <c r="A470" s="15">
        <v>15</v>
      </c>
      <c r="B470" s="78">
        <v>41080</v>
      </c>
      <c r="C470" s="15">
        <v>2012</v>
      </c>
      <c r="D470" s="11" t="s">
        <v>32</v>
      </c>
      <c r="E470" s="15">
        <v>6</v>
      </c>
      <c r="F470" s="26">
        <v>3.3330000000000002</v>
      </c>
      <c r="G470" s="18">
        <v>0.33559624999999993</v>
      </c>
      <c r="I470" s="18">
        <f>AVERAGE(F468:F470)</f>
        <v>6.546333333333334</v>
      </c>
      <c r="J470" s="18">
        <f>AVERAGE(G468:G470)</f>
        <v>0.20558216666666662</v>
      </c>
      <c r="L470">
        <f>+J470/I470</f>
        <v>3.1404170273435499E-2</v>
      </c>
      <c r="M470">
        <f>+(L470-$L$927)/$L$928</f>
        <v>-3.2295876134193338E-2</v>
      </c>
      <c r="N470">
        <f>+N467+M470</f>
        <v>7.9845244755257747</v>
      </c>
      <c r="Z470">
        <f>+(I470-$F$927)/$F$928</f>
        <v>0.62522267894145711</v>
      </c>
      <c r="AA470">
        <f>+AA467+Z470</f>
        <v>25.620178774833349</v>
      </c>
    </row>
    <row r="471" spans="1:27">
      <c r="A471" s="15">
        <v>6</v>
      </c>
      <c r="B471" s="78">
        <v>41107</v>
      </c>
      <c r="C471" s="15">
        <v>2012</v>
      </c>
      <c r="D471" s="11" t="s">
        <v>33</v>
      </c>
      <c r="E471" s="15">
        <v>7</v>
      </c>
      <c r="F471" s="26">
        <v>7.46</v>
      </c>
      <c r="G471" s="18">
        <v>2.22117875</v>
      </c>
    </row>
    <row r="472" spans="1:27">
      <c r="A472" s="15">
        <v>8</v>
      </c>
      <c r="B472" s="78">
        <v>41106</v>
      </c>
      <c r="C472" s="15">
        <v>2012</v>
      </c>
      <c r="D472" s="11" t="s">
        <v>33</v>
      </c>
      <c r="E472" s="15">
        <v>7</v>
      </c>
      <c r="F472" s="26">
        <v>6.9989999999999997</v>
      </c>
      <c r="G472" s="18">
        <v>5.1892499999999994E-2</v>
      </c>
    </row>
    <row r="473" spans="1:27">
      <c r="A473" s="15">
        <v>15</v>
      </c>
      <c r="B473" s="78">
        <v>41106</v>
      </c>
      <c r="C473" s="15">
        <v>2012</v>
      </c>
      <c r="D473" s="11" t="s">
        <v>33</v>
      </c>
      <c r="E473" s="15">
        <v>7</v>
      </c>
      <c r="F473" s="26">
        <v>6.0439999999999996</v>
      </c>
      <c r="G473" s="18">
        <v>1.5827722499999999</v>
      </c>
      <c r="I473" s="18">
        <f>AVERAGE(F471:F473)</f>
        <v>6.8343333333333334</v>
      </c>
      <c r="J473" s="18">
        <f>AVERAGE(G471:G473)</f>
        <v>1.2852811666666666</v>
      </c>
      <c r="L473">
        <f>+J473/I473</f>
        <v>0.18806240550163389</v>
      </c>
      <c r="M473">
        <f>+(L473-$L$927)/$L$928</f>
        <v>3.7647372318129642</v>
      </c>
      <c r="N473">
        <f>+N470+M473</f>
        <v>11.749261707338739</v>
      </c>
      <c r="Z473">
        <f>+(I473-$F$927)/$F$928</f>
        <v>0.70417622007125247</v>
      </c>
      <c r="AA473">
        <f>+AA470+Z473</f>
        <v>26.324354994904603</v>
      </c>
    </row>
    <row r="474" spans="1:27">
      <c r="A474" s="15">
        <v>6</v>
      </c>
      <c r="B474" s="78">
        <v>41135</v>
      </c>
      <c r="C474" s="15">
        <v>2012</v>
      </c>
      <c r="D474" s="11" t="s">
        <v>34</v>
      </c>
      <c r="E474" s="15">
        <v>8</v>
      </c>
      <c r="F474" s="26">
        <v>5.58</v>
      </c>
      <c r="G474" s="18">
        <v>0.88631074999999993</v>
      </c>
    </row>
    <row r="475" spans="1:27">
      <c r="A475" s="15">
        <v>8</v>
      </c>
      <c r="B475" s="78">
        <v>41137</v>
      </c>
      <c r="C475" s="15">
        <v>2012</v>
      </c>
      <c r="D475" s="11" t="s">
        <v>34</v>
      </c>
      <c r="E475" s="15">
        <v>8</v>
      </c>
      <c r="F475" s="26">
        <v>13.215999999999999</v>
      </c>
      <c r="G475" s="18">
        <v>7.3703624999999995E-2</v>
      </c>
    </row>
    <row r="476" spans="1:27">
      <c r="A476" s="15">
        <v>15</v>
      </c>
      <c r="B476" s="78">
        <v>41137</v>
      </c>
      <c r="C476" s="15">
        <v>2012</v>
      </c>
      <c r="D476" s="11" t="s">
        <v>34</v>
      </c>
      <c r="E476" s="15">
        <v>8</v>
      </c>
      <c r="F476" s="26">
        <v>7.7359999999999998</v>
      </c>
      <c r="G476" s="18">
        <v>0.17205637500000001</v>
      </c>
      <c r="I476" s="18">
        <f>AVERAGE(F474:F476)</f>
        <v>8.8439999999999994</v>
      </c>
      <c r="J476" s="18">
        <f>AVERAGE(G474:G476)</f>
        <v>0.3773569166666666</v>
      </c>
      <c r="L476">
        <f>+J476/I476</f>
        <v>4.2668127167194328E-2</v>
      </c>
      <c r="M476">
        <f>+(L476-$L$927)/$L$928</f>
        <v>0.24071637368332144</v>
      </c>
      <c r="N476">
        <f>+N473+M476</f>
        <v>11.989978081022061</v>
      </c>
      <c r="Z476">
        <f>+(I476-$F$927)/$F$928</f>
        <v>1.2551147611262721</v>
      </c>
      <c r="AA476">
        <f>+AA473+Z476</f>
        <v>27.579469756030875</v>
      </c>
    </row>
    <row r="477" spans="1:27">
      <c r="A477" s="15">
        <v>6</v>
      </c>
      <c r="B477" s="78">
        <v>41164</v>
      </c>
      <c r="C477" s="15">
        <v>2012</v>
      </c>
      <c r="D477" s="11" t="s">
        <v>40</v>
      </c>
      <c r="E477" s="15">
        <v>9</v>
      </c>
      <c r="F477" s="26">
        <v>12.352</v>
      </c>
      <c r="G477" s="18">
        <v>1.2310730000000001</v>
      </c>
    </row>
    <row r="478" spans="1:27">
      <c r="A478" s="15">
        <v>8</v>
      </c>
      <c r="B478" s="78">
        <v>41163</v>
      </c>
      <c r="C478" s="15">
        <v>2012</v>
      </c>
      <c r="D478" s="11" t="s">
        <v>40</v>
      </c>
      <c r="E478" s="15">
        <v>9</v>
      </c>
      <c r="F478" s="26">
        <v>15.667999999999999</v>
      </c>
      <c r="G478" s="18">
        <v>0.10775099999999997</v>
      </c>
    </row>
    <row r="479" spans="1:27">
      <c r="A479" s="15">
        <v>15</v>
      </c>
      <c r="B479" s="78">
        <v>41163</v>
      </c>
      <c r="C479" s="15">
        <v>2012</v>
      </c>
      <c r="D479" s="11" t="s">
        <v>40</v>
      </c>
      <c r="E479" s="15">
        <v>9</v>
      </c>
      <c r="F479" s="26">
        <v>9.2889999999999997</v>
      </c>
      <c r="G479" s="18">
        <v>0.9588376249999998</v>
      </c>
      <c r="I479" s="18">
        <f>AVERAGE(F477:F479)</f>
        <v>12.436333333333332</v>
      </c>
      <c r="J479" s="18">
        <f>AVERAGE(G477:G479)</f>
        <v>0.76588720833333335</v>
      </c>
      <c r="L479">
        <f>+J479/I479</f>
        <v>6.1584647806159382E-2</v>
      </c>
      <c r="M479">
        <f>+(L479-$L$927)/$L$928</f>
        <v>0.69920906031858654</v>
      </c>
      <c r="N479">
        <f>+N476+M479</f>
        <v>12.689187141340648</v>
      </c>
      <c r="Z479">
        <f>+(I479-$F$927)/$F$928</f>
        <v>2.2399322527417884</v>
      </c>
      <c r="AA479">
        <f>+AA476+Z479</f>
        <v>29.819402008772663</v>
      </c>
    </row>
    <row r="480" spans="1:27">
      <c r="A480" s="15">
        <v>6</v>
      </c>
      <c r="B480" s="78">
        <v>41199</v>
      </c>
      <c r="C480" s="15">
        <v>2012</v>
      </c>
      <c r="D480" s="11" t="s">
        <v>36</v>
      </c>
      <c r="E480" s="15">
        <v>10</v>
      </c>
      <c r="F480" s="26">
        <v>6.0670000000000002</v>
      </c>
      <c r="G480" s="18">
        <v>0.23599874999999998</v>
      </c>
    </row>
    <row r="481" spans="1:27">
      <c r="A481" s="15">
        <v>8</v>
      </c>
      <c r="B481" s="78">
        <v>41199</v>
      </c>
      <c r="C481" s="15">
        <v>2012</v>
      </c>
      <c r="D481" s="11" t="s">
        <v>36</v>
      </c>
      <c r="E481" s="15">
        <v>10</v>
      </c>
      <c r="F481" s="26">
        <v>1.466</v>
      </c>
      <c r="G481" s="18">
        <v>7.595499999999999E-3</v>
      </c>
    </row>
    <row r="482" spans="1:27">
      <c r="A482" s="15">
        <v>15</v>
      </c>
      <c r="B482" s="78">
        <v>41199</v>
      </c>
      <c r="C482" s="15">
        <v>2012</v>
      </c>
      <c r="D482" s="11" t="s">
        <v>36</v>
      </c>
      <c r="E482" s="15">
        <v>10</v>
      </c>
      <c r="F482" s="26">
        <v>9.5060000000000002</v>
      </c>
      <c r="G482" s="18">
        <v>0.13887612500000002</v>
      </c>
      <c r="I482" s="18">
        <f>AVERAGE(F480:F482)</f>
        <v>5.6796666666666669</v>
      </c>
      <c r="J482" s="18">
        <f>AVERAGE(G480:G482)</f>
        <v>0.12749012500000001</v>
      </c>
      <c r="L482">
        <f>+J482/I482</f>
        <v>2.2446761840483598E-2</v>
      </c>
      <c r="M482">
        <f>+(L482-$L$927)/$L$928</f>
        <v>-0.24940272871541891</v>
      </c>
      <c r="N482">
        <f>+N479+M482</f>
        <v>12.439784412625229</v>
      </c>
      <c r="Z482">
        <f>+(I482-$F$927)/$F$928</f>
        <v>0.38763100424531316</v>
      </c>
      <c r="AA482">
        <f>+AA479+Z482</f>
        <v>30.207033013017977</v>
      </c>
    </row>
    <row r="483" spans="1:27">
      <c r="A483" s="15">
        <v>6</v>
      </c>
      <c r="B483" s="78">
        <v>41225</v>
      </c>
      <c r="C483" s="15">
        <v>2012</v>
      </c>
      <c r="D483" s="11" t="s">
        <v>37</v>
      </c>
      <c r="E483" s="15">
        <v>11</v>
      </c>
      <c r="F483" s="26">
        <v>7.7229999999999999</v>
      </c>
      <c r="G483" s="18">
        <v>5.5605124999999998E-2</v>
      </c>
    </row>
    <row r="484" spans="1:27">
      <c r="A484" s="15">
        <v>8</v>
      </c>
      <c r="B484" s="78">
        <v>41225</v>
      </c>
      <c r="C484" s="15">
        <v>2012</v>
      </c>
      <c r="D484" s="11" t="s">
        <v>37</v>
      </c>
      <c r="E484" s="15">
        <v>11</v>
      </c>
      <c r="F484" s="26">
        <v>2.4769999999999999</v>
      </c>
      <c r="G484" s="18">
        <v>1.6650249999999998E-2</v>
      </c>
    </row>
    <row r="485" spans="1:27">
      <c r="A485" s="15">
        <v>15</v>
      </c>
      <c r="B485" s="78">
        <v>41225</v>
      </c>
      <c r="C485" s="15">
        <v>2012</v>
      </c>
      <c r="D485" s="11" t="s">
        <v>37</v>
      </c>
      <c r="E485" s="15">
        <v>11</v>
      </c>
      <c r="F485" s="26">
        <v>8.2490000000000006</v>
      </c>
      <c r="G485" s="18">
        <v>3.9661000000000002E-2</v>
      </c>
      <c r="I485" s="18">
        <f>AVERAGE(F483:F485)</f>
        <v>6.1496666666666657</v>
      </c>
      <c r="J485" s="18">
        <f>AVERAGE(G483:G485)</f>
        <v>3.7305458333333333E-2</v>
      </c>
      <c r="L485">
        <f>+J485/I485</f>
        <v>6.0662569786980331E-3</v>
      </c>
      <c r="M485">
        <f>+(L485-$L$927)/$L$928</f>
        <v>-0.64642826136289566</v>
      </c>
      <c r="N485">
        <f>+N482+M485</f>
        <v>11.793356151262333</v>
      </c>
      <c r="Z485">
        <f>+(I485-$F$927)/$F$928</f>
        <v>0.51647879706129851</v>
      </c>
      <c r="AA485">
        <f>+AA482+Z485</f>
        <v>30.723511810079277</v>
      </c>
    </row>
    <row r="486" spans="1:27">
      <c r="A486" s="15">
        <v>6</v>
      </c>
      <c r="B486" s="78">
        <v>41254</v>
      </c>
      <c r="C486" s="15">
        <v>2012</v>
      </c>
      <c r="D486" s="11" t="s">
        <v>38</v>
      </c>
      <c r="E486" s="15">
        <v>12</v>
      </c>
      <c r="F486" s="26">
        <v>3.5219999999999998</v>
      </c>
      <c r="G486" s="18">
        <v>0</v>
      </c>
    </row>
    <row r="487" spans="1:27">
      <c r="A487" s="15">
        <v>8</v>
      </c>
      <c r="B487" s="78">
        <v>41255</v>
      </c>
      <c r="C487" s="15">
        <v>2012</v>
      </c>
      <c r="D487" s="11" t="s">
        <v>38</v>
      </c>
      <c r="E487" s="15">
        <v>12</v>
      </c>
      <c r="F487" s="26">
        <v>1.3089999999999999</v>
      </c>
      <c r="G487" s="18">
        <v>0</v>
      </c>
    </row>
    <row r="488" spans="1:27">
      <c r="A488" s="15">
        <v>15</v>
      </c>
      <c r="B488" s="78">
        <v>41255</v>
      </c>
      <c r="C488" s="15">
        <v>2012</v>
      </c>
      <c r="D488" s="11" t="s">
        <v>38</v>
      </c>
      <c r="E488" s="15">
        <v>12</v>
      </c>
      <c r="F488" s="26">
        <v>2.9049999999999998</v>
      </c>
      <c r="G488" s="18">
        <v>3.6334125000000002E-2</v>
      </c>
      <c r="I488" s="18">
        <f>AVERAGE(F486:F488)</f>
        <v>2.5786666666666664</v>
      </c>
      <c r="J488" s="18">
        <f>AVERAGE(G486:G488)</f>
        <v>1.2111375000000001E-2</v>
      </c>
      <c r="L488">
        <f>+J488/I488</f>
        <v>4.6967586608066192E-3</v>
      </c>
      <c r="M488">
        <f>+(L488-$L$927)/$L$928</f>
        <v>-0.67962173150978533</v>
      </c>
      <c r="N488">
        <f>+N485+M488</f>
        <v>11.113734419752548</v>
      </c>
      <c r="Z488">
        <f>+(I488-$F$927)/$F$928</f>
        <v>-0.46249028410015869</v>
      </c>
      <c r="AA488">
        <f>+AA485+Z488</f>
        <v>30.261021525979118</v>
      </c>
    </row>
    <row r="489" spans="1:27">
      <c r="A489" s="15">
        <v>6</v>
      </c>
      <c r="B489" s="78">
        <v>41288</v>
      </c>
      <c r="C489" s="15">
        <v>2013</v>
      </c>
      <c r="D489" s="11" t="s">
        <v>39</v>
      </c>
      <c r="E489" s="15">
        <v>1</v>
      </c>
      <c r="F489" s="26">
        <v>2.8029999999999999</v>
      </c>
      <c r="G489" s="18">
        <v>9.3828749999999989E-3</v>
      </c>
    </row>
    <row r="490" spans="1:27">
      <c r="A490" s="15">
        <v>8</v>
      </c>
      <c r="B490" s="78">
        <v>41297</v>
      </c>
      <c r="C490" s="15">
        <v>2013</v>
      </c>
      <c r="D490" s="11" t="s">
        <v>39</v>
      </c>
      <c r="E490" s="15">
        <v>1</v>
      </c>
      <c r="F490" s="26">
        <v>1.788</v>
      </c>
      <c r="G490" s="18">
        <v>1.9498624999999995E-2</v>
      </c>
    </row>
    <row r="491" spans="1:27">
      <c r="A491" s="15">
        <v>15</v>
      </c>
      <c r="B491" s="78">
        <v>41297</v>
      </c>
      <c r="C491" s="15">
        <v>2013</v>
      </c>
      <c r="D491" s="11" t="s">
        <v>39</v>
      </c>
      <c r="E491" s="15">
        <v>1</v>
      </c>
      <c r="F491" s="26">
        <v>5.1769999999999996</v>
      </c>
      <c r="G491" s="18">
        <v>4.8152374999999997E-2</v>
      </c>
      <c r="I491" s="18">
        <f>AVERAGE(F489:F491)</f>
        <v>3.2560000000000002</v>
      </c>
      <c r="J491" s="18">
        <f>AVERAGE(G489:G491)</f>
        <v>2.567795833333333E-2</v>
      </c>
      <c r="L491">
        <f>+J491/I491</f>
        <v>7.8863508394758381E-3</v>
      </c>
      <c r="M491">
        <f>+(L491-$L$927)/$L$928</f>
        <v>-0.6023133979541655</v>
      </c>
      <c r="N491">
        <f>+N488+M491</f>
        <v>10.511421021798382</v>
      </c>
      <c r="Z491">
        <f>+(I491-$F$927)/$F$928</f>
        <v>-0.27680325218378765</v>
      </c>
      <c r="AA491">
        <f>+AA488+Z491</f>
        <v>29.984218273795332</v>
      </c>
    </row>
    <row r="492" spans="1:27">
      <c r="A492" s="15">
        <v>6</v>
      </c>
      <c r="B492" s="78">
        <v>41318</v>
      </c>
      <c r="C492" s="15">
        <v>2013</v>
      </c>
      <c r="D492" s="11" t="s">
        <v>28</v>
      </c>
      <c r="E492" s="15">
        <v>2</v>
      </c>
      <c r="F492" s="30">
        <v>9.032</v>
      </c>
      <c r="G492" s="18">
        <v>6.1393249999999989E-2</v>
      </c>
    </row>
    <row r="493" spans="1:27">
      <c r="A493" s="15">
        <v>8</v>
      </c>
      <c r="B493" s="78">
        <v>41319</v>
      </c>
      <c r="C493" s="15">
        <v>2013</v>
      </c>
      <c r="D493" s="11" t="s">
        <v>28</v>
      </c>
      <c r="E493" s="15">
        <v>2</v>
      </c>
      <c r="F493" s="30">
        <v>2.504</v>
      </c>
      <c r="G493" s="18">
        <v>1.4317625E-2</v>
      </c>
    </row>
    <row r="494" spans="1:27">
      <c r="A494" s="15">
        <v>15</v>
      </c>
      <c r="B494" s="78">
        <v>41319</v>
      </c>
      <c r="C494" s="15">
        <v>2013</v>
      </c>
      <c r="D494" s="11" t="s">
        <v>28</v>
      </c>
      <c r="E494" s="15">
        <v>2</v>
      </c>
      <c r="F494" s="30">
        <v>7.0979999999999999</v>
      </c>
      <c r="G494" s="18">
        <v>4.6821333333333333E-2</v>
      </c>
      <c r="I494" s="18">
        <f>AVERAGE(F492:F494)</f>
        <v>6.2113333333333332</v>
      </c>
      <c r="J494" s="18">
        <f>AVERAGE(G492:G494)</f>
        <v>4.0844069444444436E-2</v>
      </c>
      <c r="L494">
        <f>+J494/I494</f>
        <v>6.5757329791420686E-3</v>
      </c>
      <c r="M494">
        <f>+(L494-$L$927)/$L$928</f>
        <v>-0.63407974206180306</v>
      </c>
      <c r="N494">
        <f>+N491+M494</f>
        <v>9.8773412797365783</v>
      </c>
      <c r="Z494">
        <f>+(I494-$F$927)/$F$928</f>
        <v>0.53338435853006283</v>
      </c>
      <c r="AA494">
        <f>+AA491+Z494</f>
        <v>30.517602632325396</v>
      </c>
    </row>
    <row r="495" spans="1:27">
      <c r="A495" s="15">
        <v>6</v>
      </c>
      <c r="B495" s="78">
        <v>41344</v>
      </c>
      <c r="C495" s="15">
        <v>2013</v>
      </c>
      <c r="D495" s="11" t="s">
        <v>29</v>
      </c>
      <c r="E495" s="15">
        <v>3</v>
      </c>
      <c r="F495" s="30">
        <v>9.4570000000000007</v>
      </c>
      <c r="G495" s="18">
        <v>0</v>
      </c>
    </row>
    <row r="496" spans="1:27">
      <c r="A496" s="15">
        <v>8</v>
      </c>
      <c r="B496" s="78">
        <v>41346</v>
      </c>
      <c r="C496" s="15">
        <v>2013</v>
      </c>
      <c r="D496" s="11" t="s">
        <v>29</v>
      </c>
      <c r="E496" s="15">
        <v>3</v>
      </c>
      <c r="F496" s="30">
        <v>9.9120000000000008</v>
      </c>
      <c r="G496" s="18">
        <v>5.6287624999999994E-2</v>
      </c>
    </row>
    <row r="497" spans="1:27">
      <c r="A497" s="15">
        <v>8</v>
      </c>
      <c r="B497" s="78">
        <v>41346</v>
      </c>
      <c r="C497" s="15">
        <v>2013</v>
      </c>
      <c r="D497" s="11" t="s">
        <v>29</v>
      </c>
      <c r="E497" s="15">
        <v>3</v>
      </c>
      <c r="F497" s="30">
        <v>9.9120000000000008</v>
      </c>
      <c r="G497" s="18">
        <v>5.3840750000000007E-2</v>
      </c>
      <c r="H497" t="s">
        <v>13</v>
      </c>
    </row>
    <row r="498" spans="1:27">
      <c r="A498" s="15">
        <v>15</v>
      </c>
      <c r="B498" s="78">
        <v>41346</v>
      </c>
      <c r="C498" s="15">
        <v>2013</v>
      </c>
      <c r="D498" s="11" t="s">
        <v>29</v>
      </c>
      <c r="E498" s="15">
        <v>3</v>
      </c>
      <c r="F498" s="30">
        <v>9.0190000000000001</v>
      </c>
      <c r="G498" s="18">
        <v>4.7948499999999998E-2</v>
      </c>
      <c r="I498" s="18">
        <f>AVERAGE(F495:F498)</f>
        <v>9.5749999999999993</v>
      </c>
      <c r="J498" s="18">
        <f>AVERAGE(G495:G498)</f>
        <v>3.9519218750000001E-2</v>
      </c>
      <c r="L498">
        <f>+J498/I498</f>
        <v>4.1273335509138384E-3</v>
      </c>
      <c r="M498">
        <f>+(L498-$L$927)/$L$928</f>
        <v>-0.69342327849906327</v>
      </c>
      <c r="N498">
        <f>+N494+M498</f>
        <v>9.1839180012375152</v>
      </c>
      <c r="Z498">
        <f>+(I498-$F$927)/$F$928</f>
        <v>1.4555142005911348</v>
      </c>
      <c r="AA498">
        <f>+AA494+Z498</f>
        <v>31.973116832916531</v>
      </c>
    </row>
    <row r="499" spans="1:27">
      <c r="A499" s="15">
        <v>6</v>
      </c>
      <c r="B499" s="78">
        <v>41379</v>
      </c>
      <c r="C499" s="15">
        <v>2013</v>
      </c>
      <c r="D499" s="11" t="s">
        <v>30</v>
      </c>
      <c r="E499" s="15">
        <v>4</v>
      </c>
      <c r="F499" s="31">
        <v>0.59499999999999997</v>
      </c>
      <c r="G499" s="18">
        <v>1.3293625E-2</v>
      </c>
    </row>
    <row r="500" spans="1:27">
      <c r="A500" s="15">
        <v>8</v>
      </c>
      <c r="B500" s="78">
        <v>41380</v>
      </c>
      <c r="C500" s="15">
        <v>2013</v>
      </c>
      <c r="D500" s="11" t="s">
        <v>30</v>
      </c>
      <c r="E500" s="15">
        <v>4</v>
      </c>
      <c r="F500" s="31">
        <v>0.70699999999999996</v>
      </c>
      <c r="G500" s="18">
        <v>1.3810749999999998E-2</v>
      </c>
    </row>
    <row r="501" spans="1:27">
      <c r="A501" s="15">
        <v>15</v>
      </c>
      <c r="B501" s="78">
        <v>41380</v>
      </c>
      <c r="C501" s="15">
        <v>2013</v>
      </c>
      <c r="D501" s="11" t="s">
        <v>30</v>
      </c>
      <c r="E501" s="15">
        <v>4</v>
      </c>
      <c r="F501" s="31">
        <v>0.377</v>
      </c>
      <c r="G501" s="18">
        <v>0</v>
      </c>
      <c r="I501" s="18">
        <f>AVERAGE(F499:F501)</f>
        <v>0.55966666666666665</v>
      </c>
      <c r="J501" s="18">
        <f>AVERAGE(G499:G501)</f>
        <v>9.0347916666666667E-3</v>
      </c>
      <c r="L501">
        <f>+J501/I501</f>
        <v>1.6143165574746873E-2</v>
      </c>
      <c r="M501">
        <f>+(L501-$L$927)/$L$928</f>
        <v>-0.40218731540037178</v>
      </c>
      <c r="N501">
        <f>+N498+M501</f>
        <v>8.7817306858371431</v>
      </c>
      <c r="Z501">
        <f>+(I501-$F$927)/$F$928</f>
        <v>-1.0159875047288291</v>
      </c>
      <c r="AA501">
        <f>+AA498+Z501</f>
        <v>30.957129328187701</v>
      </c>
    </row>
    <row r="502" spans="1:27">
      <c r="A502" s="15">
        <v>6</v>
      </c>
      <c r="B502" s="78">
        <v>41408</v>
      </c>
      <c r="C502" s="15">
        <v>2013</v>
      </c>
      <c r="D502" s="11" t="s">
        <v>31</v>
      </c>
      <c r="E502" s="15">
        <v>5</v>
      </c>
      <c r="F502" s="31">
        <v>0.69199999999999995</v>
      </c>
      <c r="G502" s="18">
        <v>1.7391500000000001E-2</v>
      </c>
    </row>
    <row r="503" spans="1:27">
      <c r="A503" s="15">
        <v>6</v>
      </c>
      <c r="B503" s="78">
        <v>41408</v>
      </c>
      <c r="C503" s="15">
        <v>2013</v>
      </c>
      <c r="D503" s="11" t="s">
        <v>31</v>
      </c>
      <c r="E503" s="15">
        <v>5</v>
      </c>
      <c r="F503" s="31">
        <v>0.69199999999999995</v>
      </c>
      <c r="G503" s="18">
        <v>1.9159250000000003E-2</v>
      </c>
    </row>
    <row r="504" spans="1:27">
      <c r="A504" s="15">
        <v>8</v>
      </c>
      <c r="B504" s="78">
        <v>41407</v>
      </c>
      <c r="C504" s="15">
        <v>2013</v>
      </c>
      <c r="D504" s="11" t="s">
        <v>31</v>
      </c>
      <c r="E504" s="15">
        <v>5</v>
      </c>
      <c r="F504" s="31">
        <v>1.17</v>
      </c>
      <c r="G504" s="18">
        <v>0</v>
      </c>
      <c r="I504" s="18"/>
      <c r="J504" s="18"/>
    </row>
    <row r="505" spans="1:27">
      <c r="A505" s="15">
        <v>15</v>
      </c>
      <c r="B505" s="78">
        <v>41407</v>
      </c>
      <c r="C505" s="15">
        <v>2013</v>
      </c>
      <c r="D505" s="11" t="s">
        <v>31</v>
      </c>
      <c r="E505" s="15">
        <v>5</v>
      </c>
      <c r="F505" s="31">
        <v>0.76100000000000001</v>
      </c>
      <c r="G505" s="18">
        <v>1.35485E-2</v>
      </c>
      <c r="I505" s="18">
        <f>AVERAGE(F502:F505)</f>
        <v>0.82874999999999999</v>
      </c>
      <c r="J505" s="18">
        <f>AVERAGE(G502:G505)</f>
        <v>1.2524812500000001E-2</v>
      </c>
      <c r="L505">
        <f>+J505/I505</f>
        <v>1.5112895927601813E-2</v>
      </c>
      <c r="M505">
        <f>+(L505-$L$927)/$L$928</f>
        <v>-0.42715866755829957</v>
      </c>
      <c r="N505">
        <f>+N501+M505</f>
        <v>8.3545720182788443</v>
      </c>
      <c r="Z505">
        <f>+(I505-$F$927)/$F$928</f>
        <v>-0.94221985880634374</v>
      </c>
      <c r="AA505">
        <f>+AA501+Z505</f>
        <v>30.014909469381358</v>
      </c>
    </row>
    <row r="506" spans="1:27">
      <c r="A506" s="15">
        <v>6</v>
      </c>
      <c r="B506" s="78">
        <v>41436</v>
      </c>
      <c r="C506" s="15">
        <v>2013</v>
      </c>
      <c r="D506" s="11" t="s">
        <v>32</v>
      </c>
      <c r="E506" s="15">
        <v>6</v>
      </c>
      <c r="F506" s="31">
        <v>10.188000000000001</v>
      </c>
      <c r="G506" s="18">
        <v>9.686800000000001E-2</v>
      </c>
    </row>
    <row r="507" spans="1:27">
      <c r="A507" s="15">
        <v>8</v>
      </c>
      <c r="B507" s="78">
        <v>41437</v>
      </c>
      <c r="C507" s="15">
        <v>2013</v>
      </c>
      <c r="D507" s="11" t="s">
        <v>32</v>
      </c>
      <c r="E507" s="15">
        <v>6</v>
      </c>
      <c r="F507" s="31">
        <v>4.4930000000000003</v>
      </c>
      <c r="G507" s="18">
        <v>1.8965375E-2</v>
      </c>
    </row>
    <row r="508" spans="1:27">
      <c r="A508" s="15">
        <v>15</v>
      </c>
      <c r="B508" s="78">
        <v>41437</v>
      </c>
      <c r="C508" s="15">
        <v>2013</v>
      </c>
      <c r="D508" s="11" t="s">
        <v>32</v>
      </c>
      <c r="E508" s="15">
        <v>6</v>
      </c>
      <c r="F508" s="31">
        <v>3.3330000000000002</v>
      </c>
      <c r="G508" s="18">
        <v>4.1266625000000001E-2</v>
      </c>
      <c r="I508" s="18">
        <f>AVERAGE(F506:F508)</f>
        <v>6.0046666666666679</v>
      </c>
      <c r="J508" s="18">
        <f>AVERAGE(G506:G508)</f>
        <v>5.2366666666666672E-2</v>
      </c>
      <c r="L508">
        <f>+J508/I508</f>
        <v>8.7209947818363484E-3</v>
      </c>
      <c r="M508">
        <f>+(L508-$L$927)/$L$928</f>
        <v>-0.5820835601938078</v>
      </c>
      <c r="N508">
        <f>+N505+M508</f>
        <v>7.7724884580850366</v>
      </c>
      <c r="Z508">
        <f>+(I508-$F$927)/$F$928</f>
        <v>0.47672788225636736</v>
      </c>
      <c r="AA508">
        <f>+AA505+Z508</f>
        <v>30.491637351637724</v>
      </c>
    </row>
    <row r="509" spans="1:27">
      <c r="A509" s="15">
        <v>6</v>
      </c>
      <c r="B509" s="78">
        <v>41470</v>
      </c>
      <c r="C509" s="15">
        <v>2013</v>
      </c>
      <c r="D509" s="11" t="s">
        <v>33</v>
      </c>
      <c r="E509" s="15">
        <v>7</v>
      </c>
      <c r="F509" s="31">
        <v>4.2619999999999996</v>
      </c>
      <c r="G509" s="18">
        <v>1.6311482499999999</v>
      </c>
    </row>
    <row r="510" spans="1:27">
      <c r="A510" s="15">
        <v>8</v>
      </c>
      <c r="B510" s="78">
        <v>41470</v>
      </c>
      <c r="C510" s="15">
        <v>2013</v>
      </c>
      <c r="D510" s="11" t="s">
        <v>33</v>
      </c>
      <c r="E510" s="15">
        <v>7</v>
      </c>
      <c r="F510" s="31">
        <v>4.1459999999999999</v>
      </c>
      <c r="G510" s="18">
        <v>5.3456999999999998E-2</v>
      </c>
    </row>
    <row r="511" spans="1:27">
      <c r="A511" s="15">
        <v>15</v>
      </c>
      <c r="B511" s="78">
        <v>41470</v>
      </c>
      <c r="C511" s="15">
        <v>2013</v>
      </c>
      <c r="D511" s="11" t="s">
        <v>33</v>
      </c>
      <c r="E511" s="15">
        <v>7</v>
      </c>
      <c r="F511" s="31">
        <v>3.3679999999999999</v>
      </c>
      <c r="G511" s="18">
        <v>0.29614099999999999</v>
      </c>
      <c r="I511" s="18">
        <f>AVERAGE(F509:F511)</f>
        <v>3.9253333333333331</v>
      </c>
      <c r="J511" s="18">
        <f>AVERAGE(G509:G511)</f>
        <v>0.66024874999999994</v>
      </c>
      <c r="L511">
        <f>+J511/I511</f>
        <v>0.16820195737092392</v>
      </c>
      <c r="M511">
        <f>+(L511-$L$927)/$L$928</f>
        <v>3.2833659270671598</v>
      </c>
      <c r="N511">
        <f>+N508+M511</f>
        <v>11.055854385152196</v>
      </c>
      <c r="Z511">
        <f>+(I511-$F$927)/$F$928</f>
        <v>-9.3309374187688962E-2</v>
      </c>
      <c r="AA511">
        <f>+AA508+Z511</f>
        <v>30.398327977450034</v>
      </c>
    </row>
    <row r="512" spans="1:27">
      <c r="A512" s="15">
        <v>6</v>
      </c>
      <c r="B512" s="78">
        <v>41498</v>
      </c>
      <c r="C512" s="15">
        <v>2013</v>
      </c>
      <c r="D512" s="11" t="s">
        <v>34</v>
      </c>
      <c r="E512" s="15">
        <v>8</v>
      </c>
      <c r="F512" s="31">
        <v>3.323</v>
      </c>
      <c r="G512" s="18">
        <v>0.7917361249999999</v>
      </c>
    </row>
    <row r="513" spans="1:27">
      <c r="A513" s="15">
        <v>8</v>
      </c>
      <c r="B513" s="78">
        <v>41498</v>
      </c>
      <c r="C513" s="15">
        <v>2013</v>
      </c>
      <c r="D513" s="11" t="s">
        <v>34</v>
      </c>
      <c r="E513" s="15">
        <v>8</v>
      </c>
      <c r="F513" s="31">
        <v>3.33</v>
      </c>
      <c r="G513" s="18">
        <v>2.8969749999999999E-2</v>
      </c>
    </row>
    <row r="514" spans="1:27">
      <c r="A514" s="15">
        <v>15</v>
      </c>
      <c r="B514" s="78">
        <v>41498</v>
      </c>
      <c r="C514" s="15">
        <v>2013</v>
      </c>
      <c r="D514" s="11" t="s">
        <v>34</v>
      </c>
      <c r="E514" s="15">
        <v>8</v>
      </c>
      <c r="F514" s="31">
        <v>1.9870000000000001</v>
      </c>
      <c r="G514" s="18">
        <v>0.212019875</v>
      </c>
      <c r="I514" s="18">
        <f>AVERAGE(F512:F514)</f>
        <v>2.8800000000000003</v>
      </c>
      <c r="J514" s="18">
        <f>AVERAGE(G512:G514)</f>
        <v>0.34424191666666665</v>
      </c>
      <c r="L514">
        <f>+J514/I514</f>
        <v>0.11952844328703702</v>
      </c>
      <c r="M514">
        <f>+(L514-$L$927)/$L$928</f>
        <v>2.1036325783067986</v>
      </c>
      <c r="N514">
        <f>+N511+M514</f>
        <v>13.159486963458995</v>
      </c>
      <c r="Z514">
        <f>+(I514-$F$927)/$F$928</f>
        <v>-0.37988148643657615</v>
      </c>
      <c r="AA514">
        <f>+AA511+Z514</f>
        <v>30.018446491013457</v>
      </c>
    </row>
    <row r="515" spans="1:27">
      <c r="A515" s="15">
        <v>6</v>
      </c>
      <c r="B515" s="78">
        <v>41535</v>
      </c>
      <c r="C515" s="15">
        <v>2013</v>
      </c>
      <c r="D515" s="11" t="s">
        <v>40</v>
      </c>
      <c r="E515" s="15">
        <v>9</v>
      </c>
      <c r="F515" s="31">
        <v>1.4730000000000001</v>
      </c>
      <c r="G515" s="18">
        <v>2.492925E-2</v>
      </c>
    </row>
    <row r="516" spans="1:27">
      <c r="A516" s="15">
        <v>8</v>
      </c>
      <c r="B516" s="78">
        <v>41535</v>
      </c>
      <c r="C516" s="15">
        <v>2013</v>
      </c>
      <c r="D516" s="11" t="s">
        <v>40</v>
      </c>
      <c r="E516" s="15">
        <v>9</v>
      </c>
      <c r="F516" s="31">
        <v>2.9580000000000002</v>
      </c>
      <c r="G516" s="18">
        <v>5.1277875000000007E-2</v>
      </c>
    </row>
    <row r="517" spans="1:27">
      <c r="A517" s="15">
        <v>15</v>
      </c>
      <c r="B517" s="78">
        <v>41535</v>
      </c>
      <c r="C517" s="15">
        <v>2013</v>
      </c>
      <c r="D517" s="11" t="s">
        <v>40</v>
      </c>
      <c r="E517" s="15">
        <v>9</v>
      </c>
      <c r="F517" s="31">
        <v>2.5760000000000001</v>
      </c>
      <c r="G517" s="18">
        <v>6.8153624999999995E-2</v>
      </c>
      <c r="I517" s="18">
        <f>AVERAGE(F515:F517)</f>
        <v>2.3356666666666666</v>
      </c>
      <c r="J517" s="18">
        <f>AVERAGE(G515:G517)</f>
        <v>4.8120250000000003E-2</v>
      </c>
      <c r="L517">
        <f>+J517/I517</f>
        <v>2.0602361923790499E-2</v>
      </c>
      <c r="M517">
        <f>+(L517-$L$927)/$L$928</f>
        <v>-0.29410671467426303</v>
      </c>
      <c r="N517">
        <f>+N514+M517</f>
        <v>12.865380248784733</v>
      </c>
      <c r="Z517">
        <f>+(I517-$F$927)/$F$928</f>
        <v>-0.52910733442842361</v>
      </c>
      <c r="AA517">
        <f>+AA514+Z517</f>
        <v>29.489339156585032</v>
      </c>
    </row>
    <row r="518" spans="1:27">
      <c r="A518" s="15">
        <v>6</v>
      </c>
      <c r="B518" s="78">
        <v>41569</v>
      </c>
      <c r="C518" s="15">
        <v>2013</v>
      </c>
      <c r="D518" s="11" t="s">
        <v>36</v>
      </c>
      <c r="E518" s="15">
        <v>10</v>
      </c>
      <c r="F518" s="26">
        <v>1.5389999999999999</v>
      </c>
      <c r="G518" s="18">
        <v>0</v>
      </c>
    </row>
    <row r="519" spans="1:27">
      <c r="A519" s="15">
        <v>8</v>
      </c>
      <c r="B519" s="78">
        <v>406810</v>
      </c>
      <c r="C519" s="15">
        <v>2013</v>
      </c>
      <c r="D519" s="11" t="s">
        <v>36</v>
      </c>
      <c r="E519" s="15">
        <v>10</v>
      </c>
      <c r="F519" s="26">
        <v>0.92200000000000004</v>
      </c>
      <c r="G519" s="18">
        <v>0</v>
      </c>
    </row>
    <row r="520" spans="1:27">
      <c r="A520" s="15">
        <v>15</v>
      </c>
      <c r="B520" s="78">
        <v>406810</v>
      </c>
      <c r="C520" s="15">
        <v>2013</v>
      </c>
      <c r="D520" s="11" t="s">
        <v>36</v>
      </c>
      <c r="E520" s="15">
        <v>10</v>
      </c>
      <c r="F520" s="26">
        <v>1.8380000000000001</v>
      </c>
      <c r="G520" s="18">
        <v>0</v>
      </c>
      <c r="I520" s="18">
        <f>AVERAGE(F518:F520)</f>
        <v>1.4329999999999998</v>
      </c>
      <c r="J520" s="18">
        <f>AVERAGE(G518:G520)</f>
        <v>0</v>
      </c>
      <c r="L520">
        <f>+J520/I520</f>
        <v>0</v>
      </c>
      <c r="M520">
        <f>+(L520-$L$927)/$L$928</f>
        <v>-0.7934602929434853</v>
      </c>
      <c r="N520">
        <f>+N517+M520</f>
        <v>12.071919955841247</v>
      </c>
      <c r="Z520">
        <f>+(I520-$F$927)/$F$928</f>
        <v>-0.77656820176579189</v>
      </c>
      <c r="AA520">
        <f>+AA517+Z520</f>
        <v>28.712770954819241</v>
      </c>
    </row>
    <row r="521" spans="1:27">
      <c r="A521" s="15">
        <v>6</v>
      </c>
      <c r="B521" s="78">
        <v>41599</v>
      </c>
      <c r="C521" s="15">
        <v>2013</v>
      </c>
      <c r="D521" s="11" t="s">
        <v>37</v>
      </c>
      <c r="E521" s="15">
        <v>11</v>
      </c>
      <c r="F521" s="26">
        <v>2.1930000000000001</v>
      </c>
      <c r="G521" s="18">
        <v>8.6479999999999994E-3</v>
      </c>
    </row>
    <row r="522" spans="1:27">
      <c r="A522" s="15">
        <v>8</v>
      </c>
      <c r="B522" s="78">
        <v>41599</v>
      </c>
      <c r="C522" s="15">
        <v>2013</v>
      </c>
      <c r="D522" s="11" t="s">
        <v>37</v>
      </c>
      <c r="E522" s="15">
        <v>11</v>
      </c>
      <c r="F522" s="26">
        <v>0.51</v>
      </c>
      <c r="G522" s="18">
        <v>0</v>
      </c>
    </row>
    <row r="523" spans="1:27">
      <c r="A523" s="15">
        <v>15</v>
      </c>
      <c r="B523" s="78">
        <v>41599</v>
      </c>
      <c r="C523" s="15">
        <v>2013</v>
      </c>
      <c r="D523" s="11" t="s">
        <v>37</v>
      </c>
      <c r="E523" s="15">
        <v>11</v>
      </c>
      <c r="F523" s="26">
        <v>1.6080000000000001</v>
      </c>
      <c r="G523" s="18">
        <v>4.9793750000000003E-3</v>
      </c>
      <c r="I523" s="18">
        <f>AVERAGE(F521:F523)</f>
        <v>1.4370000000000001</v>
      </c>
      <c r="J523" s="18">
        <f>AVERAGE(G521:G523)</f>
        <v>4.5424583333333332E-3</v>
      </c>
      <c r="L523">
        <f>+J523/I523</f>
        <v>3.1610705172813729E-3</v>
      </c>
      <c r="M523">
        <f>+(L523-$L$927)/$L$928</f>
        <v>-0.71684325845953922</v>
      </c>
      <c r="N523">
        <f>+N520+M523</f>
        <v>11.355076697381708</v>
      </c>
      <c r="Z523">
        <f>+(I523-$F$927)/$F$928</f>
        <v>-0.77547162480565568</v>
      </c>
      <c r="AA523">
        <f>+AA520+Z523</f>
        <v>27.937299330013587</v>
      </c>
    </row>
    <row r="524" spans="1:27">
      <c r="A524" s="15">
        <v>6</v>
      </c>
      <c r="B524" s="78">
        <v>41624</v>
      </c>
      <c r="C524" s="15">
        <v>2013</v>
      </c>
      <c r="D524" s="11" t="s">
        <v>38</v>
      </c>
      <c r="E524" s="15">
        <v>12</v>
      </c>
      <c r="F524" s="26">
        <v>4.742</v>
      </c>
      <c r="G524" s="18">
        <v>0</v>
      </c>
    </row>
    <row r="525" spans="1:27">
      <c r="A525" s="15">
        <v>8</v>
      </c>
      <c r="B525" s="78">
        <v>41627</v>
      </c>
      <c r="C525" s="15">
        <v>2013</v>
      </c>
      <c r="D525" s="11" t="s">
        <v>38</v>
      </c>
      <c r="E525" s="15">
        <v>12</v>
      </c>
      <c r="F525" s="26">
        <v>1.417</v>
      </c>
      <c r="G525" s="18">
        <v>7.4692499999999993E-3</v>
      </c>
    </row>
    <row r="526" spans="1:27">
      <c r="A526" s="15">
        <v>15</v>
      </c>
      <c r="B526" s="78">
        <v>41627</v>
      </c>
      <c r="C526" s="15">
        <v>2013</v>
      </c>
      <c r="D526" s="11" t="s">
        <v>38</v>
      </c>
      <c r="E526" s="15">
        <v>12</v>
      </c>
      <c r="F526" s="26">
        <v>3.1640000000000001</v>
      </c>
      <c r="G526" s="18">
        <v>9.1658750000000021E-3</v>
      </c>
      <c r="I526" s="18">
        <f>AVERAGE(F524:F526)</f>
        <v>3.1076666666666668</v>
      </c>
      <c r="J526" s="18">
        <f>AVERAGE(G524:G526)</f>
        <v>5.5450416666666669E-3</v>
      </c>
      <c r="L526">
        <f>+J526/I526</f>
        <v>1.7843103078408237E-3</v>
      </c>
      <c r="M526">
        <f>+(L526-$L$927)/$L$928</f>
        <v>-0.75021274005324645</v>
      </c>
      <c r="N526">
        <f>+N523+M526</f>
        <v>10.604863957328462</v>
      </c>
      <c r="Z526">
        <f>+(I526-$F$927)/$F$928</f>
        <v>-0.31746798112216612</v>
      </c>
      <c r="AA526">
        <f>+AA523+Z526</f>
        <v>27.61983134889142</v>
      </c>
    </row>
    <row r="527" spans="1:27">
      <c r="A527" s="15">
        <v>6</v>
      </c>
      <c r="B527" s="78">
        <v>41654</v>
      </c>
      <c r="C527" s="15">
        <v>2014</v>
      </c>
      <c r="D527" s="11" t="s">
        <v>39</v>
      </c>
      <c r="E527" s="15">
        <v>1</v>
      </c>
      <c r="F527" s="26">
        <v>2.57</v>
      </c>
      <c r="G527" s="18">
        <v>1.2909624999999997E-2</v>
      </c>
    </row>
    <row r="528" spans="1:27">
      <c r="A528" s="15">
        <v>8</v>
      </c>
      <c r="B528" s="78">
        <v>41655</v>
      </c>
      <c r="C528" s="15">
        <v>2014</v>
      </c>
      <c r="D528" s="11" t="s">
        <v>39</v>
      </c>
      <c r="E528" s="15">
        <v>1</v>
      </c>
      <c r="F528" s="26">
        <v>1.9390000000000001</v>
      </c>
      <c r="G528" s="18">
        <v>1.041775E-2</v>
      </c>
    </row>
    <row r="529" spans="1:27">
      <c r="A529" s="15">
        <v>15</v>
      </c>
      <c r="B529" s="78">
        <v>41655</v>
      </c>
      <c r="C529" s="15">
        <v>2014</v>
      </c>
      <c r="D529" s="11" t="s">
        <v>39</v>
      </c>
      <c r="E529" s="15">
        <v>1</v>
      </c>
      <c r="F529" s="26">
        <v>2.8519999999999999</v>
      </c>
      <c r="G529" s="18">
        <v>2.2926249999999995E-2</v>
      </c>
      <c r="I529" s="18">
        <f>AVERAGE(F527:F529)</f>
        <v>2.4536666666666669</v>
      </c>
      <c r="J529" s="18">
        <f>AVERAGE(G527:G529)</f>
        <v>1.5417874999999998E-2</v>
      </c>
      <c r="L529">
        <f>+J529/I529</f>
        <v>6.2836061676402651E-3</v>
      </c>
      <c r="M529">
        <f>+(L529-$L$927)/$L$928</f>
        <v>-0.64116021997843231</v>
      </c>
      <c r="N529">
        <f>+N526+M529</f>
        <v>9.9637037373500288</v>
      </c>
      <c r="Z529">
        <f>+(I529-$F$927)/$F$928</f>
        <v>-0.49675831410441007</v>
      </c>
      <c r="AA529">
        <f>+AA526+Z529</f>
        <v>27.123073034787009</v>
      </c>
    </row>
    <row r="530" spans="1:27">
      <c r="A530" s="15">
        <v>6</v>
      </c>
      <c r="B530" s="78">
        <v>41688</v>
      </c>
      <c r="C530" s="15">
        <v>2014</v>
      </c>
      <c r="D530" s="11" t="s">
        <v>28</v>
      </c>
      <c r="E530" s="15">
        <v>2</v>
      </c>
      <c r="F530" s="26">
        <v>5.194</v>
      </c>
      <c r="G530" s="18">
        <v>2.8799624999999999E-2</v>
      </c>
    </row>
    <row r="531" spans="1:27">
      <c r="A531" s="15">
        <v>8</v>
      </c>
      <c r="B531" s="78">
        <v>41690</v>
      </c>
      <c r="C531" s="15">
        <v>2014</v>
      </c>
      <c r="D531" s="11" t="s">
        <v>28</v>
      </c>
      <c r="E531" s="15">
        <v>2</v>
      </c>
      <c r="F531" s="26">
        <v>2.6349999999999998</v>
      </c>
      <c r="G531" s="18">
        <v>3.3908125000000004E-2</v>
      </c>
    </row>
    <row r="532" spans="1:27">
      <c r="A532" s="15">
        <v>15</v>
      </c>
      <c r="B532" s="78">
        <v>41690</v>
      </c>
      <c r="C532" s="15">
        <v>2014</v>
      </c>
      <c r="D532" s="11" t="s">
        <v>28</v>
      </c>
      <c r="E532" s="15">
        <v>2</v>
      </c>
      <c r="F532" s="26">
        <v>2.0369999999999999</v>
      </c>
      <c r="G532" s="18">
        <v>2.3821999999999996E-2</v>
      </c>
      <c r="I532" s="18">
        <f>AVERAGE(F530:F532)</f>
        <v>3.2886666666666664</v>
      </c>
      <c r="J532" s="18">
        <f>AVERAGE(G530:G532)</f>
        <v>2.8843250000000001E-2</v>
      </c>
      <c r="L532">
        <f>+J532/I532</f>
        <v>8.7704996959254017E-3</v>
      </c>
      <c r="M532">
        <f>+(L532-$L$927)/$L$928</f>
        <v>-0.58088367563281806</v>
      </c>
      <c r="N532">
        <f>+N529+M532</f>
        <v>9.3828200617172115</v>
      </c>
      <c r="Z532">
        <f>+(I532-$F$927)/$F$928</f>
        <v>-0.26784787367601004</v>
      </c>
      <c r="AA532">
        <f>+AA529+Z532</f>
        <v>26.855225161110997</v>
      </c>
    </row>
    <row r="533" spans="1:27">
      <c r="A533" s="32">
        <v>6</v>
      </c>
      <c r="B533" s="80">
        <v>41719</v>
      </c>
      <c r="C533" s="32">
        <v>2014</v>
      </c>
      <c r="D533" s="34" t="s">
        <v>29</v>
      </c>
      <c r="E533" s="15">
        <v>3</v>
      </c>
      <c r="F533" s="35">
        <v>3.532</v>
      </c>
      <c r="G533" s="36">
        <v>1.9767374999999997E-2</v>
      </c>
    </row>
    <row r="534" spans="1:27">
      <c r="A534" s="15">
        <v>8</v>
      </c>
      <c r="B534" s="78">
        <v>41718</v>
      </c>
      <c r="C534" s="15">
        <v>2014</v>
      </c>
      <c r="D534" s="11" t="s">
        <v>29</v>
      </c>
      <c r="E534" s="15">
        <v>3</v>
      </c>
      <c r="F534" s="26">
        <v>3.2989999999999999</v>
      </c>
      <c r="G534" s="18">
        <v>3.8516624999999999E-2</v>
      </c>
    </row>
    <row r="535" spans="1:27">
      <c r="A535" s="15">
        <v>15</v>
      </c>
      <c r="B535" s="78">
        <v>41718</v>
      </c>
      <c r="C535" s="15">
        <v>2014</v>
      </c>
      <c r="D535" s="11" t="s">
        <v>29</v>
      </c>
      <c r="E535" s="15">
        <v>3</v>
      </c>
      <c r="F535" s="26">
        <v>5.0549999999999997</v>
      </c>
      <c r="G535" s="18">
        <v>4.3438375000000008E-2</v>
      </c>
      <c r="I535" s="18">
        <f>AVERAGE(F533:F535)</f>
        <v>3.9619999999999997</v>
      </c>
      <c r="J535" s="18">
        <f>AVERAGE(G533:G535)</f>
        <v>3.3907458333333335E-2</v>
      </c>
      <c r="L535">
        <f>+J535/I535</f>
        <v>8.5581671714622248E-3</v>
      </c>
      <c r="M535">
        <f>+(L535-$L$927)/$L$928</f>
        <v>-0.58603012467908921</v>
      </c>
      <c r="N535">
        <f>+N532+M535</f>
        <v>8.7967899370381222</v>
      </c>
      <c r="Z535">
        <f>+(I535-$F$927)/$F$928</f>
        <v>-8.3257418719775197E-2</v>
      </c>
      <c r="AA535">
        <f>+AA532+Z535</f>
        <v>26.771967742391222</v>
      </c>
    </row>
    <row r="536" spans="1:27">
      <c r="A536" s="15">
        <v>6</v>
      </c>
      <c r="B536" s="78">
        <v>41747</v>
      </c>
      <c r="C536" s="15">
        <v>2014</v>
      </c>
      <c r="D536" s="11" t="s">
        <v>30</v>
      </c>
      <c r="E536" s="15">
        <v>4</v>
      </c>
      <c r="F536" s="38">
        <v>3.5249999999999999</v>
      </c>
      <c r="G536" s="18">
        <v>2.7161999999999999E-2</v>
      </c>
    </row>
    <row r="537" spans="1:27">
      <c r="A537" s="15">
        <v>8</v>
      </c>
      <c r="B537" s="78">
        <v>41750</v>
      </c>
      <c r="C537" s="15">
        <v>2014</v>
      </c>
      <c r="D537" s="11" t="s">
        <v>30</v>
      </c>
      <c r="E537" s="15">
        <v>4</v>
      </c>
      <c r="F537" s="38">
        <v>1.02</v>
      </c>
      <c r="G537" s="18">
        <v>1.5872500000000001E-2</v>
      </c>
    </row>
    <row r="538" spans="1:27">
      <c r="A538" s="15">
        <v>15</v>
      </c>
      <c r="B538" s="78">
        <v>41750</v>
      </c>
      <c r="C538" s="15">
        <v>2014</v>
      </c>
      <c r="D538" s="11" t="s">
        <v>30</v>
      </c>
      <c r="E538" s="15">
        <v>4</v>
      </c>
      <c r="F538" s="38">
        <v>2.5870000000000002</v>
      </c>
      <c r="G538" s="18">
        <v>0</v>
      </c>
      <c r="I538" s="18">
        <f>AVERAGE(F536:F538)</f>
        <v>2.3773333333333331</v>
      </c>
      <c r="J538" s="18">
        <f>AVERAGE(G536:G538)</f>
        <v>1.4344833333333334E-2</v>
      </c>
      <c r="L538">
        <f>+J538/I538</f>
        <v>6.0340016825574886E-3</v>
      </c>
      <c r="M538">
        <f>+(L538-$L$927)/$L$928</f>
        <v>-0.64721005510118124</v>
      </c>
      <c r="N538">
        <f>+N535+M538</f>
        <v>8.1495798819369405</v>
      </c>
      <c r="Z538">
        <f>+(I538-$F$927)/$F$928</f>
        <v>-0.51768465776033978</v>
      </c>
      <c r="AA538">
        <f>+AA535+Z538</f>
        <v>26.254283084630881</v>
      </c>
    </row>
    <row r="539" spans="1:27">
      <c r="A539" s="15">
        <v>6</v>
      </c>
      <c r="B539" s="78">
        <v>41772</v>
      </c>
      <c r="C539" s="15">
        <v>2014</v>
      </c>
      <c r="D539" s="11" t="s">
        <v>31</v>
      </c>
      <c r="E539" s="15">
        <v>5</v>
      </c>
      <c r="F539" s="38">
        <v>1.8720000000000001</v>
      </c>
      <c r="G539" s="18">
        <v>1.533725E-2</v>
      </c>
    </row>
    <row r="540" spans="1:27">
      <c r="A540" s="15">
        <v>8</v>
      </c>
      <c r="B540" s="78">
        <v>41406</v>
      </c>
      <c r="C540" s="15">
        <v>2014</v>
      </c>
      <c r="D540" s="11" t="s">
        <v>31</v>
      </c>
      <c r="E540" s="15">
        <v>5</v>
      </c>
      <c r="F540" s="38">
        <v>1.1919999999999999</v>
      </c>
      <c r="G540" s="18">
        <v>0</v>
      </c>
    </row>
    <row r="541" spans="1:27">
      <c r="A541" s="15">
        <v>15</v>
      </c>
      <c r="B541" s="78">
        <v>41406</v>
      </c>
      <c r="C541" s="15">
        <v>2014</v>
      </c>
      <c r="D541" s="11" t="s">
        <v>31</v>
      </c>
      <c r="E541" s="15">
        <v>5</v>
      </c>
      <c r="F541" s="38">
        <v>1.1439999999999999</v>
      </c>
      <c r="G541" s="18">
        <v>0</v>
      </c>
      <c r="I541" s="18">
        <f>AVERAGE(F539:F541)</f>
        <v>1.4026666666666667</v>
      </c>
      <c r="J541" s="18">
        <f>AVERAGE(G539:G541)</f>
        <v>5.112416666666667E-3</v>
      </c>
      <c r="L541">
        <f>+J541/I541</f>
        <v>3.6447837452471482E-3</v>
      </c>
      <c r="M541">
        <f>+(L541-$L$927)/$L$928</f>
        <v>-0.70511916914714134</v>
      </c>
      <c r="N541">
        <f>+N538+M541</f>
        <v>7.444460712789799</v>
      </c>
      <c r="Z541">
        <f>+(I541-$F$927)/$F$928</f>
        <v>-0.78488391038015692</v>
      </c>
      <c r="AA541">
        <f>+AA538+Z541</f>
        <v>25.469399174250725</v>
      </c>
    </row>
    <row r="542" spans="1:27">
      <c r="A542" s="15">
        <v>6</v>
      </c>
      <c r="B542" s="78">
        <v>41808</v>
      </c>
      <c r="C542" s="15">
        <v>2014</v>
      </c>
      <c r="D542" s="11" t="s">
        <v>32</v>
      </c>
      <c r="E542" s="15">
        <v>6</v>
      </c>
      <c r="F542" s="38">
        <v>4.5490000000000004</v>
      </c>
      <c r="G542" s="18">
        <v>0.25557012499999998</v>
      </c>
    </row>
    <row r="543" spans="1:27">
      <c r="A543" s="15">
        <v>8</v>
      </c>
      <c r="B543" s="78">
        <v>41807</v>
      </c>
      <c r="C543" s="15">
        <v>2014</v>
      </c>
      <c r="D543" s="11" t="s">
        <v>32</v>
      </c>
      <c r="E543" s="15">
        <v>6</v>
      </c>
      <c r="F543" s="38">
        <v>2.823</v>
      </c>
      <c r="G543" s="18">
        <v>4.1104499999999995E-2</v>
      </c>
    </row>
    <row r="544" spans="1:27">
      <c r="A544" s="15">
        <v>15</v>
      </c>
      <c r="B544" s="78">
        <v>41807</v>
      </c>
      <c r="C544" s="15">
        <v>2014</v>
      </c>
      <c r="D544" s="11" t="s">
        <v>32</v>
      </c>
      <c r="E544" s="15">
        <v>6</v>
      </c>
      <c r="F544" s="38">
        <v>2.129</v>
      </c>
      <c r="G544" s="18">
        <v>7.1636499999999992E-2</v>
      </c>
      <c r="I544" s="18">
        <f>AVERAGE(F542:F544)</f>
        <v>3.1669999999999998</v>
      </c>
      <c r="J544" s="18">
        <f>AVERAGE(G542:G544)</f>
        <v>0.12277037499999999</v>
      </c>
      <c r="L544">
        <f>+J544/I544</f>
        <v>3.8765511525102617E-2</v>
      </c>
      <c r="M544">
        <f>+(L544-$L$927)/$L$928</f>
        <v>0.14612600134171227</v>
      </c>
      <c r="N544">
        <f>+N541+M544</f>
        <v>7.5905867141315113</v>
      </c>
      <c r="Z544">
        <f>+(I544-$F$927)/$F$928</f>
        <v>-0.30120208954681482</v>
      </c>
      <c r="AA544">
        <f>+AA541+Z544</f>
        <v>25.168197084703909</v>
      </c>
    </row>
    <row r="545" spans="1:27">
      <c r="A545" s="15">
        <v>6</v>
      </c>
      <c r="B545" s="78">
        <v>41834</v>
      </c>
      <c r="C545" s="15">
        <v>2014</v>
      </c>
      <c r="D545" s="11" t="s">
        <v>33</v>
      </c>
      <c r="E545" s="15">
        <v>7</v>
      </c>
      <c r="F545" s="38">
        <v>1.706</v>
      </c>
      <c r="G545" s="18">
        <v>4.3380499999999995E-2</v>
      </c>
    </row>
    <row r="546" spans="1:27">
      <c r="A546" s="15">
        <v>8</v>
      </c>
      <c r="B546" s="78">
        <v>41837</v>
      </c>
      <c r="C546" s="15">
        <v>2014</v>
      </c>
      <c r="D546" s="11" t="s">
        <v>33</v>
      </c>
      <c r="E546" s="15">
        <v>7</v>
      </c>
      <c r="F546" s="38">
        <v>2.9140000000000001</v>
      </c>
      <c r="G546" s="18">
        <v>1.727275E-2</v>
      </c>
    </row>
    <row r="547" spans="1:27">
      <c r="A547" s="15">
        <v>15</v>
      </c>
      <c r="B547" s="78">
        <v>41837</v>
      </c>
      <c r="C547" s="15">
        <v>2014</v>
      </c>
      <c r="D547" s="11" t="s">
        <v>33</v>
      </c>
      <c r="E547" s="15">
        <v>7</v>
      </c>
      <c r="F547" s="38">
        <v>3.3260000000000001</v>
      </c>
      <c r="G547" s="18">
        <v>9.891875E-2</v>
      </c>
      <c r="I547" s="18">
        <f>AVERAGE(F545:F547)</f>
        <v>2.6486666666666667</v>
      </c>
      <c r="J547" s="18">
        <f>AVERAGE(G545:G547)</f>
        <v>5.3190666666666664E-2</v>
      </c>
      <c r="L547">
        <f>+J547/I547</f>
        <v>2.0082053863579159E-2</v>
      </c>
      <c r="M547">
        <f>+(L547-$L$927)/$L$928</f>
        <v>-0.30671777803825662</v>
      </c>
      <c r="N547">
        <f>+N544+M547</f>
        <v>7.2838689360932545</v>
      </c>
      <c r="Z547">
        <f>+(I547-$F$927)/$F$928</f>
        <v>-0.44330018729777776</v>
      </c>
      <c r="AA547">
        <f>+AA544+Z547</f>
        <v>24.724896897406133</v>
      </c>
    </row>
    <row r="548" spans="1:27">
      <c r="A548" s="15">
        <v>6</v>
      </c>
      <c r="B548" s="78">
        <v>41862</v>
      </c>
      <c r="C548" s="15">
        <v>2014</v>
      </c>
      <c r="D548" s="11" t="s">
        <v>34</v>
      </c>
      <c r="E548" s="15">
        <v>8</v>
      </c>
      <c r="F548" s="38">
        <v>2.972</v>
      </c>
      <c r="G548" s="18">
        <v>1.2132106250000001</v>
      </c>
    </row>
    <row r="549" spans="1:27">
      <c r="A549" s="15">
        <v>8</v>
      </c>
      <c r="B549" s="78">
        <v>41862</v>
      </c>
      <c r="C549" s="15">
        <v>2014</v>
      </c>
      <c r="D549" s="11" t="s">
        <v>34</v>
      </c>
      <c r="E549" s="15">
        <v>8</v>
      </c>
      <c r="F549" s="38">
        <v>4.1749999999999998</v>
      </c>
      <c r="G549" s="18">
        <v>6.1019999999999998E-2</v>
      </c>
    </row>
    <row r="550" spans="1:27">
      <c r="A550" s="15">
        <v>15</v>
      </c>
      <c r="B550" s="78">
        <v>41862</v>
      </c>
      <c r="C550" s="15">
        <v>2014</v>
      </c>
      <c r="D550" s="11" t="s">
        <v>34</v>
      </c>
      <c r="E550" s="15">
        <v>8</v>
      </c>
      <c r="F550" s="38">
        <v>1.121</v>
      </c>
      <c r="G550" s="18">
        <v>0.14376799999999998</v>
      </c>
      <c r="I550" s="18">
        <f>AVERAGE(F548:F550)</f>
        <v>2.7560000000000002</v>
      </c>
      <c r="J550" s="18">
        <f>AVERAGE(G548:G550)</f>
        <v>0.47266620833333334</v>
      </c>
      <c r="L550">
        <f>+J550/I550</f>
        <v>0.17150442972907595</v>
      </c>
      <c r="M550">
        <f>+(L550-$L$927)/$L$928</f>
        <v>3.3634102149637872</v>
      </c>
      <c r="N550">
        <f>+N547+M550</f>
        <v>10.647279151057042</v>
      </c>
      <c r="Z550">
        <f>+(I550-$F$927)/$F$928</f>
        <v>-0.41387537220079373</v>
      </c>
      <c r="AA550">
        <f>+AA547+Z550</f>
        <v>24.311021525205341</v>
      </c>
    </row>
    <row r="551" spans="1:27">
      <c r="A551" s="15">
        <v>6</v>
      </c>
      <c r="B551" s="78">
        <v>41898</v>
      </c>
      <c r="C551" s="15">
        <v>2014</v>
      </c>
      <c r="D551" s="11" t="s">
        <v>40</v>
      </c>
      <c r="E551" s="15">
        <v>9</v>
      </c>
      <c r="F551" s="38">
        <v>3.35</v>
      </c>
      <c r="G551" s="18">
        <v>3.8121624999999992E-2</v>
      </c>
    </row>
    <row r="552" spans="1:27">
      <c r="A552" s="15">
        <v>8</v>
      </c>
      <c r="B552" s="78">
        <v>41897</v>
      </c>
      <c r="C552" s="15">
        <v>2014</v>
      </c>
      <c r="D552" s="11" t="s">
        <v>40</v>
      </c>
      <c r="E552" s="15">
        <v>9</v>
      </c>
      <c r="F552" s="38">
        <v>1.718</v>
      </c>
      <c r="G552" s="18">
        <v>1.6371875000000004E-2</v>
      </c>
    </row>
    <row r="553" spans="1:27">
      <c r="A553" s="15">
        <v>15</v>
      </c>
      <c r="B553" s="78">
        <v>41897</v>
      </c>
      <c r="C553" s="15">
        <v>2014</v>
      </c>
      <c r="D553" s="11" t="s">
        <v>40</v>
      </c>
      <c r="E553" s="15">
        <v>9</v>
      </c>
      <c r="F553" s="38">
        <v>1.7669999999999999</v>
      </c>
      <c r="G553" s="18">
        <v>3.2613000000000003E-2</v>
      </c>
      <c r="I553" s="18">
        <f>AVERAGE(F551:F553)</f>
        <v>2.2783333333333329</v>
      </c>
      <c r="J553" s="18">
        <f>AVERAGE(G551:G553)</f>
        <v>2.9035500000000002E-2</v>
      </c>
      <c r="L553">
        <f>+J553/I553</f>
        <v>1.2744184345281642E-2</v>
      </c>
      <c r="M553">
        <f>+(L553-$L$927)/$L$928</f>
        <v>-0.48457075501189711</v>
      </c>
      <c r="N553">
        <f>+N550+M553</f>
        <v>10.162708396045145</v>
      </c>
      <c r="Z553">
        <f>+(I553-$F$927)/$F$928</f>
        <v>-0.54482493752370709</v>
      </c>
      <c r="AA553">
        <f>+AA550+Z553</f>
        <v>23.766196587681634</v>
      </c>
    </row>
    <row r="554" spans="1:27">
      <c r="A554" s="15">
        <v>6</v>
      </c>
      <c r="B554" s="78">
        <v>41929</v>
      </c>
      <c r="C554" s="15">
        <v>2014</v>
      </c>
      <c r="D554" s="11" t="s">
        <v>36</v>
      </c>
      <c r="E554" s="15">
        <v>10</v>
      </c>
      <c r="F554" s="26">
        <v>1.51</v>
      </c>
      <c r="G554" s="18">
        <v>0</v>
      </c>
    </row>
    <row r="555" spans="1:27">
      <c r="A555" s="15">
        <v>8</v>
      </c>
      <c r="B555" s="78">
        <v>41928</v>
      </c>
      <c r="C555" s="15">
        <v>2014</v>
      </c>
      <c r="D555" s="11" t="s">
        <v>36</v>
      </c>
      <c r="E555" s="15">
        <v>10</v>
      </c>
      <c r="F555" s="26">
        <v>1.224</v>
      </c>
      <c r="G555" s="18">
        <v>0</v>
      </c>
    </row>
    <row r="556" spans="1:27">
      <c r="A556" s="15">
        <v>15</v>
      </c>
      <c r="B556" s="78">
        <v>41928</v>
      </c>
      <c r="C556" s="15">
        <v>2014</v>
      </c>
      <c r="D556" s="11" t="s">
        <v>36</v>
      </c>
      <c r="E556" s="15">
        <v>10</v>
      </c>
      <c r="F556" s="26">
        <v>2.0169999999999999</v>
      </c>
      <c r="G556" s="18">
        <v>1.41855E-2</v>
      </c>
      <c r="I556" s="18">
        <f>AVERAGE(F554:F556)</f>
        <v>1.5836666666666666</v>
      </c>
      <c r="J556" s="18">
        <f>AVERAGE(G554:G556)</f>
        <v>4.7285000000000001E-3</v>
      </c>
      <c r="L556">
        <f>+J556/I556</f>
        <v>2.9857924647442645E-3</v>
      </c>
      <c r="M556">
        <f>+(L556-$L$927)/$L$928</f>
        <v>-0.72109159285198554</v>
      </c>
      <c r="N556">
        <f>+N553+M556</f>
        <v>9.4416168031931598</v>
      </c>
      <c r="Z556">
        <f>+(I556-$F$927)/$F$928</f>
        <v>-0.73526380293400062</v>
      </c>
      <c r="AA556">
        <f>+AA553+Z556</f>
        <v>23.030932784747634</v>
      </c>
    </row>
    <row r="557" spans="1:27">
      <c r="A557" s="15">
        <v>6</v>
      </c>
      <c r="B557" s="78">
        <v>41953</v>
      </c>
      <c r="C557" s="15">
        <v>2014</v>
      </c>
      <c r="D557" s="11" t="s">
        <v>37</v>
      </c>
      <c r="E557" s="15">
        <v>11</v>
      </c>
      <c r="F557" s="26">
        <v>3.0049999999999999</v>
      </c>
      <c r="G557" s="18">
        <v>1.77935E-2</v>
      </c>
    </row>
    <row r="558" spans="1:27">
      <c r="A558" s="15">
        <v>8</v>
      </c>
      <c r="B558" s="78">
        <v>41955</v>
      </c>
      <c r="C558" s="15">
        <v>2014</v>
      </c>
      <c r="D558" s="11" t="s">
        <v>37</v>
      </c>
      <c r="E558" s="15">
        <v>11</v>
      </c>
      <c r="F558" s="26">
        <v>0.77900000000000003</v>
      </c>
      <c r="G558" s="18">
        <v>0</v>
      </c>
    </row>
    <row r="559" spans="1:27">
      <c r="A559" s="15">
        <v>15</v>
      </c>
      <c r="B559" s="78">
        <v>41955</v>
      </c>
      <c r="C559" s="15">
        <v>2014</v>
      </c>
      <c r="D559" s="11" t="s">
        <v>37</v>
      </c>
      <c r="E559" s="15">
        <v>11</v>
      </c>
      <c r="F559" s="26">
        <v>1.903</v>
      </c>
      <c r="G559" s="18">
        <v>9.1882500000000002E-3</v>
      </c>
      <c r="I559" s="18">
        <f>AVERAGE(F557:F559)</f>
        <v>1.8956666666666664</v>
      </c>
      <c r="J559" s="18">
        <f>AVERAGE(G557:G559)</f>
        <v>8.9939166666666657E-3</v>
      </c>
      <c r="L559">
        <f>+J559/I559</f>
        <v>4.7444610515210133E-3</v>
      </c>
      <c r="M559">
        <f>+(L559-$L$927)/$L$928</f>
        <v>-0.67846553594427961</v>
      </c>
      <c r="N559">
        <f>+N556+M559</f>
        <v>8.7631512672488796</v>
      </c>
      <c r="Z559">
        <f>+(I559-$F$927)/$F$928</f>
        <v>-0.64973080004338901</v>
      </c>
      <c r="AA559">
        <f>+AA556+Z559</f>
        <v>22.381201984704244</v>
      </c>
    </row>
    <row r="560" spans="1:27">
      <c r="A560" s="15">
        <v>6</v>
      </c>
      <c r="B560" s="78">
        <v>41988</v>
      </c>
      <c r="C560" s="15">
        <v>2014</v>
      </c>
      <c r="D560" s="11" t="s">
        <v>38</v>
      </c>
      <c r="E560" s="15">
        <v>12</v>
      </c>
      <c r="F560" s="26">
        <v>3.819</v>
      </c>
      <c r="G560" s="18">
        <v>0</v>
      </c>
    </row>
    <row r="561" spans="1:27">
      <c r="A561" s="15">
        <v>8</v>
      </c>
      <c r="B561" s="78">
        <v>41992</v>
      </c>
      <c r="C561" s="15">
        <v>2014</v>
      </c>
      <c r="D561" s="11" t="s">
        <v>38</v>
      </c>
      <c r="E561" s="15">
        <v>12</v>
      </c>
      <c r="F561" s="26">
        <v>1.2869999999999999</v>
      </c>
      <c r="G561" s="18">
        <v>0</v>
      </c>
    </row>
    <row r="562" spans="1:27">
      <c r="A562" s="15">
        <v>15</v>
      </c>
      <c r="B562" s="78">
        <v>41992</v>
      </c>
      <c r="C562" s="15">
        <v>2014</v>
      </c>
      <c r="D562" s="11" t="s">
        <v>38</v>
      </c>
      <c r="E562" s="15">
        <v>12</v>
      </c>
      <c r="F562" s="26">
        <v>2.2200000000000002</v>
      </c>
      <c r="G562" s="18">
        <v>1.5712874999999998E-2</v>
      </c>
      <c r="I562" s="18">
        <f>AVERAGE(F560:F562)</f>
        <v>2.4420000000000002</v>
      </c>
      <c r="J562" s="18">
        <f>AVERAGE(G560:G562)</f>
        <v>5.2376249999999992E-3</v>
      </c>
      <c r="L562">
        <f>+J562/I562</f>
        <v>2.1448095823095818E-3</v>
      </c>
      <c r="M562">
        <f>+(L562-$L$927)/$L$928</f>
        <v>-0.74147507185115757</v>
      </c>
      <c r="N562">
        <f>+N559+M562</f>
        <v>8.0216761953977223</v>
      </c>
      <c r="Z562">
        <f>+(I562-$F$927)/$F$928</f>
        <v>-0.49995666357147356</v>
      </c>
      <c r="AA562">
        <f>+AA559+Z562</f>
        <v>21.88124532113277</v>
      </c>
    </row>
    <row r="563" spans="1:27">
      <c r="A563" s="8">
        <v>6</v>
      </c>
      <c r="B563" s="73">
        <v>42014</v>
      </c>
      <c r="E563" s="10">
        <v>1</v>
      </c>
      <c r="F563" s="83">
        <v>3.9870000000000001</v>
      </c>
      <c r="G563" s="83">
        <v>2.5000000000000001E-2</v>
      </c>
    </row>
    <row r="564" spans="1:27">
      <c r="A564" s="8">
        <v>8</v>
      </c>
      <c r="B564" s="73">
        <v>42009</v>
      </c>
      <c r="E564" s="10">
        <v>1</v>
      </c>
      <c r="F564" s="83">
        <v>4.7270000000000003</v>
      </c>
      <c r="G564" s="83">
        <v>1.6E-2</v>
      </c>
    </row>
    <row r="565" spans="1:27">
      <c r="A565" s="8">
        <v>15</v>
      </c>
      <c r="B565" s="73">
        <v>42009</v>
      </c>
      <c r="E565" s="10">
        <v>1</v>
      </c>
      <c r="F565" s="83">
        <v>1.9930000000000001</v>
      </c>
      <c r="G565" s="83">
        <v>2.4E-2</v>
      </c>
      <c r="I565" s="18">
        <f>AVERAGE(F563:F565)</f>
        <v>3.5690000000000004</v>
      </c>
      <c r="J565" s="18">
        <f>AVERAGE(G563:G565)</f>
        <v>2.1666666666666667E-2</v>
      </c>
      <c r="L565">
        <f>+J565/I565</f>
        <v>6.0707948071355182E-3</v>
      </c>
      <c r="M565">
        <f>+(L565-$L$927)/$L$928</f>
        <v>-0.64631827490230376</v>
      </c>
      <c r="N565">
        <f>+N562+M565</f>
        <v>7.3753579204954187</v>
      </c>
      <c r="Z565">
        <f>+(I565-$F$927)/$F$928</f>
        <v>-0.1909961050531418</v>
      </c>
      <c r="AA565">
        <f>+AA562+Z565</f>
        <v>21.690249216079629</v>
      </c>
    </row>
    <row r="566" spans="1:27">
      <c r="A566" s="8">
        <v>6</v>
      </c>
      <c r="B566" s="74">
        <v>42036</v>
      </c>
      <c r="E566" s="12">
        <v>2</v>
      </c>
    </row>
    <row r="567" spans="1:27">
      <c r="A567" s="8">
        <v>8</v>
      </c>
      <c r="B567" s="74">
        <v>42036</v>
      </c>
      <c r="E567" s="12">
        <v>2</v>
      </c>
    </row>
    <row r="568" spans="1:27">
      <c r="A568" s="8">
        <v>15</v>
      </c>
      <c r="B568" s="74">
        <v>42036</v>
      </c>
      <c r="E568" s="12">
        <v>2</v>
      </c>
      <c r="I568" s="18"/>
      <c r="J568" s="18"/>
    </row>
    <row r="569" spans="1:27">
      <c r="A569" s="8">
        <v>6</v>
      </c>
      <c r="B569" s="74">
        <v>42064</v>
      </c>
      <c r="E569" s="12">
        <v>3</v>
      </c>
      <c r="F569" s="83">
        <v>10.461</v>
      </c>
      <c r="G569" s="83">
        <v>6.0999999999999999E-2</v>
      </c>
    </row>
    <row r="570" spans="1:27">
      <c r="A570" s="8">
        <v>8</v>
      </c>
      <c r="B570" s="74">
        <v>42064</v>
      </c>
      <c r="E570" s="12">
        <v>3</v>
      </c>
      <c r="F570" s="83">
        <v>9.5190000000000001</v>
      </c>
      <c r="G570" s="83">
        <v>7.9000000000000001E-2</v>
      </c>
    </row>
    <row r="571" spans="1:27">
      <c r="A571" s="8">
        <v>15</v>
      </c>
      <c r="B571" s="74">
        <v>42064</v>
      </c>
      <c r="E571" s="12">
        <v>3</v>
      </c>
      <c r="F571" s="83">
        <v>7.3259999999999996</v>
      </c>
      <c r="G571" s="83">
        <v>4.8000000000000001E-2</v>
      </c>
      <c r="I571" s="18">
        <f>AVERAGE(F569:F571)</f>
        <v>9.1020000000000003</v>
      </c>
      <c r="J571" s="18">
        <f>AVERAGE(G569:G571)</f>
        <v>6.2666666666666662E-2</v>
      </c>
      <c r="L571">
        <f>+J571/I571</f>
        <v>6.8849337142020059E-3</v>
      </c>
      <c r="M571">
        <f>+(L571-$L$927)/$L$928</f>
        <v>-0.6265854317479278</v>
      </c>
      <c r="N571">
        <f>+N565+M571</f>
        <v>6.7487724887474911</v>
      </c>
      <c r="Z571">
        <f>+(I571-$F$927)/$F$928</f>
        <v>1.3258439750550475</v>
      </c>
      <c r="AA571">
        <f>+AA565+Z571</f>
        <v>23.016093191134676</v>
      </c>
    </row>
    <row r="572" spans="1:27">
      <c r="A572" s="8">
        <v>6</v>
      </c>
      <c r="B572" s="74">
        <v>42095</v>
      </c>
      <c r="E572" s="12">
        <v>4</v>
      </c>
      <c r="F572" s="83">
        <v>3.7189999999999999</v>
      </c>
      <c r="G572" s="83">
        <v>3.5999999999999997E-2</v>
      </c>
    </row>
    <row r="573" spans="1:27">
      <c r="A573" s="8">
        <v>8</v>
      </c>
      <c r="B573" s="74">
        <v>42095</v>
      </c>
      <c r="E573" s="12">
        <v>4</v>
      </c>
      <c r="F573" s="83">
        <v>0.97899999999999998</v>
      </c>
      <c r="G573" s="83">
        <v>3.0000000000000001E-3</v>
      </c>
    </row>
    <row r="574" spans="1:27">
      <c r="A574" s="8">
        <v>15</v>
      </c>
      <c r="B574" s="74">
        <v>42095</v>
      </c>
      <c r="E574" s="12">
        <v>4</v>
      </c>
      <c r="F574" s="83">
        <v>1.6140000000000001</v>
      </c>
      <c r="G574" s="83">
        <v>4.7E-2</v>
      </c>
      <c r="I574" s="18">
        <f>AVERAGE(F572:F574)</f>
        <v>2.1039999999999996</v>
      </c>
      <c r="J574" s="18">
        <f>AVERAGE(G572:G574)</f>
        <v>2.8666666666666663E-2</v>
      </c>
      <c r="L574">
        <f>+J574/I574</f>
        <v>1.3624841571609633E-2</v>
      </c>
      <c r="M574">
        <f>+(L574-$L$927)/$L$928</f>
        <v>-0.46322566172491236</v>
      </c>
      <c r="N574">
        <f>+N571+M574</f>
        <v>6.2855468270225785</v>
      </c>
      <c r="Z574">
        <f>+(I574-$F$927)/$F$928</f>
        <v>-0.59261741670296975</v>
      </c>
      <c r="AA574">
        <f>+AA571+Z574</f>
        <v>22.423475774431704</v>
      </c>
    </row>
    <row r="575" spans="1:27">
      <c r="A575" s="8">
        <v>6</v>
      </c>
      <c r="B575" s="74">
        <v>42125</v>
      </c>
      <c r="E575" s="12">
        <v>5</v>
      </c>
      <c r="F575" s="83">
        <v>4.6970000000000001</v>
      </c>
      <c r="G575" s="83">
        <v>1.6E-2</v>
      </c>
    </row>
    <row r="576" spans="1:27">
      <c r="A576" s="8">
        <v>8</v>
      </c>
      <c r="B576" s="74">
        <v>42125</v>
      </c>
      <c r="E576" s="12">
        <v>5</v>
      </c>
      <c r="F576" s="83">
        <v>2.3340000000000001</v>
      </c>
      <c r="G576" s="83">
        <v>1.0999999999999999E-2</v>
      </c>
    </row>
    <row r="577" spans="1:27">
      <c r="A577" s="8">
        <v>15</v>
      </c>
      <c r="B577" s="74">
        <v>42125</v>
      </c>
      <c r="E577" s="12">
        <v>5</v>
      </c>
      <c r="F577" s="83">
        <v>3.5310000000000001</v>
      </c>
      <c r="G577" s="83">
        <v>1.6E-2</v>
      </c>
      <c r="I577" s="18">
        <f>AVERAGE(F575:F577)</f>
        <v>3.5206666666666671</v>
      </c>
      <c r="J577" s="18">
        <f>AVERAGE(G575:G577)</f>
        <v>1.4333333333333332E-2</v>
      </c>
      <c r="L577">
        <f>+J577/I577</f>
        <v>4.0711986366218506E-3</v>
      </c>
      <c r="M577">
        <f>+(L577-$L$927)/$L$928</f>
        <v>-0.69478385892286276</v>
      </c>
      <c r="N577">
        <f>+N574+M577</f>
        <v>5.5907629680997157</v>
      </c>
      <c r="Z577">
        <f>+(I577-$F$927)/$F$928</f>
        <v>-0.20424640998811905</v>
      </c>
      <c r="AA577">
        <f>+AA574+Z577</f>
        <v>22.219229364443585</v>
      </c>
    </row>
    <row r="578" spans="1:27">
      <c r="A578" s="8">
        <v>6</v>
      </c>
      <c r="B578" s="74">
        <v>42156</v>
      </c>
      <c r="E578" s="12">
        <v>6</v>
      </c>
      <c r="F578" s="83">
        <v>3.234</v>
      </c>
      <c r="G578" s="83">
        <v>5.0999999999999997E-2</v>
      </c>
    </row>
    <row r="579" spans="1:27">
      <c r="A579" s="8">
        <v>8</v>
      </c>
      <c r="B579" s="74">
        <v>42156</v>
      </c>
      <c r="E579" s="12">
        <v>6</v>
      </c>
      <c r="F579" s="83">
        <v>4.1740000000000004</v>
      </c>
      <c r="G579" s="83">
        <v>1.6E-2</v>
      </c>
    </row>
    <row r="580" spans="1:27">
      <c r="A580" s="8">
        <v>15</v>
      </c>
      <c r="B580" s="74">
        <v>42156</v>
      </c>
      <c r="E580" s="12">
        <v>6</v>
      </c>
      <c r="F580" s="83">
        <v>1.8779999999999999</v>
      </c>
      <c r="G580" s="83">
        <v>0.156</v>
      </c>
      <c r="I580" s="18">
        <f>AVERAGE(F578:F580)</f>
        <v>3.095333333333333</v>
      </c>
      <c r="J580" s="18">
        <f>AVERAGE(G578:G580)</f>
        <v>7.4333333333333335E-2</v>
      </c>
      <c r="L580">
        <f>+J580/I580</f>
        <v>2.4014645703209134E-2</v>
      </c>
      <c r="M580">
        <f>+(L580-$L$927)/$L$928</f>
        <v>-0.21140085203454753</v>
      </c>
      <c r="N580">
        <f>+N577+M580</f>
        <v>5.3793621160651686</v>
      </c>
      <c r="Z580">
        <f>+(I580-$F$927)/$F$928</f>
        <v>-0.32084909341591905</v>
      </c>
      <c r="AA580">
        <f>+AA577+Z580</f>
        <v>21.898380271027666</v>
      </c>
    </row>
    <row r="581" spans="1:27">
      <c r="A581" s="8">
        <v>6</v>
      </c>
      <c r="B581" s="74">
        <v>42186</v>
      </c>
      <c r="E581" s="12">
        <v>7</v>
      </c>
      <c r="F581" s="83">
        <v>7.84</v>
      </c>
      <c r="G581" s="83">
        <v>1.2070000000000001</v>
      </c>
    </row>
    <row r="582" spans="1:27">
      <c r="A582" s="8">
        <v>8</v>
      </c>
      <c r="B582" s="74">
        <v>42186</v>
      </c>
      <c r="E582" s="12">
        <v>7</v>
      </c>
      <c r="F582" s="83">
        <v>1.8819999999999999</v>
      </c>
      <c r="G582" s="83">
        <v>1.0999999999999999E-2</v>
      </c>
    </row>
    <row r="583" spans="1:27">
      <c r="A583" s="8">
        <v>15</v>
      </c>
      <c r="B583" s="74">
        <v>42186</v>
      </c>
      <c r="E583" s="12">
        <v>7</v>
      </c>
      <c r="F583" s="83">
        <v>2.536</v>
      </c>
      <c r="G583" s="83">
        <v>0.17</v>
      </c>
      <c r="I583" s="18">
        <f>AVERAGE(F581:F583)</f>
        <v>4.0859999999999994</v>
      </c>
      <c r="J583" s="18">
        <f>AVERAGE(G581:G583)</f>
        <v>0.46266666666666662</v>
      </c>
      <c r="L583">
        <f>+J583/I583</f>
        <v>0.11323217490618372</v>
      </c>
      <c r="M583">
        <f>+(L583-$L$927)/$L$928</f>
        <v>1.9510256025943751</v>
      </c>
      <c r="N583">
        <f>+N580+M583</f>
        <v>7.3303877186595434</v>
      </c>
      <c r="Z583">
        <f>+(I583-$F$927)/$F$928</f>
        <v>-4.9263532955557778E-2</v>
      </c>
      <c r="AA583">
        <f>+AA580+Z583</f>
        <v>21.849116738072109</v>
      </c>
    </row>
    <row r="584" spans="1:27">
      <c r="A584" s="8">
        <v>6</v>
      </c>
      <c r="B584" s="74">
        <v>42217</v>
      </c>
      <c r="E584" s="12">
        <v>8</v>
      </c>
      <c r="F584" s="83">
        <v>5.6269999999999998</v>
      </c>
      <c r="G584" s="83">
        <v>0.21</v>
      </c>
    </row>
    <row r="585" spans="1:27">
      <c r="A585" s="8">
        <v>8</v>
      </c>
      <c r="B585" s="74">
        <v>42217</v>
      </c>
      <c r="E585" s="12">
        <v>8</v>
      </c>
      <c r="F585" s="83">
        <v>8.9949999999999992</v>
      </c>
      <c r="G585" s="83">
        <v>1.7000000000000001E-2</v>
      </c>
    </row>
    <row r="586" spans="1:27">
      <c r="A586" s="8">
        <v>15</v>
      </c>
      <c r="B586" s="74">
        <v>42217</v>
      </c>
      <c r="E586" s="12">
        <v>8</v>
      </c>
      <c r="F586" s="83">
        <v>6.1379999999999999</v>
      </c>
      <c r="G586" s="83">
        <v>0.156</v>
      </c>
      <c r="I586" s="18">
        <f>AVERAGE(F584:F586)</f>
        <v>6.919999999999999</v>
      </c>
      <c r="J586" s="18">
        <f>AVERAGE(G584:G586)</f>
        <v>0.12766666666666668</v>
      </c>
      <c r="L586">
        <f>+J586/I586</f>
        <v>1.8448940269749522E-2</v>
      </c>
      <c r="M586">
        <f>+(L586-$L$927)/$L$928</f>
        <v>-0.34630067245665053</v>
      </c>
      <c r="N586">
        <f>+N583+M586</f>
        <v>6.9840870462028928</v>
      </c>
      <c r="Z586">
        <f>+(I586-$F$927)/$F$928</f>
        <v>0.72766124330083259</v>
      </c>
      <c r="AA586">
        <f>+AA583+Z586</f>
        <v>22.576777981372942</v>
      </c>
    </row>
    <row r="587" spans="1:27">
      <c r="A587" s="8">
        <v>6</v>
      </c>
      <c r="B587" s="74">
        <v>42248</v>
      </c>
      <c r="E587" s="12">
        <v>9</v>
      </c>
      <c r="F587" s="83">
        <v>10.029999999999999</v>
      </c>
      <c r="G587" s="83">
        <v>0.68300000000000005</v>
      </c>
    </row>
    <row r="588" spans="1:27">
      <c r="A588" s="8">
        <v>8</v>
      </c>
      <c r="B588" s="74">
        <v>42248</v>
      </c>
      <c r="E588" s="12">
        <v>9</v>
      </c>
      <c r="F588" s="83">
        <v>2.4670000000000001</v>
      </c>
      <c r="G588" s="83">
        <v>2.4E-2</v>
      </c>
    </row>
    <row r="589" spans="1:27">
      <c r="A589" s="8">
        <v>15</v>
      </c>
      <c r="B589" s="74">
        <v>42248</v>
      </c>
      <c r="E589" s="12">
        <v>9</v>
      </c>
      <c r="F589" s="83">
        <v>7.7430000000000003</v>
      </c>
      <c r="G589" s="83">
        <v>0.41699999999999998</v>
      </c>
      <c r="I589" s="18">
        <f>AVERAGE(F587:F589)</f>
        <v>6.746666666666667</v>
      </c>
      <c r="J589" s="18">
        <f>AVERAGE(G587:G589)</f>
        <v>0.3746666666666667</v>
      </c>
      <c r="L589">
        <f>+J589/I589</f>
        <v>5.553359683794467E-2</v>
      </c>
      <c r="M589">
        <f>+(L589-$L$927)/$L$928</f>
        <v>0.55254558724474145</v>
      </c>
      <c r="N589">
        <f>+N586+M589</f>
        <v>7.5366326334476339</v>
      </c>
      <c r="Z589">
        <f>+(I589-$F$927)/$F$928</f>
        <v>0.68014290836160418</v>
      </c>
      <c r="AA589">
        <f>+AA586+Z589</f>
        <v>23.256920889734545</v>
      </c>
    </row>
    <row r="590" spans="1:27">
      <c r="A590" s="8">
        <v>6</v>
      </c>
      <c r="B590" s="74">
        <v>42278</v>
      </c>
      <c r="E590" s="12">
        <v>10</v>
      </c>
      <c r="F590" s="83">
        <v>6.0460000000000003</v>
      </c>
      <c r="G590" s="83">
        <v>2.4E-2</v>
      </c>
    </row>
    <row r="591" spans="1:27">
      <c r="A591" s="8">
        <v>8</v>
      </c>
      <c r="B591" s="74">
        <v>42278</v>
      </c>
      <c r="E591" s="12">
        <v>10</v>
      </c>
      <c r="F591" s="83">
        <v>1.417</v>
      </c>
      <c r="G591" s="83">
        <v>2E-3</v>
      </c>
    </row>
    <row r="592" spans="1:27">
      <c r="A592" s="8">
        <v>15</v>
      </c>
      <c r="B592" s="74">
        <v>42278</v>
      </c>
      <c r="E592" s="12">
        <v>10</v>
      </c>
      <c r="F592" s="83">
        <v>7.5430000000000001</v>
      </c>
      <c r="G592" s="83">
        <v>3.5999999999999997E-2</v>
      </c>
      <c r="I592" s="18">
        <f>AVERAGE(F590:F592)</f>
        <v>5.0019999999999998</v>
      </c>
      <c r="J592" s="18">
        <f>AVERAGE(G590:G592)</f>
        <v>2.0666666666666667E-2</v>
      </c>
      <c r="L592">
        <f>+J592/I592</f>
        <v>4.1316806610689058E-3</v>
      </c>
      <c r="M592">
        <f>+(L592-$L$927)/$L$928</f>
        <v>-0.69331791460830683</v>
      </c>
      <c r="N592">
        <f>+N589+M592</f>
        <v>6.8433147188393271</v>
      </c>
      <c r="Z592">
        <f>+(I592-$F$927)/$F$928</f>
        <v>0.20185259091559746</v>
      </c>
      <c r="AA592">
        <f>+AA589+Z592</f>
        <v>23.458773480650141</v>
      </c>
    </row>
    <row r="593" spans="1:27">
      <c r="A593" s="8">
        <v>6</v>
      </c>
      <c r="B593" s="74">
        <v>42309</v>
      </c>
      <c r="E593" s="12">
        <v>11</v>
      </c>
      <c r="F593" s="83">
        <v>0.97499999999999998</v>
      </c>
      <c r="G593" s="83">
        <v>5.5E-2</v>
      </c>
    </row>
    <row r="594" spans="1:27">
      <c r="A594" s="8">
        <v>8</v>
      </c>
      <c r="B594" s="74">
        <v>42309</v>
      </c>
      <c r="E594" s="12">
        <v>11</v>
      </c>
      <c r="F594" s="83">
        <v>0.56899999999999995</v>
      </c>
      <c r="G594" s="83">
        <v>3.0000000000000001E-3</v>
      </c>
    </row>
    <row r="595" spans="1:27">
      <c r="A595" s="8">
        <v>15</v>
      </c>
      <c r="B595" s="74">
        <v>42309</v>
      </c>
      <c r="E595" s="12">
        <v>11</v>
      </c>
      <c r="F595" s="83">
        <v>2.7330000000000001</v>
      </c>
      <c r="G595" s="83">
        <v>8.2000000000000003E-2</v>
      </c>
      <c r="I595" s="18">
        <f>AVERAGE(F593:F595)</f>
        <v>1.4256666666666666</v>
      </c>
      <c r="J595" s="18">
        <f>AVERAGE(G593:G595)</f>
        <v>4.6666666666666669E-2</v>
      </c>
      <c r="L595">
        <f>+J595/I595</f>
        <v>3.2733224222585927E-2</v>
      </c>
      <c r="M595">
        <f>+(L595-$L$927)/$L$928</f>
        <v>-8.2683895552986242E-5</v>
      </c>
      <c r="N595">
        <f>+N592+M595</f>
        <v>6.8432320349437745</v>
      </c>
      <c r="Z595">
        <f>+(I595-$F$927)/$F$928</f>
        <v>-0.7785785928593747</v>
      </c>
      <c r="AA595">
        <f>+AA592+Z595</f>
        <v>22.680194887790766</v>
      </c>
    </row>
    <row r="596" spans="1:27">
      <c r="A596" s="8">
        <v>6</v>
      </c>
      <c r="B596" s="75">
        <v>42339</v>
      </c>
      <c r="E596" s="12">
        <v>12</v>
      </c>
      <c r="F596" s="83">
        <v>3.2559999999999998</v>
      </c>
      <c r="G596" s="83">
        <v>2.1999999999999999E-2</v>
      </c>
    </row>
    <row r="597" spans="1:27">
      <c r="A597" s="8">
        <v>8</v>
      </c>
      <c r="B597" s="74">
        <v>42339</v>
      </c>
      <c r="E597" s="12">
        <v>12</v>
      </c>
      <c r="F597" s="83">
        <v>0.64300000000000002</v>
      </c>
      <c r="G597" s="83">
        <v>5.0000000000000001E-3</v>
      </c>
    </row>
    <row r="598" spans="1:27">
      <c r="A598" s="8">
        <v>15</v>
      </c>
      <c r="B598" s="74">
        <v>42339</v>
      </c>
      <c r="E598" s="12">
        <v>12</v>
      </c>
      <c r="F598" s="83">
        <v>2.294</v>
      </c>
      <c r="G598" s="83">
        <v>1.7999999999999999E-2</v>
      </c>
      <c r="I598" s="18">
        <f>AVERAGE(F596:F598)</f>
        <v>2.0643333333333334</v>
      </c>
      <c r="J598" s="18">
        <f>AVERAGE(G596:G598)</f>
        <v>1.4999999999999999E-2</v>
      </c>
      <c r="L598">
        <f>+J598/I598</f>
        <v>7.2662683675117062E-3</v>
      </c>
      <c r="M598">
        <f>+(L598-$L$927)/$L$928</f>
        <v>-0.61734276217670914</v>
      </c>
      <c r="N598">
        <f>+N595+M598</f>
        <v>6.2258892727670654</v>
      </c>
      <c r="Z598">
        <f>+(I598-$F$927)/$F$928</f>
        <v>-0.60349180489098553</v>
      </c>
      <c r="AA598">
        <f>+AA595+Z598</f>
        <v>22.07670308289978</v>
      </c>
    </row>
    <row r="599" spans="1:27">
      <c r="A599" s="8">
        <v>6</v>
      </c>
      <c r="B599" s="73">
        <v>42379</v>
      </c>
      <c r="E599" s="10">
        <v>1</v>
      </c>
      <c r="F599" s="86">
        <v>3.8580000000000001</v>
      </c>
      <c r="G599" s="86">
        <v>2.1999999999999999E-2</v>
      </c>
    </row>
    <row r="600" spans="1:27">
      <c r="A600" s="8">
        <v>8</v>
      </c>
      <c r="B600" s="73">
        <v>42374</v>
      </c>
      <c r="E600" s="10">
        <v>1</v>
      </c>
      <c r="F600" s="86">
        <v>1.9019999999999999</v>
      </c>
      <c r="G600" s="86">
        <v>6.0000000000000001E-3</v>
      </c>
    </row>
    <row r="601" spans="1:27">
      <c r="A601" s="8">
        <v>15</v>
      </c>
      <c r="B601" s="73">
        <v>42374</v>
      </c>
      <c r="E601" s="10">
        <v>1</v>
      </c>
      <c r="F601" s="86">
        <v>2.6739999999999999</v>
      </c>
      <c r="G601" s="86">
        <v>8.0000000000000002E-3</v>
      </c>
      <c r="I601" s="18">
        <f>AVERAGE(F599:F601)</f>
        <v>2.8113333333333332</v>
      </c>
      <c r="J601" s="18">
        <f>AVERAGE(G599:G601)</f>
        <v>1.1999999999999999E-2</v>
      </c>
      <c r="L601">
        <f>+J601/I601</f>
        <v>4.2684372776855585E-3</v>
      </c>
      <c r="M601">
        <f>+(L601-$L$927)/$L$928</f>
        <v>-0.69000325068229063</v>
      </c>
      <c r="N601">
        <f>+N598+M601</f>
        <v>5.5358860220847745</v>
      </c>
      <c r="Z601">
        <f>+(I601-$F$927)/$F$928</f>
        <v>-0.39870605758557848</v>
      </c>
      <c r="AA601">
        <f>+AA598+Z601</f>
        <v>21.677997025314202</v>
      </c>
    </row>
    <row r="602" spans="1:27">
      <c r="A602" s="8">
        <v>6</v>
      </c>
      <c r="B602" s="74">
        <v>42401</v>
      </c>
      <c r="E602" s="12">
        <v>2</v>
      </c>
      <c r="F602" s="86">
        <v>2.6349999999999998</v>
      </c>
      <c r="G602" s="86">
        <v>2.3E-2</v>
      </c>
    </row>
    <row r="603" spans="1:27">
      <c r="A603" s="8">
        <v>8</v>
      </c>
      <c r="B603" s="74">
        <v>42401</v>
      </c>
      <c r="E603" s="12">
        <v>2</v>
      </c>
      <c r="F603" s="86">
        <v>5.01</v>
      </c>
      <c r="G603" s="86">
        <v>2.5000000000000001E-2</v>
      </c>
    </row>
    <row r="604" spans="1:27">
      <c r="A604" s="8">
        <v>15</v>
      </c>
      <c r="B604" s="74">
        <v>42401</v>
      </c>
      <c r="E604" s="12">
        <v>2</v>
      </c>
      <c r="F604" s="86">
        <v>3.0190000000000001</v>
      </c>
      <c r="G604" s="86">
        <v>2.4E-2</v>
      </c>
      <c r="I604" s="18">
        <f>AVERAGE(F602:F604)</f>
        <v>3.5546666666666664</v>
      </c>
      <c r="J604" s="18">
        <f>AVERAGE(G602:G604)</f>
        <v>2.4000000000000004E-2</v>
      </c>
      <c r="L604">
        <f>+J604/I604</f>
        <v>6.7516879219804964E-3</v>
      </c>
      <c r="M604">
        <f>+(L604-$L$927)/$L$928</f>
        <v>-0.6298150014148064</v>
      </c>
      <c r="N604">
        <f>+N601+M604</f>
        <v>4.9060710206699678</v>
      </c>
      <c r="Z604">
        <f>+(I604-$F$927)/$F$928</f>
        <v>-0.1949255058269628</v>
      </c>
      <c r="AA604">
        <f>+AA601+Z604</f>
        <v>21.48307151948724</v>
      </c>
    </row>
    <row r="605" spans="1:27">
      <c r="A605" s="8">
        <v>6</v>
      </c>
      <c r="B605" s="74">
        <v>42430</v>
      </c>
      <c r="E605" s="12">
        <v>3</v>
      </c>
      <c r="F605" s="86">
        <v>1.98</v>
      </c>
      <c r="G605" s="86">
        <v>1.7000000000000001E-2</v>
      </c>
    </row>
    <row r="606" spans="1:27">
      <c r="A606" s="8">
        <v>8</v>
      </c>
      <c r="B606" s="74">
        <v>42430</v>
      </c>
      <c r="E606" s="12">
        <v>3</v>
      </c>
      <c r="F606" s="86">
        <v>0.80100000000000005</v>
      </c>
      <c r="G606" s="86">
        <v>1.2E-2</v>
      </c>
    </row>
    <row r="607" spans="1:27">
      <c r="A607" s="8">
        <v>15</v>
      </c>
      <c r="B607" s="74">
        <v>42430</v>
      </c>
      <c r="E607" s="12">
        <v>3</v>
      </c>
      <c r="F607" s="86">
        <v>1.99</v>
      </c>
      <c r="G607" s="86">
        <v>2.1999999999999999E-2</v>
      </c>
      <c r="I607" s="18">
        <f>AVERAGE(F605:F607)</f>
        <v>1.5903333333333334</v>
      </c>
      <c r="J607" s="18">
        <f>AVERAGE(G605:G607)</f>
        <v>1.7000000000000001E-2</v>
      </c>
      <c r="L607">
        <f>+J607/I607</f>
        <v>1.0689582896667367E-2</v>
      </c>
      <c r="M607">
        <f>+(L607-$L$927)/$L$928</f>
        <v>-0.5343695396890038</v>
      </c>
      <c r="N607">
        <f>+N604+M607</f>
        <v>4.3717014809809642</v>
      </c>
      <c r="Z607">
        <f>+(I607-$F$927)/$F$928</f>
        <v>-0.7334361746671072</v>
      </c>
      <c r="AA607">
        <f>+AA604+Z607</f>
        <v>20.749635344820131</v>
      </c>
    </row>
    <row r="608" spans="1:27">
      <c r="A608" s="8">
        <v>6</v>
      </c>
      <c r="B608" s="74">
        <v>42461</v>
      </c>
      <c r="E608" s="12">
        <v>4</v>
      </c>
      <c r="F608" s="86">
        <v>4.5380000000000003</v>
      </c>
      <c r="G608" s="86">
        <v>1.0999999999999999E-2</v>
      </c>
    </row>
    <row r="609" spans="1:27">
      <c r="A609" s="8">
        <v>8</v>
      </c>
      <c r="B609" s="74">
        <v>42461</v>
      </c>
      <c r="E609" s="12">
        <v>4</v>
      </c>
      <c r="F609" s="86">
        <v>0.54300000000000004</v>
      </c>
      <c r="G609" s="86">
        <v>4.0000000000000001E-3</v>
      </c>
    </row>
    <row r="610" spans="1:27">
      <c r="A610" s="8">
        <v>15</v>
      </c>
      <c r="B610" s="74">
        <v>42461</v>
      </c>
      <c r="E610" s="12">
        <v>4</v>
      </c>
      <c r="F610" s="86">
        <v>1.58</v>
      </c>
      <c r="G610" s="86">
        <v>1.4E-2</v>
      </c>
      <c r="I610" s="18">
        <f>AVERAGE(F608:F610)</f>
        <v>2.2203333333333335</v>
      </c>
      <c r="J610" s="18">
        <f>AVERAGE(G608:G610)</f>
        <v>9.6666666666666654E-3</v>
      </c>
      <c r="L610">
        <f>+J610/I610</f>
        <v>4.3537006455487155E-3</v>
      </c>
      <c r="M610">
        <f>+(L610-$L$927)/$L$928</f>
        <v>-0.68793666394843722</v>
      </c>
      <c r="N610">
        <f>+N607+M610</f>
        <v>3.683764817032527</v>
      </c>
      <c r="Z610">
        <f>+(I610-$F$927)/$F$928</f>
        <v>-0.56072530344567961</v>
      </c>
      <c r="AA610">
        <f>+AA607+Z610</f>
        <v>20.188910041374452</v>
      </c>
    </row>
    <row r="611" spans="1:27">
      <c r="A611" s="8">
        <v>6</v>
      </c>
      <c r="B611" s="74">
        <v>42491</v>
      </c>
      <c r="E611" s="12">
        <v>5</v>
      </c>
      <c r="F611" s="86">
        <v>4.0369999999999999</v>
      </c>
      <c r="G611" s="86">
        <v>6.4000000000000001E-2</v>
      </c>
    </row>
    <row r="612" spans="1:27">
      <c r="A612" s="8">
        <v>8</v>
      </c>
      <c r="B612" s="74">
        <v>42491</v>
      </c>
      <c r="E612" s="12">
        <v>5</v>
      </c>
      <c r="F612" s="86">
        <v>6.3419999999999996</v>
      </c>
      <c r="G612" s="86">
        <v>3.9E-2</v>
      </c>
    </row>
    <row r="613" spans="1:27">
      <c r="A613" s="8">
        <v>15</v>
      </c>
      <c r="B613" s="74">
        <v>42491</v>
      </c>
      <c r="E613" s="12">
        <v>5</v>
      </c>
      <c r="F613" s="86">
        <v>9.5250000000000004</v>
      </c>
      <c r="G613" s="86">
        <v>8.5000000000000006E-2</v>
      </c>
      <c r="I613" s="18">
        <f>AVERAGE(F611:F613)</f>
        <v>6.6346666666666669</v>
      </c>
      <c r="J613" s="18">
        <f>AVERAGE(G611:G613)</f>
        <v>6.2666666666666662E-2</v>
      </c>
      <c r="L613">
        <f>+J613/I613</f>
        <v>9.4453376205787774E-3</v>
      </c>
      <c r="M613">
        <f>+(L613-$L$927)/$L$928</f>
        <v>-0.56452716594359109</v>
      </c>
      <c r="N613">
        <f>+N610+M613</f>
        <v>3.1192376510889357</v>
      </c>
      <c r="Z613">
        <f>+(I613-$F$927)/$F$928</f>
        <v>0.64943875347779478</v>
      </c>
      <c r="AA613">
        <f>+AA610+Z613</f>
        <v>20.838348794852248</v>
      </c>
    </row>
    <row r="614" spans="1:27">
      <c r="A614" s="8">
        <v>6</v>
      </c>
      <c r="B614" s="74">
        <v>42522</v>
      </c>
      <c r="E614" s="12">
        <v>6</v>
      </c>
      <c r="F614" s="86">
        <v>10.295999999999999</v>
      </c>
      <c r="G614" s="86">
        <v>0.32100000000000001</v>
      </c>
    </row>
    <row r="615" spans="1:27">
      <c r="A615" s="8">
        <v>8</v>
      </c>
      <c r="B615" s="74">
        <v>42522</v>
      </c>
      <c r="E615" s="12">
        <v>6</v>
      </c>
      <c r="F615" s="86">
        <v>3.5720000000000001</v>
      </c>
      <c r="G615" s="86">
        <v>2.1000000000000001E-2</v>
      </c>
    </row>
    <row r="616" spans="1:27">
      <c r="A616" s="8">
        <v>15</v>
      </c>
      <c r="B616" s="74">
        <v>42522</v>
      </c>
      <c r="E616" s="12">
        <v>6</v>
      </c>
      <c r="F616" s="86">
        <v>19.372</v>
      </c>
      <c r="G616" s="86">
        <v>0.32200000000000001</v>
      </c>
      <c r="I616" s="18">
        <f>AVERAGE(F614:F616)</f>
        <v>11.079999999999998</v>
      </c>
      <c r="J616" s="18">
        <f>AVERAGE(G614:G616)</f>
        <v>0.22133333333333335</v>
      </c>
      <c r="L616">
        <f>+J616/I616</f>
        <v>1.9975932611311677E-2</v>
      </c>
      <c r="M616">
        <f>+(L616-$L$927)/$L$928</f>
        <v>-0.30928991162401726</v>
      </c>
      <c r="N616">
        <f>+N613+M616</f>
        <v>2.8099477394649184</v>
      </c>
      <c r="Z616">
        <f>+(I616-$F$927)/$F$928</f>
        <v>1.8681012818423228</v>
      </c>
      <c r="AA616">
        <f>+AA613+Z616</f>
        <v>22.706450076694569</v>
      </c>
    </row>
    <row r="617" spans="1:27">
      <c r="A617" s="8">
        <v>6</v>
      </c>
      <c r="B617" s="74">
        <v>42552</v>
      </c>
      <c r="E617" s="12">
        <v>7</v>
      </c>
      <c r="F617" s="86">
        <v>7.4660000000000002</v>
      </c>
      <c r="G617" s="86">
        <v>0.72199999999999998</v>
      </c>
    </row>
    <row r="618" spans="1:27">
      <c r="A618" s="8">
        <v>8</v>
      </c>
      <c r="B618" s="74">
        <v>42552</v>
      </c>
      <c r="E618" s="12">
        <v>7</v>
      </c>
      <c r="F618" s="86">
        <v>7.5570000000000004</v>
      </c>
      <c r="G618" s="86">
        <v>0.14299999999999999</v>
      </c>
    </row>
    <row r="619" spans="1:27">
      <c r="A619" s="8">
        <v>15</v>
      </c>
      <c r="B619" s="74">
        <v>42552</v>
      </c>
      <c r="E619" s="12">
        <v>7</v>
      </c>
      <c r="F619" s="86">
        <v>6.8620000000000001</v>
      </c>
      <c r="G619" s="86">
        <v>0.59299999999999997</v>
      </c>
      <c r="I619" s="18">
        <f>AVERAGE(F617:F619)</f>
        <v>7.294999999999999</v>
      </c>
      <c r="J619" s="18">
        <f>AVERAGE(G617:G619)</f>
        <v>0.48599999999999999</v>
      </c>
      <c r="L619">
        <f>+J619/I619</f>
        <v>6.6620973269362588E-2</v>
      </c>
      <c r="M619">
        <f>+(L619-$L$927)/$L$928</f>
        <v>0.82127793526999882</v>
      </c>
      <c r="N619">
        <f>+N616+M619</f>
        <v>3.6312256747349174</v>
      </c>
      <c r="Z619">
        <f>+(I619-$F$927)/$F$928</f>
        <v>0.83046533331358707</v>
      </c>
      <c r="AA619">
        <f>+AA616+Z619</f>
        <v>23.536915410008156</v>
      </c>
    </row>
    <row r="620" spans="1:27">
      <c r="A620" s="8">
        <v>6</v>
      </c>
      <c r="B620" s="74">
        <v>42583</v>
      </c>
      <c r="E620" s="12">
        <v>8</v>
      </c>
      <c r="F620" s="86">
        <v>5.8949999999999996</v>
      </c>
      <c r="G620" s="86">
        <v>0.86099999999999999</v>
      </c>
    </row>
    <row r="621" spans="1:27">
      <c r="A621" s="8">
        <v>8</v>
      </c>
      <c r="B621" s="74">
        <v>42583</v>
      </c>
      <c r="E621" s="12">
        <v>8</v>
      </c>
      <c r="F621" s="86">
        <v>2.8050000000000002</v>
      </c>
      <c r="G621" s="86">
        <v>4.2999999999999997E-2</v>
      </c>
    </row>
    <row r="622" spans="1:27">
      <c r="A622" s="8">
        <v>15</v>
      </c>
      <c r="B622" s="74">
        <v>42583</v>
      </c>
      <c r="E622" s="12">
        <v>8</v>
      </c>
      <c r="F622" s="86">
        <v>5.9660000000000002</v>
      </c>
      <c r="G622" s="86">
        <v>0.98099999999999998</v>
      </c>
      <c r="I622" s="18">
        <f>AVERAGE(F620:F622)</f>
        <v>4.8886666666666665</v>
      </c>
      <c r="J622" s="18">
        <f>AVERAGE(G620:G622)</f>
        <v>0.6283333333333333</v>
      </c>
      <c r="L622">
        <f>+J622/I622</f>
        <v>0.12852856948043093</v>
      </c>
      <c r="M622">
        <f>+(L622-$L$927)/$L$928</f>
        <v>2.3217748105503788</v>
      </c>
      <c r="N622">
        <f>+N619+M622</f>
        <v>5.9530004852852958</v>
      </c>
      <c r="Z622">
        <f>+(I622-$F$927)/$F$928</f>
        <v>0.17078291037840942</v>
      </c>
      <c r="AA622">
        <f>+AA619+Z622</f>
        <v>23.707698320386566</v>
      </c>
    </row>
    <row r="623" spans="1:27">
      <c r="A623" s="8">
        <v>6</v>
      </c>
      <c r="B623" s="74">
        <v>42614</v>
      </c>
      <c r="E623" s="12">
        <v>9</v>
      </c>
      <c r="F623" s="86">
        <v>16.298999999999999</v>
      </c>
      <c r="G623" s="86">
        <v>0.32800000000000001</v>
      </c>
    </row>
    <row r="624" spans="1:27">
      <c r="A624" s="8">
        <v>8</v>
      </c>
      <c r="B624" s="74">
        <v>42614</v>
      </c>
      <c r="E624" s="12">
        <v>9</v>
      </c>
      <c r="F624" s="86">
        <v>6.4720000000000004</v>
      </c>
      <c r="G624" s="86">
        <v>0.17899999999999999</v>
      </c>
    </row>
    <row r="625" spans="1:27">
      <c r="A625" s="8">
        <v>15</v>
      </c>
      <c r="B625" s="74">
        <v>42614</v>
      </c>
      <c r="E625" s="12">
        <v>9</v>
      </c>
      <c r="F625" s="86">
        <v>8.6649999999999991</v>
      </c>
      <c r="G625" s="86">
        <v>1.081</v>
      </c>
      <c r="I625" s="18">
        <f>AVERAGE(F623:F625)</f>
        <v>10.478666666666667</v>
      </c>
      <c r="J625" s="18">
        <f>AVERAGE(G623:G625)</f>
        <v>0.52933333333333332</v>
      </c>
      <c r="L625">
        <f>+J625/I625</f>
        <v>5.0515332739534291E-2</v>
      </c>
      <c r="M625">
        <f>+(L625-$L$927)/$L$928</f>
        <v>0.43091447798112203</v>
      </c>
      <c r="N625">
        <f>+N622+M625</f>
        <v>6.3839149632664176</v>
      </c>
      <c r="Z625">
        <f>+(I625-$F$927)/$F$928</f>
        <v>1.7032492121685376</v>
      </c>
      <c r="AA625">
        <f>+AA622+Z625</f>
        <v>25.410947532555102</v>
      </c>
    </row>
    <row r="626" spans="1:27">
      <c r="A626" s="8">
        <v>6</v>
      </c>
      <c r="B626" s="74">
        <v>42644</v>
      </c>
      <c r="E626" s="12">
        <v>10</v>
      </c>
      <c r="F626" s="86">
        <v>6.2480000000000002</v>
      </c>
      <c r="G626" s="86">
        <v>9.5000000000000001E-2</v>
      </c>
    </row>
    <row r="627" spans="1:27">
      <c r="A627" s="8">
        <v>8</v>
      </c>
      <c r="B627" s="74">
        <v>42644</v>
      </c>
      <c r="E627" s="12">
        <v>10</v>
      </c>
      <c r="F627" s="86">
        <v>3.7010000000000001</v>
      </c>
      <c r="G627" s="86">
        <v>4.2999999999999997E-2</v>
      </c>
    </row>
    <row r="628" spans="1:27">
      <c r="A628" s="8">
        <v>15</v>
      </c>
      <c r="B628" s="74">
        <v>42644</v>
      </c>
      <c r="E628" s="12">
        <v>10</v>
      </c>
      <c r="F628" s="86">
        <v>4.4660000000000002</v>
      </c>
      <c r="G628" s="86">
        <v>4.2999999999999997E-2</v>
      </c>
      <c r="I628" s="18">
        <f>AVERAGE(F626:F628)</f>
        <v>4.8049999999999997</v>
      </c>
      <c r="J628" s="18">
        <f>AVERAGE(G626:G628)</f>
        <v>6.0333333333333329E-2</v>
      </c>
      <c r="L628">
        <f>+J628/I628</f>
        <v>1.2556364897676031E-2</v>
      </c>
      <c r="M628">
        <f>+(L628-$L$927)/$L$928</f>
        <v>-0.48912306379946913</v>
      </c>
      <c r="N628">
        <f>+N625+M628</f>
        <v>5.8947918994669486</v>
      </c>
      <c r="Z628">
        <f>+(I628-$F$927)/$F$928</f>
        <v>0.14784617562889704</v>
      </c>
      <c r="AA628">
        <f>+AA625+Z628</f>
        <v>25.558793708183998</v>
      </c>
    </row>
    <row r="629" spans="1:27">
      <c r="A629" s="8">
        <v>6</v>
      </c>
      <c r="B629" s="74">
        <v>42675</v>
      </c>
      <c r="E629" s="12">
        <v>11</v>
      </c>
      <c r="F629" s="86">
        <v>1.3</v>
      </c>
      <c r="G629" s="86">
        <v>5.0000000000000001E-3</v>
      </c>
    </row>
    <row r="630" spans="1:27">
      <c r="A630" s="8">
        <v>8</v>
      </c>
      <c r="B630" s="74">
        <v>42675</v>
      </c>
      <c r="E630" s="12">
        <v>11</v>
      </c>
      <c r="F630" s="86">
        <v>0.68300000000000005</v>
      </c>
      <c r="G630" s="86">
        <v>9.9989999999999996E-4</v>
      </c>
    </row>
    <row r="631" spans="1:27">
      <c r="A631" s="8">
        <v>15</v>
      </c>
      <c r="B631" s="74">
        <v>42675</v>
      </c>
      <c r="E631" s="12">
        <v>11</v>
      </c>
      <c r="F631" s="86">
        <v>2.0070000000000001</v>
      </c>
      <c r="G631" s="86">
        <v>1.7000000000000001E-2</v>
      </c>
      <c r="I631" s="18">
        <f>AVERAGE(F629:F631)</f>
        <v>1.33</v>
      </c>
      <c r="J631" s="18">
        <f>AVERAGE(G629:G631)</f>
        <v>7.6666333333333331E-3</v>
      </c>
      <c r="L631">
        <f>+J631/I631</f>
        <v>5.7643859649122806E-3</v>
      </c>
      <c r="M631">
        <f>+(L631-$L$927)/$L$928</f>
        <v>-0.65374491619437913</v>
      </c>
      <c r="N631">
        <f>+N628+M631</f>
        <v>5.2410469832725699</v>
      </c>
      <c r="Z631">
        <f>+(I631-$F$927)/$F$928</f>
        <v>-0.80480505848929507</v>
      </c>
      <c r="AA631">
        <f>+AA628+Z631</f>
        <v>24.753988649694705</v>
      </c>
    </row>
    <row r="632" spans="1:27">
      <c r="A632" s="8">
        <v>6</v>
      </c>
      <c r="B632" s="75">
        <v>42705</v>
      </c>
      <c r="E632" s="12">
        <v>12</v>
      </c>
      <c r="F632" s="86">
        <v>1.9239999999999999</v>
      </c>
      <c r="G632" s="86">
        <v>1.2999999999999999E-2</v>
      </c>
    </row>
    <row r="633" spans="1:27">
      <c r="A633" s="8">
        <v>8</v>
      </c>
      <c r="B633" s="74">
        <v>42705</v>
      </c>
      <c r="E633" s="12">
        <v>12</v>
      </c>
      <c r="F633" s="86">
        <v>1.639</v>
      </c>
      <c r="G633" s="86">
        <v>5.0000000000000001E-3</v>
      </c>
    </row>
    <row r="634" spans="1:27">
      <c r="A634" s="8">
        <v>15</v>
      </c>
      <c r="B634" s="74">
        <v>42705</v>
      </c>
      <c r="E634" s="12">
        <v>12</v>
      </c>
      <c r="F634" s="86">
        <v>2.9009999999999998</v>
      </c>
      <c r="G634" s="86">
        <v>1.4E-2</v>
      </c>
      <c r="I634" s="18">
        <f>AVERAGE(F632:F634)</f>
        <v>2.1546666666666665</v>
      </c>
      <c r="J634" s="18">
        <f>AVERAGE(G632:G634)</f>
        <v>1.0666666666666666E-2</v>
      </c>
      <c r="L634">
        <f>+J634/I634</f>
        <v>4.9504950495049506E-3</v>
      </c>
      <c r="M634">
        <f>+(L634-$L$927)/$L$928</f>
        <v>-0.67347174860480052</v>
      </c>
      <c r="N634">
        <f>+N631+M634</f>
        <v>4.5675752346677694</v>
      </c>
      <c r="Z634">
        <f>+(I634-$F$927)/$F$928</f>
        <v>-0.57872744187457981</v>
      </c>
      <c r="AA634">
        <f>+AA631+Z634</f>
        <v>24.175261207820125</v>
      </c>
    </row>
    <row r="635" spans="1:27">
      <c r="A635" s="8">
        <v>6</v>
      </c>
      <c r="B635" s="73">
        <v>42745</v>
      </c>
      <c r="E635" s="10">
        <v>1</v>
      </c>
    </row>
    <row r="636" spans="1:27">
      <c r="A636" s="8">
        <v>8</v>
      </c>
      <c r="B636" s="73">
        <v>42740</v>
      </c>
      <c r="E636" s="10">
        <v>1</v>
      </c>
    </row>
    <row r="637" spans="1:27">
      <c r="A637" s="8">
        <v>15</v>
      </c>
      <c r="B637" s="73">
        <v>42740</v>
      </c>
      <c r="E637" s="10">
        <v>1</v>
      </c>
    </row>
    <row r="638" spans="1:27">
      <c r="A638" s="8">
        <v>6</v>
      </c>
      <c r="B638" s="74">
        <v>42767</v>
      </c>
      <c r="E638" s="12">
        <v>2</v>
      </c>
    </row>
    <row r="639" spans="1:27">
      <c r="A639" s="8">
        <v>8</v>
      </c>
      <c r="B639" s="74">
        <v>42767</v>
      </c>
      <c r="E639" s="12">
        <v>2</v>
      </c>
    </row>
    <row r="640" spans="1:27">
      <c r="A640" s="8">
        <v>15</v>
      </c>
      <c r="B640" s="74">
        <v>42767</v>
      </c>
      <c r="E640" s="12">
        <v>2</v>
      </c>
    </row>
    <row r="641" spans="1:27">
      <c r="A641" s="8">
        <v>6</v>
      </c>
      <c r="B641" s="74">
        <v>42795</v>
      </c>
      <c r="E641" s="12">
        <v>3</v>
      </c>
      <c r="F641" s="86">
        <v>1.609</v>
      </c>
      <c r="G641" s="86">
        <v>1.6E-2</v>
      </c>
    </row>
    <row r="642" spans="1:27">
      <c r="A642" s="8">
        <v>8</v>
      </c>
      <c r="B642" s="74">
        <v>42795</v>
      </c>
      <c r="E642" s="12">
        <v>3</v>
      </c>
      <c r="F642" s="86">
        <v>1.3740000000000001</v>
      </c>
      <c r="G642" s="86">
        <v>1.2E-2</v>
      </c>
    </row>
    <row r="643" spans="1:27">
      <c r="A643" s="8">
        <v>15</v>
      </c>
      <c r="B643" s="74">
        <v>42795</v>
      </c>
      <c r="E643" s="12">
        <v>3</v>
      </c>
      <c r="F643" s="86">
        <v>2.113</v>
      </c>
      <c r="G643" s="86">
        <v>2.1999999999999999E-2</v>
      </c>
      <c r="I643" s="18">
        <f>AVERAGE(F641:F643)</f>
        <v>1.6986666666666668</v>
      </c>
      <c r="J643" s="18">
        <f>AVERAGE(G641:G643)</f>
        <v>1.6666666666666666E-2</v>
      </c>
      <c r="L643">
        <f>+J643/I643</f>
        <v>9.8116169544740974E-3</v>
      </c>
      <c r="M643">
        <f>+(L643-$L$927)/$L$928</f>
        <v>-0.55564940247631167</v>
      </c>
      <c r="N643">
        <f>+N634+M643</f>
        <v>4.0119258321914577</v>
      </c>
      <c r="Z643">
        <f>+(I643-$F$927)/$F$928</f>
        <v>-0.70373721533008926</v>
      </c>
      <c r="AA643">
        <f>+AA634+Z643</f>
        <v>23.471523992490035</v>
      </c>
    </row>
    <row r="644" spans="1:27">
      <c r="A644" s="8">
        <v>6</v>
      </c>
      <c r="B644" s="74">
        <v>42826</v>
      </c>
      <c r="E644" s="12">
        <v>4</v>
      </c>
    </row>
    <row r="645" spans="1:27">
      <c r="A645" s="8">
        <v>8</v>
      </c>
      <c r="B645" s="74">
        <v>42826</v>
      </c>
      <c r="E645" s="12">
        <v>4</v>
      </c>
      <c r="F645" s="86">
        <v>3.9209999999999998</v>
      </c>
      <c r="G645" s="86">
        <v>3.1E-2</v>
      </c>
    </row>
    <row r="646" spans="1:27">
      <c r="A646" s="8">
        <v>15</v>
      </c>
      <c r="B646" s="74">
        <v>42826</v>
      </c>
      <c r="E646" s="12">
        <v>4</v>
      </c>
      <c r="F646" s="86">
        <v>3.8730000000000002</v>
      </c>
      <c r="G646" s="86">
        <v>5.1999999999999998E-2</v>
      </c>
      <c r="I646" s="18">
        <f>AVERAGE(F644:F646)</f>
        <v>3.8970000000000002</v>
      </c>
      <c r="J646" s="18">
        <f>AVERAGE(G644:G646)</f>
        <v>4.1499999999999995E-2</v>
      </c>
      <c r="L646">
        <f>+J646/I646</f>
        <v>1.0649217346676929E-2</v>
      </c>
      <c r="M646">
        <f>+(L646-$L$927)/$L$928</f>
        <v>-0.53534790721313008</v>
      </c>
      <c r="N646">
        <f>+N643+M646</f>
        <v>3.4765779249783275</v>
      </c>
      <c r="Z646">
        <f>+(I646-$F$927)/$F$928</f>
        <v>-0.10107679432198585</v>
      </c>
      <c r="AA646">
        <f>+AA643+Z646</f>
        <v>23.370447198168048</v>
      </c>
    </row>
    <row r="647" spans="1:27">
      <c r="A647" s="8">
        <v>6</v>
      </c>
      <c r="B647" s="74">
        <v>42856</v>
      </c>
      <c r="E647" s="12">
        <v>5</v>
      </c>
      <c r="F647" s="86">
        <v>14.352</v>
      </c>
      <c r="G647" s="86">
        <v>0.125</v>
      </c>
    </row>
    <row r="648" spans="1:27">
      <c r="A648" s="8">
        <v>8</v>
      </c>
      <c r="B648" s="74">
        <v>42856</v>
      </c>
      <c r="E648" s="12">
        <v>5</v>
      </c>
      <c r="F648" s="86">
        <v>7.2270000000000003</v>
      </c>
      <c r="G648" s="86">
        <v>0.123</v>
      </c>
    </row>
    <row r="649" spans="1:27">
      <c r="A649" s="8">
        <v>15</v>
      </c>
      <c r="B649" s="74">
        <v>42856</v>
      </c>
      <c r="E649" s="12">
        <v>5</v>
      </c>
      <c r="F649" s="86">
        <v>7.1390000000000002</v>
      </c>
      <c r="G649" s="86">
        <v>0.318</v>
      </c>
      <c r="I649" s="18">
        <f>AVERAGE(F647:F649)</f>
        <v>9.5726666666666667</v>
      </c>
      <c r="J649" s="18">
        <f>AVERAGE(G647:G649)</f>
        <v>0.18866666666666668</v>
      </c>
      <c r="L649">
        <f>+J649/I649</f>
        <v>1.9708893376976115E-2</v>
      </c>
      <c r="M649">
        <f>+(L649-$L$927)/$L$928</f>
        <v>-0.31576232472388394</v>
      </c>
      <c r="N649">
        <f>+N646+M649</f>
        <v>3.1608156002544434</v>
      </c>
      <c r="Z649">
        <f>+(I649-$F$927)/$F$928</f>
        <v>1.4548745306977224</v>
      </c>
      <c r="AA649">
        <f>+AA646+Z649</f>
        <v>24.82532172886577</v>
      </c>
    </row>
    <row r="650" spans="1:27">
      <c r="A650" s="8">
        <v>6</v>
      </c>
      <c r="B650" s="74">
        <v>42887</v>
      </c>
      <c r="E650" s="12">
        <v>6</v>
      </c>
      <c r="F650" s="86">
        <v>5.657</v>
      </c>
      <c r="G650" s="86">
        <v>0.35899999999999999</v>
      </c>
    </row>
    <row r="651" spans="1:27">
      <c r="A651" s="8">
        <v>8</v>
      </c>
      <c r="B651" s="74">
        <v>42887</v>
      </c>
      <c r="E651" s="12">
        <v>6</v>
      </c>
      <c r="F651" s="86">
        <v>3.6970000000000001</v>
      </c>
      <c r="G651" s="86">
        <v>0.20799999999999999</v>
      </c>
    </row>
    <row r="652" spans="1:27">
      <c r="A652" s="8">
        <v>15</v>
      </c>
      <c r="B652" s="74">
        <v>42887</v>
      </c>
      <c r="E652" s="12">
        <v>6</v>
      </c>
      <c r="F652" s="86">
        <v>2.2309999999999999</v>
      </c>
      <c r="G652" s="86">
        <v>9.9989999999999996E-4</v>
      </c>
      <c r="I652" s="18">
        <f>AVERAGE(F650:F652)</f>
        <v>3.8616666666666664</v>
      </c>
      <c r="J652" s="18">
        <f>AVERAGE(G650:G652)</f>
        <v>0.18933330000000001</v>
      </c>
      <c r="L652">
        <f>+J652/I652</f>
        <v>4.9028908070781189E-2</v>
      </c>
      <c r="M652">
        <f>+(L652-$L$927)/$L$928</f>
        <v>0.39488698366201719</v>
      </c>
      <c r="N652">
        <f>+N649+M652</f>
        <v>3.5557025839164607</v>
      </c>
      <c r="Z652">
        <f>+(I652-$F$927)/$F$928</f>
        <v>-0.11076322413652109</v>
      </c>
      <c r="AA652">
        <f>+AA649+Z652</f>
        <v>24.714558504729251</v>
      </c>
    </row>
    <row r="653" spans="1:27">
      <c r="A653" s="8">
        <v>6</v>
      </c>
      <c r="B653" s="74">
        <v>42917</v>
      </c>
      <c r="E653" s="12">
        <v>7</v>
      </c>
      <c r="F653" s="86">
        <v>2.9420000000000002</v>
      </c>
      <c r="G653" s="86">
        <v>0.83699999999999997</v>
      </c>
    </row>
    <row r="654" spans="1:27">
      <c r="A654" s="8">
        <v>8</v>
      </c>
      <c r="B654" s="74">
        <v>42917</v>
      </c>
      <c r="E654" s="12">
        <v>7</v>
      </c>
      <c r="F654" s="86">
        <v>0.92100000000000004</v>
      </c>
      <c r="G654" s="86">
        <v>1.2E-2</v>
      </c>
    </row>
    <row r="655" spans="1:27">
      <c r="A655" s="8">
        <v>15</v>
      </c>
      <c r="B655" s="74">
        <v>42917</v>
      </c>
      <c r="E655" s="12">
        <v>7</v>
      </c>
      <c r="F655" s="86">
        <v>2.2549999999999999</v>
      </c>
      <c r="G655" s="86">
        <v>0.64800000000000002</v>
      </c>
      <c r="I655" s="18">
        <f>AVERAGE(F653:F655)</f>
        <v>2.0393333333333334</v>
      </c>
      <c r="J655" s="18">
        <f>AVERAGE(G653:G655)</f>
        <v>0.49899999999999994</v>
      </c>
      <c r="L655">
        <f>+J655/I655</f>
        <v>0.24468780647270347</v>
      </c>
      <c r="M655">
        <f>+(L655-$L$927)/$L$928</f>
        <v>5.1372059177057867</v>
      </c>
      <c r="N655">
        <f>+N652+M655</f>
        <v>8.6929085016222469</v>
      </c>
      <c r="Z655">
        <f>+(I655-$F$927)/$F$928</f>
        <v>-0.6103454108918358</v>
      </c>
      <c r="AA655">
        <f>+AA652+Z655</f>
        <v>24.104213093837416</v>
      </c>
    </row>
    <row r="656" spans="1:27">
      <c r="A656" s="8">
        <v>6</v>
      </c>
      <c r="B656" s="74">
        <v>42948</v>
      </c>
      <c r="E656" s="12">
        <v>8</v>
      </c>
    </row>
    <row r="657" spans="1:27">
      <c r="A657" s="8">
        <v>8</v>
      </c>
      <c r="B657" s="74">
        <v>42948</v>
      </c>
      <c r="E657" s="12">
        <v>8</v>
      </c>
    </row>
    <row r="658" spans="1:27">
      <c r="A658" s="8">
        <v>15</v>
      </c>
      <c r="B658" s="74">
        <v>42948</v>
      </c>
      <c r="E658" s="12">
        <v>8</v>
      </c>
      <c r="I658" s="18"/>
      <c r="J658" s="18"/>
    </row>
    <row r="659" spans="1:27">
      <c r="A659" s="8">
        <v>6</v>
      </c>
      <c r="B659" s="74">
        <v>42979</v>
      </c>
      <c r="E659" s="12">
        <v>9</v>
      </c>
      <c r="F659" s="86">
        <v>4.4960000000000004</v>
      </c>
      <c r="G659" s="86">
        <v>0.16300000000000001</v>
      </c>
    </row>
    <row r="660" spans="1:27">
      <c r="A660" s="8">
        <v>8</v>
      </c>
      <c r="B660" s="74">
        <v>42979</v>
      </c>
      <c r="E660" s="12">
        <v>9</v>
      </c>
      <c r="F660" s="86">
        <v>1.0920000000000001</v>
      </c>
      <c r="G660" s="86">
        <v>8.0000000000000002E-3</v>
      </c>
    </row>
    <row r="661" spans="1:27">
      <c r="A661" s="8">
        <v>15</v>
      </c>
      <c r="B661" s="74">
        <v>42979</v>
      </c>
      <c r="E661" s="12">
        <v>9</v>
      </c>
      <c r="F661" s="86">
        <v>1.2729999999999999</v>
      </c>
      <c r="G661" s="86">
        <v>0.12</v>
      </c>
      <c r="I661" s="18">
        <f>AVERAGE(F659:F661)</f>
        <v>2.2870000000000004</v>
      </c>
      <c r="J661" s="18">
        <f>AVERAGE(G659:G661)</f>
        <v>9.7000000000000017E-2</v>
      </c>
      <c r="L661">
        <f>+J661/I661</f>
        <v>4.241364232619152E-2</v>
      </c>
      <c r="M661">
        <f>+(L661-$L$927)/$L$928</f>
        <v>0.23454825002642735</v>
      </c>
      <c r="N661">
        <f>+N655+M661</f>
        <v>8.9274567516486751</v>
      </c>
      <c r="Z661">
        <f>+(I661-$F$927)/$F$928</f>
        <v>-0.54244902077674539</v>
      </c>
      <c r="AA661">
        <f>+AA655+Z661</f>
        <v>23.561764073060669</v>
      </c>
    </row>
    <row r="662" spans="1:27">
      <c r="A662" s="8">
        <v>6</v>
      </c>
      <c r="B662" s="74">
        <v>43009</v>
      </c>
      <c r="E662" s="12">
        <v>10</v>
      </c>
      <c r="F662" s="86">
        <v>2.2679999999999998</v>
      </c>
      <c r="G662" s="86">
        <v>2.3E-2</v>
      </c>
    </row>
    <row r="663" spans="1:27">
      <c r="A663" s="8">
        <v>8</v>
      </c>
      <c r="B663" s="74">
        <v>43009</v>
      </c>
      <c r="E663" s="12">
        <v>10</v>
      </c>
      <c r="F663" s="86">
        <v>0.34799999999999998</v>
      </c>
      <c r="G663" s="86">
        <v>9.9989999999999996E-4</v>
      </c>
    </row>
    <row r="664" spans="1:27">
      <c r="A664" s="8">
        <v>15</v>
      </c>
      <c r="B664" s="74">
        <v>43009</v>
      </c>
      <c r="E664" s="12">
        <v>10</v>
      </c>
      <c r="F664" s="86">
        <v>1.5429999999999999</v>
      </c>
      <c r="G664" s="86">
        <v>1.2E-2</v>
      </c>
      <c r="I664" s="18">
        <f>AVERAGE(F662:F664)</f>
        <v>1.3863333333333332</v>
      </c>
      <c r="J664" s="18">
        <f>AVERAGE(G662:G664)</f>
        <v>1.1999966666666667E-2</v>
      </c>
      <c r="L664">
        <f>+J664/I664</f>
        <v>8.655902861264728E-3</v>
      </c>
      <c r="M664">
        <f>+(L664-$L$927)/$L$928</f>
        <v>-0.58366123772292267</v>
      </c>
      <c r="N664">
        <f>+N661+M664</f>
        <v>8.3437955139257518</v>
      </c>
      <c r="Z664">
        <f>+(I664-$F$927)/$F$928</f>
        <v>-0.78936159963404584</v>
      </c>
      <c r="AA664">
        <f>+AA661+Z664</f>
        <v>22.772402473426624</v>
      </c>
    </row>
    <row r="665" spans="1:27">
      <c r="A665" s="8">
        <v>6</v>
      </c>
      <c r="B665" s="74">
        <v>43040</v>
      </c>
      <c r="E665" s="12">
        <v>11</v>
      </c>
    </row>
    <row r="666" spans="1:27">
      <c r="A666" s="8">
        <v>8</v>
      </c>
      <c r="B666" s="74">
        <v>43040</v>
      </c>
      <c r="E666" s="12">
        <v>11</v>
      </c>
    </row>
    <row r="667" spans="1:27">
      <c r="A667" s="8">
        <v>15</v>
      </c>
      <c r="B667" s="74">
        <v>43040</v>
      </c>
      <c r="E667" s="12">
        <v>11</v>
      </c>
      <c r="I667" s="18"/>
      <c r="J667" s="18"/>
    </row>
    <row r="668" spans="1:27">
      <c r="A668" s="8">
        <v>6</v>
      </c>
      <c r="B668" s="75">
        <v>43070</v>
      </c>
      <c r="E668" s="12">
        <v>12</v>
      </c>
      <c r="F668" s="86">
        <v>2.6429999999999998</v>
      </c>
      <c r="G668" s="86">
        <v>3.0000000000000001E-3</v>
      </c>
    </row>
    <row r="669" spans="1:27">
      <c r="A669" s="8">
        <v>8</v>
      </c>
      <c r="B669" s="74">
        <v>43070</v>
      </c>
      <c r="E669" s="12">
        <v>12</v>
      </c>
      <c r="F669" s="86">
        <v>1.196</v>
      </c>
      <c r="G669" s="86">
        <v>9.9989999999999996E-4</v>
      </c>
    </row>
    <row r="670" spans="1:27">
      <c r="A670" s="8">
        <v>15</v>
      </c>
      <c r="B670" s="74">
        <v>43070</v>
      </c>
      <c r="E670" s="12">
        <v>12</v>
      </c>
      <c r="F670" s="86">
        <v>3.036</v>
      </c>
      <c r="G670" s="86">
        <v>4.0000000000000001E-3</v>
      </c>
      <c r="I670" s="18">
        <f>AVERAGE(F668:F670)</f>
        <v>2.2916666666666665</v>
      </c>
      <c r="J670" s="18">
        <f>AVERAGE(G668:G670)</f>
        <v>2.6666333333333334E-3</v>
      </c>
      <c r="L670">
        <f>+J670/I670</f>
        <v>1.1636218181818184E-3</v>
      </c>
      <c r="M670">
        <f>+(L670-$L$927)/$L$928</f>
        <v>-0.76525679274236258</v>
      </c>
      <c r="N670">
        <f>+N664+M670</f>
        <v>7.5785387211833894</v>
      </c>
      <c r="Z670">
        <f>+(I670-$F$927)/$F$928</f>
        <v>-0.54116968098992013</v>
      </c>
      <c r="AA670">
        <f>+AA664+Z670</f>
        <v>22.231232792436703</v>
      </c>
    </row>
    <row r="671" spans="1:27">
      <c r="A671" s="8">
        <v>6</v>
      </c>
      <c r="B671" s="73">
        <v>43110</v>
      </c>
      <c r="E671" s="10">
        <v>1</v>
      </c>
      <c r="F671" s="81">
        <v>4.03</v>
      </c>
      <c r="G671" s="81">
        <v>8.0000000000000002E-3</v>
      </c>
    </row>
    <row r="672" spans="1:27">
      <c r="A672" s="8">
        <v>8</v>
      </c>
      <c r="B672" s="73">
        <v>43105</v>
      </c>
      <c r="E672" s="10">
        <v>1</v>
      </c>
      <c r="F672" s="81">
        <v>7.7279999999999998</v>
      </c>
      <c r="G672" s="81">
        <v>2.5999999999999999E-2</v>
      </c>
    </row>
    <row r="673" spans="1:27">
      <c r="A673" s="8">
        <v>15</v>
      </c>
      <c r="B673" s="73">
        <v>43105</v>
      </c>
      <c r="E673" s="10">
        <v>1</v>
      </c>
      <c r="F673" s="81">
        <v>5.9379999999999997</v>
      </c>
      <c r="G673" s="81">
        <v>2.5000000000000001E-2</v>
      </c>
      <c r="I673">
        <v>5.8986666666666663</v>
      </c>
      <c r="J673">
        <v>1.9666666666666669E-2</v>
      </c>
      <c r="L673">
        <v>3.3340867992766735E-3</v>
      </c>
      <c r="M673">
        <f>+(L673-$L$927)/$L$928</f>
        <v>-0.71264974415119076</v>
      </c>
      <c r="N673">
        <f>+N670+M673</f>
        <v>6.8658889770321991</v>
      </c>
      <c r="Z673">
        <f>+(I673-$F$927)/$F$928</f>
        <v>0.44766859281276161</v>
      </c>
      <c r="AA673">
        <f>+AA670+Z673</f>
        <v>22.678901385249464</v>
      </c>
    </row>
    <row r="674" spans="1:27">
      <c r="A674" s="8">
        <v>6</v>
      </c>
      <c r="B674" s="74">
        <v>43132</v>
      </c>
      <c r="E674" s="12">
        <v>2</v>
      </c>
      <c r="F674" s="81">
        <v>1.829</v>
      </c>
      <c r="G674" s="81">
        <v>1.2E-2</v>
      </c>
    </row>
    <row r="675" spans="1:27">
      <c r="A675" s="8">
        <v>8</v>
      </c>
      <c r="B675" s="74">
        <v>43132</v>
      </c>
      <c r="E675" s="12">
        <v>2</v>
      </c>
      <c r="F675" s="81">
        <v>1.119</v>
      </c>
      <c r="G675" s="81">
        <v>1.2E-2</v>
      </c>
    </row>
    <row r="676" spans="1:27">
      <c r="A676" s="8">
        <v>15</v>
      </c>
      <c r="B676" s="74">
        <v>43132</v>
      </c>
      <c r="E676" s="12">
        <v>2</v>
      </c>
      <c r="F676" s="81">
        <v>1.149</v>
      </c>
      <c r="G676" s="81">
        <v>1.0999999999999999E-2</v>
      </c>
      <c r="I676">
        <v>1.3656666666666666</v>
      </c>
      <c r="J676">
        <v>1.1666666666666667E-2</v>
      </c>
      <c r="L676">
        <v>8.5428362216255806E-3</v>
      </c>
      <c r="M676">
        <f>+(L676-$L$927)/$L$928</f>
        <v>-0.58640171142664332</v>
      </c>
      <c r="N676">
        <f>+N673+M676</f>
        <v>6.2794872656055558</v>
      </c>
      <c r="Z676">
        <f>+(I676-$F$927)/$F$928</f>
        <v>-0.79502724726141527</v>
      </c>
      <c r="AA676">
        <f>+AA673+Z676</f>
        <v>21.883874137988048</v>
      </c>
    </row>
    <row r="677" spans="1:27">
      <c r="A677" s="8">
        <v>6</v>
      </c>
      <c r="B677" s="74">
        <v>43160</v>
      </c>
      <c r="E677" s="12">
        <v>3</v>
      </c>
      <c r="F677" s="81">
        <v>4.4370000000000003</v>
      </c>
      <c r="G677" s="81">
        <v>1.2999999999999999E-2</v>
      </c>
    </row>
    <row r="678" spans="1:27">
      <c r="A678" s="8">
        <v>8</v>
      </c>
      <c r="B678" s="74">
        <v>43160</v>
      </c>
      <c r="E678" s="12">
        <v>3</v>
      </c>
      <c r="F678" s="81">
        <v>3.7730000000000001</v>
      </c>
      <c r="G678" s="81">
        <v>1.0999999999999999E-2</v>
      </c>
    </row>
    <row r="679" spans="1:27">
      <c r="A679" s="8">
        <v>15</v>
      </c>
      <c r="B679" s="74">
        <v>43160</v>
      </c>
      <c r="E679" s="12">
        <v>3</v>
      </c>
      <c r="F679" s="81">
        <v>3.5169999999999999</v>
      </c>
      <c r="G679" s="81">
        <v>2.3E-2</v>
      </c>
      <c r="I679">
        <v>3.9090000000000003</v>
      </c>
      <c r="J679">
        <v>1.5666666666666666E-2</v>
      </c>
      <c r="L679">
        <v>4.0078451436855117E-3</v>
      </c>
      <c r="M679">
        <f>+(L679-$L$927)/$L$928</f>
        <v>-0.69631940098889566</v>
      </c>
      <c r="N679">
        <f>+N676+M679</f>
        <v>5.5831678646166605</v>
      </c>
      <c r="Z679">
        <f>+(I679-$F$927)/$F$928</f>
        <v>-9.7787063441577698E-2</v>
      </c>
      <c r="AA679">
        <f>+AA676+Z679</f>
        <v>21.786087074546469</v>
      </c>
    </row>
    <row r="680" spans="1:27">
      <c r="A680" s="8">
        <v>6</v>
      </c>
      <c r="B680" s="74">
        <v>43191</v>
      </c>
      <c r="E680" s="12">
        <v>4</v>
      </c>
      <c r="F680" s="81">
        <v>3.8260000000000001</v>
      </c>
      <c r="G680" s="81">
        <v>2.5000000000000001E-2</v>
      </c>
    </row>
    <row r="681" spans="1:27">
      <c r="A681" s="8">
        <v>8</v>
      </c>
      <c r="B681" s="74">
        <v>43191</v>
      </c>
      <c r="E681" s="12">
        <v>4</v>
      </c>
      <c r="F681" s="81">
        <v>1.375</v>
      </c>
      <c r="G681" s="81">
        <v>1.2999999999999999E-2</v>
      </c>
    </row>
    <row r="682" spans="1:27">
      <c r="A682" s="8">
        <v>15</v>
      </c>
      <c r="B682" s="74">
        <v>43191</v>
      </c>
      <c r="E682" s="12">
        <v>4</v>
      </c>
      <c r="F682" s="82">
        <v>0.83899999999999997</v>
      </c>
      <c r="G682" s="82">
        <v>1.4999999999999999E-2</v>
      </c>
      <c r="I682">
        <v>2.0133333333333336</v>
      </c>
      <c r="J682">
        <v>1.7666666666666667E-2</v>
      </c>
      <c r="L682">
        <v>8.7748344370860917E-3</v>
      </c>
      <c r="M682">
        <f>+(L682-$L$927)/$L$928</f>
        <v>-0.58077861153786292</v>
      </c>
      <c r="N682">
        <f>+N679+M682</f>
        <v>5.0023892530787979</v>
      </c>
      <c r="Z682">
        <f>+(I682-$F$927)/$F$928</f>
        <v>-0.61747316113272011</v>
      </c>
      <c r="AA682">
        <f>+AA679+Z682</f>
        <v>21.168613913413747</v>
      </c>
    </row>
    <row r="683" spans="1:27">
      <c r="A683" s="8">
        <v>6</v>
      </c>
      <c r="B683" s="74">
        <v>43221</v>
      </c>
      <c r="E683" s="12">
        <v>5</v>
      </c>
      <c r="F683" s="82">
        <v>11.643000000000001</v>
      </c>
      <c r="G683" s="82">
        <v>0.04</v>
      </c>
    </row>
    <row r="684" spans="1:27">
      <c r="A684" s="8">
        <v>8</v>
      </c>
      <c r="B684" s="74">
        <v>43221</v>
      </c>
      <c r="E684" s="12">
        <v>5</v>
      </c>
      <c r="F684" s="82">
        <v>2.782</v>
      </c>
      <c r="G684" s="82">
        <v>1.7000000000000001E-2</v>
      </c>
    </row>
    <row r="685" spans="1:27">
      <c r="A685" s="8">
        <v>15</v>
      </c>
      <c r="B685" s="74">
        <v>43221</v>
      </c>
      <c r="E685" s="12">
        <v>5</v>
      </c>
      <c r="F685" s="82">
        <v>6.2859999999999996</v>
      </c>
      <c r="G685" s="82">
        <v>0.03</v>
      </c>
      <c r="I685">
        <v>6.9036666666666662</v>
      </c>
      <c r="J685">
        <v>2.8999999999999998E-2</v>
      </c>
      <c r="L685">
        <v>4.2006663125875136E-3</v>
      </c>
      <c r="M685">
        <f>+(L685-$L$927)/$L$928</f>
        <v>-0.69164586205130019</v>
      </c>
      <c r="N685">
        <f>+N682+M685</f>
        <v>4.3107433910274979</v>
      </c>
      <c r="Z685">
        <f>+(I685-$F$927)/$F$928</f>
        <v>0.72318355404694379</v>
      </c>
      <c r="AA685">
        <f>+AA682+Z685</f>
        <v>21.891797467460691</v>
      </c>
    </row>
    <row r="686" spans="1:27">
      <c r="A686" s="8">
        <v>6</v>
      </c>
      <c r="B686" s="74">
        <v>43252</v>
      </c>
      <c r="E686" s="12">
        <v>6</v>
      </c>
      <c r="F686" s="82">
        <v>4.6680000000000001</v>
      </c>
      <c r="G686" s="82">
        <v>0.93</v>
      </c>
    </row>
    <row r="687" spans="1:27">
      <c r="A687" s="8">
        <v>8</v>
      </c>
      <c r="B687" s="74">
        <v>43252</v>
      </c>
      <c r="E687" s="12">
        <v>6</v>
      </c>
      <c r="F687" s="82">
        <v>2.66</v>
      </c>
      <c r="G687" s="82">
        <v>0.13700000000000001</v>
      </c>
    </row>
    <row r="688" spans="1:27">
      <c r="A688" s="8">
        <v>15</v>
      </c>
      <c r="B688" s="74">
        <v>43252</v>
      </c>
      <c r="E688" s="12">
        <v>6</v>
      </c>
      <c r="F688" s="82">
        <v>5.0890000000000004</v>
      </c>
      <c r="G688" s="82">
        <v>1.1319999999999999</v>
      </c>
      <c r="I688">
        <v>4.1390000000000002</v>
      </c>
      <c r="J688">
        <v>0.73299999999999998</v>
      </c>
      <c r="L688">
        <v>0.17709591688813722</v>
      </c>
      <c r="M688">
        <f>+(L688-$L$927)/$L$928</f>
        <v>3.4989349247544377</v>
      </c>
      <c r="N688">
        <f>+N685+M688</f>
        <v>7.8096783157819356</v>
      </c>
      <c r="Z688">
        <f>+(I688-$F$927)/$F$928</f>
        <v>-3.4733888233754909E-2</v>
      </c>
      <c r="AA688">
        <f>+AA685+Z688</f>
        <v>21.857063579226935</v>
      </c>
    </row>
    <row r="689" spans="1:27">
      <c r="A689" s="8">
        <v>6</v>
      </c>
      <c r="B689" s="74">
        <v>43282</v>
      </c>
      <c r="E689" s="12">
        <v>7</v>
      </c>
      <c r="F689" s="82">
        <v>17.873000000000001</v>
      </c>
      <c r="G689" s="82">
        <v>1.3360000000000001</v>
      </c>
    </row>
    <row r="690" spans="1:27">
      <c r="A690" s="8">
        <v>8</v>
      </c>
      <c r="B690" s="74">
        <v>43282</v>
      </c>
      <c r="E690" s="12">
        <v>7</v>
      </c>
      <c r="F690" s="82">
        <v>4.2279999999999998</v>
      </c>
      <c r="G690" s="82">
        <v>0.17599999999999999</v>
      </c>
    </row>
    <row r="691" spans="1:27">
      <c r="A691" s="8">
        <v>15</v>
      </c>
      <c r="B691" s="74">
        <v>43282</v>
      </c>
      <c r="E691" s="12">
        <v>7</v>
      </c>
      <c r="F691" s="82">
        <v>2.0680000000000001</v>
      </c>
      <c r="G691" s="82">
        <v>0.20399999999999999</v>
      </c>
      <c r="I691">
        <v>8.0563333333333329</v>
      </c>
      <c r="J691">
        <v>0.57199999999999995</v>
      </c>
      <c r="L691">
        <v>7.1000041375315487E-2</v>
      </c>
      <c r="M691">
        <f>+(L691-$L$927)/$L$928</f>
        <v>0.92741641280383535</v>
      </c>
      <c r="N691">
        <f>+N688+M691</f>
        <v>8.7370947285857703</v>
      </c>
      <c r="Z691">
        <f>+(I691-$F$927)/$F$928</f>
        <v>1.0391804813928152</v>
      </c>
      <c r="AA691">
        <f>+AA688+Z691</f>
        <v>22.89624406061975</v>
      </c>
    </row>
    <row r="692" spans="1:27">
      <c r="A692" s="8">
        <v>6</v>
      </c>
      <c r="B692" s="74">
        <v>43313</v>
      </c>
      <c r="E692" s="12">
        <v>8</v>
      </c>
      <c r="F692" s="82">
        <v>2.2989999999999999</v>
      </c>
      <c r="G692" s="82">
        <v>0.52400000000000002</v>
      </c>
    </row>
    <row r="693" spans="1:27">
      <c r="A693" s="8">
        <v>8</v>
      </c>
      <c r="B693" s="74">
        <v>43313</v>
      </c>
      <c r="E693" s="12">
        <v>8</v>
      </c>
      <c r="F693" s="82">
        <v>2.919</v>
      </c>
      <c r="G693" s="82">
        <v>0.02</v>
      </c>
    </row>
    <row r="694" spans="1:27">
      <c r="A694" s="8">
        <v>15</v>
      </c>
      <c r="B694" s="74">
        <v>43313</v>
      </c>
      <c r="E694" s="12">
        <v>8</v>
      </c>
      <c r="F694" s="82">
        <v>1.7390000000000001</v>
      </c>
      <c r="G694" s="82">
        <v>0.14899999999999999</v>
      </c>
      <c r="I694">
        <v>2.319</v>
      </c>
      <c r="J694">
        <v>0.23100000000000001</v>
      </c>
      <c r="L694">
        <v>9.9611901681759388E-2</v>
      </c>
      <c r="M694">
        <f>+(L694-$L$927)/$L$928</f>
        <v>1.6209016975402193</v>
      </c>
      <c r="N694">
        <f>+N691+M694</f>
        <v>10.35799642612599</v>
      </c>
      <c r="Z694">
        <f>+(I694-$F$927)/$F$928</f>
        <v>-0.53367640509565706</v>
      </c>
      <c r="AA694">
        <f>+AA691+Z694</f>
        <v>22.362567655524092</v>
      </c>
    </row>
    <row r="695" spans="1:27">
      <c r="A695" s="8">
        <v>6</v>
      </c>
      <c r="B695" s="74">
        <v>43344</v>
      </c>
      <c r="E695" s="12">
        <v>9</v>
      </c>
      <c r="F695" s="82">
        <v>7.1219999999999999</v>
      </c>
      <c r="G695" s="82">
        <v>0.75</v>
      </c>
    </row>
    <row r="696" spans="1:27">
      <c r="A696" s="8">
        <v>8</v>
      </c>
      <c r="B696" s="74">
        <v>43344</v>
      </c>
      <c r="E696" s="12">
        <v>9</v>
      </c>
      <c r="F696" s="82">
        <v>2.97</v>
      </c>
      <c r="G696" s="82">
        <v>2.5000000000000001E-2</v>
      </c>
    </row>
    <row r="697" spans="1:27">
      <c r="A697" s="8">
        <v>15</v>
      </c>
      <c r="B697" s="74">
        <v>43344</v>
      </c>
      <c r="E697" s="12">
        <v>9</v>
      </c>
      <c r="F697" s="82">
        <v>5.1970000000000001</v>
      </c>
      <c r="G697" s="82">
        <v>0.23400000000000001</v>
      </c>
      <c r="I697">
        <v>5.0963333333333338</v>
      </c>
      <c r="J697">
        <v>0.33633333333333337</v>
      </c>
      <c r="L697">
        <v>6.5995159918895943E-2</v>
      </c>
      <c r="M697">
        <f>+(L697-$L$927)/$L$928</f>
        <v>0.8061096678140568</v>
      </c>
      <c r="N697">
        <f>+N694+M697</f>
        <v>11.164106093940047</v>
      </c>
      <c r="Z697">
        <f>+(I697-$F$927)/$F$928</f>
        <v>0.22771353089213947</v>
      </c>
      <c r="AA697">
        <f>+AA694+Z697</f>
        <v>22.590281186416231</v>
      </c>
    </row>
    <row r="698" spans="1:27">
      <c r="A698" s="8">
        <v>6</v>
      </c>
      <c r="B698" s="74">
        <v>43374</v>
      </c>
      <c r="E698" s="12">
        <v>10</v>
      </c>
      <c r="F698" s="82">
        <v>2.7970000000000002</v>
      </c>
      <c r="G698" s="82">
        <v>9.9000000000000005E-2</v>
      </c>
    </row>
    <row r="699" spans="1:27">
      <c r="A699" s="8">
        <v>8</v>
      </c>
      <c r="B699" s="74">
        <v>43374</v>
      </c>
      <c r="E699" s="12">
        <v>10</v>
      </c>
      <c r="F699" s="82">
        <v>0.69499999999999995</v>
      </c>
      <c r="G699" s="82">
        <v>9.9989999999999996E-4</v>
      </c>
    </row>
    <row r="700" spans="1:27">
      <c r="A700" s="8">
        <v>15</v>
      </c>
      <c r="B700" s="74">
        <v>43374</v>
      </c>
      <c r="E700" s="12">
        <v>10</v>
      </c>
      <c r="F700" s="82">
        <v>3.7160000000000002</v>
      </c>
      <c r="G700" s="82">
        <v>6.2E-2</v>
      </c>
      <c r="I700">
        <v>2.4026666666666667</v>
      </c>
      <c r="J700">
        <v>5.399996666666667E-2</v>
      </c>
      <c r="L700">
        <v>2.247501387347392E-2</v>
      </c>
      <c r="M700">
        <f>+(L700-$L$927)/$L$928</f>
        <v>-0.24871796481216923</v>
      </c>
      <c r="N700">
        <f>+N697+M700</f>
        <v>10.915388129127878</v>
      </c>
      <c r="Z700">
        <f>+(I700-$F$927)/$F$928</f>
        <v>-0.51073967034614476</v>
      </c>
      <c r="AA700">
        <f>+AA697+Z700</f>
        <v>22.079541516070087</v>
      </c>
    </row>
    <row r="701" spans="1:27">
      <c r="A701" s="8">
        <v>6</v>
      </c>
      <c r="B701" s="74">
        <v>43405</v>
      </c>
      <c r="E701" s="12">
        <v>11</v>
      </c>
      <c r="F701" s="82">
        <v>3.2709999999999999</v>
      </c>
      <c r="G701" s="82">
        <v>1.4E-2</v>
      </c>
      <c r="I701">
        <v>3.2709999999999999</v>
      </c>
      <c r="J701">
        <v>1.4E-2</v>
      </c>
      <c r="L701">
        <v>4.2800366860287374E-3</v>
      </c>
      <c r="M701">
        <f>+(L701-$L$927)/$L$928</f>
        <v>-0.68972210786558841</v>
      </c>
      <c r="N701">
        <f>+N700+M701</f>
        <v>10.22566602126229</v>
      </c>
      <c r="Z701">
        <f>+(I701-$F$927)/$F$928</f>
        <v>-0.27269108858327756</v>
      </c>
      <c r="AA701">
        <f>+AA700+Z701</f>
        <v>21.806850427486811</v>
      </c>
    </row>
    <row r="702" spans="1:27">
      <c r="A702" s="8">
        <v>8</v>
      </c>
      <c r="B702" s="74">
        <v>43405</v>
      </c>
      <c r="E702" s="12">
        <v>11</v>
      </c>
      <c r="F702" s="82"/>
      <c r="G702" s="82"/>
    </row>
    <row r="703" spans="1:27">
      <c r="A703" s="8">
        <v>15</v>
      </c>
      <c r="B703" s="74">
        <v>43405</v>
      </c>
      <c r="E703" s="12">
        <v>11</v>
      </c>
    </row>
    <row r="704" spans="1:27">
      <c r="A704" s="8">
        <v>6</v>
      </c>
      <c r="B704" s="75">
        <v>43435</v>
      </c>
      <c r="E704" s="12">
        <v>12</v>
      </c>
    </row>
    <row r="705" spans="1:27">
      <c r="A705" s="8">
        <v>8</v>
      </c>
      <c r="B705" s="74">
        <v>43435</v>
      </c>
      <c r="E705" s="12">
        <v>12</v>
      </c>
    </row>
    <row r="706" spans="1:27">
      <c r="A706" s="8">
        <v>15</v>
      </c>
      <c r="B706" s="74">
        <v>43435</v>
      </c>
      <c r="E706" s="12">
        <v>12</v>
      </c>
    </row>
    <row r="707" spans="1:27">
      <c r="A707" s="8">
        <v>6</v>
      </c>
      <c r="B707" s="73">
        <v>43475</v>
      </c>
      <c r="E707" s="10">
        <v>1</v>
      </c>
    </row>
    <row r="708" spans="1:27">
      <c r="A708" s="8">
        <v>8</v>
      </c>
      <c r="B708" s="73">
        <v>43470</v>
      </c>
      <c r="E708" s="10">
        <v>1</v>
      </c>
    </row>
    <row r="709" spans="1:27">
      <c r="A709" s="8">
        <v>15</v>
      </c>
      <c r="B709" s="73">
        <v>43470</v>
      </c>
      <c r="E709" s="10">
        <v>1</v>
      </c>
    </row>
    <row r="710" spans="1:27">
      <c r="A710" s="8">
        <v>6</v>
      </c>
      <c r="B710" s="74">
        <v>43497</v>
      </c>
      <c r="E710" s="12">
        <v>2</v>
      </c>
    </row>
    <row r="711" spans="1:27">
      <c r="A711" s="8">
        <v>8</v>
      </c>
      <c r="B711" s="74">
        <v>43497</v>
      </c>
      <c r="E711" s="12">
        <v>2</v>
      </c>
    </row>
    <row r="712" spans="1:27">
      <c r="A712" s="8">
        <v>15</v>
      </c>
      <c r="B712" s="74">
        <v>43497</v>
      </c>
      <c r="E712" s="12">
        <v>2</v>
      </c>
    </row>
    <row r="713" spans="1:27">
      <c r="A713" s="8">
        <v>6</v>
      </c>
      <c r="B713" s="74">
        <v>43525</v>
      </c>
      <c r="E713" s="12">
        <v>3</v>
      </c>
      <c r="F713" s="85">
        <v>0.65200000000000002</v>
      </c>
      <c r="G713" s="85">
        <v>8.9999999999999993E-3</v>
      </c>
    </row>
    <row r="714" spans="1:27">
      <c r="A714" s="8">
        <v>8</v>
      </c>
      <c r="B714" s="74">
        <v>43525</v>
      </c>
      <c r="E714" s="12">
        <v>3</v>
      </c>
      <c r="F714" s="85">
        <v>0.38100000000000001</v>
      </c>
      <c r="G714" s="85">
        <v>9.9989999999999996E-4</v>
      </c>
    </row>
    <row r="715" spans="1:27">
      <c r="A715" s="8">
        <v>15</v>
      </c>
      <c r="B715" s="74">
        <v>43525</v>
      </c>
      <c r="E715" s="12">
        <v>3</v>
      </c>
      <c r="F715" s="85">
        <v>0.67500000000000004</v>
      </c>
      <c r="G715" s="85">
        <v>8.9999999999999993E-3</v>
      </c>
      <c r="I715" s="18">
        <f>AVERAGE(F713:F715)</f>
        <v>0.56933333333333336</v>
      </c>
      <c r="J715" s="18">
        <f>AVERAGE(G713:G715)</f>
        <v>6.3333E-3</v>
      </c>
      <c r="L715">
        <f>+J715/I715</f>
        <v>1.1124063231850117E-2</v>
      </c>
      <c r="M715">
        <f>+(L715-$L$927)/$L$928</f>
        <v>-0.52383874177060663</v>
      </c>
      <c r="N715">
        <f>+N701+M715</f>
        <v>9.7018272794916829</v>
      </c>
      <c r="Z715">
        <f>+(I715-$F$927)/$F$928</f>
        <v>-1.0133374437418337</v>
      </c>
      <c r="AA715">
        <f>+AA701+Z715</f>
        <v>20.793512983744979</v>
      </c>
    </row>
    <row r="716" spans="1:27">
      <c r="A716" s="8">
        <v>6</v>
      </c>
      <c r="B716" s="74">
        <v>43556</v>
      </c>
      <c r="E716" s="12">
        <v>4</v>
      </c>
      <c r="F716" s="81">
        <v>1.5649999999999999</v>
      </c>
      <c r="G716" s="81">
        <v>1.6E-2</v>
      </c>
    </row>
    <row r="717" spans="1:27">
      <c r="A717" s="8">
        <v>8</v>
      </c>
      <c r="B717" s="74">
        <v>43556</v>
      </c>
      <c r="E717" s="12">
        <v>4</v>
      </c>
      <c r="F717" s="81">
        <v>1.157</v>
      </c>
      <c r="G717" s="81">
        <v>9.9989999999999996E-4</v>
      </c>
    </row>
    <row r="718" spans="1:27">
      <c r="A718" s="8">
        <v>15</v>
      </c>
      <c r="B718" s="74">
        <v>43556</v>
      </c>
      <c r="E718" s="12">
        <v>4</v>
      </c>
      <c r="F718" s="81">
        <v>0.80500000000000005</v>
      </c>
      <c r="G718" s="81">
        <v>1.2E-2</v>
      </c>
      <c r="I718" s="18">
        <f>AVERAGE(F716:F718)</f>
        <v>1.1756666666666666</v>
      </c>
      <c r="J718" s="18">
        <f>AVERAGE(G716:G718)</f>
        <v>9.666633333333334E-3</v>
      </c>
      <c r="L718">
        <f>+J718/I718</f>
        <v>8.2222568755316132E-3</v>
      </c>
      <c r="M718">
        <f>+(L718-$L$927)/$L$928</f>
        <v>-0.59417181294138155</v>
      </c>
      <c r="N718">
        <f>+N715+M718</f>
        <v>9.1076554665503018</v>
      </c>
      <c r="Z718">
        <f>+(I718-$F$927)/$F$928</f>
        <v>-0.84711465286787768</v>
      </c>
      <c r="AA718">
        <f>+AA715+Z718</f>
        <v>19.946398330877102</v>
      </c>
    </row>
    <row r="719" spans="1:27">
      <c r="A719" s="8">
        <v>6</v>
      </c>
      <c r="B719" s="74">
        <v>43586</v>
      </c>
      <c r="E719" s="12">
        <v>5</v>
      </c>
      <c r="F719" s="81">
        <v>6.4119999999999999</v>
      </c>
      <c r="G719" s="81">
        <v>7.6999999999999999E-2</v>
      </c>
    </row>
    <row r="720" spans="1:27">
      <c r="A720" s="8">
        <v>8</v>
      </c>
      <c r="B720" s="74">
        <v>43586</v>
      </c>
      <c r="E720" s="12">
        <v>5</v>
      </c>
      <c r="F720" s="81">
        <v>1.66</v>
      </c>
      <c r="G720" s="81">
        <v>8.9999999999999993E-3</v>
      </c>
    </row>
    <row r="721" spans="1:27">
      <c r="A721" s="8">
        <v>15</v>
      </c>
      <c r="B721" s="74">
        <v>43586</v>
      </c>
      <c r="E721" s="12">
        <v>5</v>
      </c>
      <c r="F721" s="81">
        <v>3.5920000000000001</v>
      </c>
      <c r="G721" s="81">
        <v>3.6999999999999998E-2</v>
      </c>
      <c r="I721" s="18">
        <f>AVERAGE(F719:F721)</f>
        <v>3.8879999999999999</v>
      </c>
      <c r="J721" s="18">
        <f>AVERAGE(G719:G721)</f>
        <v>4.1000000000000002E-2</v>
      </c>
      <c r="L721">
        <f>+J721/I721</f>
        <v>1.0545267489711935E-2</v>
      </c>
      <c r="M721">
        <f>+(L721-$L$927)/$L$928</f>
        <v>-0.53786741120146175</v>
      </c>
      <c r="N721">
        <f>+N718+M721</f>
        <v>8.5697880553488393</v>
      </c>
      <c r="Z721">
        <f>+(I721-$F$927)/$F$928</f>
        <v>-0.10354409248229206</v>
      </c>
      <c r="AA721">
        <f>+AA718+Z721</f>
        <v>19.842854238394811</v>
      </c>
    </row>
    <row r="722" spans="1:27">
      <c r="A722" s="8">
        <v>6</v>
      </c>
      <c r="B722" s="74">
        <v>43617</v>
      </c>
      <c r="E722" s="12">
        <v>6</v>
      </c>
      <c r="F722" s="81">
        <v>5.2050000000000001</v>
      </c>
      <c r="G722" s="81">
        <v>0.56899999999999995</v>
      </c>
    </row>
    <row r="723" spans="1:27">
      <c r="A723" s="8">
        <v>8</v>
      </c>
      <c r="B723" s="74">
        <v>43617</v>
      </c>
      <c r="E723" s="12">
        <v>6</v>
      </c>
      <c r="F723" s="82">
        <v>2.4590000000000001</v>
      </c>
      <c r="G723" s="82">
        <v>5.0000000000000001E-3</v>
      </c>
    </row>
    <row r="724" spans="1:27">
      <c r="A724" s="8">
        <v>15</v>
      </c>
      <c r="B724" s="74">
        <v>43617</v>
      </c>
      <c r="E724" s="12">
        <v>6</v>
      </c>
      <c r="F724" s="82">
        <v>2.0099999999999998</v>
      </c>
      <c r="G724" s="82">
        <v>0.16600000000000001</v>
      </c>
      <c r="I724" s="18">
        <f>AVERAGE(F722:F724)</f>
        <v>3.2246666666666663</v>
      </c>
      <c r="J724" s="18">
        <f>AVERAGE(G722:G724)</f>
        <v>0.24666666666666667</v>
      </c>
      <c r="L724">
        <f>+J724/I724</f>
        <v>7.6493694438701687E-2</v>
      </c>
      <c r="M724">
        <f>+(L724-$L$927)/$L$928</f>
        <v>1.0605698505076835</v>
      </c>
      <c r="N724">
        <f>+N721+M724</f>
        <v>9.6303579058565223</v>
      </c>
      <c r="Z724">
        <f>+(I724-$F$927)/$F$928</f>
        <v>-0.28539310503818682</v>
      </c>
      <c r="AA724">
        <f>+AA721+Z724</f>
        <v>19.557461133356625</v>
      </c>
    </row>
    <row r="725" spans="1:27">
      <c r="A725" s="8">
        <v>6</v>
      </c>
      <c r="B725" s="74">
        <v>43647</v>
      </c>
      <c r="E725" s="12">
        <v>7</v>
      </c>
    </row>
    <row r="726" spans="1:27">
      <c r="A726" s="8">
        <v>8</v>
      </c>
      <c r="B726" s="74">
        <v>43647</v>
      </c>
      <c r="E726" s="12">
        <v>7</v>
      </c>
      <c r="F726" s="82">
        <v>4.9550000000000001</v>
      </c>
      <c r="G726" s="82">
        <v>4.9000000000000002E-2</v>
      </c>
    </row>
    <row r="727" spans="1:27">
      <c r="A727" s="8">
        <v>15</v>
      </c>
      <c r="B727" s="74">
        <v>43647</v>
      </c>
      <c r="E727" s="12">
        <v>7</v>
      </c>
      <c r="F727" s="82">
        <v>1.256</v>
      </c>
      <c r="G727" s="82">
        <v>0.221</v>
      </c>
      <c r="I727" s="18">
        <f>AVERAGE(F725:F727)</f>
        <v>3.1055000000000001</v>
      </c>
      <c r="J727" s="18">
        <f>AVERAGE(G725:G727)</f>
        <v>0.13500000000000001</v>
      </c>
      <c r="L727">
        <f>+J727/I727</f>
        <v>4.3471260666559333E-2</v>
      </c>
      <c r="M727">
        <f>+(L727-$L$927)/$L$928</f>
        <v>0.26018247122200655</v>
      </c>
      <c r="N727">
        <f>+N724+M727</f>
        <v>9.8905403770785281</v>
      </c>
      <c r="Z727">
        <f>+(I727-$F$927)/$F$928</f>
        <v>-0.31806196030890649</v>
      </c>
      <c r="AA727">
        <f>+AA724+Z727</f>
        <v>19.239399173047719</v>
      </c>
    </row>
    <row r="728" spans="1:27">
      <c r="A728" s="8">
        <v>6</v>
      </c>
      <c r="B728" s="74">
        <v>43678</v>
      </c>
      <c r="E728" s="12">
        <v>8</v>
      </c>
      <c r="F728" s="89">
        <v>3.0449999999999999</v>
      </c>
      <c r="G728" s="82">
        <v>0.28399999999999997</v>
      </c>
    </row>
    <row r="729" spans="1:27">
      <c r="A729" s="8">
        <v>8</v>
      </c>
      <c r="B729" s="74">
        <v>43678</v>
      </c>
      <c r="E729" s="12">
        <v>8</v>
      </c>
    </row>
    <row r="730" spans="1:27">
      <c r="A730" s="8">
        <v>15</v>
      </c>
      <c r="B730" s="74">
        <v>43678</v>
      </c>
      <c r="E730" s="12">
        <v>8</v>
      </c>
      <c r="I730" s="18">
        <f>AVERAGE(F728:F730)</f>
        <v>3.0449999999999999</v>
      </c>
      <c r="J730" s="18">
        <f>AVERAGE(G728:G730)</f>
        <v>0.28399999999999997</v>
      </c>
      <c r="L730">
        <f>+J730/I730</f>
        <v>9.3267651888341532E-2</v>
      </c>
      <c r="M730">
        <f>+(L730-$L$927)/$L$928</f>
        <v>1.4671317634183108</v>
      </c>
      <c r="N730">
        <f>+N727+M730</f>
        <v>11.357672140496838</v>
      </c>
      <c r="Z730">
        <f>+(I730-$F$927)/$F$928</f>
        <v>-0.3346476868309643</v>
      </c>
      <c r="AA730">
        <f>+AA727+Z730</f>
        <v>18.904751486216753</v>
      </c>
    </row>
    <row r="731" spans="1:27">
      <c r="A731" s="8">
        <v>6</v>
      </c>
      <c r="B731" s="74">
        <v>43709</v>
      </c>
      <c r="E731" s="12">
        <v>9</v>
      </c>
      <c r="F731" s="82">
        <v>2.77</v>
      </c>
      <c r="G731" s="82">
        <v>0.33</v>
      </c>
    </row>
    <row r="732" spans="1:27">
      <c r="A732" s="8">
        <v>8</v>
      </c>
      <c r="B732" s="74">
        <v>43709</v>
      </c>
      <c r="E732" s="12">
        <v>9</v>
      </c>
      <c r="F732" s="82">
        <v>1.7789999999999999</v>
      </c>
      <c r="G732" s="82">
        <v>1.0999999999999999E-2</v>
      </c>
    </row>
    <row r="733" spans="1:27">
      <c r="A733" s="8">
        <v>15</v>
      </c>
      <c r="B733" s="74">
        <v>43709</v>
      </c>
      <c r="E733" s="12">
        <v>9</v>
      </c>
      <c r="F733" s="82">
        <v>2.2629999999999999</v>
      </c>
      <c r="G733" s="82">
        <v>5.0999999999999997E-2</v>
      </c>
      <c r="I733" s="18">
        <f>AVERAGE(F731:F733)</f>
        <v>2.2706666666666666</v>
      </c>
      <c r="J733" s="18">
        <f>AVERAGE(G731:G733)</f>
        <v>0.13066666666666668</v>
      </c>
      <c r="L733">
        <f>+J733/I733</f>
        <v>5.7545507927187323E-2</v>
      </c>
      <c r="M733">
        <f>+(L733-$L$927)/$L$928</f>
        <v>0.60130965639803247</v>
      </c>
      <c r="N733">
        <f>+N730+M733</f>
        <v>11.958981796894872</v>
      </c>
      <c r="Z733">
        <f>+(I733-$F$927)/$F$928</f>
        <v>-0.54692671003063431</v>
      </c>
      <c r="AA733">
        <f>+AA730+Z733</f>
        <v>18.357824776186121</v>
      </c>
    </row>
    <row r="734" spans="1:27">
      <c r="A734" s="8">
        <v>6</v>
      </c>
      <c r="B734" s="74">
        <v>43739</v>
      </c>
      <c r="E734" s="12">
        <v>10</v>
      </c>
      <c r="F734" s="82">
        <v>1.4550000000000001</v>
      </c>
      <c r="G734" s="82">
        <v>3.4000000000000002E-2</v>
      </c>
    </row>
    <row r="735" spans="1:27">
      <c r="A735" s="8">
        <v>8</v>
      </c>
      <c r="B735" s="74">
        <v>43739</v>
      </c>
      <c r="E735" s="12">
        <v>10</v>
      </c>
      <c r="F735" s="82">
        <v>1.024</v>
      </c>
      <c r="G735" s="82">
        <v>9.9989999999999996E-4</v>
      </c>
    </row>
    <row r="736" spans="1:27">
      <c r="A736" s="8">
        <v>15</v>
      </c>
      <c r="B736" s="74">
        <v>43739</v>
      </c>
      <c r="E736" s="12">
        <v>10</v>
      </c>
      <c r="F736" s="82">
        <v>1.47</v>
      </c>
      <c r="G736" s="82">
        <v>1.0999999999999999E-2</v>
      </c>
      <c r="I736" s="18">
        <f>AVERAGE(F734:F736)</f>
        <v>1.3163333333333334</v>
      </c>
      <c r="J736" s="18">
        <f>AVERAGE(G734:G736)</f>
        <v>1.5333299999999999E-2</v>
      </c>
      <c r="L736">
        <f>+J736/I736</f>
        <v>1.1648493289440363E-2</v>
      </c>
      <c r="M736">
        <f>+(L736-$L$927)/$L$928</f>
        <v>-0.51112777072863003</v>
      </c>
      <c r="N736">
        <f>+N733+M736</f>
        <v>11.447854026166242</v>
      </c>
      <c r="Z736">
        <f>+(I736-$F$927)/$F$928</f>
        <v>-0.80855169643642655</v>
      </c>
      <c r="AA736">
        <f>+AA733+Z736</f>
        <v>17.549273079749693</v>
      </c>
    </row>
    <row r="737" spans="1:27">
      <c r="A737" s="8">
        <v>6</v>
      </c>
      <c r="B737" s="74">
        <v>43770</v>
      </c>
      <c r="E737" s="12">
        <v>11</v>
      </c>
      <c r="F737" s="82"/>
    </row>
    <row r="738" spans="1:27">
      <c r="A738" s="8">
        <v>8</v>
      </c>
      <c r="B738" s="74">
        <v>43770</v>
      </c>
      <c r="E738" s="12">
        <v>11</v>
      </c>
      <c r="F738" s="82"/>
    </row>
    <row r="739" spans="1:27">
      <c r="A739" s="8">
        <v>15</v>
      </c>
      <c r="B739" s="74">
        <v>43770</v>
      </c>
      <c r="E739" s="12">
        <v>11</v>
      </c>
      <c r="F739" s="82"/>
      <c r="I739" s="18"/>
      <c r="J739" s="18"/>
    </row>
    <row r="740" spans="1:27">
      <c r="A740" s="8">
        <v>6</v>
      </c>
      <c r="B740" s="75">
        <v>43800</v>
      </c>
      <c r="E740" s="12">
        <v>12</v>
      </c>
      <c r="F740" s="82">
        <v>0.65400000000000003</v>
      </c>
      <c r="G740" s="82">
        <v>8.9999999999999993E-3</v>
      </c>
    </row>
    <row r="741" spans="1:27">
      <c r="A741" s="8">
        <v>8</v>
      </c>
      <c r="B741" s="74">
        <v>43800</v>
      </c>
      <c r="E741" s="12">
        <v>12</v>
      </c>
      <c r="F741" s="82">
        <v>2.3490000000000002</v>
      </c>
      <c r="G741" s="82">
        <v>1.2E-2</v>
      </c>
    </row>
    <row r="742" spans="1:27">
      <c r="A742" s="8">
        <v>15</v>
      </c>
      <c r="B742" s="74">
        <v>43800</v>
      </c>
      <c r="E742" s="12">
        <v>12</v>
      </c>
      <c r="F742" s="82">
        <v>0.68200000000000005</v>
      </c>
      <c r="G742" s="82">
        <v>6.0000000000000001E-3</v>
      </c>
      <c r="I742" s="18">
        <f>AVERAGE(F740:F742)</f>
        <v>1.2283333333333333</v>
      </c>
      <c r="J742" s="18">
        <f>AVERAGE(G740:G742)</f>
        <v>8.9999999999999993E-3</v>
      </c>
      <c r="L742">
        <f>+J742/I742</f>
        <v>7.3270013568521031E-3</v>
      </c>
      <c r="M742">
        <f>+(L742-$L$927)/$L$928</f>
        <v>-0.61587073505388235</v>
      </c>
      <c r="N742">
        <f>+N736+M742</f>
        <v>10.83198329111236</v>
      </c>
      <c r="Z742">
        <f>+(I742-$F$927)/$F$928</f>
        <v>-0.83267638955941958</v>
      </c>
      <c r="AA742">
        <f>+AA736+Z742</f>
        <v>16.716596690190272</v>
      </c>
    </row>
    <row r="743" spans="1:27">
      <c r="A743" s="97">
        <v>6</v>
      </c>
      <c r="B743" s="93">
        <v>43840</v>
      </c>
      <c r="C743" s="94">
        <v>2020</v>
      </c>
      <c r="D743" s="95" t="s">
        <v>39</v>
      </c>
      <c r="E743" s="96">
        <v>1</v>
      </c>
    </row>
    <row r="744" spans="1:27">
      <c r="A744" s="8">
        <v>8</v>
      </c>
      <c r="B744" s="76">
        <v>43835</v>
      </c>
      <c r="C744">
        <v>2020</v>
      </c>
      <c r="D744" s="11" t="s">
        <v>39</v>
      </c>
      <c r="E744" s="15">
        <v>1</v>
      </c>
    </row>
    <row r="745" spans="1:27">
      <c r="A745" s="8">
        <v>15</v>
      </c>
      <c r="B745" s="76">
        <v>43835</v>
      </c>
      <c r="C745">
        <v>2020</v>
      </c>
      <c r="D745" s="11" t="s">
        <v>39</v>
      </c>
      <c r="E745" s="15">
        <v>1</v>
      </c>
    </row>
    <row r="746" spans="1:27">
      <c r="A746" s="8">
        <v>6</v>
      </c>
      <c r="B746" s="74">
        <v>43862</v>
      </c>
      <c r="C746">
        <v>2020</v>
      </c>
      <c r="D746" s="11" t="s">
        <v>28</v>
      </c>
      <c r="E746" s="15">
        <v>2</v>
      </c>
      <c r="F746" s="98">
        <v>1.083</v>
      </c>
      <c r="G746" s="98">
        <v>9.9989999999999996E-4</v>
      </c>
    </row>
    <row r="747" spans="1:27">
      <c r="A747" s="8">
        <v>8</v>
      </c>
      <c r="B747" s="74">
        <v>43862</v>
      </c>
      <c r="C747">
        <v>2020</v>
      </c>
      <c r="D747" s="11" t="s">
        <v>28</v>
      </c>
      <c r="E747" s="15">
        <v>2</v>
      </c>
      <c r="F747" s="98">
        <v>0.52400000000000002</v>
      </c>
      <c r="G747" s="98">
        <v>9.9989999999999996E-4</v>
      </c>
    </row>
    <row r="748" spans="1:27">
      <c r="A748" s="8">
        <v>15</v>
      </c>
      <c r="B748" s="74">
        <v>43862</v>
      </c>
      <c r="C748">
        <v>2020</v>
      </c>
      <c r="D748" s="11" t="s">
        <v>28</v>
      </c>
      <c r="E748" s="15">
        <v>2</v>
      </c>
      <c r="F748" s="98">
        <v>0.94799999999999995</v>
      </c>
      <c r="G748" s="98">
        <v>9.9989999999999996E-4</v>
      </c>
      <c r="I748" s="18">
        <f>AVERAGE(F746:F748)</f>
        <v>0.85166666666666657</v>
      </c>
      <c r="J748" s="18">
        <f>AVERAGE(G746:G748)</f>
        <v>9.9989999999999996E-4</v>
      </c>
      <c r="L748">
        <f>+J748/I748</f>
        <v>1.1740508806262233E-3</v>
      </c>
      <c r="M748">
        <f>+(L748-$L$927)/$L$928</f>
        <v>-0.76500401640201532</v>
      </c>
      <c r="N748">
        <f>+N742+M748</f>
        <v>10.066979274710345</v>
      </c>
    </row>
    <row r="749" spans="1:27">
      <c r="A749" s="8">
        <v>6</v>
      </c>
      <c r="B749" s="74">
        <v>43891</v>
      </c>
      <c r="C749">
        <v>2020</v>
      </c>
      <c r="D749" s="11" t="s">
        <v>29</v>
      </c>
      <c r="E749" s="15">
        <v>3</v>
      </c>
    </row>
    <row r="750" spans="1:27">
      <c r="A750" s="8">
        <v>8</v>
      </c>
      <c r="B750" s="74">
        <v>43891</v>
      </c>
      <c r="C750">
        <v>2020</v>
      </c>
      <c r="D750" s="11" t="s">
        <v>29</v>
      </c>
      <c r="E750" s="15">
        <v>3</v>
      </c>
    </row>
    <row r="751" spans="1:27">
      <c r="A751" s="8">
        <v>15</v>
      </c>
      <c r="B751" s="74">
        <v>43891</v>
      </c>
      <c r="C751">
        <v>2020</v>
      </c>
      <c r="D751" s="11" t="s">
        <v>29</v>
      </c>
      <c r="E751" s="15">
        <v>3</v>
      </c>
    </row>
    <row r="752" spans="1:27">
      <c r="A752" s="8">
        <v>6</v>
      </c>
      <c r="B752" s="74">
        <v>43922</v>
      </c>
      <c r="C752">
        <v>2020</v>
      </c>
      <c r="D752" s="11" t="s">
        <v>30</v>
      </c>
      <c r="E752" s="15">
        <v>4</v>
      </c>
    </row>
    <row r="753" spans="1:14">
      <c r="A753" s="8">
        <v>8</v>
      </c>
      <c r="B753" s="74">
        <v>43922</v>
      </c>
      <c r="C753">
        <v>2020</v>
      </c>
      <c r="D753" s="11" t="s">
        <v>30</v>
      </c>
      <c r="E753" s="15">
        <v>4</v>
      </c>
    </row>
    <row r="754" spans="1:14">
      <c r="A754" s="8">
        <v>15</v>
      </c>
      <c r="B754" s="74">
        <v>43922</v>
      </c>
      <c r="C754">
        <v>2020</v>
      </c>
      <c r="D754" s="11" t="s">
        <v>30</v>
      </c>
      <c r="E754" s="15">
        <v>4</v>
      </c>
    </row>
    <row r="755" spans="1:14">
      <c r="A755" s="8">
        <v>6</v>
      </c>
      <c r="B755" s="74">
        <v>43952</v>
      </c>
      <c r="C755">
        <v>2020</v>
      </c>
      <c r="D755" s="11" t="s">
        <v>31</v>
      </c>
      <c r="E755" s="15">
        <v>5</v>
      </c>
    </row>
    <row r="756" spans="1:14">
      <c r="A756" s="8">
        <v>8</v>
      </c>
      <c r="B756" s="74">
        <v>43952</v>
      </c>
      <c r="C756">
        <v>2020</v>
      </c>
      <c r="D756" s="11" t="s">
        <v>31</v>
      </c>
      <c r="E756" s="15">
        <v>5</v>
      </c>
    </row>
    <row r="757" spans="1:14">
      <c r="A757" s="8">
        <v>15</v>
      </c>
      <c r="B757" s="74">
        <v>43952</v>
      </c>
      <c r="C757">
        <v>2020</v>
      </c>
      <c r="D757" s="11" t="s">
        <v>31</v>
      </c>
      <c r="E757" s="15">
        <v>5</v>
      </c>
    </row>
    <row r="758" spans="1:14">
      <c r="A758" s="8">
        <v>6</v>
      </c>
      <c r="B758" s="74">
        <v>43983</v>
      </c>
      <c r="C758">
        <v>2020</v>
      </c>
      <c r="D758" s="11" t="s">
        <v>32</v>
      </c>
      <c r="E758" s="15">
        <v>6</v>
      </c>
      <c r="F758" s="98">
        <v>1.4039999999999999</v>
      </c>
      <c r="G758" s="98">
        <v>0.09</v>
      </c>
    </row>
    <row r="759" spans="1:14">
      <c r="A759" s="8">
        <v>8</v>
      </c>
      <c r="B759" s="74">
        <v>43983</v>
      </c>
      <c r="C759">
        <v>2020</v>
      </c>
      <c r="D759" s="11" t="s">
        <v>32</v>
      </c>
      <c r="E759" s="15">
        <v>6</v>
      </c>
      <c r="F759" s="98">
        <v>1.3180000000000001</v>
      </c>
      <c r="G759" s="98">
        <v>1.7999999999999999E-2</v>
      </c>
    </row>
    <row r="760" spans="1:14">
      <c r="A760" s="8">
        <v>15</v>
      </c>
      <c r="B760" s="74">
        <v>43983</v>
      </c>
      <c r="C760">
        <v>2020</v>
      </c>
      <c r="D760" s="11" t="s">
        <v>32</v>
      </c>
      <c r="E760" s="15">
        <v>6</v>
      </c>
      <c r="F760" s="98">
        <v>1.875</v>
      </c>
      <c r="G760" s="98">
        <v>6.5000000000000002E-2</v>
      </c>
      <c r="I760" s="18">
        <f>AVERAGE(F758:F760)</f>
        <v>1.5323333333333331</v>
      </c>
      <c r="J760" s="18">
        <f>AVERAGE(G758:G760)</f>
        <v>5.7666666666666665E-2</v>
      </c>
      <c r="L760">
        <f>+J760/I760</f>
        <v>3.7633239068958019E-2</v>
      </c>
      <c r="M760">
        <f>+(L760-$L$927)/$L$928</f>
        <v>0.11868233713258158</v>
      </c>
      <c r="N760">
        <f>+N748+M760</f>
        <v>10.185661611842926</v>
      </c>
    </row>
    <row r="761" spans="1:14">
      <c r="A761" s="8">
        <v>6</v>
      </c>
      <c r="B761" s="74">
        <v>44013</v>
      </c>
      <c r="C761">
        <v>2020</v>
      </c>
      <c r="D761" s="11" t="s">
        <v>33</v>
      </c>
      <c r="E761" s="15">
        <v>7</v>
      </c>
      <c r="F761" s="98">
        <v>2.8940000000000001</v>
      </c>
      <c r="G761" s="98">
        <v>0.151</v>
      </c>
    </row>
    <row r="762" spans="1:14">
      <c r="A762" s="8">
        <v>8</v>
      </c>
      <c r="B762" s="74">
        <v>44013</v>
      </c>
      <c r="C762">
        <v>2020</v>
      </c>
      <c r="D762" s="11" t="s">
        <v>33</v>
      </c>
      <c r="E762" s="15">
        <v>7</v>
      </c>
      <c r="F762" s="98">
        <v>1.2949999999999999</v>
      </c>
      <c r="G762" s="98">
        <v>2.3E-2</v>
      </c>
    </row>
    <row r="763" spans="1:14">
      <c r="A763" s="8">
        <v>15</v>
      </c>
      <c r="B763" s="74">
        <v>44013</v>
      </c>
      <c r="C763">
        <v>2020</v>
      </c>
      <c r="D763" s="11" t="s">
        <v>33</v>
      </c>
      <c r="E763" s="15">
        <v>7</v>
      </c>
      <c r="F763" s="98">
        <v>1.96</v>
      </c>
      <c r="G763" s="98">
        <v>5.2999999999999999E-2</v>
      </c>
      <c r="I763" s="18">
        <f t="shared" ref="I763:J763" si="0">AVERAGE(F761:F763)</f>
        <v>2.0496666666666665</v>
      </c>
      <c r="J763" s="18">
        <f t="shared" si="0"/>
        <v>7.566666666666666E-2</v>
      </c>
      <c r="L763">
        <f t="shared" ref="L763" si="1">+J763/I763</f>
        <v>3.691657180029273E-2</v>
      </c>
      <c r="M763">
        <f t="shared" ref="M763" si="2">+(L763-$L$927)/$L$928</f>
        <v>0.1013119809394311</v>
      </c>
      <c r="N763">
        <f>+N760+M763</f>
        <v>10.286973592782358</v>
      </c>
    </row>
    <row r="764" spans="1:14">
      <c r="A764" s="8">
        <v>6</v>
      </c>
      <c r="B764" s="74">
        <v>44044</v>
      </c>
      <c r="C764">
        <v>2020</v>
      </c>
      <c r="D764" s="11" t="s">
        <v>34</v>
      </c>
      <c r="E764" s="15">
        <v>8</v>
      </c>
      <c r="F764" s="98">
        <v>3.5720000000000001</v>
      </c>
      <c r="G764" s="98">
        <v>0.55100000000000005</v>
      </c>
    </row>
    <row r="765" spans="1:14">
      <c r="A765" s="8">
        <v>8</v>
      </c>
      <c r="B765" s="74">
        <v>44044</v>
      </c>
      <c r="C765">
        <v>2020</v>
      </c>
      <c r="D765" s="11" t="s">
        <v>34</v>
      </c>
      <c r="E765" s="15">
        <v>8</v>
      </c>
      <c r="F765" s="98">
        <v>3.8380000000000001</v>
      </c>
      <c r="G765" s="98">
        <v>2.5999999999999999E-2</v>
      </c>
    </row>
    <row r="766" spans="1:14">
      <c r="A766" s="8">
        <v>15</v>
      </c>
      <c r="B766" s="74">
        <v>44044</v>
      </c>
      <c r="C766">
        <v>2020</v>
      </c>
      <c r="D766" s="11" t="s">
        <v>34</v>
      </c>
      <c r="E766" s="15">
        <v>8</v>
      </c>
      <c r="F766" s="98">
        <v>5.1539999999999999</v>
      </c>
      <c r="G766" s="98">
        <v>8.5000000000000006E-2</v>
      </c>
      <c r="I766" s="18">
        <f t="shared" ref="I766:J766" si="3">AVERAGE(F764:F766)</f>
        <v>4.1879999999999997</v>
      </c>
      <c r="J766" s="18">
        <f t="shared" si="3"/>
        <v>0.22066666666666668</v>
      </c>
      <c r="L766">
        <f t="shared" ref="L766" si="4">+J766/I766</f>
        <v>5.2690226042661575E-2</v>
      </c>
      <c r="M766">
        <f t="shared" ref="M766" si="5">+(L766-$L$927)/$L$928</f>
        <v>0.4836288588510298</v>
      </c>
      <c r="N766">
        <f t="shared" ref="N766" si="6">+N763+M766</f>
        <v>10.770602451633387</v>
      </c>
    </row>
    <row r="767" spans="1:14">
      <c r="A767" s="8">
        <v>6</v>
      </c>
      <c r="B767" s="74">
        <v>44075</v>
      </c>
      <c r="C767">
        <v>2020</v>
      </c>
      <c r="D767" s="11" t="s">
        <v>40</v>
      </c>
      <c r="E767" s="15">
        <v>9</v>
      </c>
      <c r="F767" s="98">
        <v>4.6669999999999998</v>
      </c>
      <c r="G767" s="98">
        <v>2.1000000000000001E-2</v>
      </c>
    </row>
    <row r="768" spans="1:14">
      <c r="A768" s="8">
        <v>8</v>
      </c>
      <c r="B768" s="74">
        <v>44075</v>
      </c>
      <c r="C768">
        <v>2020</v>
      </c>
      <c r="D768" s="11" t="s">
        <v>40</v>
      </c>
      <c r="E768" s="15">
        <v>9</v>
      </c>
      <c r="F768" s="98">
        <v>0.877</v>
      </c>
      <c r="G768" s="98">
        <v>9.9989999999999996E-4</v>
      </c>
    </row>
    <row r="769" spans="1:14">
      <c r="A769" s="8">
        <v>15</v>
      </c>
      <c r="B769" s="74">
        <v>44075</v>
      </c>
      <c r="C769">
        <v>2020</v>
      </c>
      <c r="D769" s="11" t="s">
        <v>40</v>
      </c>
      <c r="E769" s="15">
        <v>9</v>
      </c>
      <c r="F769" s="98">
        <v>1.0820000000000001</v>
      </c>
      <c r="G769" s="98">
        <v>9.9989999999999996E-4</v>
      </c>
      <c r="I769" s="18">
        <f t="shared" ref="I769:J769" si="7">AVERAGE(F767:F769)</f>
        <v>2.2086666666666663</v>
      </c>
      <c r="J769" s="18">
        <f t="shared" si="7"/>
        <v>7.6666000000000017E-3</v>
      </c>
      <c r="L769">
        <f t="shared" ref="L769" si="8">+J769/I769</f>
        <v>3.4711439782674327E-3</v>
      </c>
      <c r="M769">
        <f t="shared" ref="M769" si="9">+(L769-$L$927)/$L$928</f>
        <v>-0.70932779528874068</v>
      </c>
      <c r="N769">
        <f t="shared" ref="N769" si="10">+N766+M769</f>
        <v>10.061274656344647</v>
      </c>
    </row>
    <row r="770" spans="1:14">
      <c r="A770" s="8">
        <v>6</v>
      </c>
      <c r="B770" s="74">
        <v>44105</v>
      </c>
      <c r="C770">
        <v>2020</v>
      </c>
      <c r="D770" s="11" t="s">
        <v>36</v>
      </c>
      <c r="E770" s="15">
        <v>10</v>
      </c>
      <c r="F770" s="98">
        <v>1.3939999999999999</v>
      </c>
      <c r="G770" s="98">
        <v>3.1E-2</v>
      </c>
    </row>
    <row r="771" spans="1:14">
      <c r="A771" s="8">
        <v>8</v>
      </c>
      <c r="B771" s="74">
        <v>44105</v>
      </c>
      <c r="C771">
        <v>2020</v>
      </c>
      <c r="D771" s="11" t="s">
        <v>36</v>
      </c>
      <c r="E771" s="15">
        <v>10</v>
      </c>
      <c r="F771" s="98">
        <v>0.89</v>
      </c>
      <c r="G771" s="98">
        <v>9.9989999999999996E-4</v>
      </c>
    </row>
    <row r="772" spans="1:14">
      <c r="A772" s="8">
        <v>15</v>
      </c>
      <c r="B772" s="74">
        <v>44105</v>
      </c>
      <c r="C772">
        <v>2020</v>
      </c>
      <c r="D772" s="11" t="s">
        <v>36</v>
      </c>
      <c r="E772" s="15">
        <v>10</v>
      </c>
      <c r="F772" s="98">
        <v>1.417</v>
      </c>
      <c r="G772" s="98">
        <v>9.9989999999999996E-4</v>
      </c>
      <c r="I772" s="18">
        <f t="shared" ref="I772:J772" si="11">AVERAGE(F770:F772)</f>
        <v>1.2336666666666665</v>
      </c>
      <c r="J772" s="18">
        <f t="shared" si="11"/>
        <v>1.0999933333333331E-2</v>
      </c>
      <c r="L772">
        <f t="shared" ref="L772" si="12">+J772/I772</f>
        <v>8.9164550121588766E-3</v>
      </c>
      <c r="M772">
        <f t="shared" ref="M772" si="13">+(L772-$L$927)/$L$928</f>
        <v>-0.57734605651428195</v>
      </c>
      <c r="N772">
        <f t="shared" ref="N772" si="14">+N769+M772</f>
        <v>9.4839285998303655</v>
      </c>
    </row>
    <row r="773" spans="1:14">
      <c r="A773" s="8">
        <v>6</v>
      </c>
      <c r="B773" s="74">
        <v>44136</v>
      </c>
      <c r="C773">
        <v>2020</v>
      </c>
      <c r="D773" s="11" t="s">
        <v>37</v>
      </c>
      <c r="E773" s="15">
        <v>11</v>
      </c>
      <c r="F773" s="98">
        <v>1.1379999999999999</v>
      </c>
      <c r="G773" s="98">
        <v>8.0000000000000002E-3</v>
      </c>
    </row>
    <row r="774" spans="1:14">
      <c r="A774" s="8">
        <v>8</v>
      </c>
      <c r="B774" s="74">
        <v>44136</v>
      </c>
      <c r="C774">
        <v>2020</v>
      </c>
      <c r="D774" s="11" t="s">
        <v>37</v>
      </c>
      <c r="E774" s="15">
        <v>11</v>
      </c>
      <c r="F774" s="98">
        <v>0.64400000000000002</v>
      </c>
      <c r="G774" s="98">
        <v>9.9989999999999996E-4</v>
      </c>
    </row>
    <row r="775" spans="1:14">
      <c r="A775" s="8">
        <v>15</v>
      </c>
      <c r="B775" s="74">
        <v>44136</v>
      </c>
      <c r="C775">
        <v>2020</v>
      </c>
      <c r="D775" s="11" t="s">
        <v>37</v>
      </c>
      <c r="E775" s="15">
        <v>11</v>
      </c>
      <c r="F775" s="98">
        <v>1.998</v>
      </c>
      <c r="G775" s="98">
        <v>9.9989999999999996E-4</v>
      </c>
      <c r="I775" s="18">
        <f t="shared" ref="I775:J775" si="15">AVERAGE(F773:F775)</f>
        <v>1.26</v>
      </c>
      <c r="J775" s="18">
        <f t="shared" si="15"/>
        <v>3.3332666666666664E-3</v>
      </c>
      <c r="L775">
        <f t="shared" ref="L775" si="16">+J775/I775</f>
        <v>2.6454497354497352E-3</v>
      </c>
      <c r="M775">
        <f t="shared" ref="M775" si="17">+(L775-$L$927)/$L$928</f>
        <v>-0.72934071304217518</v>
      </c>
      <c r="N775">
        <f t="shared" ref="N775" si="18">+N772+M775</f>
        <v>8.7545878867881903</v>
      </c>
    </row>
    <row r="776" spans="1:14">
      <c r="A776" s="8">
        <v>6</v>
      </c>
      <c r="B776" s="75">
        <v>44166</v>
      </c>
      <c r="C776">
        <v>2020</v>
      </c>
      <c r="D776" s="11" t="s">
        <v>38</v>
      </c>
      <c r="E776" s="15">
        <v>12</v>
      </c>
    </row>
    <row r="777" spans="1:14">
      <c r="A777" s="8">
        <v>8</v>
      </c>
      <c r="B777" s="74">
        <v>44166</v>
      </c>
      <c r="C777">
        <v>2020</v>
      </c>
      <c r="D777" s="11" t="s">
        <v>38</v>
      </c>
      <c r="E777" s="15">
        <v>12</v>
      </c>
    </row>
    <row r="778" spans="1:14">
      <c r="A778" s="8">
        <v>15</v>
      </c>
      <c r="B778" s="74">
        <v>44166</v>
      </c>
      <c r="C778">
        <v>2020</v>
      </c>
      <c r="D778" s="11" t="s">
        <v>38</v>
      </c>
      <c r="E778" s="15">
        <v>12</v>
      </c>
    </row>
    <row r="779" spans="1:14">
      <c r="A779" s="97">
        <v>6</v>
      </c>
      <c r="B779" s="93">
        <v>44206</v>
      </c>
      <c r="C779" s="94">
        <v>2021</v>
      </c>
      <c r="D779" s="95" t="s">
        <v>39</v>
      </c>
      <c r="E779" s="96">
        <v>1</v>
      </c>
    </row>
    <row r="780" spans="1:14">
      <c r="A780" s="8">
        <v>8</v>
      </c>
      <c r="B780" s="76">
        <v>44201</v>
      </c>
      <c r="C780">
        <v>2021</v>
      </c>
      <c r="D780" s="11" t="s">
        <v>39</v>
      </c>
      <c r="E780" s="15">
        <v>1</v>
      </c>
    </row>
    <row r="781" spans="1:14">
      <c r="A781" s="8">
        <v>15</v>
      </c>
      <c r="B781" s="76">
        <v>44201</v>
      </c>
      <c r="C781">
        <v>2021</v>
      </c>
      <c r="D781" s="11" t="s">
        <v>39</v>
      </c>
      <c r="E781" s="15">
        <v>1</v>
      </c>
    </row>
    <row r="782" spans="1:14">
      <c r="A782" s="8">
        <v>6</v>
      </c>
      <c r="B782" s="74">
        <v>44228</v>
      </c>
      <c r="C782">
        <v>2021</v>
      </c>
      <c r="D782" s="11" t="s">
        <v>28</v>
      </c>
      <c r="E782" s="15">
        <v>2</v>
      </c>
      <c r="F782" s="98">
        <v>2.1869999999999998</v>
      </c>
      <c r="G782" s="98">
        <v>1.0999999999999999E-2</v>
      </c>
    </row>
    <row r="783" spans="1:14">
      <c r="A783" s="8">
        <v>8</v>
      </c>
      <c r="B783" s="74">
        <v>44228</v>
      </c>
      <c r="C783">
        <v>2021</v>
      </c>
      <c r="D783" s="11" t="s">
        <v>28</v>
      </c>
      <c r="E783" s="15">
        <v>2</v>
      </c>
      <c r="F783" s="98">
        <v>4.0350000000000001</v>
      </c>
      <c r="G783" s="98">
        <v>7.0000000000000001E-3</v>
      </c>
    </row>
    <row r="784" spans="1:14">
      <c r="A784" s="8">
        <v>15</v>
      </c>
      <c r="B784" s="74">
        <v>44228</v>
      </c>
      <c r="C784">
        <v>2021</v>
      </c>
      <c r="D784" s="11" t="s">
        <v>28</v>
      </c>
      <c r="E784" s="15">
        <v>2</v>
      </c>
      <c r="F784" s="98">
        <v>4.0049999999999999</v>
      </c>
      <c r="G784" s="98">
        <v>8.0000000000000002E-3</v>
      </c>
      <c r="I784" s="18">
        <f>AVERAGE(F782:F784)</f>
        <v>3.4090000000000003</v>
      </c>
      <c r="J784" s="18">
        <f>AVERAGE(G782:G784)</f>
        <v>8.6666666666666663E-3</v>
      </c>
      <c r="L784">
        <f>+J784/I784</f>
        <v>2.5422900166226651E-3</v>
      </c>
      <c r="M784">
        <f>+(L784-$L$927)/$L$928</f>
        <v>-0.73184106591045783</v>
      </c>
      <c r="N784">
        <f>+N775+M784</f>
        <v>8.0227468208777317</v>
      </c>
    </row>
    <row r="785" spans="1:14">
      <c r="A785" s="8">
        <v>6</v>
      </c>
      <c r="B785" s="74">
        <v>44256</v>
      </c>
      <c r="C785">
        <v>2021</v>
      </c>
      <c r="D785" s="11" t="s">
        <v>29</v>
      </c>
      <c r="E785" s="15">
        <v>3</v>
      </c>
      <c r="F785" s="98">
        <v>1.544</v>
      </c>
      <c r="G785" s="98">
        <v>1.0999999999999999E-2</v>
      </c>
    </row>
    <row r="786" spans="1:14">
      <c r="A786" s="8">
        <v>8</v>
      </c>
      <c r="B786" s="74">
        <v>44256</v>
      </c>
      <c r="C786">
        <v>2021</v>
      </c>
      <c r="D786" s="11" t="s">
        <v>29</v>
      </c>
      <c r="E786" s="15">
        <v>3</v>
      </c>
      <c r="F786" s="98">
        <v>1.1639999999999999</v>
      </c>
      <c r="G786" s="98">
        <v>0.01</v>
      </c>
    </row>
    <row r="787" spans="1:14">
      <c r="A787" s="8">
        <v>15</v>
      </c>
      <c r="B787" s="74">
        <v>44256</v>
      </c>
      <c r="C787">
        <v>2021</v>
      </c>
      <c r="D787" s="11" t="s">
        <v>29</v>
      </c>
      <c r="E787" s="15">
        <v>3</v>
      </c>
      <c r="F787" s="98">
        <v>1.7290000000000001</v>
      </c>
      <c r="G787" s="98">
        <v>0.01</v>
      </c>
      <c r="I787" s="18">
        <f t="shared" ref="I787:J787" si="19">AVERAGE(F785:F787)</f>
        <v>1.4790000000000001</v>
      </c>
      <c r="J787" s="18">
        <f t="shared" si="19"/>
        <v>1.0333333333333333E-2</v>
      </c>
      <c r="L787">
        <f t="shared" ref="L787" si="20">+J787/I787</f>
        <v>6.9867027270678382E-3</v>
      </c>
      <c r="M787">
        <f t="shared" ref="M787" si="21">+(L787-$L$927)/$L$928</f>
        <v>-0.62411878637399154</v>
      </c>
      <c r="N787">
        <f>+N784+M787</f>
        <v>7.3986280345037398</v>
      </c>
    </row>
    <row r="788" spans="1:14">
      <c r="A788" s="8">
        <v>6</v>
      </c>
      <c r="B788" s="74">
        <v>44287</v>
      </c>
      <c r="C788">
        <v>2021</v>
      </c>
      <c r="D788" s="11" t="s">
        <v>30</v>
      </c>
      <c r="E788" s="15">
        <v>4</v>
      </c>
      <c r="F788" s="98">
        <v>0.67800000000000005</v>
      </c>
      <c r="G788" s="98">
        <v>1.2E-2</v>
      </c>
    </row>
    <row r="789" spans="1:14">
      <c r="A789" s="8">
        <v>8</v>
      </c>
      <c r="B789" s="74">
        <v>44287</v>
      </c>
      <c r="C789">
        <v>2021</v>
      </c>
      <c r="D789" s="11" t="s">
        <v>30</v>
      </c>
      <c r="E789" s="15">
        <v>4</v>
      </c>
      <c r="F789" s="98">
        <v>0.56000000000000005</v>
      </c>
      <c r="G789" s="98">
        <v>6.0000000000000001E-3</v>
      </c>
    </row>
    <row r="790" spans="1:14">
      <c r="A790" s="8">
        <v>15</v>
      </c>
      <c r="B790" s="74">
        <v>44287</v>
      </c>
      <c r="C790">
        <v>2021</v>
      </c>
      <c r="D790" s="11" t="s">
        <v>30</v>
      </c>
      <c r="E790" s="15">
        <v>4</v>
      </c>
      <c r="F790" s="98">
        <v>1.1479999999999999</v>
      </c>
      <c r="G790" s="98">
        <v>8.9999999999999993E-3</v>
      </c>
      <c r="I790" s="18">
        <f t="shared" ref="I790:J790" si="22">AVERAGE(F788:F790)</f>
        <v>0.79533333333333334</v>
      </c>
      <c r="J790" s="18">
        <f t="shared" si="22"/>
        <v>9.0000000000000011E-3</v>
      </c>
      <c r="L790">
        <f t="shared" ref="L790" si="23">+J790/I790</f>
        <v>1.1316010058675609E-2</v>
      </c>
      <c r="M790">
        <f t="shared" ref="M790" si="24">+(L790-$L$927)/$L$928</f>
        <v>-0.51918639486168028</v>
      </c>
      <c r="N790">
        <f t="shared" ref="N790" si="25">+N787+M790</f>
        <v>6.8794416396420592</v>
      </c>
    </row>
    <row r="791" spans="1:14">
      <c r="A791" s="8">
        <v>6</v>
      </c>
      <c r="B791" s="74">
        <v>44317</v>
      </c>
      <c r="C791">
        <v>2021</v>
      </c>
      <c r="D791" s="11" t="s">
        <v>31</v>
      </c>
      <c r="E791" s="15">
        <v>5</v>
      </c>
      <c r="F791" s="98">
        <v>1.7669999999999999</v>
      </c>
      <c r="G791" s="98">
        <v>3.9E-2</v>
      </c>
    </row>
    <row r="792" spans="1:14">
      <c r="A792" s="8">
        <v>8</v>
      </c>
      <c r="B792" s="74">
        <v>44317</v>
      </c>
      <c r="C792">
        <v>2021</v>
      </c>
      <c r="D792" s="11" t="s">
        <v>31</v>
      </c>
      <c r="E792" s="15">
        <v>5</v>
      </c>
      <c r="F792" s="98">
        <v>1.22</v>
      </c>
      <c r="G792" s="98">
        <v>8.9999999999999993E-3</v>
      </c>
    </row>
    <row r="793" spans="1:14">
      <c r="A793" s="8">
        <v>15</v>
      </c>
      <c r="B793" s="74">
        <v>44317</v>
      </c>
      <c r="C793">
        <v>2021</v>
      </c>
      <c r="D793" s="11" t="s">
        <v>31</v>
      </c>
      <c r="E793" s="15">
        <v>5</v>
      </c>
      <c r="F793" s="98">
        <v>1.2649999999999999</v>
      </c>
      <c r="G793" s="98">
        <v>3.3000000000000002E-2</v>
      </c>
      <c r="I793" s="18">
        <f t="shared" ref="I793:J793" si="26">AVERAGE(F791:F793)</f>
        <v>1.4173333333333333</v>
      </c>
      <c r="J793" s="18">
        <f t="shared" si="26"/>
        <v>2.7E-2</v>
      </c>
      <c r="L793">
        <f t="shared" ref="L793" si="27">+J793/I793</f>
        <v>1.904985888993415E-2</v>
      </c>
      <c r="M793">
        <f t="shared" ref="M793" si="28">+(L793-$L$927)/$L$928</f>
        <v>-0.33173579565525368</v>
      </c>
      <c r="N793">
        <f t="shared" ref="N793" si="29">+N790+M793</f>
        <v>6.5477058439868054</v>
      </c>
    </row>
    <row r="794" spans="1:14">
      <c r="A794" s="8">
        <v>6</v>
      </c>
      <c r="B794" s="74">
        <v>44348</v>
      </c>
      <c r="C794">
        <v>2021</v>
      </c>
      <c r="D794" s="11" t="s">
        <v>32</v>
      </c>
      <c r="E794" s="15">
        <v>6</v>
      </c>
      <c r="F794" s="98">
        <v>2.4929999999999999</v>
      </c>
      <c r="G794" s="98">
        <v>0.26600000000000001</v>
      </c>
    </row>
    <row r="795" spans="1:14">
      <c r="A795" s="8">
        <v>8</v>
      </c>
      <c r="B795" s="74">
        <v>44348</v>
      </c>
      <c r="C795">
        <v>2021</v>
      </c>
      <c r="D795" s="11" t="s">
        <v>32</v>
      </c>
      <c r="E795" s="15">
        <v>6</v>
      </c>
      <c r="F795" s="98">
        <v>2.9580000000000002</v>
      </c>
      <c r="G795" s="98">
        <v>4.2000000000000003E-2</v>
      </c>
    </row>
    <row r="796" spans="1:14">
      <c r="A796" s="8">
        <v>15</v>
      </c>
      <c r="B796" s="74">
        <v>44348</v>
      </c>
      <c r="C796">
        <v>2021</v>
      </c>
      <c r="D796" s="11" t="s">
        <v>32</v>
      </c>
      <c r="E796" s="15">
        <v>6</v>
      </c>
      <c r="F796" s="98">
        <v>3.5</v>
      </c>
      <c r="G796" s="98">
        <v>0.45</v>
      </c>
      <c r="I796" s="18">
        <f t="shared" ref="I796:J796" si="30">AVERAGE(F794:F796)</f>
        <v>2.9836666666666667</v>
      </c>
      <c r="J796" s="18">
        <f t="shared" si="30"/>
        <v>0.25266666666666665</v>
      </c>
      <c r="L796">
        <f t="shared" ref="L796" si="31">+J796/I796</f>
        <v>8.46832756116635E-2</v>
      </c>
      <c r="M796">
        <f t="shared" ref="M796" si="32">+(L796-$L$927)/$L$928</f>
        <v>1.2590663470924954</v>
      </c>
      <c r="N796">
        <f t="shared" ref="N796" si="33">+N793+M796</f>
        <v>7.8067721910793004</v>
      </c>
    </row>
    <row r="797" spans="1:14">
      <c r="A797" s="8">
        <v>6</v>
      </c>
      <c r="B797" s="74">
        <v>44378</v>
      </c>
      <c r="C797">
        <v>2021</v>
      </c>
      <c r="D797" s="11" t="s">
        <v>33</v>
      </c>
      <c r="E797" s="15">
        <v>7</v>
      </c>
      <c r="H797" s="101" t="s">
        <v>91</v>
      </c>
    </row>
    <row r="798" spans="1:14">
      <c r="A798" s="8">
        <v>8</v>
      </c>
      <c r="B798" s="74">
        <v>44378</v>
      </c>
      <c r="C798">
        <v>2021</v>
      </c>
      <c r="D798" s="11" t="s">
        <v>33</v>
      </c>
      <c r="E798" s="15">
        <v>7</v>
      </c>
      <c r="H798" s="101" t="s">
        <v>92</v>
      </c>
    </row>
    <row r="799" spans="1:14">
      <c r="A799" s="8">
        <v>15</v>
      </c>
      <c r="B799" s="74">
        <v>44378</v>
      </c>
      <c r="C799">
        <v>2021</v>
      </c>
      <c r="D799" s="11" t="s">
        <v>33</v>
      </c>
      <c r="E799" s="15">
        <v>7</v>
      </c>
      <c r="I799" s="18"/>
      <c r="J799" s="18"/>
    </row>
    <row r="800" spans="1:14">
      <c r="A800" s="8">
        <v>6</v>
      </c>
      <c r="B800" s="74">
        <v>44409</v>
      </c>
      <c r="C800">
        <v>2021</v>
      </c>
      <c r="D800" s="11" t="s">
        <v>34</v>
      </c>
      <c r="E800" s="15">
        <v>8</v>
      </c>
      <c r="F800" s="98">
        <v>3.915</v>
      </c>
      <c r="G800" s="98">
        <v>0.11600000000000001</v>
      </c>
    </row>
    <row r="801" spans="1:14">
      <c r="A801" s="8">
        <v>8</v>
      </c>
      <c r="B801" s="74">
        <v>44409</v>
      </c>
      <c r="C801">
        <v>2021</v>
      </c>
      <c r="D801" s="11" t="s">
        <v>34</v>
      </c>
      <c r="E801" s="15">
        <v>8</v>
      </c>
      <c r="F801" s="98">
        <v>1.6639999999999999</v>
      </c>
      <c r="G801" s="98">
        <v>2.5000000000000001E-2</v>
      </c>
    </row>
    <row r="802" spans="1:14">
      <c r="A802" s="8">
        <v>15</v>
      </c>
      <c r="B802" s="74">
        <v>44409</v>
      </c>
      <c r="C802">
        <v>2021</v>
      </c>
      <c r="D802" s="11" t="s">
        <v>34</v>
      </c>
      <c r="E802" s="15">
        <v>8</v>
      </c>
      <c r="F802" s="98">
        <v>1.4710000000000001</v>
      </c>
      <c r="G802" s="98">
        <v>0.19</v>
      </c>
      <c r="I802" s="18">
        <f t="shared" ref="I802:J802" si="34">AVERAGE(F800:F802)</f>
        <v>2.35</v>
      </c>
      <c r="J802" s="18">
        <f t="shared" si="34"/>
        <v>0.11033333333333334</v>
      </c>
      <c r="L802">
        <f t="shared" ref="L802" si="35">+J802/I802</f>
        <v>4.6950354609929079E-2</v>
      </c>
      <c r="M802">
        <f t="shared" ref="M802" si="36">+(L802-$L$927)/$L$928</f>
        <v>0.34450765763426555</v>
      </c>
      <c r="N802">
        <f>+N796+M802</f>
        <v>8.1512798487135658</v>
      </c>
    </row>
    <row r="803" spans="1:14">
      <c r="A803" s="8">
        <v>6</v>
      </c>
      <c r="B803" s="74">
        <v>44440</v>
      </c>
      <c r="C803">
        <v>2021</v>
      </c>
      <c r="D803" s="11" t="s">
        <v>40</v>
      </c>
      <c r="E803" s="15">
        <v>9</v>
      </c>
      <c r="F803" s="98">
        <v>1.972</v>
      </c>
      <c r="G803" s="98">
        <v>9.2999999999999999E-2</v>
      </c>
    </row>
    <row r="804" spans="1:14">
      <c r="A804" s="8">
        <v>8</v>
      </c>
      <c r="B804" s="74">
        <v>44440</v>
      </c>
      <c r="C804">
        <v>2021</v>
      </c>
      <c r="D804" s="11" t="s">
        <v>40</v>
      </c>
      <c r="E804" s="15">
        <v>9</v>
      </c>
      <c r="F804" s="98">
        <v>0.97699999999999998</v>
      </c>
      <c r="G804" s="98">
        <v>9.9989999999999996E-4</v>
      </c>
    </row>
    <row r="805" spans="1:14">
      <c r="A805" s="8">
        <v>15</v>
      </c>
      <c r="B805" s="74">
        <v>44440</v>
      </c>
      <c r="C805">
        <v>2021</v>
      </c>
      <c r="D805" s="11" t="s">
        <v>40</v>
      </c>
      <c r="E805" s="15">
        <v>9</v>
      </c>
      <c r="F805" s="98">
        <v>2.64</v>
      </c>
      <c r="G805" s="98">
        <v>2.1000000000000001E-2</v>
      </c>
      <c r="I805" s="18">
        <f t="shared" ref="I805:J805" si="37">AVERAGE(F803:F805)</f>
        <v>1.8630000000000002</v>
      </c>
      <c r="J805" s="18">
        <f t="shared" si="37"/>
        <v>3.8333300000000001E-2</v>
      </c>
      <c r="L805">
        <f t="shared" ref="L805" si="38">+J805/I805</f>
        <v>2.0576113794954373E-2</v>
      </c>
      <c r="M805">
        <f t="shared" ref="M805" si="39">+(L805-$L$927)/$L$928</f>
        <v>-0.2947429085779365</v>
      </c>
      <c r="N805">
        <f t="shared" ref="N805" si="40">+N802+M805</f>
        <v>7.8565369401356291</v>
      </c>
    </row>
    <row r="806" spans="1:14">
      <c r="A806" s="8">
        <v>6</v>
      </c>
      <c r="B806" s="74">
        <v>44470</v>
      </c>
      <c r="C806">
        <v>2021</v>
      </c>
      <c r="D806" s="11" t="s">
        <v>36</v>
      </c>
      <c r="E806" s="15">
        <v>10</v>
      </c>
      <c r="F806" s="98">
        <v>2.2690000000000001</v>
      </c>
      <c r="G806" s="98">
        <v>8.9999999999999993E-3</v>
      </c>
    </row>
    <row r="807" spans="1:14">
      <c r="A807" s="8">
        <v>8</v>
      </c>
      <c r="B807" s="74">
        <v>44470</v>
      </c>
      <c r="C807">
        <v>2021</v>
      </c>
      <c r="D807" s="11" t="s">
        <v>36</v>
      </c>
      <c r="E807" s="15">
        <v>10</v>
      </c>
      <c r="F807" s="98">
        <v>1.655</v>
      </c>
      <c r="G807" s="98">
        <v>4.0000000000000001E-3</v>
      </c>
    </row>
    <row r="808" spans="1:14">
      <c r="A808" s="8">
        <v>15</v>
      </c>
      <c r="B808" s="74">
        <v>44470</v>
      </c>
      <c r="C808">
        <v>2021</v>
      </c>
      <c r="D808" s="11" t="s">
        <v>36</v>
      </c>
      <c r="E808" s="15">
        <v>10</v>
      </c>
      <c r="F808" s="98">
        <v>2.1030000000000002</v>
      </c>
      <c r="G808" s="98">
        <v>4.0000000000000001E-3</v>
      </c>
      <c r="I808" s="18">
        <f t="shared" ref="I808:J808" si="41">AVERAGE(F806:F808)</f>
        <v>2.0090000000000003</v>
      </c>
      <c r="J808" s="18">
        <f t="shared" si="41"/>
        <v>5.6666666666666671E-3</v>
      </c>
      <c r="L808">
        <f t="shared" ref="L808" si="42">+J808/I808</f>
        <v>2.8206404513024721E-3</v>
      </c>
      <c r="M808">
        <f t="shared" ref="M808" si="43">+(L808-$L$927)/$L$928</f>
        <v>-0.72509449548885718</v>
      </c>
      <c r="N808">
        <f t="shared" ref="N808" si="44">+N805+M808</f>
        <v>7.1314424446467717</v>
      </c>
    </row>
    <row r="809" spans="1:14">
      <c r="A809" s="8">
        <v>6</v>
      </c>
      <c r="B809" s="74">
        <v>44501</v>
      </c>
      <c r="C809">
        <v>2021</v>
      </c>
      <c r="D809" s="11" t="s">
        <v>37</v>
      </c>
      <c r="E809" s="15">
        <v>11</v>
      </c>
      <c r="F809" s="98">
        <v>0.873</v>
      </c>
      <c r="G809" s="98">
        <v>9.9989999999999996E-4</v>
      </c>
    </row>
    <row r="810" spans="1:14">
      <c r="A810" s="8">
        <v>8</v>
      </c>
      <c r="B810" s="74">
        <v>44501</v>
      </c>
      <c r="C810">
        <v>2021</v>
      </c>
      <c r="D810" s="11" t="s">
        <v>37</v>
      </c>
      <c r="E810" s="15">
        <v>11</v>
      </c>
      <c r="F810" s="98">
        <v>0.90500000000000003</v>
      </c>
      <c r="G810" s="98">
        <v>9.9989999999999996E-4</v>
      </c>
    </row>
    <row r="811" spans="1:14">
      <c r="A811" s="8">
        <v>15</v>
      </c>
      <c r="B811" s="74">
        <v>44501</v>
      </c>
      <c r="C811">
        <v>2021</v>
      </c>
      <c r="D811" s="11" t="s">
        <v>37</v>
      </c>
      <c r="E811" s="15">
        <v>11</v>
      </c>
      <c r="F811" s="98">
        <v>0.92</v>
      </c>
      <c r="G811" s="98">
        <v>9.9989999999999996E-4</v>
      </c>
      <c r="I811" s="18">
        <f t="shared" ref="I811:J811" si="45">AVERAGE(F809:F811)</f>
        <v>0.89933333333333332</v>
      </c>
      <c r="J811" s="18">
        <f t="shared" si="45"/>
        <v>9.9989999999999996E-4</v>
      </c>
      <c r="L811">
        <f t="shared" ref="L811" si="46">+J811/I811</f>
        <v>1.1118235730170497E-3</v>
      </c>
      <c r="M811">
        <f t="shared" ref="M811" si="47">+(L811-$L$927)/$L$928</f>
        <v>-0.76651226234175962</v>
      </c>
      <c r="N811">
        <f t="shared" ref="N811" si="48">+N808+M811</f>
        <v>6.3649301823050122</v>
      </c>
    </row>
    <row r="812" spans="1:14">
      <c r="A812" s="8">
        <v>6</v>
      </c>
      <c r="B812" s="75">
        <v>44531</v>
      </c>
      <c r="C812">
        <v>2021</v>
      </c>
      <c r="D812" s="11" t="s">
        <v>38</v>
      </c>
      <c r="E812" s="15">
        <v>12</v>
      </c>
      <c r="F812" s="98">
        <v>0.75</v>
      </c>
      <c r="G812" s="98">
        <v>9.9989999999999996E-4</v>
      </c>
    </row>
    <row r="813" spans="1:14">
      <c r="A813" s="8">
        <v>8</v>
      </c>
      <c r="B813" s="74">
        <v>44531</v>
      </c>
      <c r="C813">
        <v>2021</v>
      </c>
      <c r="D813" s="11" t="s">
        <v>38</v>
      </c>
      <c r="E813" s="15">
        <v>12</v>
      </c>
      <c r="F813" s="98">
        <v>13.305</v>
      </c>
      <c r="G813" s="98">
        <v>2.5000000000000001E-2</v>
      </c>
    </row>
    <row r="814" spans="1:14">
      <c r="A814" s="8">
        <v>15</v>
      </c>
      <c r="B814" s="74">
        <v>44531</v>
      </c>
      <c r="C814">
        <v>2021</v>
      </c>
      <c r="D814" s="11" t="s">
        <v>38</v>
      </c>
      <c r="E814" s="15">
        <v>12</v>
      </c>
      <c r="F814" s="98">
        <v>0.76</v>
      </c>
      <c r="G814" s="98">
        <v>9.9989999999999996E-4</v>
      </c>
      <c r="I814" s="18">
        <f t="shared" ref="I814:J814" si="49">AVERAGE(F812:F814)</f>
        <v>4.9383333333333335</v>
      </c>
      <c r="J814" s="18">
        <f t="shared" si="49"/>
        <v>8.9999333333333348E-3</v>
      </c>
      <c r="L814">
        <f t="shared" ref="L814" si="50">+J814/I814</f>
        <v>1.8224637192035102E-3</v>
      </c>
      <c r="M814">
        <f t="shared" ref="M814" si="51">+(L814-$L$927)/$L$928</f>
        <v>-0.74928798965047183</v>
      </c>
      <c r="N814">
        <f t="shared" ref="N814" si="52">+N811+M814</f>
        <v>5.6156421926545406</v>
      </c>
    </row>
    <row r="815" spans="1:14">
      <c r="A815" s="97">
        <v>6</v>
      </c>
      <c r="B815" s="93">
        <v>44571</v>
      </c>
      <c r="C815" s="94">
        <v>2022</v>
      </c>
      <c r="D815" s="95" t="s">
        <v>39</v>
      </c>
      <c r="E815" s="96">
        <v>1</v>
      </c>
      <c r="H815" s="101" t="s">
        <v>93</v>
      </c>
    </row>
    <row r="816" spans="1:14">
      <c r="A816" s="8">
        <v>8</v>
      </c>
      <c r="B816" s="76">
        <v>44566</v>
      </c>
      <c r="C816">
        <v>2022</v>
      </c>
      <c r="D816" s="11" t="s">
        <v>39</v>
      </c>
      <c r="E816" s="15">
        <v>1</v>
      </c>
      <c r="H816" s="101" t="s">
        <v>94</v>
      </c>
    </row>
    <row r="817" spans="1:8">
      <c r="A817" s="8">
        <v>15</v>
      </c>
      <c r="B817" s="76">
        <v>44566</v>
      </c>
      <c r="C817">
        <v>2022</v>
      </c>
      <c r="D817" s="11" t="s">
        <v>39</v>
      </c>
      <c r="E817" s="15">
        <v>1</v>
      </c>
      <c r="H817" s="101" t="s">
        <v>95</v>
      </c>
    </row>
    <row r="818" spans="1:8">
      <c r="A818" s="8">
        <v>6</v>
      </c>
      <c r="B818" s="74">
        <v>44593</v>
      </c>
      <c r="C818">
        <v>2022</v>
      </c>
      <c r="D818" s="11" t="s">
        <v>28</v>
      </c>
      <c r="E818" s="15">
        <v>2</v>
      </c>
    </row>
    <row r="819" spans="1:8">
      <c r="A819" s="8">
        <v>8</v>
      </c>
      <c r="B819" s="74">
        <v>44593</v>
      </c>
      <c r="C819">
        <v>2022</v>
      </c>
      <c r="D819" s="11" t="s">
        <v>28</v>
      </c>
      <c r="E819" s="15">
        <v>2</v>
      </c>
    </row>
    <row r="820" spans="1:8">
      <c r="A820" s="8">
        <v>15</v>
      </c>
      <c r="B820" s="74">
        <v>44593</v>
      </c>
      <c r="C820">
        <v>2022</v>
      </c>
      <c r="D820" s="11" t="s">
        <v>28</v>
      </c>
      <c r="E820" s="15">
        <v>2</v>
      </c>
    </row>
    <row r="821" spans="1:8">
      <c r="A821" s="8">
        <v>6</v>
      </c>
      <c r="B821" s="74">
        <v>44621</v>
      </c>
      <c r="C821">
        <v>2022</v>
      </c>
      <c r="D821" s="11" t="s">
        <v>29</v>
      </c>
      <c r="E821" s="15">
        <v>3</v>
      </c>
    </row>
    <row r="822" spans="1:8">
      <c r="A822" s="8">
        <v>8</v>
      </c>
      <c r="B822" s="74">
        <v>44621</v>
      </c>
      <c r="C822">
        <v>2022</v>
      </c>
      <c r="D822" s="11" t="s">
        <v>29</v>
      </c>
      <c r="E822" s="15">
        <v>3</v>
      </c>
    </row>
    <row r="823" spans="1:8">
      <c r="A823" s="8">
        <v>15</v>
      </c>
      <c r="B823" s="74">
        <v>44621</v>
      </c>
      <c r="C823">
        <v>2022</v>
      </c>
      <c r="D823" s="11" t="s">
        <v>29</v>
      </c>
      <c r="E823" s="15">
        <v>3</v>
      </c>
    </row>
    <row r="824" spans="1:8">
      <c r="A824" s="8">
        <v>6</v>
      </c>
      <c r="B824" s="74">
        <v>44652</v>
      </c>
      <c r="C824">
        <v>2022</v>
      </c>
      <c r="D824" s="11" t="s">
        <v>30</v>
      </c>
      <c r="E824" s="15">
        <v>4</v>
      </c>
    </row>
    <row r="825" spans="1:8">
      <c r="A825" s="8">
        <v>8</v>
      </c>
      <c r="B825" s="74">
        <v>44652</v>
      </c>
      <c r="C825">
        <v>2022</v>
      </c>
      <c r="D825" s="11" t="s">
        <v>30</v>
      </c>
      <c r="E825" s="15">
        <v>4</v>
      </c>
    </row>
    <row r="826" spans="1:8">
      <c r="A826" s="8">
        <v>15</v>
      </c>
      <c r="B826" s="74">
        <v>44652</v>
      </c>
      <c r="C826">
        <v>2022</v>
      </c>
      <c r="D826" s="11" t="s">
        <v>30</v>
      </c>
      <c r="E826" s="15">
        <v>4</v>
      </c>
    </row>
    <row r="827" spans="1:8">
      <c r="A827" s="8">
        <v>6</v>
      </c>
      <c r="B827" s="74">
        <v>44682</v>
      </c>
      <c r="C827">
        <v>2022</v>
      </c>
      <c r="D827" s="11" t="s">
        <v>31</v>
      </c>
      <c r="E827" s="15">
        <v>5</v>
      </c>
    </row>
    <row r="828" spans="1:8">
      <c r="A828" s="8">
        <v>8</v>
      </c>
      <c r="B828" s="74">
        <v>44682</v>
      </c>
      <c r="C828">
        <v>2022</v>
      </c>
      <c r="D828" s="11" t="s">
        <v>31</v>
      </c>
      <c r="E828" s="15">
        <v>5</v>
      </c>
    </row>
    <row r="829" spans="1:8">
      <c r="A829" s="8">
        <v>15</v>
      </c>
      <c r="B829" s="74">
        <v>44682</v>
      </c>
      <c r="C829">
        <v>2022</v>
      </c>
      <c r="D829" s="11" t="s">
        <v>31</v>
      </c>
      <c r="E829" s="15">
        <v>5</v>
      </c>
    </row>
    <row r="830" spans="1:8">
      <c r="A830" s="8">
        <v>6</v>
      </c>
      <c r="B830" s="74">
        <v>44713</v>
      </c>
      <c r="C830">
        <v>2022</v>
      </c>
      <c r="D830" s="11" t="s">
        <v>32</v>
      </c>
      <c r="E830" s="15">
        <v>6</v>
      </c>
    </row>
    <row r="831" spans="1:8">
      <c r="A831" s="8">
        <v>8</v>
      </c>
      <c r="B831" s="74">
        <v>44713</v>
      </c>
      <c r="C831">
        <v>2022</v>
      </c>
      <c r="D831" s="11" t="s">
        <v>32</v>
      </c>
      <c r="E831" s="15">
        <v>6</v>
      </c>
    </row>
    <row r="832" spans="1:8">
      <c r="A832" s="8">
        <v>15</v>
      </c>
      <c r="B832" s="74">
        <v>44713</v>
      </c>
      <c r="C832">
        <v>2022</v>
      </c>
      <c r="D832" s="11" t="s">
        <v>32</v>
      </c>
      <c r="E832" s="15">
        <v>6</v>
      </c>
    </row>
    <row r="833" spans="1:5">
      <c r="A833" s="8">
        <v>6</v>
      </c>
      <c r="B833" s="74">
        <v>44743</v>
      </c>
      <c r="C833">
        <v>2022</v>
      </c>
      <c r="D833" s="11" t="s">
        <v>33</v>
      </c>
      <c r="E833" s="15">
        <v>7</v>
      </c>
    </row>
    <row r="834" spans="1:5">
      <c r="A834" s="8">
        <v>8</v>
      </c>
      <c r="B834" s="74">
        <v>44743</v>
      </c>
      <c r="C834">
        <v>2022</v>
      </c>
      <c r="D834" s="11" t="s">
        <v>33</v>
      </c>
      <c r="E834" s="15">
        <v>7</v>
      </c>
    </row>
    <row r="835" spans="1:5">
      <c r="A835" s="8">
        <v>15</v>
      </c>
      <c r="B835" s="74">
        <v>44743</v>
      </c>
      <c r="C835">
        <v>2022</v>
      </c>
      <c r="D835" s="11" t="s">
        <v>33</v>
      </c>
      <c r="E835" s="15">
        <v>7</v>
      </c>
    </row>
    <row r="836" spans="1:5">
      <c r="A836" s="8">
        <v>6</v>
      </c>
      <c r="B836" s="74">
        <v>44774</v>
      </c>
      <c r="C836">
        <v>2022</v>
      </c>
      <c r="D836" s="11" t="s">
        <v>34</v>
      </c>
      <c r="E836" s="15">
        <v>8</v>
      </c>
    </row>
    <row r="837" spans="1:5">
      <c r="A837" s="8">
        <v>8</v>
      </c>
      <c r="B837" s="74">
        <v>44774</v>
      </c>
      <c r="C837">
        <v>2022</v>
      </c>
      <c r="D837" s="11" t="s">
        <v>34</v>
      </c>
      <c r="E837" s="15">
        <v>8</v>
      </c>
    </row>
    <row r="838" spans="1:5">
      <c r="A838" s="8">
        <v>15</v>
      </c>
      <c r="B838" s="74">
        <v>44774</v>
      </c>
      <c r="C838">
        <v>2022</v>
      </c>
      <c r="D838" s="11" t="s">
        <v>34</v>
      </c>
      <c r="E838" s="15">
        <v>8</v>
      </c>
    </row>
    <row r="839" spans="1:5">
      <c r="A839" s="8">
        <v>6</v>
      </c>
      <c r="B839" s="74">
        <v>44805</v>
      </c>
      <c r="C839">
        <v>2022</v>
      </c>
      <c r="D839" s="11" t="s">
        <v>40</v>
      </c>
      <c r="E839" s="15">
        <v>9</v>
      </c>
    </row>
    <row r="840" spans="1:5">
      <c r="A840" s="8">
        <v>8</v>
      </c>
      <c r="B840" s="74">
        <v>44805</v>
      </c>
      <c r="C840">
        <v>2022</v>
      </c>
      <c r="D840" s="11" t="s">
        <v>40</v>
      </c>
      <c r="E840" s="15">
        <v>9</v>
      </c>
    </row>
    <row r="841" spans="1:5">
      <c r="A841" s="8">
        <v>15</v>
      </c>
      <c r="B841" s="74">
        <v>44805</v>
      </c>
      <c r="C841">
        <v>2022</v>
      </c>
      <c r="D841" s="11" t="s">
        <v>40</v>
      </c>
      <c r="E841" s="15">
        <v>9</v>
      </c>
    </row>
    <row r="842" spans="1:5">
      <c r="A842" s="8">
        <v>6</v>
      </c>
      <c r="B842" s="74">
        <v>44835</v>
      </c>
      <c r="C842">
        <v>2022</v>
      </c>
      <c r="D842" s="11" t="s">
        <v>36</v>
      </c>
      <c r="E842" s="15">
        <v>10</v>
      </c>
    </row>
    <row r="843" spans="1:5">
      <c r="A843" s="8">
        <v>8</v>
      </c>
      <c r="B843" s="74">
        <v>44835</v>
      </c>
      <c r="C843">
        <v>2022</v>
      </c>
      <c r="D843" s="11" t="s">
        <v>36</v>
      </c>
      <c r="E843" s="15">
        <v>10</v>
      </c>
    </row>
    <row r="844" spans="1:5">
      <c r="A844" s="8">
        <v>15</v>
      </c>
      <c r="B844" s="74">
        <v>44835</v>
      </c>
      <c r="C844">
        <v>2022</v>
      </c>
      <c r="D844" s="11" t="s">
        <v>36</v>
      </c>
      <c r="E844" s="15">
        <v>10</v>
      </c>
    </row>
    <row r="845" spans="1:5">
      <c r="A845" s="8">
        <v>6</v>
      </c>
      <c r="B845" s="74">
        <v>44866</v>
      </c>
      <c r="C845">
        <v>2022</v>
      </c>
      <c r="D845" s="11" t="s">
        <v>37</v>
      </c>
      <c r="E845" s="15">
        <v>11</v>
      </c>
    </row>
    <row r="846" spans="1:5">
      <c r="A846" s="8">
        <v>8</v>
      </c>
      <c r="B846" s="74">
        <v>44866</v>
      </c>
      <c r="C846">
        <v>2022</v>
      </c>
      <c r="D846" s="11" t="s">
        <v>37</v>
      </c>
      <c r="E846" s="15">
        <v>11</v>
      </c>
    </row>
    <row r="847" spans="1:5">
      <c r="A847" s="8">
        <v>15</v>
      </c>
      <c r="B847" s="74">
        <v>44866</v>
      </c>
      <c r="C847">
        <v>2022</v>
      </c>
      <c r="D847" s="11" t="s">
        <v>37</v>
      </c>
      <c r="E847" s="15">
        <v>11</v>
      </c>
    </row>
    <row r="848" spans="1:5">
      <c r="A848" s="8">
        <v>6</v>
      </c>
      <c r="B848" s="75">
        <v>44896</v>
      </c>
      <c r="C848">
        <v>2022</v>
      </c>
      <c r="D848" s="11" t="s">
        <v>38</v>
      </c>
      <c r="E848" s="15">
        <v>12</v>
      </c>
    </row>
    <row r="849" spans="1:14">
      <c r="A849" s="8">
        <v>8</v>
      </c>
      <c r="B849" s="74">
        <v>44896</v>
      </c>
      <c r="C849">
        <v>2022</v>
      </c>
      <c r="D849" s="11" t="s">
        <v>38</v>
      </c>
      <c r="E849" s="15">
        <v>12</v>
      </c>
    </row>
    <row r="850" spans="1:14">
      <c r="A850" s="8">
        <v>15</v>
      </c>
      <c r="B850" s="74">
        <v>44896</v>
      </c>
      <c r="C850">
        <v>2022</v>
      </c>
      <c r="D850" s="11" t="s">
        <v>38</v>
      </c>
      <c r="E850" s="15">
        <v>12</v>
      </c>
    </row>
    <row r="851" spans="1:14">
      <c r="A851" s="97">
        <v>6</v>
      </c>
      <c r="B851" s="93">
        <v>44936</v>
      </c>
      <c r="C851" s="94">
        <v>2023</v>
      </c>
      <c r="D851" s="95" t="s">
        <v>39</v>
      </c>
      <c r="E851" s="96">
        <v>1</v>
      </c>
      <c r="F851" s="99">
        <v>7.2089999999999996</v>
      </c>
      <c r="G851" s="98">
        <v>0.02</v>
      </c>
    </row>
    <row r="852" spans="1:14">
      <c r="A852" s="8">
        <v>8</v>
      </c>
      <c r="B852" s="76">
        <v>44931</v>
      </c>
      <c r="C852">
        <v>2023</v>
      </c>
      <c r="D852" s="11" t="s">
        <v>39</v>
      </c>
      <c r="E852" s="15">
        <v>1</v>
      </c>
      <c r="F852" s="99">
        <v>2.8679999999999999</v>
      </c>
      <c r="G852" s="98">
        <v>1.0999999999999999E-2</v>
      </c>
    </row>
    <row r="853" spans="1:14">
      <c r="A853" s="8">
        <v>15</v>
      </c>
      <c r="B853" s="76">
        <v>44931</v>
      </c>
      <c r="C853">
        <v>2023</v>
      </c>
      <c r="D853" s="11" t="s">
        <v>39</v>
      </c>
      <c r="E853" s="15">
        <v>1</v>
      </c>
      <c r="I853" s="18">
        <f>AVERAGE(F851:F853)</f>
        <v>5.0385</v>
      </c>
      <c r="J853" s="18">
        <f>AVERAGE(G851:G853)</f>
        <v>1.55E-2</v>
      </c>
      <c r="L853">
        <f>+J853/I853</f>
        <v>3.0763123945618735E-3</v>
      </c>
      <c r="M853">
        <f>+(L853-$L$927)/$L$928</f>
        <v>-0.71889759922026963</v>
      </c>
      <c r="N853">
        <f>+N814+M853</f>
        <v>4.8967445934342706</v>
      </c>
    </row>
    <row r="854" spans="1:14">
      <c r="A854" s="8">
        <v>6</v>
      </c>
      <c r="B854" s="74">
        <v>44958</v>
      </c>
      <c r="C854">
        <v>2023</v>
      </c>
      <c r="D854" s="11" t="s">
        <v>28</v>
      </c>
      <c r="E854" s="15">
        <v>2</v>
      </c>
      <c r="F854" s="82">
        <v>1.2170000000000001</v>
      </c>
      <c r="G854" s="82">
        <v>1.4999999999999999E-2</v>
      </c>
    </row>
    <row r="855" spans="1:14">
      <c r="A855" s="8">
        <v>8</v>
      </c>
      <c r="B855" s="74">
        <v>44958</v>
      </c>
      <c r="C855">
        <v>2023</v>
      </c>
      <c r="D855" s="11" t="s">
        <v>28</v>
      </c>
      <c r="E855" s="15">
        <v>2</v>
      </c>
      <c r="F855" s="82">
        <v>3.633</v>
      </c>
      <c r="G855" s="82">
        <v>2.4E-2</v>
      </c>
    </row>
    <row r="856" spans="1:14">
      <c r="A856" s="8">
        <v>15</v>
      </c>
      <c r="B856" s="74">
        <v>44958</v>
      </c>
      <c r="C856">
        <v>2023</v>
      </c>
      <c r="D856" s="11" t="s">
        <v>28</v>
      </c>
      <c r="E856" s="15">
        <v>2</v>
      </c>
      <c r="F856" s="82">
        <v>1.1779999999999999</v>
      </c>
      <c r="G856" s="82">
        <v>1.4E-2</v>
      </c>
      <c r="I856" s="18">
        <f t="shared" ref="I856:J856" si="53">AVERAGE(F854:F856)</f>
        <v>2.0093333333333332</v>
      </c>
      <c r="J856" s="18">
        <f t="shared" si="53"/>
        <v>1.7666666666666667E-2</v>
      </c>
      <c r="L856">
        <f t="shared" ref="L856" si="54">+J856/I856</f>
        <v>8.7923025879230263E-3</v>
      </c>
      <c r="M856">
        <f t="shared" ref="M856" si="55">+(L856-$L$927)/$L$928</f>
        <v>-0.58035522398363804</v>
      </c>
      <c r="N856">
        <f>+N853+M856</f>
        <v>4.3163893694506328</v>
      </c>
    </row>
    <row r="857" spans="1:14">
      <c r="A857" s="8">
        <v>6</v>
      </c>
      <c r="B857" s="74">
        <v>44986</v>
      </c>
      <c r="C857">
        <v>2023</v>
      </c>
      <c r="D857" s="11" t="s">
        <v>29</v>
      </c>
      <c r="E857" s="15">
        <v>3</v>
      </c>
      <c r="F857" s="82">
        <v>1.413</v>
      </c>
      <c r="G857" s="82">
        <v>1.2999999999999999E-2</v>
      </c>
    </row>
    <row r="858" spans="1:14">
      <c r="A858" s="8">
        <v>8</v>
      </c>
      <c r="B858" s="74">
        <v>44986</v>
      </c>
      <c r="C858">
        <v>2023</v>
      </c>
      <c r="D858" s="11" t="s">
        <v>29</v>
      </c>
      <c r="E858" s="15">
        <v>3</v>
      </c>
      <c r="F858" s="82">
        <v>2.8460000000000001</v>
      </c>
      <c r="G858" s="82">
        <v>2.3E-2</v>
      </c>
    </row>
    <row r="859" spans="1:14">
      <c r="A859" s="8">
        <v>15</v>
      </c>
      <c r="B859" s="74">
        <v>44986</v>
      </c>
      <c r="C859">
        <v>2023</v>
      </c>
      <c r="D859" s="11" t="s">
        <v>29</v>
      </c>
      <c r="E859" s="15">
        <v>3</v>
      </c>
      <c r="F859" s="82">
        <v>1.7729999999999999</v>
      </c>
      <c r="G859" s="82">
        <v>2.9000000000000001E-2</v>
      </c>
      <c r="I859" s="18">
        <f t="shared" ref="I859:J859" si="56">AVERAGE(F857:F859)</f>
        <v>2.0106666666666668</v>
      </c>
      <c r="J859" s="18">
        <f t="shared" si="56"/>
        <v>2.1666666666666667E-2</v>
      </c>
      <c r="L859">
        <f t="shared" ref="L859" si="57">+J859/I859</f>
        <v>1.0775862068965516E-2</v>
      </c>
      <c r="M859">
        <f t="shared" ref="M859" si="58">+(L859-$L$927)/$L$928</f>
        <v>-0.53227833220626197</v>
      </c>
      <c r="N859">
        <f t="shared" ref="N859" si="59">+N856+M859</f>
        <v>3.7841110372443709</v>
      </c>
    </row>
    <row r="860" spans="1:14">
      <c r="A860" s="8">
        <v>6</v>
      </c>
      <c r="B860" s="74">
        <v>45017</v>
      </c>
      <c r="C860">
        <v>2023</v>
      </c>
      <c r="D860" s="11" t="s">
        <v>30</v>
      </c>
      <c r="E860" s="15">
        <v>4</v>
      </c>
      <c r="F860" s="82">
        <v>1.28</v>
      </c>
      <c r="G860" s="82">
        <v>1.2E-2</v>
      </c>
    </row>
    <row r="861" spans="1:14">
      <c r="A861" s="8">
        <v>8</v>
      </c>
      <c r="B861" s="74">
        <v>45017</v>
      </c>
      <c r="C861">
        <v>2023</v>
      </c>
      <c r="D861" s="11" t="s">
        <v>30</v>
      </c>
      <c r="E861" s="15">
        <v>4</v>
      </c>
      <c r="F861" s="82">
        <v>8.6859999999999999</v>
      </c>
      <c r="G861" s="82">
        <v>2.9000000000000001E-2</v>
      </c>
    </row>
    <row r="862" spans="1:14">
      <c r="A862" s="8">
        <v>15</v>
      </c>
      <c r="B862" s="74">
        <v>45017</v>
      </c>
      <c r="C862">
        <v>2023</v>
      </c>
      <c r="D862" s="11" t="s">
        <v>30</v>
      </c>
      <c r="E862" s="15">
        <v>4</v>
      </c>
      <c r="F862" s="82">
        <v>1.6379999999999999</v>
      </c>
      <c r="G862" s="82">
        <v>2.4E-2</v>
      </c>
      <c r="I862" s="18">
        <f t="shared" ref="I862:J862" si="60">AVERAGE(F860:F862)</f>
        <v>3.8679999999999999</v>
      </c>
      <c r="J862" s="18">
        <f t="shared" si="60"/>
        <v>2.1666666666666667E-2</v>
      </c>
      <c r="L862">
        <f t="shared" ref="L862" si="61">+J862/I862</f>
        <v>5.6015167183729748E-3</v>
      </c>
      <c r="M862">
        <f t="shared" ref="M862" si="62">+(L862-$L$927)/$L$928</f>
        <v>-0.65769248984395667</v>
      </c>
      <c r="N862">
        <f t="shared" ref="N862" si="63">+N859+M862</f>
        <v>3.126418547400414</v>
      </c>
    </row>
    <row r="863" spans="1:14">
      <c r="A863" s="8">
        <v>6</v>
      </c>
      <c r="B863" s="74">
        <v>45047</v>
      </c>
      <c r="C863">
        <v>2023</v>
      </c>
      <c r="D863" s="11" t="s">
        <v>31</v>
      </c>
      <c r="E863" s="15">
        <v>5</v>
      </c>
      <c r="F863" s="82">
        <v>2.9079999999999999</v>
      </c>
      <c r="G863" s="100">
        <v>0.03</v>
      </c>
    </row>
    <row r="864" spans="1:14">
      <c r="A864" s="8">
        <v>8</v>
      </c>
      <c r="B864" s="74">
        <v>45047</v>
      </c>
      <c r="C864">
        <v>2023</v>
      </c>
      <c r="D864" s="11" t="s">
        <v>31</v>
      </c>
      <c r="E864" s="15">
        <v>5</v>
      </c>
      <c r="F864" s="82">
        <v>6.0209999999999999</v>
      </c>
      <c r="G864" s="100">
        <v>2.5999999999999999E-2</v>
      </c>
    </row>
    <row r="865" spans="1:14">
      <c r="A865" s="8">
        <v>15</v>
      </c>
      <c r="B865" s="74">
        <v>45047</v>
      </c>
      <c r="C865">
        <v>2023</v>
      </c>
      <c r="D865" s="11" t="s">
        <v>31</v>
      </c>
      <c r="E865" s="15">
        <v>5</v>
      </c>
      <c r="F865" s="82">
        <v>5.5359999999999996</v>
      </c>
      <c r="G865" s="100">
        <v>3.6999999999999998E-2</v>
      </c>
      <c r="I865" s="18">
        <f t="shared" ref="I865:J865" si="64">AVERAGE(F863:F865)</f>
        <v>4.8216666666666663</v>
      </c>
      <c r="J865" s="18">
        <f t="shared" si="64"/>
        <v>3.1E-2</v>
      </c>
      <c r="L865">
        <f t="shared" ref="L865" si="65">+J865/I865</f>
        <v>6.429312132734186E-3</v>
      </c>
      <c r="M865">
        <f t="shared" ref="M865" si="66">+(L865-$L$927)/$L$928</f>
        <v>-0.63762864455450974</v>
      </c>
      <c r="N865">
        <f t="shared" ref="N865" si="67">+N862+M865</f>
        <v>2.4887899028459044</v>
      </c>
    </row>
    <row r="866" spans="1:14">
      <c r="A866" s="8">
        <v>6</v>
      </c>
      <c r="B866" s="74">
        <v>45078</v>
      </c>
      <c r="C866">
        <v>2023</v>
      </c>
      <c r="D866" s="11" t="s">
        <v>32</v>
      </c>
      <c r="E866" s="15">
        <v>6</v>
      </c>
      <c r="F866" s="82">
        <v>2.2200000000000002</v>
      </c>
      <c r="G866" s="100">
        <v>0.184</v>
      </c>
    </row>
    <row r="867" spans="1:14">
      <c r="A867" s="8">
        <v>8</v>
      </c>
      <c r="B867" s="74">
        <v>45078</v>
      </c>
      <c r="C867">
        <v>2023</v>
      </c>
      <c r="D867" s="11" t="s">
        <v>32</v>
      </c>
      <c r="E867" s="15">
        <v>6</v>
      </c>
      <c r="F867" s="82">
        <v>1.5409999999999999</v>
      </c>
      <c r="G867" s="100">
        <v>5.1999999999999998E-2</v>
      </c>
    </row>
    <row r="868" spans="1:14">
      <c r="A868" s="8">
        <v>15</v>
      </c>
      <c r="B868" s="74">
        <v>45078</v>
      </c>
      <c r="C868">
        <v>2023</v>
      </c>
      <c r="D868" s="11" t="s">
        <v>32</v>
      </c>
      <c r="E868" s="15">
        <v>6</v>
      </c>
      <c r="F868" s="82">
        <v>1.954</v>
      </c>
      <c r="G868" s="100">
        <v>0.30499999999999999</v>
      </c>
      <c r="I868" s="18">
        <f t="shared" ref="I868:J868" si="68">AVERAGE(F866:F868)</f>
        <v>1.905</v>
      </c>
      <c r="J868" s="18">
        <f t="shared" si="68"/>
        <v>0.18033333333333332</v>
      </c>
      <c r="L868">
        <f t="shared" ref="L868" si="69">+J868/I868</f>
        <v>9.4663167104111975E-2</v>
      </c>
      <c r="M868">
        <f t="shared" ref="M868" si="70">+(L868-$L$927)/$L$928</f>
        <v>1.5009558229655526</v>
      </c>
      <c r="N868">
        <f t="shared" ref="N868" si="71">+N865+M868</f>
        <v>3.9897457258114573</v>
      </c>
    </row>
    <row r="869" spans="1:14">
      <c r="A869" s="8">
        <v>6</v>
      </c>
      <c r="B869" s="74">
        <v>45108</v>
      </c>
      <c r="C869">
        <v>2023</v>
      </c>
      <c r="D869" s="11" t="s">
        <v>33</v>
      </c>
      <c r="E869" s="15">
        <v>7</v>
      </c>
      <c r="F869" s="82">
        <v>2.0750000000000002</v>
      </c>
      <c r="G869" s="100">
        <v>0.13500000000000001</v>
      </c>
    </row>
    <row r="870" spans="1:14">
      <c r="A870" s="8">
        <v>8</v>
      </c>
      <c r="B870" s="74">
        <v>45108</v>
      </c>
      <c r="C870">
        <v>2023</v>
      </c>
      <c r="D870" s="11" t="s">
        <v>33</v>
      </c>
      <c r="E870" s="15">
        <v>7</v>
      </c>
      <c r="F870" s="82">
        <v>3.8210000000000002</v>
      </c>
      <c r="G870" s="100">
        <v>5.2999999999999999E-2</v>
      </c>
    </row>
    <row r="871" spans="1:14">
      <c r="A871" s="8">
        <v>15</v>
      </c>
      <c r="B871" s="74">
        <v>45108</v>
      </c>
      <c r="C871">
        <v>2023</v>
      </c>
      <c r="D871" s="11" t="s">
        <v>33</v>
      </c>
      <c r="E871" s="15">
        <v>7</v>
      </c>
      <c r="F871" s="82">
        <v>2.8319999999999999</v>
      </c>
      <c r="G871" s="100">
        <v>0.17299999999999999</v>
      </c>
      <c r="I871" s="18">
        <f t="shared" ref="I871:J871" si="72">AVERAGE(F869:F871)</f>
        <v>2.909333333333334</v>
      </c>
      <c r="J871" s="18">
        <f t="shared" si="72"/>
        <v>0.12033333333333333</v>
      </c>
      <c r="L871">
        <f t="shared" ref="L871" si="73">+J871/I871</f>
        <v>4.1361136571952326E-2</v>
      </c>
      <c r="M871">
        <f t="shared" ref="M871" si="74">+(L871-$L$927)/$L$928</f>
        <v>0.20903794608785875</v>
      </c>
      <c r="N871">
        <f t="shared" ref="N871" si="75">+N868+M871</f>
        <v>4.1987836718993163</v>
      </c>
    </row>
    <row r="872" spans="1:14">
      <c r="A872" s="8">
        <v>6</v>
      </c>
      <c r="B872" s="74">
        <v>45139</v>
      </c>
      <c r="C872">
        <v>2023</v>
      </c>
      <c r="D872" s="11" t="s">
        <v>34</v>
      </c>
      <c r="E872" s="15">
        <v>8</v>
      </c>
      <c r="F872" s="82">
        <v>2.1749999999999998</v>
      </c>
      <c r="G872" s="100">
        <v>0.186</v>
      </c>
    </row>
    <row r="873" spans="1:14">
      <c r="A873" s="8">
        <v>8</v>
      </c>
      <c r="B873" s="74">
        <v>45139</v>
      </c>
      <c r="C873">
        <v>2023</v>
      </c>
      <c r="D873" s="11" t="s">
        <v>34</v>
      </c>
      <c r="E873" s="15">
        <v>8</v>
      </c>
      <c r="F873" s="82">
        <v>4.1269999999999998</v>
      </c>
      <c r="G873" s="100">
        <v>6.6000000000000003E-2</v>
      </c>
    </row>
    <row r="874" spans="1:14">
      <c r="A874" s="8">
        <v>15</v>
      </c>
      <c r="B874" s="74">
        <v>45139</v>
      </c>
      <c r="C874">
        <v>2023</v>
      </c>
      <c r="D874" s="11" t="s">
        <v>34</v>
      </c>
      <c r="E874" s="15">
        <v>8</v>
      </c>
      <c r="F874" s="82">
        <v>1.47</v>
      </c>
      <c r="G874" s="100">
        <v>6.2E-2</v>
      </c>
      <c r="I874" s="18">
        <f t="shared" ref="I874:J874" si="76">AVERAGE(F872:F874)</f>
        <v>2.5906666666666665</v>
      </c>
      <c r="J874" s="18">
        <f t="shared" si="76"/>
        <v>0.10466666666666667</v>
      </c>
      <c r="L874">
        <f t="shared" ref="L874" si="77">+J874/I874</f>
        <v>4.0401441070509525E-2</v>
      </c>
      <c r="M874">
        <f t="shared" ref="M874" si="78">+(L874-$L$927)/$L$928</f>
        <v>0.18577714791010458</v>
      </c>
      <c r="N874">
        <f t="shared" ref="N874" si="79">+N871+M874</f>
        <v>4.3845608198094208</v>
      </c>
    </row>
    <row r="875" spans="1:14">
      <c r="A875" s="8">
        <v>6</v>
      </c>
      <c r="B875" s="74">
        <v>45170</v>
      </c>
      <c r="C875">
        <v>2023</v>
      </c>
      <c r="D875" s="11" t="s">
        <v>40</v>
      </c>
      <c r="E875" s="15">
        <v>9</v>
      </c>
      <c r="F875" s="82">
        <v>3.113</v>
      </c>
      <c r="G875" s="100">
        <v>3.9E-2</v>
      </c>
    </row>
    <row r="876" spans="1:14">
      <c r="A876" s="8">
        <v>8</v>
      </c>
      <c r="B876" s="74">
        <v>45170</v>
      </c>
      <c r="C876">
        <v>2023</v>
      </c>
      <c r="D876" s="11" t="s">
        <v>40</v>
      </c>
      <c r="E876" s="15">
        <v>9</v>
      </c>
      <c r="F876" s="82">
        <v>1.782</v>
      </c>
      <c r="G876" s="100">
        <v>0.01</v>
      </c>
    </row>
    <row r="877" spans="1:14">
      <c r="A877" s="8">
        <v>15</v>
      </c>
      <c r="B877" s="74">
        <v>45170</v>
      </c>
      <c r="C877">
        <v>2023</v>
      </c>
      <c r="D877" s="11" t="s">
        <v>40</v>
      </c>
      <c r="E877" s="15">
        <v>9</v>
      </c>
      <c r="F877" s="82">
        <v>2.3119999999999998</v>
      </c>
      <c r="G877" s="100">
        <v>1.4999999999999999E-2</v>
      </c>
      <c r="I877" s="18">
        <f t="shared" ref="I877:J877" si="80">AVERAGE(F875:F877)</f>
        <v>2.402333333333333</v>
      </c>
      <c r="J877" s="18">
        <f t="shared" si="80"/>
        <v>2.1333333333333333E-2</v>
      </c>
      <c r="L877">
        <f t="shared" ref="L877" si="81">+J877/I877</f>
        <v>8.8802553073400875E-3</v>
      </c>
      <c r="M877">
        <f t="shared" ref="M877" si="82">+(L877-$L$927)/$L$928</f>
        <v>-0.57822345359139471</v>
      </c>
      <c r="N877">
        <f t="shared" ref="N877" si="83">+N874+M877</f>
        <v>3.8063373662180262</v>
      </c>
    </row>
    <row r="878" spans="1:14">
      <c r="A878" s="8">
        <v>6</v>
      </c>
      <c r="B878" s="74">
        <v>45200</v>
      </c>
      <c r="C878">
        <v>2023</v>
      </c>
      <c r="D878" s="11" t="s">
        <v>36</v>
      </c>
      <c r="E878" s="15">
        <v>10</v>
      </c>
      <c r="F878" s="100">
        <v>1.2150000000000001</v>
      </c>
      <c r="G878" s="82">
        <v>1.0999999999999999E-2</v>
      </c>
    </row>
    <row r="879" spans="1:14">
      <c r="A879" s="8">
        <v>8</v>
      </c>
      <c r="B879" s="74">
        <v>45200</v>
      </c>
      <c r="C879">
        <v>2023</v>
      </c>
      <c r="D879" s="11" t="s">
        <v>36</v>
      </c>
      <c r="E879" s="15">
        <v>10</v>
      </c>
      <c r="F879" s="82">
        <v>0.91900000000000004</v>
      </c>
      <c r="G879" s="100">
        <v>7.0000000000000001E-3</v>
      </c>
    </row>
    <row r="880" spans="1:14">
      <c r="A880" s="8">
        <v>15</v>
      </c>
      <c r="B880" s="74">
        <v>45200</v>
      </c>
      <c r="C880">
        <v>2023</v>
      </c>
      <c r="D880" s="11" t="s">
        <v>36</v>
      </c>
      <c r="E880" s="15">
        <v>10</v>
      </c>
      <c r="F880" s="82">
        <v>1.343</v>
      </c>
      <c r="G880" s="100">
        <v>8.9999999999999993E-3</v>
      </c>
      <c r="I880" s="18">
        <f t="shared" ref="I880:J880" si="84">AVERAGE(F878:F880)</f>
        <v>1.159</v>
      </c>
      <c r="J880" s="18">
        <f t="shared" si="84"/>
        <v>8.9999999999999993E-3</v>
      </c>
      <c r="L880">
        <f t="shared" ref="L880" si="85">+J880/I880</f>
        <v>7.7653149266609135E-3</v>
      </c>
      <c r="M880">
        <f t="shared" ref="M880" si="86">+(L880-$L$927)/$L$928</f>
        <v>-0.60524702839842148</v>
      </c>
      <c r="N880">
        <f t="shared" ref="N880" si="87">+N877+M880</f>
        <v>3.2010903378196049</v>
      </c>
    </row>
    <row r="881" spans="1:14">
      <c r="A881" s="8">
        <v>6</v>
      </c>
      <c r="B881" s="74">
        <v>45231</v>
      </c>
      <c r="C881">
        <v>2023</v>
      </c>
      <c r="D881" s="11" t="s">
        <v>37</v>
      </c>
      <c r="E881" s="15">
        <v>11</v>
      </c>
      <c r="F881" s="82">
        <v>0.46800000000000003</v>
      </c>
      <c r="G881" s="100">
        <v>9.9989999999999996E-4</v>
      </c>
    </row>
    <row r="882" spans="1:14">
      <c r="A882" s="8">
        <v>8</v>
      </c>
      <c r="B882" s="74">
        <v>45231</v>
      </c>
      <c r="C882">
        <v>2023</v>
      </c>
      <c r="D882" s="11" t="s">
        <v>37</v>
      </c>
      <c r="E882" s="15">
        <v>11</v>
      </c>
      <c r="F882" s="82">
        <v>1.262</v>
      </c>
      <c r="G882" s="100">
        <v>1.6E-2</v>
      </c>
    </row>
    <row r="883" spans="1:14">
      <c r="A883" s="8">
        <v>15</v>
      </c>
      <c r="B883" s="74">
        <v>45231</v>
      </c>
      <c r="C883">
        <v>2023</v>
      </c>
      <c r="D883" s="11" t="s">
        <v>37</v>
      </c>
      <c r="E883" s="15">
        <v>11</v>
      </c>
      <c r="F883" s="82">
        <v>0.68700000000000006</v>
      </c>
      <c r="G883" s="100">
        <v>9.9989999999999996E-4</v>
      </c>
      <c r="I883" s="18">
        <f t="shared" ref="I883:J883" si="88">AVERAGE(F881:F883)</f>
        <v>0.80566666666666664</v>
      </c>
      <c r="J883" s="18">
        <f t="shared" si="88"/>
        <v>5.9999333333333347E-3</v>
      </c>
      <c r="L883">
        <f t="shared" ref="L883" si="89">+J883/I883</f>
        <v>7.447165908150602E-3</v>
      </c>
      <c r="M883">
        <f t="shared" ref="M883" si="90">+(L883-$L$927)/$L$928</f>
        <v>-0.6129582243964159</v>
      </c>
      <c r="N883">
        <f t="shared" ref="N883" si="91">+N880+M883</f>
        <v>2.5881321134231889</v>
      </c>
    </row>
    <row r="884" spans="1:14">
      <c r="A884" s="8">
        <v>6</v>
      </c>
      <c r="B884" s="75">
        <v>45261</v>
      </c>
      <c r="C884">
        <v>2023</v>
      </c>
      <c r="D884" s="11" t="s">
        <v>38</v>
      </c>
      <c r="E884" s="15">
        <v>12</v>
      </c>
      <c r="F884" s="82">
        <v>1.716</v>
      </c>
      <c r="G884" s="100">
        <v>0.02</v>
      </c>
    </row>
    <row r="885" spans="1:14">
      <c r="A885" s="8">
        <v>8</v>
      </c>
      <c r="B885" s="74">
        <v>45261</v>
      </c>
      <c r="C885">
        <v>2023</v>
      </c>
      <c r="D885" s="11" t="s">
        <v>38</v>
      </c>
      <c r="E885" s="15">
        <v>12</v>
      </c>
      <c r="F885" s="82">
        <v>0.36099999999999999</v>
      </c>
      <c r="G885" s="100">
        <v>7.0000000000000001E-3</v>
      </c>
    </row>
    <row r="886" spans="1:14">
      <c r="A886" s="8">
        <v>15</v>
      </c>
      <c r="B886" s="74">
        <v>45261</v>
      </c>
      <c r="C886">
        <v>2023</v>
      </c>
      <c r="D886" s="11" t="s">
        <v>38</v>
      </c>
      <c r="E886" s="15">
        <v>12</v>
      </c>
      <c r="F886" s="82">
        <v>1.167</v>
      </c>
      <c r="G886" s="100">
        <v>1.2E-2</v>
      </c>
      <c r="I886" s="18">
        <f t="shared" ref="I886:J886" si="92">AVERAGE(F884:F886)</f>
        <v>1.0813333333333333</v>
      </c>
      <c r="J886" s="18">
        <f t="shared" si="92"/>
        <v>1.2999999999999999E-2</v>
      </c>
      <c r="L886">
        <f t="shared" ref="L886" si="93">+J886/I886</f>
        <v>1.2022194821208384E-2</v>
      </c>
      <c r="M886">
        <f t="shared" ref="M886" si="94">+(L886-$L$927)/$L$928</f>
        <v>-0.50207011036020577</v>
      </c>
      <c r="N886">
        <f t="shared" ref="N886" si="95">+N883+M886</f>
        <v>2.0860620030629833</v>
      </c>
    </row>
    <row r="887" spans="1:14">
      <c r="A887" s="97">
        <v>6</v>
      </c>
      <c r="B887" s="93">
        <v>45292</v>
      </c>
      <c r="C887" s="94">
        <v>2024</v>
      </c>
      <c r="D887" s="95" t="s">
        <v>39</v>
      </c>
      <c r="E887" s="96">
        <v>1</v>
      </c>
      <c r="F887" s="82">
        <v>1.3340000000000001</v>
      </c>
      <c r="G887" s="100">
        <v>5.0000000000000001E-3</v>
      </c>
    </row>
    <row r="888" spans="1:14">
      <c r="A888" s="8">
        <v>8</v>
      </c>
      <c r="B888" s="76">
        <v>45292</v>
      </c>
      <c r="C888">
        <v>2024</v>
      </c>
      <c r="D888" s="11" t="s">
        <v>39</v>
      </c>
      <c r="E888" s="15">
        <v>1</v>
      </c>
      <c r="F888" s="82">
        <v>1.147</v>
      </c>
      <c r="G888" s="100">
        <v>4.0000000000000001E-3</v>
      </c>
    </row>
    <row r="889" spans="1:14">
      <c r="A889" s="8">
        <v>15</v>
      </c>
      <c r="B889" s="76">
        <v>45292</v>
      </c>
      <c r="C889">
        <v>2024</v>
      </c>
      <c r="D889" s="11" t="s">
        <v>39</v>
      </c>
      <c r="E889" s="15">
        <v>1</v>
      </c>
      <c r="F889" s="82">
        <v>0.875</v>
      </c>
      <c r="G889" s="100">
        <v>5.0000000000000001E-3</v>
      </c>
      <c r="I889" s="18">
        <f t="shared" ref="I889:J889" si="96">AVERAGE(F887:F889)</f>
        <v>1.1186666666666667</v>
      </c>
      <c r="J889" s="18">
        <f t="shared" si="96"/>
        <v>4.6666666666666671E-3</v>
      </c>
      <c r="L889">
        <f t="shared" ref="L889" si="97">+J889/I889</f>
        <v>4.1716328963051254E-3</v>
      </c>
      <c r="M889">
        <f t="shared" ref="M889" si="98">+(L889-$L$927)/$L$928</f>
        <v>-0.69234956487739452</v>
      </c>
      <c r="N889">
        <f t="shared" ref="N889" si="99">+N886+M889</f>
        <v>1.3937124381855888</v>
      </c>
    </row>
    <row r="890" spans="1:14">
      <c r="A890" s="8">
        <v>6</v>
      </c>
      <c r="B890" s="74">
        <v>45323</v>
      </c>
      <c r="C890">
        <v>2024</v>
      </c>
      <c r="D890" s="11" t="s">
        <v>28</v>
      </c>
      <c r="E890" s="15">
        <v>2</v>
      </c>
    </row>
    <row r="891" spans="1:14">
      <c r="A891" s="8">
        <v>8</v>
      </c>
      <c r="B891" s="74">
        <v>45323</v>
      </c>
      <c r="C891">
        <v>2024</v>
      </c>
      <c r="D891" s="11" t="s">
        <v>28</v>
      </c>
      <c r="E891" s="15">
        <v>2</v>
      </c>
    </row>
    <row r="892" spans="1:14">
      <c r="A892" s="8">
        <v>15</v>
      </c>
      <c r="B892" s="74">
        <v>45323</v>
      </c>
      <c r="C892">
        <v>2024</v>
      </c>
      <c r="D892" s="11" t="s">
        <v>28</v>
      </c>
      <c r="E892" s="15">
        <v>2</v>
      </c>
      <c r="I892" s="18"/>
      <c r="J892" s="18"/>
    </row>
    <row r="893" spans="1:14">
      <c r="A893" s="8">
        <v>6</v>
      </c>
      <c r="B893" s="74">
        <v>45352</v>
      </c>
      <c r="C893">
        <v>2024</v>
      </c>
      <c r="D893" s="11" t="s">
        <v>29</v>
      </c>
      <c r="E893" s="15">
        <v>3</v>
      </c>
    </row>
    <row r="894" spans="1:14">
      <c r="A894" s="8">
        <v>8</v>
      </c>
      <c r="B894" s="74">
        <v>45352</v>
      </c>
      <c r="C894">
        <v>2024</v>
      </c>
      <c r="D894" s="11" t="s">
        <v>29</v>
      </c>
      <c r="E894" s="15">
        <v>3</v>
      </c>
      <c r="F894" s="82">
        <v>0.51300000000000001</v>
      </c>
      <c r="G894" s="100">
        <v>1.2E-2</v>
      </c>
    </row>
    <row r="895" spans="1:14">
      <c r="A895" s="8">
        <v>15</v>
      </c>
      <c r="B895" s="74">
        <v>45352</v>
      </c>
      <c r="C895">
        <v>2024</v>
      </c>
      <c r="D895" s="11" t="s">
        <v>29</v>
      </c>
      <c r="E895" s="15">
        <v>3</v>
      </c>
      <c r="I895" s="18">
        <f t="shared" ref="I895:J895" si="100">AVERAGE(F893:F895)</f>
        <v>0.51300000000000001</v>
      </c>
      <c r="J895" s="18">
        <f t="shared" si="100"/>
        <v>1.2E-2</v>
      </c>
      <c r="L895">
        <f t="shared" ref="L895" si="101">+J895/I895</f>
        <v>2.3391812865497075E-2</v>
      </c>
      <c r="M895">
        <f t="shared" ref="M895" si="102">+(L895-$L$927)/$L$928</f>
        <v>-0.22649687875835481</v>
      </c>
      <c r="N895">
        <f>+N889+M895</f>
        <v>1.167215559427234</v>
      </c>
    </row>
    <row r="896" spans="1:14">
      <c r="A896" s="8">
        <v>6</v>
      </c>
      <c r="B896" s="74">
        <v>45383</v>
      </c>
      <c r="C896">
        <v>2024</v>
      </c>
      <c r="D896" s="11" t="s">
        <v>30</v>
      </c>
      <c r="E896" s="15">
        <v>4</v>
      </c>
      <c r="F896" s="82">
        <v>0.79700000000000004</v>
      </c>
      <c r="G896" s="100">
        <v>7.0000000000000001E-3</v>
      </c>
    </row>
    <row r="897" spans="1:14">
      <c r="A897" s="8">
        <v>8</v>
      </c>
      <c r="B897" s="74">
        <v>45383</v>
      </c>
      <c r="C897">
        <v>2024</v>
      </c>
      <c r="D897" s="11" t="s">
        <v>30</v>
      </c>
      <c r="E897" s="15">
        <v>4</v>
      </c>
      <c r="F897" s="82">
        <v>0.436</v>
      </c>
      <c r="G897" s="100">
        <v>8.9999999999999993E-3</v>
      </c>
    </row>
    <row r="898" spans="1:14">
      <c r="A898" s="8">
        <v>15</v>
      </c>
      <c r="B898" s="74">
        <v>45383</v>
      </c>
      <c r="C898">
        <v>2024</v>
      </c>
      <c r="D898" s="11" t="s">
        <v>30</v>
      </c>
      <c r="E898" s="15">
        <v>4</v>
      </c>
      <c r="F898" s="82">
        <v>0.55400000000000005</v>
      </c>
      <c r="G898" s="100">
        <v>5.0000000000000001E-3</v>
      </c>
      <c r="I898" s="18">
        <f t="shared" ref="I898:J898" si="103">AVERAGE(F896:F898)</f>
        <v>0.59566666666666668</v>
      </c>
      <c r="J898" s="18">
        <f t="shared" si="103"/>
        <v>7.0000000000000001E-3</v>
      </c>
      <c r="L898">
        <f t="shared" ref="L898" si="104">+J898/I898</f>
        <v>1.1751538891997761E-2</v>
      </c>
      <c r="M898">
        <f t="shared" ref="M898" si="105">+(L898-$L$927)/$L$928</f>
        <v>-0.50863018377465441</v>
      </c>
      <c r="N898">
        <f t="shared" ref="N898" si="106">+N895+M898</f>
        <v>0.65858537565257957</v>
      </c>
    </row>
    <row r="899" spans="1:14">
      <c r="A899" s="8">
        <v>6</v>
      </c>
      <c r="B899" s="74">
        <v>45413</v>
      </c>
      <c r="C899">
        <v>2024</v>
      </c>
      <c r="D899" s="11" t="s">
        <v>31</v>
      </c>
      <c r="E899" s="15">
        <v>5</v>
      </c>
      <c r="F899" s="82">
        <v>2.819</v>
      </c>
      <c r="G899" s="100">
        <v>1.2E-2</v>
      </c>
    </row>
    <row r="900" spans="1:14">
      <c r="A900" s="8">
        <v>8</v>
      </c>
      <c r="B900" s="74">
        <v>45413</v>
      </c>
      <c r="C900">
        <v>2024</v>
      </c>
      <c r="D900" s="11" t="s">
        <v>31</v>
      </c>
      <c r="E900" s="15">
        <v>5</v>
      </c>
      <c r="F900" s="82">
        <v>4.9580000000000002</v>
      </c>
      <c r="G900" s="100">
        <v>0.04</v>
      </c>
    </row>
    <row r="901" spans="1:14">
      <c r="A901" s="8">
        <v>15</v>
      </c>
      <c r="B901" s="74">
        <v>45413</v>
      </c>
      <c r="C901">
        <v>2024</v>
      </c>
      <c r="D901" s="11" t="s">
        <v>31</v>
      </c>
      <c r="E901" s="15">
        <v>5</v>
      </c>
      <c r="F901" s="82">
        <v>3.1850000000000001</v>
      </c>
      <c r="G901" s="100">
        <v>8.9999999999999993E-3</v>
      </c>
      <c r="I901" s="18">
        <f t="shared" ref="I901:J901" si="107">AVERAGE(F899:F901)</f>
        <v>3.6539999999999999</v>
      </c>
      <c r="J901" s="18">
        <f t="shared" si="107"/>
        <v>2.0333333333333335E-2</v>
      </c>
      <c r="L901">
        <f t="shared" ref="L901" si="108">+J901/I901</f>
        <v>5.5646779784710824E-3</v>
      </c>
      <c r="M901">
        <f t="shared" ref="M901" si="109">+(L901-$L$927)/$L$928</f>
        <v>-0.65858537565272868</v>
      </c>
      <c r="N901">
        <f t="shared" ref="N901" si="110">+N898+M901</f>
        <v>-1.4910295220715852E-13</v>
      </c>
    </row>
    <row r="902" spans="1:14">
      <c r="A902" s="8">
        <v>6</v>
      </c>
      <c r="B902" s="74">
        <v>45444</v>
      </c>
      <c r="C902">
        <v>2024</v>
      </c>
      <c r="D902" s="11" t="s">
        <v>32</v>
      </c>
      <c r="E902" s="15">
        <v>6</v>
      </c>
      <c r="H902" s="101" t="s">
        <v>96</v>
      </c>
    </row>
    <row r="903" spans="1:14">
      <c r="A903" s="8">
        <v>8</v>
      </c>
      <c r="B903" s="74">
        <v>45444</v>
      </c>
      <c r="C903">
        <v>2024</v>
      </c>
      <c r="D903" s="11" t="s">
        <v>32</v>
      </c>
      <c r="E903" s="15">
        <v>6</v>
      </c>
      <c r="H903" s="101" t="s">
        <v>97</v>
      </c>
    </row>
    <row r="904" spans="1:14">
      <c r="A904" s="8">
        <v>15</v>
      </c>
      <c r="B904" s="74">
        <v>45444</v>
      </c>
      <c r="C904">
        <v>2024</v>
      </c>
      <c r="D904" s="11" t="s">
        <v>32</v>
      </c>
      <c r="E904" s="15">
        <v>6</v>
      </c>
    </row>
    <row r="905" spans="1:14">
      <c r="A905" s="8">
        <v>6</v>
      </c>
      <c r="B905" s="74">
        <v>45474</v>
      </c>
      <c r="C905">
        <v>2024</v>
      </c>
      <c r="D905" s="11" t="s">
        <v>33</v>
      </c>
      <c r="E905" s="15">
        <v>7</v>
      </c>
    </row>
    <row r="906" spans="1:14">
      <c r="A906" s="8">
        <v>8</v>
      </c>
      <c r="B906" s="74">
        <v>45474</v>
      </c>
      <c r="C906">
        <v>2024</v>
      </c>
      <c r="D906" s="11" t="s">
        <v>33</v>
      </c>
      <c r="E906" s="15">
        <v>7</v>
      </c>
    </row>
    <row r="907" spans="1:14">
      <c r="A907" s="8">
        <v>15</v>
      </c>
      <c r="B907" s="74">
        <v>45474</v>
      </c>
      <c r="C907">
        <v>2024</v>
      </c>
      <c r="D907" s="11" t="s">
        <v>33</v>
      </c>
      <c r="E907" s="15">
        <v>7</v>
      </c>
    </row>
    <row r="908" spans="1:14">
      <c r="A908" s="8">
        <v>6</v>
      </c>
      <c r="B908" s="74">
        <v>45505</v>
      </c>
      <c r="C908">
        <v>2024</v>
      </c>
      <c r="D908" s="11" t="s">
        <v>34</v>
      </c>
      <c r="E908" s="15">
        <v>8</v>
      </c>
    </row>
    <row r="909" spans="1:14">
      <c r="A909" s="8">
        <v>8</v>
      </c>
      <c r="B909" s="74">
        <v>45505</v>
      </c>
      <c r="C909">
        <v>2024</v>
      </c>
      <c r="D909" s="11" t="s">
        <v>34</v>
      </c>
      <c r="E909" s="15">
        <v>8</v>
      </c>
    </row>
    <row r="910" spans="1:14">
      <c r="A910" s="8">
        <v>15</v>
      </c>
      <c r="B910" s="74">
        <v>45505</v>
      </c>
      <c r="C910">
        <v>2024</v>
      </c>
      <c r="D910" s="11" t="s">
        <v>34</v>
      </c>
      <c r="E910" s="15">
        <v>8</v>
      </c>
    </row>
    <row r="911" spans="1:14">
      <c r="A911" s="8">
        <v>6</v>
      </c>
      <c r="B911" s="74">
        <v>45536</v>
      </c>
      <c r="C911">
        <v>2024</v>
      </c>
      <c r="D911" s="11" t="s">
        <v>40</v>
      </c>
      <c r="E911" s="15">
        <v>9</v>
      </c>
    </row>
    <row r="912" spans="1:14">
      <c r="A912" s="8">
        <v>8</v>
      </c>
      <c r="B912" s="74">
        <v>45536</v>
      </c>
      <c r="C912">
        <v>2024</v>
      </c>
      <c r="D912" s="11" t="s">
        <v>40</v>
      </c>
      <c r="E912" s="15">
        <v>9</v>
      </c>
    </row>
    <row r="913" spans="1:12">
      <c r="A913" s="8">
        <v>15</v>
      </c>
      <c r="B913" s="74">
        <v>45536</v>
      </c>
      <c r="C913">
        <v>2024</v>
      </c>
      <c r="D913" s="11" t="s">
        <v>40</v>
      </c>
      <c r="E913" s="15">
        <v>9</v>
      </c>
    </row>
    <row r="914" spans="1:12">
      <c r="A914" s="8">
        <v>6</v>
      </c>
      <c r="B914" s="74">
        <v>45566</v>
      </c>
      <c r="C914">
        <v>2024</v>
      </c>
      <c r="D914" s="11" t="s">
        <v>36</v>
      </c>
      <c r="E914" s="15">
        <v>10</v>
      </c>
    </row>
    <row r="915" spans="1:12">
      <c r="A915" s="8">
        <v>8</v>
      </c>
      <c r="B915" s="74">
        <v>45566</v>
      </c>
      <c r="C915">
        <v>2024</v>
      </c>
      <c r="D915" s="11" t="s">
        <v>36</v>
      </c>
      <c r="E915" s="15">
        <v>10</v>
      </c>
    </row>
    <row r="916" spans="1:12">
      <c r="A916" s="8">
        <v>15</v>
      </c>
      <c r="B916" s="74">
        <v>45566</v>
      </c>
      <c r="C916">
        <v>2024</v>
      </c>
      <c r="D916" s="11" t="s">
        <v>36</v>
      </c>
      <c r="E916" s="15">
        <v>10</v>
      </c>
    </row>
    <row r="917" spans="1:12">
      <c r="A917" s="8">
        <v>6</v>
      </c>
      <c r="B917" s="74">
        <v>45597</v>
      </c>
      <c r="C917">
        <v>2024</v>
      </c>
      <c r="D917" s="11" t="s">
        <v>37</v>
      </c>
      <c r="E917" s="15">
        <v>11</v>
      </c>
    </row>
    <row r="918" spans="1:12">
      <c r="A918" s="8">
        <v>8</v>
      </c>
      <c r="B918" s="74">
        <v>45597</v>
      </c>
      <c r="C918">
        <v>2024</v>
      </c>
      <c r="D918" s="11" t="s">
        <v>37</v>
      </c>
      <c r="E918" s="15">
        <v>11</v>
      </c>
    </row>
    <row r="919" spans="1:12">
      <c r="A919" s="8">
        <v>15</v>
      </c>
      <c r="B919" s="74">
        <v>45597</v>
      </c>
      <c r="C919">
        <v>2024</v>
      </c>
      <c r="D919" s="11" t="s">
        <v>37</v>
      </c>
      <c r="E919" s="15">
        <v>11</v>
      </c>
    </row>
    <row r="920" spans="1:12">
      <c r="A920" s="8">
        <v>6</v>
      </c>
      <c r="B920" s="75">
        <v>45627</v>
      </c>
      <c r="C920">
        <v>2024</v>
      </c>
      <c r="D920" s="11" t="s">
        <v>38</v>
      </c>
      <c r="E920" s="15">
        <v>12</v>
      </c>
    </row>
    <row r="921" spans="1:12">
      <c r="A921" s="8">
        <v>8</v>
      </c>
      <c r="B921" s="74">
        <v>45627</v>
      </c>
      <c r="C921">
        <v>2024</v>
      </c>
      <c r="D921" s="11" t="s">
        <v>38</v>
      </c>
      <c r="E921" s="15">
        <v>12</v>
      </c>
    </row>
    <row r="922" spans="1:12">
      <c r="A922" s="8">
        <v>15</v>
      </c>
      <c r="B922" s="74">
        <v>45627</v>
      </c>
      <c r="C922">
        <v>2024</v>
      </c>
      <c r="D922" s="11" t="s">
        <v>38</v>
      </c>
      <c r="E922" s="15">
        <v>12</v>
      </c>
    </row>
    <row r="927" spans="1:12">
      <c r="E927" s="92" t="s">
        <v>86</v>
      </c>
      <c r="F927" s="36">
        <f>AVERAGE(F3:F922)</f>
        <v>4.2656993179555611</v>
      </c>
      <c r="K927" s="92" t="s">
        <v>86</v>
      </c>
      <c r="L927" s="92">
        <f>AVERAGE(L4:L922)</f>
        <v>3.2736635600045874E-2</v>
      </c>
    </row>
    <row r="928" spans="1:12">
      <c r="E928" s="92" t="s">
        <v>87</v>
      </c>
      <c r="F928" s="92">
        <f>STDEV(F3:F922)</f>
        <v>3.6477147937740124</v>
      </c>
      <c r="K928" s="92" t="s">
        <v>87</v>
      </c>
      <c r="L928" s="92">
        <f>STDEV(L4:L922)</f>
        <v>4.1258064065945087E-2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BBC9C-CA16-A34F-8014-851C19A44B77}">
  <sheetPr>
    <tabColor theme="9" tint="0.39997558519241921"/>
  </sheetPr>
  <dimension ref="A1:Q928"/>
  <sheetViews>
    <sheetView workbookViewId="0">
      <pane ySplit="2" topLeftCell="A743" activePane="bottomLeft" state="frozen"/>
      <selection pane="bottomLeft" activeCell="O744" sqref="O744"/>
    </sheetView>
  </sheetViews>
  <sheetFormatPr defaultColWidth="11.42578125" defaultRowHeight="15"/>
  <cols>
    <col min="2" max="2" width="10.85546875" style="73"/>
    <col min="14" max="14" width="12.7109375" bestFit="1" customWidth="1"/>
  </cols>
  <sheetData>
    <row r="1" spans="1:17" ht="18">
      <c r="F1" s="1" t="s">
        <v>0</v>
      </c>
      <c r="G1" s="1" t="s">
        <v>1</v>
      </c>
      <c r="I1" s="72" t="s">
        <v>79</v>
      </c>
    </row>
    <row r="2" spans="1:17">
      <c r="A2" s="2" t="s">
        <v>2</v>
      </c>
      <c r="B2" s="76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10</v>
      </c>
      <c r="I2" s="6" t="s">
        <v>7</v>
      </c>
      <c r="J2" s="6" t="s">
        <v>10</v>
      </c>
      <c r="L2" s="71" t="s">
        <v>84</v>
      </c>
      <c r="M2" s="71" t="s">
        <v>88</v>
      </c>
      <c r="N2" s="71" t="s">
        <v>82</v>
      </c>
    </row>
    <row r="3" spans="1:17">
      <c r="A3" s="8">
        <v>6</v>
      </c>
      <c r="B3" s="77">
        <v>36445</v>
      </c>
      <c r="C3" s="10">
        <v>1999</v>
      </c>
      <c r="D3" s="11" t="s">
        <v>14</v>
      </c>
      <c r="E3" s="12">
        <v>10</v>
      </c>
      <c r="F3" s="13">
        <v>3.5698365161440249</v>
      </c>
      <c r="G3" s="13">
        <v>0.97345581050000007</v>
      </c>
    </row>
    <row r="4" spans="1:17">
      <c r="A4" s="8">
        <v>8</v>
      </c>
      <c r="B4" s="77">
        <v>36446</v>
      </c>
      <c r="C4" s="10">
        <v>1999</v>
      </c>
      <c r="D4" s="11" t="s">
        <v>14</v>
      </c>
      <c r="E4" s="12">
        <v>10</v>
      </c>
      <c r="F4" s="13">
        <v>0.68411831495979114</v>
      </c>
      <c r="G4" s="13">
        <v>0.15073272133333332</v>
      </c>
      <c r="Q4" t="s">
        <v>90</v>
      </c>
    </row>
    <row r="5" spans="1:17">
      <c r="A5" s="8">
        <v>15</v>
      </c>
      <c r="B5" s="77">
        <v>36445</v>
      </c>
      <c r="C5" s="10">
        <v>1999</v>
      </c>
      <c r="D5" s="11" t="s">
        <v>14</v>
      </c>
      <c r="E5" s="12">
        <v>10</v>
      </c>
      <c r="F5" s="13">
        <v>2.1260596804117222</v>
      </c>
      <c r="G5" s="13">
        <v>0.25964941783333334</v>
      </c>
      <c r="I5" s="18">
        <f>AVERAGE(F3:F5)</f>
        <v>2.1266715038385127</v>
      </c>
      <c r="J5" s="18">
        <f>AVERAGE(G3:G5)</f>
        <v>0.46127931655555554</v>
      </c>
      <c r="L5">
        <f>+J5/I5</f>
        <v>0.21690200659715167</v>
      </c>
      <c r="M5">
        <f>+(L5-$L$927)/$L$928</f>
        <v>-0.58877275717798994</v>
      </c>
      <c r="N5">
        <f>+M5</f>
        <v>-0.58877275717798994</v>
      </c>
    </row>
    <row r="6" spans="1:17">
      <c r="A6" s="8">
        <v>6</v>
      </c>
      <c r="B6" s="77">
        <v>36472</v>
      </c>
      <c r="C6" s="10">
        <v>1999</v>
      </c>
      <c r="D6" s="11" t="s">
        <v>16</v>
      </c>
      <c r="E6" s="10">
        <v>11</v>
      </c>
      <c r="F6" s="13">
        <v>2.4054250359482343</v>
      </c>
      <c r="G6" s="13">
        <v>0.56843149333333343</v>
      </c>
    </row>
    <row r="7" spans="1:17">
      <c r="A7" s="8">
        <v>8</v>
      </c>
      <c r="B7" s="77">
        <v>36473</v>
      </c>
      <c r="C7" s="10">
        <v>1999</v>
      </c>
      <c r="D7" s="11" t="s">
        <v>16</v>
      </c>
      <c r="E7" s="10">
        <v>11</v>
      </c>
      <c r="F7" s="13">
        <v>0.3110645838477441</v>
      </c>
      <c r="G7" s="13">
        <v>8.7869832333333328E-2</v>
      </c>
    </row>
    <row r="8" spans="1:17">
      <c r="A8" s="8">
        <v>15</v>
      </c>
      <c r="B8" s="77">
        <v>36472</v>
      </c>
      <c r="C8" s="10">
        <v>1999</v>
      </c>
      <c r="D8" s="11" t="s">
        <v>16</v>
      </c>
      <c r="E8" s="10">
        <v>11</v>
      </c>
      <c r="F8" s="13">
        <v>1.3858617673943463</v>
      </c>
      <c r="G8" s="13">
        <v>0.17869869033333333</v>
      </c>
      <c r="I8" s="18">
        <f>AVERAGE(F6:F8)</f>
        <v>1.3674504623967749</v>
      </c>
      <c r="J8" s="18">
        <f>AVERAGE(G6:G8)</f>
        <v>0.27833333866666671</v>
      </c>
      <c r="L8">
        <f>+J8/I8</f>
        <v>0.20354180741496317</v>
      </c>
      <c r="M8">
        <f>+(L8-$L$927)/$L$928</f>
        <v>-0.71550019782719287</v>
      </c>
      <c r="N8">
        <f>+N5+M8</f>
        <v>-1.3042729550051828</v>
      </c>
    </row>
    <row r="9" spans="1:17">
      <c r="A9" s="8">
        <v>6</v>
      </c>
      <c r="B9" s="77">
        <v>36501</v>
      </c>
      <c r="C9" s="10">
        <v>1999</v>
      </c>
      <c r="D9" s="11" t="s">
        <v>17</v>
      </c>
      <c r="E9" s="10">
        <v>12</v>
      </c>
      <c r="F9" s="13">
        <v>4.7679182065098988</v>
      </c>
      <c r="G9" s="13">
        <v>1.5410330740000004</v>
      </c>
    </row>
    <row r="10" spans="1:17">
      <c r="A10" s="8">
        <v>8</v>
      </c>
      <c r="B10" s="77">
        <v>36502</v>
      </c>
      <c r="C10" s="10">
        <v>1999</v>
      </c>
      <c r="D10" s="11" t="s">
        <v>17</v>
      </c>
      <c r="E10" s="10">
        <v>12</v>
      </c>
      <c r="F10" s="13">
        <v>0.21161475257447457</v>
      </c>
      <c r="G10" s="13">
        <v>4.3713193666666664E-2</v>
      </c>
    </row>
    <row r="11" spans="1:17">
      <c r="A11" s="8">
        <v>15</v>
      </c>
      <c r="B11" s="77">
        <v>36501</v>
      </c>
      <c r="C11" s="10">
        <v>1999</v>
      </c>
      <c r="D11" s="11" t="s">
        <v>17</v>
      </c>
      <c r="E11" s="10">
        <v>12</v>
      </c>
      <c r="F11" s="13">
        <v>3.2797970689479876</v>
      </c>
      <c r="G11" s="13">
        <v>0.37226358599999998</v>
      </c>
      <c r="I11" s="18">
        <f>AVERAGE(F9:F11)</f>
        <v>2.7531100093441201</v>
      </c>
      <c r="J11" s="18">
        <f>AVERAGE(G9:G11)</f>
        <v>0.65233661788888897</v>
      </c>
      <c r="L11">
        <f>+J11/I11</f>
        <v>0.23694535113920009</v>
      </c>
      <c r="M11">
        <f>+(L11-$L$927)/$L$928</f>
        <v>-0.39865270573068146</v>
      </c>
      <c r="N11">
        <f>+N8+M11</f>
        <v>-1.7029256607358643</v>
      </c>
    </row>
    <row r="12" spans="1:17">
      <c r="A12" s="8">
        <v>6</v>
      </c>
      <c r="B12" s="77">
        <v>36530</v>
      </c>
      <c r="C12" s="12">
        <v>2000</v>
      </c>
      <c r="D12" s="11" t="s">
        <v>18</v>
      </c>
      <c r="E12" s="10">
        <v>1</v>
      </c>
      <c r="F12" s="13">
        <v>3.2113695330360645</v>
      </c>
      <c r="G12" s="13">
        <v>1.3133687546666666</v>
      </c>
    </row>
    <row r="13" spans="1:17">
      <c r="A13" s="8">
        <v>8</v>
      </c>
      <c r="B13" s="77">
        <v>36531</v>
      </c>
      <c r="C13" s="12">
        <v>2000</v>
      </c>
      <c r="D13" s="11" t="s">
        <v>18</v>
      </c>
      <c r="E13" s="10">
        <v>1</v>
      </c>
      <c r="F13" s="13">
        <v>0.42222455228107891</v>
      </c>
      <c r="G13" s="13">
        <v>0.12130810133333333</v>
      </c>
    </row>
    <row r="14" spans="1:17">
      <c r="A14" s="8">
        <v>15</v>
      </c>
      <c r="B14" s="77">
        <v>36530</v>
      </c>
      <c r="C14" s="12">
        <v>2000</v>
      </c>
      <c r="D14" s="11" t="s">
        <v>18</v>
      </c>
      <c r="E14" s="10">
        <v>1</v>
      </c>
      <c r="F14" s="13">
        <v>2.4582124693169112</v>
      </c>
      <c r="G14" s="13">
        <v>0.84912798500000009</v>
      </c>
      <c r="I14" s="18">
        <f>AVERAGE(F12:F14)</f>
        <v>2.0306021848780182</v>
      </c>
      <c r="J14" s="18">
        <f>AVERAGE(G12:G14)</f>
        <v>0.76126828033333327</v>
      </c>
      <c r="L14">
        <f>+J14/I14</f>
        <v>0.37489779435998388</v>
      </c>
      <c r="M14">
        <f>+(L14-$L$927)/$L$928</f>
        <v>0.90988767022280548</v>
      </c>
      <c r="N14">
        <f>+N11+M14</f>
        <v>-0.79303799051305879</v>
      </c>
    </row>
    <row r="15" spans="1:17">
      <c r="A15" s="8">
        <v>6</v>
      </c>
      <c r="B15" s="77">
        <v>36579</v>
      </c>
      <c r="C15" s="12">
        <v>2000</v>
      </c>
      <c r="D15" s="11" t="s">
        <v>19</v>
      </c>
      <c r="E15" s="12">
        <v>2</v>
      </c>
      <c r="F15" s="13">
        <v>2.0140819848751135</v>
      </c>
      <c r="G15" s="13">
        <v>0.61307109916666658</v>
      </c>
    </row>
    <row r="16" spans="1:17">
      <c r="A16" s="8">
        <v>8</v>
      </c>
      <c r="B16" s="77">
        <v>36578</v>
      </c>
      <c r="C16" s="12">
        <v>2000</v>
      </c>
      <c r="D16" s="11" t="s">
        <v>19</v>
      </c>
      <c r="E16" s="12">
        <v>2</v>
      </c>
      <c r="F16" s="13">
        <v>2.3171913009145619</v>
      </c>
      <c r="G16" s="13">
        <v>0.76498130850000012</v>
      </c>
    </row>
    <row r="17" spans="1:14">
      <c r="A17" s="8">
        <v>15</v>
      </c>
      <c r="B17" s="77">
        <v>36579</v>
      </c>
      <c r="C17" s="12">
        <v>2000</v>
      </c>
      <c r="D17" s="11" t="s">
        <v>19</v>
      </c>
      <c r="E17" s="12">
        <v>2</v>
      </c>
      <c r="F17" s="13">
        <v>2.1126904269730375</v>
      </c>
      <c r="G17" s="13">
        <v>0.73561549999999998</v>
      </c>
      <c r="I17" s="18">
        <f>AVERAGE(F15:F17)</f>
        <v>2.1479879042542378</v>
      </c>
      <c r="J17" s="18">
        <f>AVERAGE(G15:G17)</f>
        <v>0.70455596922222219</v>
      </c>
      <c r="L17">
        <f>+J17/I17</f>
        <v>0.32800741932801419</v>
      </c>
      <c r="M17">
        <f>+(L17-$L$927)/$L$928</f>
        <v>0.46511157535702435</v>
      </c>
      <c r="N17">
        <f>+N14+M17</f>
        <v>-0.32792641515603443</v>
      </c>
    </row>
    <row r="18" spans="1:14">
      <c r="A18" s="8">
        <v>6</v>
      </c>
      <c r="B18" s="77">
        <v>36598</v>
      </c>
      <c r="C18" s="12">
        <v>2000</v>
      </c>
      <c r="D18" s="11" t="s">
        <v>20</v>
      </c>
      <c r="E18" s="12">
        <v>3</v>
      </c>
      <c r="F18" s="13">
        <v>2.4864958323771345</v>
      </c>
      <c r="G18" s="13">
        <v>0.8636486596666666</v>
      </c>
    </row>
    <row r="19" spans="1:14">
      <c r="A19" s="8">
        <v>8</v>
      </c>
      <c r="B19" s="77">
        <v>36599</v>
      </c>
      <c r="C19" s="12">
        <v>2000</v>
      </c>
      <c r="D19" s="11" t="s">
        <v>20</v>
      </c>
      <c r="E19" s="12">
        <v>3</v>
      </c>
      <c r="F19" s="13">
        <v>0.61220145148561822</v>
      </c>
      <c r="G19" s="13">
        <v>9.7627194833333333E-2</v>
      </c>
    </row>
    <row r="20" spans="1:14">
      <c r="A20" s="8">
        <v>15</v>
      </c>
      <c r="B20" s="77">
        <v>36598</v>
      </c>
      <c r="C20" s="12">
        <v>2000</v>
      </c>
      <c r="D20" s="11" t="s">
        <v>20</v>
      </c>
      <c r="E20" s="12">
        <v>3</v>
      </c>
      <c r="F20" s="13">
        <v>1.8999130352897891</v>
      </c>
      <c r="G20" s="13">
        <v>0.82637558733333316</v>
      </c>
      <c r="I20" s="18">
        <f>AVERAGE(F18:F20)</f>
        <v>1.6662034397175141</v>
      </c>
      <c r="J20" s="18">
        <f>AVERAGE(G18:G20)</f>
        <v>0.59588381394444434</v>
      </c>
      <c r="L20">
        <f>+J20/I20</f>
        <v>0.3576296865918544</v>
      </c>
      <c r="M20">
        <f>+(L20-$L$927)/$L$928</f>
        <v>0.7460919758272373</v>
      </c>
      <c r="N20">
        <f>+N17+M20</f>
        <v>0.41816556067120286</v>
      </c>
    </row>
    <row r="21" spans="1:14">
      <c r="A21" s="8">
        <v>6</v>
      </c>
      <c r="B21" s="77">
        <v>36627</v>
      </c>
      <c r="C21" s="12">
        <v>2000</v>
      </c>
      <c r="D21" s="15" t="s">
        <v>21</v>
      </c>
      <c r="E21" s="12">
        <v>4</v>
      </c>
      <c r="F21" s="13">
        <v>5.022326198879675</v>
      </c>
      <c r="G21" s="13">
        <v>1.7924839006666664</v>
      </c>
    </row>
    <row r="22" spans="1:14">
      <c r="A22" s="8">
        <v>8</v>
      </c>
      <c r="B22" s="77">
        <v>36626</v>
      </c>
      <c r="C22" s="12">
        <v>2000</v>
      </c>
      <c r="D22" s="15" t="s">
        <v>21</v>
      </c>
      <c r="E22" s="12">
        <v>4</v>
      </c>
      <c r="F22" s="13">
        <v>1.2058709934784821</v>
      </c>
      <c r="G22" s="13">
        <v>0.36183654816666666</v>
      </c>
    </row>
    <row r="23" spans="1:14">
      <c r="A23" s="8">
        <v>15</v>
      </c>
      <c r="B23" s="77">
        <v>36627</v>
      </c>
      <c r="C23" s="12">
        <v>2000</v>
      </c>
      <c r="D23" s="15" t="s">
        <v>21</v>
      </c>
      <c r="E23" s="12">
        <v>4</v>
      </c>
      <c r="F23" s="13">
        <v>1.4114651038746628</v>
      </c>
      <c r="G23" s="13">
        <v>0.24913746500000003</v>
      </c>
      <c r="I23" s="18">
        <f>AVERAGE(F21:F23)</f>
        <v>2.5465540987442736</v>
      </c>
      <c r="J23" s="18">
        <f>AVERAGE(G21:G23)</f>
        <v>0.80115263794444436</v>
      </c>
      <c r="L23">
        <f>+J23/I23</f>
        <v>0.3146026382630156</v>
      </c>
      <c r="M23">
        <f>+(L23-$L$927)/$L$928</f>
        <v>0.33796125569001628</v>
      </c>
      <c r="N23">
        <f>+N20+M23</f>
        <v>0.75612681636121915</v>
      </c>
    </row>
    <row r="24" spans="1:14">
      <c r="A24" s="8">
        <v>6</v>
      </c>
      <c r="B24" s="77">
        <v>36662</v>
      </c>
      <c r="C24" s="12">
        <v>2000</v>
      </c>
      <c r="D24" s="15" t="s">
        <v>22</v>
      </c>
      <c r="E24" s="12">
        <v>5</v>
      </c>
      <c r="F24" s="13">
        <v>11.531826484625775</v>
      </c>
      <c r="G24" s="13">
        <v>4.3771852110000005</v>
      </c>
    </row>
    <row r="25" spans="1:14">
      <c r="A25" s="8">
        <v>8</v>
      </c>
      <c r="B25" s="77">
        <v>36663</v>
      </c>
      <c r="C25" s="12">
        <v>2000</v>
      </c>
      <c r="D25" s="15" t="s">
        <v>22</v>
      </c>
      <c r="E25" s="12">
        <v>5</v>
      </c>
      <c r="F25" s="13">
        <v>1.1071352573506272</v>
      </c>
      <c r="G25" s="13">
        <v>8.5917101833333329E-2</v>
      </c>
    </row>
    <row r="26" spans="1:14">
      <c r="A26" s="8">
        <v>15</v>
      </c>
      <c r="B26" s="77">
        <v>36662</v>
      </c>
      <c r="C26" s="12">
        <v>2000</v>
      </c>
      <c r="D26" s="15" t="s">
        <v>22</v>
      </c>
      <c r="E26" s="12">
        <v>5</v>
      </c>
      <c r="F26" s="13">
        <v>8.2380986981171329</v>
      </c>
      <c r="G26" s="13">
        <v>3.6005514678333332</v>
      </c>
      <c r="I26" s="18">
        <f>AVERAGE(F24:F26)</f>
        <v>6.9590201466978456</v>
      </c>
      <c r="J26" s="18">
        <f>AVERAGE(G24:G26)</f>
        <v>2.6878845935555553</v>
      </c>
      <c r="L26">
        <f>+J26/I26</f>
        <v>0.38624469205352063</v>
      </c>
      <c r="M26">
        <f>+(L26-$L$927)/$L$928</f>
        <v>1.0175180494111125</v>
      </c>
      <c r="N26">
        <f>+N23+M26</f>
        <v>1.7736448657723316</v>
      </c>
    </row>
    <row r="27" spans="1:14">
      <c r="A27" s="8">
        <v>6</v>
      </c>
      <c r="B27" s="77">
        <v>36690</v>
      </c>
      <c r="C27" s="12">
        <v>2000</v>
      </c>
      <c r="D27" s="15" t="s">
        <v>23</v>
      </c>
      <c r="E27" s="12">
        <v>6</v>
      </c>
      <c r="F27" s="13">
        <v>13.424318765220505</v>
      </c>
      <c r="G27" s="13">
        <v>5.6608219929999999</v>
      </c>
    </row>
    <row r="28" spans="1:14">
      <c r="A28" s="8">
        <v>8</v>
      </c>
      <c r="B28" s="77">
        <v>36692</v>
      </c>
      <c r="C28" s="12">
        <v>2000</v>
      </c>
      <c r="D28" s="15" t="s">
        <v>23</v>
      </c>
      <c r="E28" s="12">
        <v>6</v>
      </c>
      <c r="F28" s="13">
        <v>1.1666711014926385</v>
      </c>
      <c r="G28" s="13">
        <v>0.19910586150000001</v>
      </c>
    </row>
    <row r="29" spans="1:14">
      <c r="A29" s="8">
        <v>15</v>
      </c>
      <c r="B29" s="77">
        <v>36690</v>
      </c>
      <c r="C29" s="12">
        <v>2000</v>
      </c>
      <c r="D29" s="15" t="s">
        <v>23</v>
      </c>
      <c r="E29" s="12">
        <v>6</v>
      </c>
      <c r="F29" s="13">
        <v>11.750560627847415</v>
      </c>
      <c r="G29" s="13">
        <v>5.2775857116666671</v>
      </c>
      <c r="I29" s="18">
        <f>AVERAGE(F27:F29)</f>
        <v>8.7805168315201865</v>
      </c>
      <c r="J29" s="18">
        <f>AVERAGE(G27:G29)</f>
        <v>3.7125045220555557</v>
      </c>
      <c r="L29">
        <f>+J29/I29</f>
        <v>0.42281161727615563</v>
      </c>
      <c r="M29">
        <f>+(L29-$L$927)/$L$928</f>
        <v>1.3643716241731787</v>
      </c>
      <c r="N29">
        <f>+N26+M29</f>
        <v>3.1380164899455103</v>
      </c>
    </row>
    <row r="30" spans="1:14">
      <c r="A30" s="8">
        <v>6</v>
      </c>
      <c r="B30" s="77">
        <v>36718</v>
      </c>
      <c r="C30" s="12">
        <v>2000</v>
      </c>
      <c r="D30" s="15" t="s">
        <v>24</v>
      </c>
      <c r="E30" s="12">
        <v>7</v>
      </c>
      <c r="F30" s="13">
        <v>7.6221527313395994</v>
      </c>
      <c r="G30" s="13">
        <v>1.6186786639999999</v>
      </c>
    </row>
    <row r="31" spans="1:14">
      <c r="A31" s="8">
        <v>8</v>
      </c>
      <c r="B31" s="77">
        <v>36719</v>
      </c>
      <c r="C31" s="12">
        <v>2000</v>
      </c>
      <c r="D31" s="15" t="s">
        <v>24</v>
      </c>
      <c r="E31" s="12">
        <v>7</v>
      </c>
      <c r="F31" s="13">
        <v>1.0363606903029337</v>
      </c>
      <c r="G31" s="13">
        <v>9.9984896500000017E-2</v>
      </c>
    </row>
    <row r="32" spans="1:14">
      <c r="A32" s="8">
        <v>15</v>
      </c>
      <c r="B32" s="77">
        <v>36718</v>
      </c>
      <c r="C32" s="12">
        <v>2000</v>
      </c>
      <c r="D32" s="15" t="s">
        <v>24</v>
      </c>
      <c r="E32" s="12">
        <v>7</v>
      </c>
      <c r="F32" s="13">
        <v>7.445195757866248</v>
      </c>
      <c r="G32" s="13">
        <v>1.9796614495000002</v>
      </c>
      <c r="I32" s="18">
        <f>AVERAGE(F30:F32)</f>
        <v>5.3679030598362614</v>
      </c>
      <c r="J32" s="18">
        <f>AVERAGE(G30:G32)</f>
        <v>1.2327750033333336</v>
      </c>
      <c r="L32">
        <f>+J32/I32</f>
        <v>0.22965671875805768</v>
      </c>
      <c r="M32">
        <f>+(L32-$L$927)/$L$928</f>
        <v>-0.46778863064462273</v>
      </c>
      <c r="N32">
        <f>+N29+M32</f>
        <v>2.6702278593008875</v>
      </c>
    </row>
    <row r="33" spans="1:14">
      <c r="A33" s="8">
        <v>6</v>
      </c>
      <c r="B33" s="77">
        <v>36753</v>
      </c>
      <c r="C33" s="12">
        <v>2000</v>
      </c>
      <c r="D33" s="15" t="s">
        <v>25</v>
      </c>
      <c r="E33" s="12">
        <v>8</v>
      </c>
      <c r="F33" s="13">
        <v>12.145540664255593</v>
      </c>
      <c r="G33" s="13">
        <v>2.2165540666666668</v>
      </c>
    </row>
    <row r="34" spans="1:14">
      <c r="A34" s="8">
        <v>8</v>
      </c>
      <c r="B34" s="77">
        <v>36755</v>
      </c>
      <c r="C34" s="12">
        <v>2000</v>
      </c>
      <c r="D34" s="15" t="s">
        <v>25</v>
      </c>
      <c r="E34" s="12">
        <v>8</v>
      </c>
      <c r="F34" s="13">
        <v>1.4275565005543536</v>
      </c>
      <c r="G34" s="13">
        <v>0.38125440716666664</v>
      </c>
    </row>
    <row r="35" spans="1:14">
      <c r="A35" s="8">
        <v>15</v>
      </c>
      <c r="B35" s="77">
        <v>36753</v>
      </c>
      <c r="C35" s="12">
        <v>2000</v>
      </c>
      <c r="D35" s="15" t="s">
        <v>25</v>
      </c>
      <c r="E35" s="12">
        <v>8</v>
      </c>
      <c r="F35" s="13">
        <v>16.704231616920122</v>
      </c>
      <c r="G35" s="13">
        <v>2.0732825433333333</v>
      </c>
      <c r="I35" s="18">
        <f>AVERAGE(F33:F35)</f>
        <v>10.092442927243356</v>
      </c>
      <c r="J35" s="18">
        <f>AVERAGE(G33:G35)</f>
        <v>1.5570303390555555</v>
      </c>
      <c r="L35">
        <f>+J35/I35</f>
        <v>0.15427685351110942</v>
      </c>
      <c r="M35">
        <f>+(L35-$L$927)/$L$928</f>
        <v>-1.1828002310676895</v>
      </c>
      <c r="N35">
        <f>+N32+M35</f>
        <v>1.487427628233198</v>
      </c>
    </row>
    <row r="36" spans="1:14">
      <c r="A36" s="8">
        <v>6</v>
      </c>
      <c r="B36" s="77">
        <v>36781</v>
      </c>
      <c r="C36" s="12">
        <v>2000</v>
      </c>
      <c r="D36" s="15" t="s">
        <v>26</v>
      </c>
      <c r="E36" s="12">
        <v>9</v>
      </c>
      <c r="F36" s="13">
        <v>5.2565427098916953</v>
      </c>
      <c r="G36" s="13">
        <v>1.1844637148333335</v>
      </c>
    </row>
    <row r="37" spans="1:14">
      <c r="A37" s="8">
        <v>8</v>
      </c>
      <c r="B37" s="77">
        <v>36783</v>
      </c>
      <c r="C37" s="12">
        <v>2000</v>
      </c>
      <c r="D37" s="15" t="s">
        <v>26</v>
      </c>
      <c r="E37" s="12">
        <v>9</v>
      </c>
      <c r="F37" s="13">
        <v>1.9202883328733895</v>
      </c>
      <c r="G37" s="13">
        <v>0.39850095816666664</v>
      </c>
    </row>
    <row r="38" spans="1:14">
      <c r="A38" s="8">
        <v>15</v>
      </c>
      <c r="B38" s="77">
        <v>36781</v>
      </c>
      <c r="C38" s="12">
        <v>2000</v>
      </c>
      <c r="D38" s="15" t="s">
        <v>26</v>
      </c>
      <c r="E38" s="12">
        <v>9</v>
      </c>
      <c r="F38" s="13">
        <v>3.4888421874924349</v>
      </c>
      <c r="G38" s="13">
        <v>0.76015939450000003</v>
      </c>
      <c r="I38" s="18">
        <f>AVERAGE(F36:F38)</f>
        <v>3.5552244100858399</v>
      </c>
      <c r="J38" s="18">
        <f>AVERAGE(G36:G38)</f>
        <v>0.78104135583333345</v>
      </c>
      <c r="L38">
        <f>+J38/I38</f>
        <v>0.21968834192789405</v>
      </c>
      <c r="M38">
        <f>+(L38-$L$927)/$L$928</f>
        <v>-0.56234312537083975</v>
      </c>
      <c r="N38">
        <f>+N35+M38</f>
        <v>0.92508450286235822</v>
      </c>
    </row>
    <row r="39" spans="1:14">
      <c r="A39" s="8">
        <v>6</v>
      </c>
      <c r="B39" s="77">
        <v>36817</v>
      </c>
      <c r="C39" s="12">
        <v>2000</v>
      </c>
      <c r="D39" s="15" t="s">
        <v>14</v>
      </c>
      <c r="E39" s="12">
        <v>10</v>
      </c>
      <c r="F39" s="14">
        <v>3.4158372305855664</v>
      </c>
      <c r="G39" s="14">
        <v>0.31296293366666672</v>
      </c>
    </row>
    <row r="40" spans="1:14">
      <c r="A40" s="8">
        <v>8</v>
      </c>
      <c r="B40" s="77">
        <v>36815</v>
      </c>
      <c r="C40" s="12">
        <v>2000</v>
      </c>
      <c r="D40" s="15" t="s">
        <v>14</v>
      </c>
      <c r="E40" s="12">
        <v>10</v>
      </c>
      <c r="F40" s="14">
        <v>0.74574838611404204</v>
      </c>
      <c r="G40" s="14">
        <v>8.4663819333333321E-2</v>
      </c>
    </row>
    <row r="41" spans="1:14">
      <c r="A41" s="8">
        <v>15</v>
      </c>
      <c r="B41" s="77">
        <v>36817</v>
      </c>
      <c r="C41" s="12">
        <v>2000</v>
      </c>
      <c r="D41" s="15" t="s">
        <v>14</v>
      </c>
      <c r="E41" s="12">
        <v>10</v>
      </c>
      <c r="F41" s="14">
        <v>1.4058698228589261</v>
      </c>
      <c r="G41" s="14">
        <v>0.17209964166666666</v>
      </c>
      <c r="I41" s="18">
        <f>AVERAGE(F39:F41)</f>
        <v>1.8558184798528448</v>
      </c>
      <c r="J41" s="18">
        <f>AVERAGE(G39:G41)</f>
        <v>0.18990879822222226</v>
      </c>
      <c r="L41">
        <f>+J41/I41</f>
        <v>0.10233155897729873</v>
      </c>
      <c r="M41">
        <f>+(L41-$L$927)/$L$928</f>
        <v>-1.6755244891622108</v>
      </c>
      <c r="N41">
        <f>+N38+M41</f>
        <v>-0.75043998629985254</v>
      </c>
    </row>
    <row r="42" spans="1:14">
      <c r="A42" s="8">
        <v>6</v>
      </c>
      <c r="B42" s="77">
        <v>36845</v>
      </c>
      <c r="C42" s="12">
        <v>2000</v>
      </c>
      <c r="D42" s="15" t="s">
        <v>16</v>
      </c>
      <c r="E42" s="12">
        <v>11</v>
      </c>
      <c r="F42" s="14">
        <v>3.0933376734382509</v>
      </c>
      <c r="G42" s="14">
        <v>0.42752280849999996</v>
      </c>
    </row>
    <row r="43" spans="1:14">
      <c r="A43" s="8">
        <v>8</v>
      </c>
      <c r="B43" s="77">
        <v>36846</v>
      </c>
      <c r="C43" s="12">
        <v>2000</v>
      </c>
      <c r="D43" s="15" t="s">
        <v>16</v>
      </c>
      <c r="E43" s="12">
        <v>11</v>
      </c>
      <c r="F43" s="14">
        <v>0.53539094207744464</v>
      </c>
      <c r="G43" s="14">
        <v>7.153501683333334E-2</v>
      </c>
    </row>
    <row r="44" spans="1:14">
      <c r="A44" s="8">
        <v>15</v>
      </c>
      <c r="B44" s="77">
        <v>36845</v>
      </c>
      <c r="C44" s="12">
        <v>2000</v>
      </c>
      <c r="D44" s="15" t="s">
        <v>16</v>
      </c>
      <c r="E44" s="12">
        <v>11</v>
      </c>
      <c r="F44" s="14">
        <v>1.4195202317793862</v>
      </c>
      <c r="G44" s="14">
        <v>0.26097534983333337</v>
      </c>
      <c r="I44" s="18">
        <f>AVERAGE(F42:F44)</f>
        <v>1.682749615765027</v>
      </c>
      <c r="J44" s="18">
        <f>AVERAGE(G42:G44)</f>
        <v>0.25334439172222223</v>
      </c>
      <c r="L44">
        <f>+J44/I44</f>
        <v>0.15055382532774758</v>
      </c>
      <c r="M44">
        <f>+(L44-$L$927)/$L$928</f>
        <v>-1.2181148118391576</v>
      </c>
      <c r="N44">
        <f>+N41+M44</f>
        <v>-1.9685547981390101</v>
      </c>
    </row>
    <row r="45" spans="1:14">
      <c r="A45" s="8">
        <v>6</v>
      </c>
      <c r="B45" s="77">
        <v>36871</v>
      </c>
      <c r="C45" s="12">
        <v>2000</v>
      </c>
      <c r="D45" s="15" t="s">
        <v>17</v>
      </c>
      <c r="E45" s="12">
        <v>12</v>
      </c>
      <c r="F45" s="14">
        <v>2.1850567255155466</v>
      </c>
      <c r="G45" s="14">
        <v>0.17106546083333335</v>
      </c>
    </row>
    <row r="46" spans="1:14">
      <c r="A46" s="8">
        <v>8</v>
      </c>
      <c r="B46" s="77">
        <v>36873</v>
      </c>
      <c r="C46" s="12">
        <v>2000</v>
      </c>
      <c r="D46" s="15" t="s">
        <v>17</v>
      </c>
      <c r="E46" s="12">
        <v>12</v>
      </c>
      <c r="F46" s="14">
        <v>2.077736344384836</v>
      </c>
      <c r="G46" s="14">
        <v>0.5350471086666666</v>
      </c>
    </row>
    <row r="47" spans="1:14">
      <c r="A47" s="8">
        <v>15</v>
      </c>
      <c r="B47" s="77">
        <v>36871</v>
      </c>
      <c r="C47" s="12">
        <v>2000</v>
      </c>
      <c r="D47" s="15" t="s">
        <v>17</v>
      </c>
      <c r="E47" s="12">
        <v>12</v>
      </c>
      <c r="F47" s="16">
        <v>4.0582539529803396</v>
      </c>
      <c r="I47" s="18">
        <f>AVERAGE(F45:F47)</f>
        <v>2.7736823409602409</v>
      </c>
      <c r="J47" s="18">
        <f>AVERAGE(G45:G47)</f>
        <v>0.35305628474999995</v>
      </c>
      <c r="L47">
        <f>+J47/I47</f>
        <v>0.12728793039356226</v>
      </c>
      <c r="M47">
        <f>+(L47-$L$927)/$L$928</f>
        <v>-1.4388021892663843</v>
      </c>
      <c r="N47">
        <f>+N44+M47</f>
        <v>-3.4073569874053944</v>
      </c>
    </row>
    <row r="48" spans="1:14">
      <c r="A48" s="8">
        <v>6</v>
      </c>
      <c r="B48" s="77">
        <v>36901</v>
      </c>
      <c r="C48" s="12">
        <v>2001</v>
      </c>
      <c r="D48" s="15" t="s">
        <v>18</v>
      </c>
      <c r="E48" s="12">
        <v>1</v>
      </c>
      <c r="F48" s="14">
        <v>2.7547221587334612</v>
      </c>
      <c r="G48" s="14">
        <v>0.65235760050000013</v>
      </c>
    </row>
    <row r="49" spans="1:14">
      <c r="A49" s="8">
        <v>8</v>
      </c>
      <c r="B49" s="77">
        <v>36902</v>
      </c>
      <c r="C49" s="12">
        <v>2001</v>
      </c>
      <c r="D49" s="15" t="s">
        <v>18</v>
      </c>
      <c r="E49" s="12">
        <v>1</v>
      </c>
      <c r="F49" s="14">
        <v>2.4730812884833537</v>
      </c>
      <c r="G49" s="14">
        <v>0.71212465633333333</v>
      </c>
    </row>
    <row r="50" spans="1:14">
      <c r="A50" s="8">
        <v>15</v>
      </c>
      <c r="B50" s="77">
        <v>36901</v>
      </c>
      <c r="C50" s="12">
        <v>2001</v>
      </c>
      <c r="D50" s="15" t="s">
        <v>18</v>
      </c>
      <c r="E50" s="12">
        <v>1</v>
      </c>
      <c r="F50" s="14">
        <v>3.6258114287200369</v>
      </c>
      <c r="G50" s="14">
        <v>0.72502974450000002</v>
      </c>
      <c r="I50" s="18">
        <f>AVERAGE(F48:F50)</f>
        <v>2.9512049586456173</v>
      </c>
      <c r="J50" s="18">
        <f>AVERAGE(G48:G50)</f>
        <v>0.69650400044444449</v>
      </c>
      <c r="L50">
        <f>+J50/I50</f>
        <v>0.23600665158955542</v>
      </c>
      <c r="M50">
        <f>+(L50-$L$927)/$L$928</f>
        <v>-0.40755668911018245</v>
      </c>
      <c r="N50">
        <f>+N47+M50</f>
        <v>-3.8149136765155767</v>
      </c>
    </row>
    <row r="51" spans="1:14">
      <c r="A51" s="12">
        <v>6</v>
      </c>
      <c r="B51" s="77">
        <v>36928</v>
      </c>
      <c r="C51" s="12">
        <v>2001</v>
      </c>
      <c r="D51" s="11" t="s">
        <v>19</v>
      </c>
      <c r="E51" s="12">
        <v>2</v>
      </c>
      <c r="F51" s="14">
        <v>2.3890516644127744</v>
      </c>
      <c r="G51" s="14">
        <v>0.3875091831666666</v>
      </c>
    </row>
    <row r="52" spans="1:14">
      <c r="A52" s="12">
        <v>8</v>
      </c>
      <c r="B52" s="77">
        <v>36929</v>
      </c>
      <c r="C52" s="12">
        <v>2001</v>
      </c>
      <c r="D52" s="11" t="s">
        <v>19</v>
      </c>
      <c r="E52" s="12">
        <v>2</v>
      </c>
      <c r="F52" s="14">
        <v>1.3636171179404875</v>
      </c>
      <c r="G52" s="14">
        <v>0.37175451533333331</v>
      </c>
    </row>
    <row r="53" spans="1:14">
      <c r="A53" s="12">
        <v>15</v>
      </c>
      <c r="B53" s="77">
        <v>36928</v>
      </c>
      <c r="C53" s="12">
        <v>2001</v>
      </c>
      <c r="D53" s="11" t="s">
        <v>19</v>
      </c>
      <c r="E53" s="12">
        <v>2</v>
      </c>
      <c r="F53" s="14">
        <v>2.701629826425525</v>
      </c>
      <c r="G53" s="14">
        <v>0.8946008061666666</v>
      </c>
      <c r="I53" s="18">
        <f>AVERAGE(F51:F53)</f>
        <v>2.151432869592929</v>
      </c>
      <c r="J53" s="18">
        <f>AVERAGE(G51:G53)</f>
        <v>0.55128816822222215</v>
      </c>
      <c r="L53">
        <f>+J53/I53</f>
        <v>0.25624232854940576</v>
      </c>
      <c r="M53">
        <f>+(L53-$L$927)/$L$928</f>
        <v>-0.21561227900402966</v>
      </c>
      <c r="N53">
        <f>+N50+M53</f>
        <v>-4.0305259555196065</v>
      </c>
    </row>
    <row r="54" spans="1:14">
      <c r="A54" s="8">
        <v>6</v>
      </c>
      <c r="B54" s="77">
        <v>36965</v>
      </c>
      <c r="C54" s="12">
        <v>2001</v>
      </c>
      <c r="D54" s="11" t="s">
        <v>20</v>
      </c>
      <c r="E54" s="12">
        <v>3</v>
      </c>
      <c r="F54" s="14">
        <v>2.9077453926478527</v>
      </c>
      <c r="G54" s="14">
        <v>0.64670687416666661</v>
      </c>
    </row>
    <row r="55" spans="1:14">
      <c r="A55" s="8">
        <v>8</v>
      </c>
      <c r="B55" s="77">
        <v>36962</v>
      </c>
      <c r="C55" s="12">
        <v>2001</v>
      </c>
      <c r="D55" s="11" t="s">
        <v>20</v>
      </c>
      <c r="E55" s="12">
        <v>3</v>
      </c>
      <c r="F55" s="14">
        <v>2.191786585873297</v>
      </c>
      <c r="G55" s="14">
        <v>0.80983299216666671</v>
      </c>
    </row>
    <row r="56" spans="1:14">
      <c r="A56" s="8">
        <v>15</v>
      </c>
      <c r="B56" s="77">
        <v>36964</v>
      </c>
      <c r="C56" s="12">
        <v>2001</v>
      </c>
      <c r="D56" s="11" t="s">
        <v>20</v>
      </c>
      <c r="E56" s="12">
        <v>3</v>
      </c>
      <c r="F56" s="14">
        <v>2.4905588595304975</v>
      </c>
      <c r="G56" s="14">
        <v>0.6404291396666667</v>
      </c>
      <c r="I56" s="18">
        <f>AVERAGE(F54:F56)</f>
        <v>2.5300302793505489</v>
      </c>
      <c r="J56" s="18">
        <f>AVERAGE(G54:G56)</f>
        <v>0.69898966866666667</v>
      </c>
      <c r="L56">
        <f>+J56/I56</f>
        <v>0.27627719492989433</v>
      </c>
      <c r="M56">
        <f>+(L56-$L$927)/$L$928</f>
        <v>-2.5572646695780354E-2</v>
      </c>
      <c r="N56">
        <f>+N53+M56</f>
        <v>-4.0560986022153864</v>
      </c>
    </row>
    <row r="57" spans="1:14">
      <c r="A57" s="8">
        <v>6</v>
      </c>
      <c r="B57" s="77">
        <v>37000</v>
      </c>
      <c r="C57" s="12">
        <v>2001</v>
      </c>
      <c r="D57" s="15" t="s">
        <v>21</v>
      </c>
      <c r="E57" s="12">
        <v>4</v>
      </c>
      <c r="F57" s="14">
        <v>4.814884497431553</v>
      </c>
      <c r="G57" s="14">
        <v>1.8293932446666668</v>
      </c>
    </row>
    <row r="58" spans="1:14">
      <c r="A58" s="8">
        <v>8</v>
      </c>
      <c r="B58" s="77">
        <v>36998</v>
      </c>
      <c r="C58" s="12">
        <v>2001</v>
      </c>
      <c r="D58" s="15" t="s">
        <v>21</v>
      </c>
      <c r="E58" s="12">
        <v>4</v>
      </c>
      <c r="F58" s="14">
        <v>0.60571313771529633</v>
      </c>
      <c r="G58" s="14">
        <v>0.10904752850000002</v>
      </c>
    </row>
    <row r="59" spans="1:14">
      <c r="A59" s="8">
        <v>15</v>
      </c>
      <c r="B59" s="77">
        <v>36997</v>
      </c>
      <c r="C59" s="12">
        <v>2001</v>
      </c>
      <c r="D59" s="15" t="s">
        <v>21</v>
      </c>
      <c r="E59" s="12">
        <v>4</v>
      </c>
      <c r="F59" s="14">
        <v>3.859447166535396</v>
      </c>
      <c r="G59" s="14">
        <v>2.0028922016666666</v>
      </c>
      <c r="I59" s="18">
        <f>AVERAGE(F57:F59)</f>
        <v>3.0933482672274155</v>
      </c>
      <c r="J59" s="18">
        <f>AVERAGE(G57:G59)</f>
        <v>1.3137776582777778</v>
      </c>
      <c r="L59">
        <f>+J59/I59</f>
        <v>0.42471055464288981</v>
      </c>
      <c r="M59">
        <f>+(L59-$L$927)/$L$928</f>
        <v>1.3823838909932862</v>
      </c>
      <c r="N59">
        <f>+N56+M59</f>
        <v>-2.6737147112221002</v>
      </c>
    </row>
    <row r="60" spans="1:14">
      <c r="A60" s="8">
        <v>6</v>
      </c>
      <c r="B60" s="77">
        <v>37026</v>
      </c>
      <c r="C60" s="12">
        <v>2001</v>
      </c>
      <c r="D60" s="15" t="s">
        <v>22</v>
      </c>
      <c r="E60" s="12">
        <v>5</v>
      </c>
      <c r="F60" s="14">
        <v>6.205030488723108</v>
      </c>
      <c r="G60" s="14">
        <v>2.432378433666667</v>
      </c>
    </row>
    <row r="61" spans="1:14">
      <c r="A61" s="8">
        <v>8</v>
      </c>
      <c r="B61" s="77">
        <v>37025</v>
      </c>
      <c r="C61" s="12">
        <v>2001</v>
      </c>
      <c r="D61" s="15" t="s">
        <v>22</v>
      </c>
      <c r="E61" s="12">
        <v>5</v>
      </c>
      <c r="F61" s="14">
        <v>0.86197970184224748</v>
      </c>
      <c r="G61" s="14">
        <v>0.14531766033333335</v>
      </c>
    </row>
    <row r="62" spans="1:14">
      <c r="A62" s="8">
        <v>15</v>
      </c>
      <c r="B62" s="77">
        <v>37026</v>
      </c>
      <c r="C62" s="12">
        <v>2001</v>
      </c>
      <c r="D62" s="15" t="s">
        <v>22</v>
      </c>
      <c r="E62" s="12">
        <v>5</v>
      </c>
      <c r="F62" s="14">
        <v>3.5794526957542616</v>
      </c>
      <c r="G62" s="14">
        <v>1.2700344473333331</v>
      </c>
      <c r="I62" s="18">
        <f>AVERAGE(F60:F62)</f>
        <v>3.548820962106539</v>
      </c>
      <c r="J62" s="18">
        <f>AVERAGE(G60:G62)</f>
        <v>1.282576847111111</v>
      </c>
      <c r="L62">
        <f>+J62/I62</f>
        <v>0.36140928516996479</v>
      </c>
      <c r="M62">
        <f>+(L62-$L$927)/$L$928</f>
        <v>0.78194315199262399</v>
      </c>
      <c r="N62">
        <f>+N59+M62</f>
        <v>-1.8917715592294764</v>
      </c>
    </row>
    <row r="63" spans="1:14">
      <c r="A63" s="8">
        <v>6</v>
      </c>
      <c r="B63" s="77">
        <v>37055</v>
      </c>
      <c r="C63" s="12">
        <v>2001</v>
      </c>
      <c r="D63" s="15" t="s">
        <v>23</v>
      </c>
      <c r="E63" s="12">
        <v>6</v>
      </c>
      <c r="F63" s="14">
        <v>8.4036698540666652</v>
      </c>
      <c r="G63" s="14">
        <v>2.8457924576666667</v>
      </c>
    </row>
    <row r="64" spans="1:14">
      <c r="A64" s="8">
        <v>8</v>
      </c>
      <c r="B64" s="77">
        <v>37054</v>
      </c>
      <c r="C64" s="12">
        <v>2001</v>
      </c>
      <c r="D64" s="15" t="s">
        <v>23</v>
      </c>
      <c r="E64" s="12">
        <v>6</v>
      </c>
      <c r="F64" s="14">
        <v>1.188037214238655</v>
      </c>
      <c r="G64" s="14">
        <v>7.1635342333333324E-2</v>
      </c>
    </row>
    <row r="65" spans="1:14">
      <c r="A65" s="8">
        <v>15</v>
      </c>
      <c r="B65" s="77">
        <v>37055</v>
      </c>
      <c r="C65" s="12">
        <v>2001</v>
      </c>
      <c r="D65" s="15" t="s">
        <v>23</v>
      </c>
      <c r="E65" s="12">
        <v>6</v>
      </c>
      <c r="F65" s="14">
        <v>8.4755321996998116</v>
      </c>
      <c r="G65" s="14">
        <v>2.5393860103333332</v>
      </c>
      <c r="I65" s="18">
        <f>AVERAGE(F63:F65)</f>
        <v>6.0224130893350436</v>
      </c>
      <c r="J65" s="18">
        <f>AVERAGE(G63:G65)</f>
        <v>1.8189379367777778</v>
      </c>
      <c r="L65">
        <f>+J65/I65</f>
        <v>0.30202809236033545</v>
      </c>
      <c r="M65">
        <f>+(L65-$L$927)/$L$928</f>
        <v>0.21868608637240269</v>
      </c>
      <c r="N65">
        <f>+N62+M65</f>
        <v>-1.6730854728570737</v>
      </c>
    </row>
    <row r="66" spans="1:14">
      <c r="A66" s="8">
        <v>6</v>
      </c>
      <c r="B66" s="77">
        <v>37092</v>
      </c>
      <c r="C66" s="12">
        <v>2001</v>
      </c>
      <c r="D66" s="15" t="s">
        <v>24</v>
      </c>
      <c r="E66" s="12">
        <v>7</v>
      </c>
      <c r="F66" s="14">
        <v>7.6810494233998599</v>
      </c>
      <c r="G66" s="14">
        <v>1.0852984053333332</v>
      </c>
    </row>
    <row r="67" spans="1:14">
      <c r="A67" s="8">
        <v>8</v>
      </c>
      <c r="B67" s="77">
        <v>37090</v>
      </c>
      <c r="C67" s="12">
        <v>2001</v>
      </c>
      <c r="D67" s="15" t="s">
        <v>24</v>
      </c>
      <c r="E67" s="12">
        <v>7</v>
      </c>
      <c r="F67" s="14">
        <v>1.0569016834841709</v>
      </c>
      <c r="G67" s="14">
        <v>0.14662430299999998</v>
      </c>
    </row>
    <row r="68" spans="1:14">
      <c r="A68" s="8">
        <v>15</v>
      </c>
      <c r="B68" s="77">
        <v>37092</v>
      </c>
      <c r="C68" s="12">
        <v>2001</v>
      </c>
      <c r="D68" s="15" t="s">
        <v>24</v>
      </c>
      <c r="E68" s="12">
        <v>7</v>
      </c>
      <c r="F68" s="14">
        <v>2.4321721252965971</v>
      </c>
      <c r="G68" s="14">
        <v>0.386620511</v>
      </c>
      <c r="I68" s="18">
        <f>AVERAGE(F66:F68)</f>
        <v>3.7233744107268762</v>
      </c>
      <c r="J68" s="18">
        <f>AVERAGE(G66:G68)</f>
        <v>0.53951440644444448</v>
      </c>
      <c r="L68">
        <f>+J68/I68</f>
        <v>0.14489931630032357</v>
      </c>
      <c r="M68">
        <f>+(L68-$L$927)/$L$928</f>
        <v>-1.2717503488099378</v>
      </c>
      <c r="N68">
        <f>+N65+M68</f>
        <v>-2.9448358216670112</v>
      </c>
    </row>
    <row r="69" spans="1:14">
      <c r="A69" s="8">
        <v>6</v>
      </c>
      <c r="B69" s="77">
        <v>37118</v>
      </c>
      <c r="C69" s="12">
        <v>2001</v>
      </c>
      <c r="D69" s="15" t="s">
        <v>25</v>
      </c>
      <c r="E69" s="12">
        <v>8</v>
      </c>
      <c r="F69" s="14">
        <v>2.9668356791150874</v>
      </c>
      <c r="G69" s="14">
        <v>0.4979255205</v>
      </c>
    </row>
    <row r="70" spans="1:14">
      <c r="A70" s="8">
        <v>8</v>
      </c>
      <c r="B70" s="77">
        <v>37117</v>
      </c>
      <c r="C70" s="12">
        <v>2001</v>
      </c>
      <c r="D70" s="15" t="s">
        <v>25</v>
      </c>
      <c r="E70" s="12">
        <v>8</v>
      </c>
      <c r="F70" s="14">
        <v>0.75939941819857038</v>
      </c>
      <c r="G70" s="14">
        <v>7.2448324833333327E-2</v>
      </c>
    </row>
    <row r="71" spans="1:14">
      <c r="A71" s="8">
        <v>15</v>
      </c>
      <c r="B71" s="77">
        <v>37118</v>
      </c>
      <c r="C71" s="12">
        <v>2001</v>
      </c>
      <c r="D71" s="15" t="s">
        <v>25</v>
      </c>
      <c r="E71" s="12">
        <v>8</v>
      </c>
      <c r="F71" s="14">
        <v>5.5862372930010453</v>
      </c>
      <c r="G71" s="14">
        <v>1.5699339944999999</v>
      </c>
      <c r="I71" s="18">
        <f>AVERAGE(F69:F71)</f>
        <v>3.1041574634382343</v>
      </c>
      <c r="J71" s="18">
        <f>AVERAGE(G69:G71)</f>
        <v>0.7134359466111112</v>
      </c>
      <c r="L71">
        <f>+J71/I71</f>
        <v>0.22983239575124309</v>
      </c>
      <c r="M71">
        <f>+(L71-$L$927)/$L$928</f>
        <v>-0.46612225610755631</v>
      </c>
      <c r="N71">
        <f>+N68+M71</f>
        <v>-3.4109580777745676</v>
      </c>
    </row>
    <row r="72" spans="1:14">
      <c r="A72" s="8">
        <v>6</v>
      </c>
      <c r="B72" s="77">
        <v>37152</v>
      </c>
      <c r="C72" s="12">
        <v>2001</v>
      </c>
      <c r="D72" s="15" t="s">
        <v>26</v>
      </c>
      <c r="E72" s="12">
        <v>9</v>
      </c>
      <c r="F72" s="14">
        <v>6.3473835958746339</v>
      </c>
      <c r="G72" s="14">
        <v>1.6761167424999999</v>
      </c>
    </row>
    <row r="73" spans="1:14">
      <c r="A73" s="8">
        <v>8</v>
      </c>
      <c r="B73" s="77">
        <v>37145</v>
      </c>
      <c r="C73" s="12">
        <v>2001</v>
      </c>
      <c r="D73" s="15" t="s">
        <v>26</v>
      </c>
      <c r="E73" s="12">
        <v>9</v>
      </c>
      <c r="F73" s="14">
        <v>3.1412798663020811</v>
      </c>
      <c r="G73" s="14">
        <v>0.20849442033333332</v>
      </c>
    </row>
    <row r="74" spans="1:14">
      <c r="A74" s="8">
        <v>15</v>
      </c>
      <c r="B74" s="77">
        <v>37145</v>
      </c>
      <c r="C74" s="12">
        <v>2001</v>
      </c>
      <c r="D74" s="15" t="s">
        <v>26</v>
      </c>
      <c r="E74" s="12">
        <v>9</v>
      </c>
      <c r="F74" s="14">
        <v>3.0149514231719947</v>
      </c>
      <c r="G74" s="14">
        <v>0.52306319099999998</v>
      </c>
      <c r="I74" s="18">
        <f>AVERAGE(F72:F74)</f>
        <v>4.1678716284495705</v>
      </c>
      <c r="J74" s="18">
        <f>AVERAGE(G72:G74)</f>
        <v>0.80255811794444432</v>
      </c>
      <c r="L74">
        <f>+J74/I74</f>
        <v>0.19255826222339587</v>
      </c>
      <c r="M74">
        <f>+(L74-$L$927)/$L$928</f>
        <v>-0.81968401667608048</v>
      </c>
      <c r="N74">
        <f>+N71+M74</f>
        <v>-4.2306420944506478</v>
      </c>
    </row>
    <row r="75" spans="1:14">
      <c r="A75" s="8">
        <v>6</v>
      </c>
      <c r="B75" s="77">
        <v>37180</v>
      </c>
      <c r="C75" s="12">
        <v>2001</v>
      </c>
      <c r="D75" s="15" t="s">
        <v>14</v>
      </c>
      <c r="E75" s="12">
        <v>10</v>
      </c>
      <c r="F75" s="13">
        <v>1.0548604323549744</v>
      </c>
      <c r="G75" s="13">
        <v>9.3142629673298657E-2</v>
      </c>
    </row>
    <row r="76" spans="1:14">
      <c r="A76" s="8">
        <v>8</v>
      </c>
      <c r="B76" s="77">
        <v>37182</v>
      </c>
      <c r="C76" s="12">
        <v>2001</v>
      </c>
      <c r="D76" s="15" t="s">
        <v>14</v>
      </c>
      <c r="E76" s="12">
        <v>10</v>
      </c>
      <c r="F76" s="13">
        <v>0.34843414570771769</v>
      </c>
      <c r="G76" s="13">
        <v>5.3769445360710141E-2</v>
      </c>
    </row>
    <row r="77" spans="1:14">
      <c r="A77" s="8">
        <v>15</v>
      </c>
      <c r="B77" s="77">
        <v>37180</v>
      </c>
      <c r="C77" s="12">
        <v>2001</v>
      </c>
      <c r="D77" s="15" t="s">
        <v>14</v>
      </c>
      <c r="E77" s="12">
        <v>10</v>
      </c>
      <c r="F77" s="13">
        <v>0.65471596515874708</v>
      </c>
      <c r="G77" s="13">
        <v>6.5474439951816843E-2</v>
      </c>
      <c r="I77" s="18">
        <f>AVERAGE(F75:F77)</f>
        <v>0.68600351440714646</v>
      </c>
      <c r="J77" s="18">
        <f>AVERAGE(G75:G77)</f>
        <v>7.0795504995275219E-2</v>
      </c>
      <c r="L77">
        <f>+J77/I77</f>
        <v>0.10319991590197268</v>
      </c>
      <c r="M77">
        <f>+(L77-$L$927)/$L$928</f>
        <v>-1.6672877369152341</v>
      </c>
      <c r="N77">
        <f>+N74+M77</f>
        <v>-5.8979298313658823</v>
      </c>
    </row>
    <row r="78" spans="1:14">
      <c r="A78" s="8">
        <v>6</v>
      </c>
      <c r="B78" s="77">
        <v>37201</v>
      </c>
      <c r="C78" s="12">
        <v>2001</v>
      </c>
      <c r="D78" s="15" t="s">
        <v>16</v>
      </c>
      <c r="E78" s="12">
        <v>11</v>
      </c>
      <c r="F78" s="13">
        <v>1.5054241934185941</v>
      </c>
      <c r="G78" s="13">
        <v>0.41026282776830753</v>
      </c>
    </row>
    <row r="79" spans="1:14">
      <c r="A79" s="8">
        <v>8</v>
      </c>
      <c r="B79" s="77">
        <v>37202</v>
      </c>
      <c r="C79" s="12">
        <v>2001</v>
      </c>
      <c r="D79" s="15" t="s">
        <v>16</v>
      </c>
      <c r="E79" s="12">
        <v>11</v>
      </c>
      <c r="F79" s="13">
        <v>0.39829726707135099</v>
      </c>
      <c r="G79" s="13">
        <v>6.3796608848175312E-2</v>
      </c>
    </row>
    <row r="80" spans="1:14">
      <c r="A80" s="8">
        <v>15</v>
      </c>
      <c r="B80" s="77">
        <v>37201</v>
      </c>
      <c r="C80" s="12">
        <v>2001</v>
      </c>
      <c r="D80" s="15" t="s">
        <v>16</v>
      </c>
      <c r="E80" s="12">
        <v>11</v>
      </c>
      <c r="F80" s="13">
        <v>1.0344293256584844</v>
      </c>
      <c r="G80" s="13">
        <v>0.26077977908962741</v>
      </c>
      <c r="I80" s="18">
        <f>AVERAGE(F78:F80)</f>
        <v>0.97938359538280972</v>
      </c>
      <c r="J80" s="18">
        <f>AVERAGE(G78:G80)</f>
        <v>0.24494640523537012</v>
      </c>
      <c r="L80">
        <f>+J80/I80</f>
        <v>0.25010262208815986</v>
      </c>
      <c r="M80">
        <f>+(L80-$L$927)/$L$928</f>
        <v>-0.2738501297696358</v>
      </c>
      <c r="N80">
        <f>+N77+M80</f>
        <v>-6.1717799611355177</v>
      </c>
    </row>
    <row r="81" spans="1:14">
      <c r="A81" s="8">
        <v>6</v>
      </c>
      <c r="B81" s="77">
        <v>37229</v>
      </c>
      <c r="C81" s="12">
        <v>2001</v>
      </c>
      <c r="D81" s="15" t="s">
        <v>17</v>
      </c>
      <c r="E81" s="12">
        <v>12</v>
      </c>
      <c r="F81" s="13">
        <v>1.5010388464070443</v>
      </c>
      <c r="G81" s="13">
        <v>0.4045568229436971</v>
      </c>
    </row>
    <row r="82" spans="1:14">
      <c r="A82" s="8">
        <v>8</v>
      </c>
      <c r="B82" s="77">
        <v>37230</v>
      </c>
      <c r="C82" s="12">
        <v>2001</v>
      </c>
      <c r="D82" s="15" t="s">
        <v>17</v>
      </c>
      <c r="E82" s="12">
        <v>12</v>
      </c>
      <c r="F82" s="13">
        <v>1.2760475538116831</v>
      </c>
      <c r="G82" s="13">
        <v>0.25956183761721729</v>
      </c>
    </row>
    <row r="83" spans="1:14">
      <c r="A83" s="8">
        <v>15</v>
      </c>
      <c r="B83" s="77">
        <v>37229</v>
      </c>
      <c r="C83" s="12">
        <v>2001</v>
      </c>
      <c r="D83" s="15" t="s">
        <v>17</v>
      </c>
      <c r="E83" s="12">
        <v>12</v>
      </c>
      <c r="F83" s="18">
        <v>2.2357222942910799</v>
      </c>
      <c r="I83" s="18">
        <f>AVERAGE(F81:F83)</f>
        <v>1.6709362315032692</v>
      </c>
      <c r="J83" s="18">
        <f>AVERAGE(G81:G83)</f>
        <v>0.3320593302804572</v>
      </c>
      <c r="L83">
        <f>+J83/I83</f>
        <v>0.19872651272976333</v>
      </c>
      <c r="M83">
        <f>+(L83-$L$927)/$L$928</f>
        <v>-0.76117541292732616</v>
      </c>
      <c r="N83">
        <f>+N80+M83</f>
        <v>-6.9329553740628436</v>
      </c>
    </row>
    <row r="84" spans="1:14">
      <c r="A84" s="8">
        <v>6</v>
      </c>
      <c r="B84" s="77">
        <v>37271</v>
      </c>
      <c r="C84" s="12">
        <v>2002</v>
      </c>
      <c r="D84" s="15" t="s">
        <v>18</v>
      </c>
      <c r="E84" s="12">
        <v>1</v>
      </c>
      <c r="F84" s="13">
        <v>4.9784751047341471</v>
      </c>
      <c r="G84" s="13">
        <v>1.4927060997083461</v>
      </c>
    </row>
    <row r="85" spans="1:14">
      <c r="A85" s="8">
        <v>8</v>
      </c>
      <c r="B85" s="77">
        <v>37272</v>
      </c>
      <c r="C85" s="12">
        <v>2002</v>
      </c>
      <c r="D85" s="15" t="s">
        <v>18</v>
      </c>
      <c r="E85" s="12">
        <v>1</v>
      </c>
      <c r="F85" s="13">
        <v>3.5602663218995922</v>
      </c>
      <c r="G85" s="13">
        <v>0.99087058903711889</v>
      </c>
    </row>
    <row r="86" spans="1:14">
      <c r="A86" s="8">
        <v>15</v>
      </c>
      <c r="B86" s="77">
        <v>37271</v>
      </c>
      <c r="C86" s="12">
        <v>2002</v>
      </c>
      <c r="D86" s="15" t="s">
        <v>18</v>
      </c>
      <c r="E86" s="12">
        <v>1</v>
      </c>
      <c r="F86" s="13">
        <v>2.5369912431490143</v>
      </c>
      <c r="G86" s="13">
        <v>0.56478119829489482</v>
      </c>
      <c r="I86" s="18">
        <f>AVERAGE(F84:F86)</f>
        <v>3.6919108899275845</v>
      </c>
      <c r="J86" s="18">
        <f>AVERAGE(G84:G86)</f>
        <v>1.0161192956801199</v>
      </c>
      <c r="L86">
        <f>+J86/I86</f>
        <v>0.27522855398604995</v>
      </c>
      <c r="M86">
        <f>+(L86-$L$927)/$L$928</f>
        <v>-3.5519473173527091E-2</v>
      </c>
      <c r="N86">
        <f>+N83+M86</f>
        <v>-6.9684748472363705</v>
      </c>
    </row>
    <row r="87" spans="1:14">
      <c r="A87" s="8">
        <v>6</v>
      </c>
      <c r="B87" s="77">
        <v>37306</v>
      </c>
      <c r="C87" s="12">
        <v>2002</v>
      </c>
      <c r="D87" s="11" t="s">
        <v>19</v>
      </c>
      <c r="E87" s="12">
        <v>2</v>
      </c>
      <c r="F87" s="13">
        <v>1.6053943714545269</v>
      </c>
      <c r="G87" s="13">
        <v>0.43707810302178207</v>
      </c>
    </row>
    <row r="88" spans="1:14">
      <c r="A88" s="8">
        <v>8</v>
      </c>
      <c r="B88" s="77">
        <v>37301</v>
      </c>
      <c r="C88" s="12">
        <v>2002</v>
      </c>
      <c r="D88" s="11" t="s">
        <v>19</v>
      </c>
      <c r="E88" s="12">
        <v>2</v>
      </c>
      <c r="F88" s="13">
        <v>1.4736650359067733</v>
      </c>
      <c r="G88" s="13">
        <v>0.29000962261915542</v>
      </c>
    </row>
    <row r="89" spans="1:14">
      <c r="A89" s="8">
        <v>15</v>
      </c>
      <c r="B89" s="77">
        <v>37306</v>
      </c>
      <c r="C89" s="12">
        <v>2002</v>
      </c>
      <c r="D89" s="11" t="s">
        <v>19</v>
      </c>
      <c r="E89" s="12">
        <v>2</v>
      </c>
      <c r="F89" s="13">
        <v>1.5899224695832257</v>
      </c>
      <c r="G89" s="13">
        <v>0.52256716674159787</v>
      </c>
      <c r="I89" s="18">
        <f>AVERAGE(F87:F89)</f>
        <v>1.5563272923148421</v>
      </c>
      <c r="J89" s="18">
        <f>AVERAGE(G87:G89)</f>
        <v>0.41655163079417851</v>
      </c>
      <c r="L89">
        <f>+J89/I89</f>
        <v>0.2676504054456374</v>
      </c>
      <c r="M89">
        <f>+(L89-$L$927)/$L$928</f>
        <v>-0.10740158782540322</v>
      </c>
      <c r="N89">
        <f>+N86+M89</f>
        <v>-7.0758764350617733</v>
      </c>
    </row>
    <row r="90" spans="1:14">
      <c r="A90" s="8">
        <v>6</v>
      </c>
      <c r="B90" s="73">
        <v>37334</v>
      </c>
      <c r="C90" s="12">
        <v>2002</v>
      </c>
      <c r="D90" s="11" t="s">
        <v>20</v>
      </c>
      <c r="E90" s="12">
        <v>3</v>
      </c>
      <c r="F90" s="13">
        <v>4.1112805086380826</v>
      </c>
      <c r="G90" s="13">
        <v>1.2410996177256839</v>
      </c>
    </row>
    <row r="91" spans="1:14">
      <c r="A91" s="8">
        <v>8</v>
      </c>
      <c r="B91" s="73">
        <v>37336</v>
      </c>
      <c r="C91" s="12">
        <v>2002</v>
      </c>
      <c r="D91" s="11" t="s">
        <v>20</v>
      </c>
      <c r="E91" s="12">
        <v>3</v>
      </c>
      <c r="F91" s="13">
        <v>0.87544326855861954</v>
      </c>
      <c r="G91" s="13">
        <v>0.15272473933159567</v>
      </c>
    </row>
    <row r="92" spans="1:14">
      <c r="A92" s="8">
        <v>15</v>
      </c>
      <c r="B92" s="73">
        <v>37336</v>
      </c>
      <c r="C92" s="12">
        <v>2002</v>
      </c>
      <c r="D92" s="11" t="s">
        <v>20</v>
      </c>
      <c r="E92" s="12">
        <v>3</v>
      </c>
      <c r="F92" s="13">
        <v>4.1493642988653514</v>
      </c>
      <c r="G92" s="13">
        <v>1.3417242996872409</v>
      </c>
      <c r="I92" s="18">
        <f>AVERAGE(F90:F92)</f>
        <v>3.0453626920206847</v>
      </c>
      <c r="J92" s="18">
        <f>AVERAGE(G90:G92)</f>
        <v>0.91184955224817354</v>
      </c>
      <c r="L92">
        <f>+J92/I92</f>
        <v>0.29942231663813268</v>
      </c>
      <c r="M92">
        <f>+(L92-$L$927)/$L$928</f>
        <v>0.19396914288395295</v>
      </c>
      <c r="N92">
        <f>+N89+M92</f>
        <v>-6.8819072921778206</v>
      </c>
    </row>
    <row r="93" spans="1:14">
      <c r="A93" s="8">
        <v>6</v>
      </c>
      <c r="B93" s="73">
        <v>37362</v>
      </c>
      <c r="C93" s="12">
        <v>2002</v>
      </c>
      <c r="D93" s="15" t="s">
        <v>21</v>
      </c>
      <c r="E93" s="12">
        <v>4</v>
      </c>
      <c r="F93" s="13">
        <v>0.99281640135308447</v>
      </c>
      <c r="G93" s="13">
        <v>0.13676541682642598</v>
      </c>
    </row>
    <row r="94" spans="1:14">
      <c r="A94" s="8">
        <v>8</v>
      </c>
      <c r="B94" s="73">
        <v>37363</v>
      </c>
      <c r="C94" s="12">
        <v>2002</v>
      </c>
      <c r="D94" s="15" t="s">
        <v>21</v>
      </c>
      <c r="E94" s="12">
        <v>4</v>
      </c>
      <c r="F94" s="13">
        <v>1.0573415593632474</v>
      </c>
      <c r="G94" s="13">
        <v>9.0708546401513282E-2</v>
      </c>
    </row>
    <row r="95" spans="1:14">
      <c r="A95" s="8">
        <v>15</v>
      </c>
      <c r="B95" s="73">
        <v>37362</v>
      </c>
      <c r="C95" s="12">
        <v>2002</v>
      </c>
      <c r="D95" s="15" t="s">
        <v>21</v>
      </c>
      <c r="E95" s="12">
        <v>4</v>
      </c>
      <c r="F95" s="13">
        <v>0.76346537495358346</v>
      </c>
      <c r="G95" s="13">
        <v>8.2649570043783427E-2</v>
      </c>
      <c r="I95" s="18">
        <f>AVERAGE(F93:F95)</f>
        <v>0.9378744452233051</v>
      </c>
      <c r="J95" s="18">
        <f>AVERAGE(G93:G95)</f>
        <v>0.10337451109057423</v>
      </c>
      <c r="L95">
        <f>+J95/I95</f>
        <v>0.11022212153990513</v>
      </c>
      <c r="M95">
        <f>+(L95-$L$927)/$L$928</f>
        <v>-1.6006789883425345</v>
      </c>
      <c r="N95">
        <f>+N92+M95</f>
        <v>-8.4825862805203549</v>
      </c>
    </row>
    <row r="96" spans="1:14">
      <c r="A96" s="8">
        <v>6</v>
      </c>
      <c r="B96" s="73">
        <v>37392</v>
      </c>
      <c r="C96" s="12">
        <v>2002</v>
      </c>
      <c r="D96" s="15" t="s">
        <v>22</v>
      </c>
      <c r="E96" s="12">
        <v>5</v>
      </c>
      <c r="F96" s="13">
        <v>9.0420884745467927</v>
      </c>
      <c r="G96" s="20"/>
    </row>
    <row r="97" spans="1:10">
      <c r="A97" s="8">
        <v>8</v>
      </c>
      <c r="B97" s="73">
        <v>37392</v>
      </c>
      <c r="C97" s="12">
        <v>2002</v>
      </c>
      <c r="D97" s="15" t="s">
        <v>22</v>
      </c>
      <c r="E97" s="12">
        <v>5</v>
      </c>
      <c r="F97" s="13">
        <v>1.8410703540065909</v>
      </c>
      <c r="G97" s="20"/>
    </row>
    <row r="98" spans="1:10">
      <c r="A98" s="8">
        <v>15</v>
      </c>
      <c r="B98" s="73">
        <v>37392</v>
      </c>
      <c r="C98" s="12">
        <v>2002</v>
      </c>
      <c r="D98" s="15" t="s">
        <v>22</v>
      </c>
      <c r="E98" s="12">
        <v>5</v>
      </c>
      <c r="F98" s="13">
        <v>4.1235192731701682</v>
      </c>
      <c r="G98" s="20"/>
      <c r="I98" s="18">
        <f>AVERAGE(F96:F98)</f>
        <v>5.0022260339078501</v>
      </c>
      <c r="J98" s="18" t="e">
        <f>AVERAGE(G96:G98)</f>
        <v>#DIV/0!</v>
      </c>
    </row>
    <row r="99" spans="1:10">
      <c r="A99" s="8">
        <v>6</v>
      </c>
      <c r="B99" s="73">
        <v>37419</v>
      </c>
      <c r="C99" s="12">
        <v>2002</v>
      </c>
      <c r="D99" s="15" t="s">
        <v>23</v>
      </c>
      <c r="E99" s="12">
        <v>6</v>
      </c>
      <c r="F99" s="13">
        <v>5.8245031015438551</v>
      </c>
      <c r="G99" s="20"/>
    </row>
    <row r="100" spans="1:10">
      <c r="A100" s="8">
        <v>8</v>
      </c>
      <c r="B100" s="73">
        <v>37420</v>
      </c>
      <c r="C100" s="12">
        <v>2002</v>
      </c>
      <c r="D100" s="15" t="s">
        <v>23</v>
      </c>
      <c r="E100" s="12">
        <v>6</v>
      </c>
      <c r="F100" s="13">
        <v>3.0164005743077511</v>
      </c>
      <c r="G100" s="20"/>
    </row>
    <row r="101" spans="1:10">
      <c r="A101" s="8">
        <v>15</v>
      </c>
      <c r="B101" s="73">
        <v>37419</v>
      </c>
      <c r="C101" s="12">
        <v>2002</v>
      </c>
      <c r="D101" s="15" t="s">
        <v>23</v>
      </c>
      <c r="E101" s="12">
        <v>6</v>
      </c>
      <c r="F101" s="13">
        <v>7.0253142956519987</v>
      </c>
      <c r="G101" s="20"/>
      <c r="I101" s="18">
        <f>AVERAGE(F99:F101)</f>
        <v>5.2887393238345348</v>
      </c>
      <c r="J101" s="18" t="e">
        <f>AVERAGE(G99:G101)</f>
        <v>#DIV/0!</v>
      </c>
    </row>
    <row r="102" spans="1:10">
      <c r="A102" s="8">
        <v>6</v>
      </c>
      <c r="B102" s="73">
        <v>37454</v>
      </c>
      <c r="C102" s="12">
        <v>2002</v>
      </c>
      <c r="D102" s="15" t="s">
        <v>24</v>
      </c>
      <c r="E102" s="12">
        <v>7</v>
      </c>
      <c r="F102" s="13">
        <v>7.4154465513396506</v>
      </c>
      <c r="G102" s="20"/>
    </row>
    <row r="103" spans="1:10">
      <c r="A103" s="8">
        <v>8</v>
      </c>
      <c r="B103" s="73">
        <v>37453</v>
      </c>
      <c r="C103" s="12">
        <v>2002</v>
      </c>
      <c r="D103" s="15" t="s">
        <v>24</v>
      </c>
      <c r="E103" s="12">
        <v>7</v>
      </c>
      <c r="F103" s="13">
        <v>4.2360423075201492</v>
      </c>
      <c r="G103" s="20"/>
    </row>
    <row r="104" spans="1:10">
      <c r="A104" s="8">
        <v>15</v>
      </c>
      <c r="B104" s="73">
        <v>37454</v>
      </c>
      <c r="C104" s="12">
        <v>2002</v>
      </c>
      <c r="D104" s="15" t="s">
        <v>24</v>
      </c>
      <c r="E104" s="12">
        <v>7</v>
      </c>
      <c r="F104" s="13">
        <v>4.989614026242152</v>
      </c>
      <c r="G104" s="20"/>
      <c r="I104" s="18">
        <f>AVERAGE(F102:F104)</f>
        <v>5.5470342950339839</v>
      </c>
      <c r="J104" s="18" t="e">
        <f>AVERAGE(G102:G104)</f>
        <v>#DIV/0!</v>
      </c>
    </row>
    <row r="105" spans="1:10">
      <c r="A105" s="8">
        <v>6</v>
      </c>
      <c r="B105" s="73">
        <v>37482</v>
      </c>
      <c r="C105" s="12">
        <v>2002</v>
      </c>
      <c r="D105" s="15" t="s">
        <v>25</v>
      </c>
      <c r="E105" s="12">
        <v>8</v>
      </c>
      <c r="F105" s="13">
        <v>10.708924147704391</v>
      </c>
      <c r="G105" s="20"/>
    </row>
    <row r="106" spans="1:10">
      <c r="A106" s="8">
        <v>8</v>
      </c>
      <c r="B106" s="73">
        <v>37481</v>
      </c>
      <c r="C106" s="12">
        <v>2002</v>
      </c>
      <c r="D106" s="15" t="s">
        <v>25</v>
      </c>
      <c r="E106" s="12">
        <v>8</v>
      </c>
      <c r="F106" s="13">
        <v>2.3487286694991387</v>
      </c>
      <c r="G106" s="20"/>
    </row>
    <row r="107" spans="1:10">
      <c r="A107" s="8">
        <v>15</v>
      </c>
      <c r="B107" s="73">
        <v>37482</v>
      </c>
      <c r="C107" s="12">
        <v>2002</v>
      </c>
      <c r="D107" s="15" t="s">
        <v>25</v>
      </c>
      <c r="E107" s="12">
        <v>8</v>
      </c>
      <c r="F107" s="13">
        <v>5.7195566962697306</v>
      </c>
      <c r="G107" s="20"/>
      <c r="I107" s="18">
        <f>AVERAGE(F105:F107)</f>
        <v>6.2590698378244198</v>
      </c>
      <c r="J107" s="18" t="e">
        <f>AVERAGE(G105:G107)</f>
        <v>#DIV/0!</v>
      </c>
    </row>
    <row r="108" spans="1:10">
      <c r="A108" s="8">
        <v>6</v>
      </c>
      <c r="B108" s="73">
        <v>37517</v>
      </c>
      <c r="C108" s="12">
        <v>2002</v>
      </c>
      <c r="D108" s="15" t="s">
        <v>26</v>
      </c>
      <c r="E108" s="12">
        <v>9</v>
      </c>
      <c r="F108" s="13">
        <v>5.2143008682160099</v>
      </c>
      <c r="G108" s="20"/>
    </row>
    <row r="109" spans="1:10">
      <c r="A109" s="8">
        <v>8</v>
      </c>
      <c r="B109" s="73">
        <v>37518</v>
      </c>
      <c r="C109" s="12">
        <v>2002</v>
      </c>
      <c r="D109" s="15" t="s">
        <v>26</v>
      </c>
      <c r="E109" s="12">
        <v>9</v>
      </c>
      <c r="F109" s="13">
        <v>3.011770944896718</v>
      </c>
      <c r="G109" s="20"/>
    </row>
    <row r="110" spans="1:10">
      <c r="A110" s="8">
        <v>15</v>
      </c>
      <c r="B110" s="73">
        <v>37517</v>
      </c>
      <c r="C110" s="12">
        <v>2002</v>
      </c>
      <c r="D110" s="15" t="s">
        <v>26</v>
      </c>
      <c r="E110" s="12">
        <v>9</v>
      </c>
      <c r="F110" s="13">
        <v>5.9564108169403305</v>
      </c>
      <c r="G110" s="20"/>
      <c r="I110" s="18">
        <f>AVERAGE(F108:F110)</f>
        <v>4.727494210017686</v>
      </c>
      <c r="J110" s="18" t="e">
        <f>AVERAGE(G108:G110)</f>
        <v>#DIV/0!</v>
      </c>
    </row>
    <row r="111" spans="1:10">
      <c r="A111" s="8">
        <v>6</v>
      </c>
      <c r="B111" s="73">
        <v>37544</v>
      </c>
      <c r="C111" s="12">
        <v>2002</v>
      </c>
      <c r="D111" s="15" t="s">
        <v>14</v>
      </c>
      <c r="E111" s="12">
        <v>10</v>
      </c>
      <c r="F111" s="14">
        <v>3.4876385864598265</v>
      </c>
      <c r="G111" s="14">
        <v>0.68776736310345432</v>
      </c>
    </row>
    <row r="112" spans="1:10">
      <c r="A112" s="8">
        <v>8</v>
      </c>
      <c r="B112" s="73">
        <v>37546</v>
      </c>
      <c r="C112" s="12">
        <v>2002</v>
      </c>
      <c r="D112" s="15" t="s">
        <v>14</v>
      </c>
      <c r="E112" s="12">
        <v>10</v>
      </c>
      <c r="F112" s="14">
        <v>4.8207283497322235</v>
      </c>
      <c r="G112" s="14">
        <v>1.263136296996151</v>
      </c>
    </row>
    <row r="113" spans="1:14">
      <c r="A113" s="8">
        <v>15</v>
      </c>
      <c r="B113" s="73">
        <v>37546</v>
      </c>
      <c r="C113" s="12">
        <v>2002</v>
      </c>
      <c r="D113" s="15" t="s">
        <v>14</v>
      </c>
      <c r="E113" s="12">
        <v>10</v>
      </c>
      <c r="F113" s="14">
        <v>6.0661447194553739</v>
      </c>
      <c r="G113" s="14">
        <v>1.33928890075524</v>
      </c>
      <c r="I113" s="18">
        <f>AVERAGE(F111:F113)</f>
        <v>4.7915038852158078</v>
      </c>
      <c r="J113" s="18">
        <f>AVERAGE(G111:G113)</f>
        <v>1.0967308536182818</v>
      </c>
      <c r="L113">
        <f>+J113/I113</f>
        <v>0.22889073658110692</v>
      </c>
      <c r="M113">
        <f>+(L113-$L$927)/$L$928</f>
        <v>-0.4750543128058054</v>
      </c>
      <c r="N113">
        <f>+N95+M113</f>
        <v>-8.9576405933261611</v>
      </c>
    </row>
    <row r="114" spans="1:14">
      <c r="A114" s="8">
        <v>6</v>
      </c>
      <c r="B114" s="73">
        <v>37575</v>
      </c>
      <c r="C114" s="12">
        <v>2002</v>
      </c>
      <c r="D114" s="15" t="s">
        <v>16</v>
      </c>
      <c r="E114" s="12">
        <v>11</v>
      </c>
      <c r="F114" s="14">
        <v>2.4170835161500972</v>
      </c>
      <c r="G114" s="14">
        <v>0.53351485829977352</v>
      </c>
    </row>
    <row r="115" spans="1:14">
      <c r="A115" s="8">
        <v>8</v>
      </c>
      <c r="B115" s="73">
        <v>37574</v>
      </c>
      <c r="C115" s="12">
        <v>2002</v>
      </c>
      <c r="D115" s="15" t="s">
        <v>16</v>
      </c>
      <c r="E115" s="12">
        <v>11</v>
      </c>
      <c r="F115" s="14">
        <v>1.7779877071740167</v>
      </c>
      <c r="G115" s="14">
        <v>0.41431194271644167</v>
      </c>
    </row>
    <row r="116" spans="1:14">
      <c r="A116" s="8">
        <v>15</v>
      </c>
      <c r="B116" s="73">
        <v>37574</v>
      </c>
      <c r="C116" s="12">
        <v>2002</v>
      </c>
      <c r="D116" s="15" t="s">
        <v>16</v>
      </c>
      <c r="E116" s="12">
        <v>11</v>
      </c>
      <c r="F116" s="14">
        <v>3.5337504144745715</v>
      </c>
      <c r="G116" s="14">
        <v>1.0558907804703421</v>
      </c>
      <c r="I116" s="18">
        <f>AVERAGE(F114:F116)</f>
        <v>2.5762738792662283</v>
      </c>
      <c r="J116" s="18">
        <f>AVERAGE(G114:G116)</f>
        <v>0.66790586049551914</v>
      </c>
      <c r="L116">
        <f>+J116/I116</f>
        <v>0.25925266171069955</v>
      </c>
      <c r="M116">
        <f>+(L116-$L$927)/$L$928</f>
        <v>-0.18705792799249821</v>
      </c>
      <c r="N116">
        <f>+N113+M116</f>
        <v>-9.1446985213186593</v>
      </c>
    </row>
    <row r="117" spans="1:14">
      <c r="A117" s="8">
        <v>6</v>
      </c>
      <c r="B117" s="73">
        <v>37609</v>
      </c>
      <c r="C117" s="12">
        <v>2002</v>
      </c>
      <c r="D117" s="15" t="s">
        <v>17</v>
      </c>
      <c r="E117" s="12">
        <v>12</v>
      </c>
      <c r="F117" s="14">
        <v>4.7745902695010765</v>
      </c>
      <c r="G117" s="14">
        <v>0.51184586955554046</v>
      </c>
    </row>
    <row r="118" spans="1:14">
      <c r="A118" s="8">
        <v>8</v>
      </c>
      <c r="B118" s="73">
        <v>37608</v>
      </c>
      <c r="C118" s="12">
        <v>2002</v>
      </c>
      <c r="D118" s="15" t="s">
        <v>17</v>
      </c>
      <c r="E118" s="12">
        <v>12</v>
      </c>
      <c r="F118" s="14">
        <v>2.646531702604749</v>
      </c>
      <c r="G118" s="14">
        <v>0.54365626370647935</v>
      </c>
    </row>
    <row r="119" spans="1:14">
      <c r="A119" s="8">
        <v>15</v>
      </c>
      <c r="B119" s="73">
        <v>37608</v>
      </c>
      <c r="C119" s="12">
        <v>2002</v>
      </c>
      <c r="D119" s="15" t="s">
        <v>17</v>
      </c>
      <c r="E119" s="12">
        <v>12</v>
      </c>
      <c r="F119" s="14">
        <v>4.5121651879294271</v>
      </c>
      <c r="G119" s="14">
        <v>1.1451412579147424</v>
      </c>
      <c r="I119" s="18">
        <f>AVERAGE(F117:F119)</f>
        <v>3.9777623866784175</v>
      </c>
      <c r="J119" s="18">
        <f>AVERAGE(G117:G119)</f>
        <v>0.73354779705892081</v>
      </c>
      <c r="L119">
        <f>+J119/I119</f>
        <v>0.1844121709018072</v>
      </c>
      <c r="M119">
        <f>+(L119-$L$927)/$L$928</f>
        <v>-0.89695332160200525</v>
      </c>
      <c r="N119">
        <f>+N116+M119</f>
        <v>-10.041651842920665</v>
      </c>
    </row>
    <row r="120" spans="1:14">
      <c r="A120" s="8">
        <v>6</v>
      </c>
      <c r="B120" s="73">
        <v>37635</v>
      </c>
      <c r="C120" s="12">
        <v>2003</v>
      </c>
      <c r="D120" s="15" t="s">
        <v>18</v>
      </c>
      <c r="E120" s="12">
        <v>1</v>
      </c>
      <c r="F120" s="14">
        <v>5.1538707761866194</v>
      </c>
      <c r="G120" s="14">
        <v>1.6231865590035011</v>
      </c>
    </row>
    <row r="121" spans="1:14">
      <c r="A121" s="8">
        <v>8</v>
      </c>
      <c r="B121" s="73">
        <v>37636</v>
      </c>
      <c r="C121" s="12">
        <v>2003</v>
      </c>
      <c r="D121" s="15" t="s">
        <v>18</v>
      </c>
      <c r="E121" s="12">
        <v>1</v>
      </c>
      <c r="F121" s="14">
        <v>2.1530136083186076</v>
      </c>
      <c r="G121" s="14">
        <v>0.49817786980468631</v>
      </c>
    </row>
    <row r="122" spans="1:14">
      <c r="A122" s="8">
        <v>15</v>
      </c>
      <c r="B122" s="73">
        <v>37636</v>
      </c>
      <c r="C122" s="12">
        <v>2003</v>
      </c>
      <c r="D122" s="15" t="s">
        <v>18</v>
      </c>
      <c r="E122" s="12">
        <v>1</v>
      </c>
      <c r="F122" s="14">
        <v>4.7636943444502151</v>
      </c>
      <c r="G122" s="14">
        <v>1.563570716039016</v>
      </c>
      <c r="I122" s="18">
        <f>AVERAGE(F120:F122)</f>
        <v>4.0235262429851479</v>
      </c>
      <c r="J122" s="18">
        <f>AVERAGE(G120:G122)</f>
        <v>1.2283117149490679</v>
      </c>
      <c r="L122">
        <f>+J122/I122</f>
        <v>0.30528239180509353</v>
      </c>
      <c r="M122">
        <f>+(L122-$L$927)/$L$928</f>
        <v>0.24955456625929895</v>
      </c>
      <c r="N122">
        <f>+N119+M122</f>
        <v>-9.7920972766613659</v>
      </c>
    </row>
    <row r="123" spans="1:14">
      <c r="A123" s="8">
        <v>6</v>
      </c>
      <c r="B123" s="73">
        <v>37665</v>
      </c>
      <c r="C123" s="12">
        <v>2003</v>
      </c>
      <c r="D123" s="11" t="s">
        <v>19</v>
      </c>
      <c r="E123" s="12">
        <v>2</v>
      </c>
      <c r="F123" s="14">
        <v>3.6944615935683589</v>
      </c>
      <c r="G123" s="14">
        <v>1.1587280992200391</v>
      </c>
    </row>
    <row r="124" spans="1:14">
      <c r="A124" s="8">
        <v>8</v>
      </c>
      <c r="B124" s="73">
        <v>37663</v>
      </c>
      <c r="C124" s="12">
        <v>2003</v>
      </c>
      <c r="D124" s="11" t="s">
        <v>19</v>
      </c>
      <c r="E124" s="12">
        <v>2</v>
      </c>
      <c r="F124" s="14">
        <v>3.3425827597701399</v>
      </c>
      <c r="G124" s="14">
        <v>0.951975814278893</v>
      </c>
    </row>
    <row r="125" spans="1:14">
      <c r="A125" s="8">
        <v>15</v>
      </c>
      <c r="B125" s="73">
        <v>37663</v>
      </c>
      <c r="C125" s="12">
        <v>2003</v>
      </c>
      <c r="D125" s="11" t="s">
        <v>19</v>
      </c>
      <c r="E125" s="12">
        <v>2</v>
      </c>
      <c r="F125" s="14">
        <v>2.7941432541620128</v>
      </c>
      <c r="G125" s="14">
        <v>1.1281186676527211</v>
      </c>
      <c r="I125" s="18">
        <f>AVERAGE(F123:F125)</f>
        <v>3.2770625358335042</v>
      </c>
      <c r="J125" s="18">
        <f>AVERAGE(G123:G125)</f>
        <v>1.079607527050551</v>
      </c>
      <c r="L125">
        <f>+J125/I125</f>
        <v>0.32944367562273519</v>
      </c>
      <c r="M125">
        <f>+(L125-$L$927)/$L$928</f>
        <v>0.47873510610415232</v>
      </c>
      <c r="N125">
        <f>+N122+M125</f>
        <v>-9.3133621705572143</v>
      </c>
    </row>
    <row r="126" spans="1:14">
      <c r="A126" s="8">
        <v>6</v>
      </c>
      <c r="B126" s="73">
        <v>37692</v>
      </c>
      <c r="C126" s="12">
        <v>2003</v>
      </c>
      <c r="D126" s="11" t="s">
        <v>20</v>
      </c>
      <c r="E126" s="12">
        <v>3</v>
      </c>
      <c r="F126" s="14">
        <v>3.3938838345986131</v>
      </c>
      <c r="G126" s="14">
        <v>1.1323586908227299</v>
      </c>
    </row>
    <row r="127" spans="1:14">
      <c r="A127" s="8">
        <v>8</v>
      </c>
      <c r="B127" s="73">
        <v>37691</v>
      </c>
      <c r="C127" s="12">
        <v>2003</v>
      </c>
      <c r="D127" s="11" t="s">
        <v>20</v>
      </c>
      <c r="E127" s="12">
        <v>3</v>
      </c>
      <c r="F127" s="14">
        <v>3.998385502802964</v>
      </c>
      <c r="G127" s="14">
        <v>1.2242504525806115</v>
      </c>
    </row>
    <row r="128" spans="1:14">
      <c r="A128" s="8">
        <v>15</v>
      </c>
      <c r="B128" s="73">
        <v>37692</v>
      </c>
      <c r="C128" s="12">
        <v>2003</v>
      </c>
      <c r="D128" s="11" t="s">
        <v>20</v>
      </c>
      <c r="E128" s="12">
        <v>3</v>
      </c>
      <c r="F128" s="14">
        <v>3.2421167864607598</v>
      </c>
      <c r="G128" s="14">
        <v>0.99971207401521767</v>
      </c>
      <c r="I128" s="18">
        <f>AVERAGE(F126:F128)</f>
        <v>3.5447953746207794</v>
      </c>
      <c r="J128" s="18">
        <f>AVERAGE(G126:G128)</f>
        <v>1.1187737391395196</v>
      </c>
      <c r="L128">
        <f>+J128/I128</f>
        <v>0.3156102456997833</v>
      </c>
      <c r="M128">
        <f>+(L128-$L$927)/$L$928</f>
        <v>0.34751886107444119</v>
      </c>
      <c r="N128">
        <f>+N125+M128</f>
        <v>-8.9658433094827732</v>
      </c>
    </row>
    <row r="129" spans="1:14">
      <c r="A129" s="8">
        <v>6</v>
      </c>
      <c r="B129" s="73">
        <v>37726</v>
      </c>
      <c r="C129" s="12">
        <v>2003</v>
      </c>
      <c r="D129" s="11" t="s">
        <v>21</v>
      </c>
      <c r="E129" s="12">
        <v>4</v>
      </c>
      <c r="F129" s="14">
        <v>3.1432069936804568</v>
      </c>
      <c r="G129" s="14">
        <v>1.2303122437755196</v>
      </c>
    </row>
    <row r="130" spans="1:14">
      <c r="A130" s="8">
        <v>8</v>
      </c>
      <c r="B130" s="73">
        <v>37727</v>
      </c>
      <c r="C130" s="12">
        <v>2003</v>
      </c>
      <c r="D130" s="11" t="s">
        <v>21</v>
      </c>
      <c r="E130" s="12">
        <v>4</v>
      </c>
      <c r="F130" s="14">
        <v>9.9080791706866496</v>
      </c>
      <c r="G130" s="14">
        <v>4.3769452453769864</v>
      </c>
    </row>
    <row r="131" spans="1:14">
      <c r="A131" s="8">
        <v>15</v>
      </c>
      <c r="B131" s="73">
        <v>37726</v>
      </c>
      <c r="C131" s="12">
        <v>2003</v>
      </c>
      <c r="D131" s="11" t="s">
        <v>21</v>
      </c>
      <c r="E131" s="12">
        <v>4</v>
      </c>
      <c r="F131" s="14">
        <v>4.1651057618615326</v>
      </c>
      <c r="G131" s="14">
        <v>1.7053956448481182</v>
      </c>
      <c r="I131" s="18">
        <f>AVERAGE(F129:F131)</f>
        <v>5.7387973087428792</v>
      </c>
      <c r="J131" s="18">
        <f>AVERAGE(G129:G131)</f>
        <v>2.4375510446668747</v>
      </c>
      <c r="L131">
        <f>+J131/I131</f>
        <v>0.42474945768747424</v>
      </c>
      <c r="M131">
        <f>+(L131-$L$927)/$L$928</f>
        <v>1.3827529037008375</v>
      </c>
      <c r="N131">
        <f>+N128+M131</f>
        <v>-7.5830904057819355</v>
      </c>
    </row>
    <row r="132" spans="1:14">
      <c r="A132" s="8">
        <v>6</v>
      </c>
      <c r="B132" s="73">
        <v>37761</v>
      </c>
      <c r="C132" s="12">
        <v>2003</v>
      </c>
      <c r="D132" s="11" t="s">
        <v>22</v>
      </c>
      <c r="E132" s="12">
        <v>5</v>
      </c>
      <c r="F132" s="14">
        <v>5.4586740063889092</v>
      </c>
      <c r="G132" s="14">
        <v>2.6504927285346418</v>
      </c>
    </row>
    <row r="133" spans="1:14">
      <c r="A133" s="8">
        <v>8</v>
      </c>
      <c r="B133" s="73">
        <v>37756</v>
      </c>
      <c r="C133" s="12">
        <v>2003</v>
      </c>
      <c r="D133" s="11" t="s">
        <v>22</v>
      </c>
      <c r="E133" s="12">
        <v>5</v>
      </c>
      <c r="F133" s="14">
        <v>3.0452778185032008</v>
      </c>
      <c r="G133" s="14">
        <v>0.62024159145996383</v>
      </c>
    </row>
    <row r="134" spans="1:14">
      <c r="A134" s="8">
        <v>15</v>
      </c>
      <c r="B134" s="73">
        <v>37761</v>
      </c>
      <c r="C134" s="12">
        <v>2003</v>
      </c>
      <c r="D134" s="11" t="s">
        <v>22</v>
      </c>
      <c r="E134" s="12">
        <v>5</v>
      </c>
      <c r="F134" s="14">
        <v>9.4575942407553839</v>
      </c>
      <c r="G134" s="14">
        <v>4.4829972160990765</v>
      </c>
      <c r="I134" s="18">
        <f>AVERAGE(F132:F134)</f>
        <v>5.9871820218824974</v>
      </c>
      <c r="J134" s="18">
        <f>AVERAGE(G132:G134)</f>
        <v>2.5845771786978937</v>
      </c>
      <c r="L134">
        <f>+J134/I134</f>
        <v>0.43168508477803846</v>
      </c>
      <c r="M134">
        <f>+(L134-$L$927)/$L$928</f>
        <v>1.4485404161846527</v>
      </c>
      <c r="N134">
        <f>+N131+M134</f>
        <v>-6.134549989597283</v>
      </c>
    </row>
    <row r="135" spans="1:14">
      <c r="A135" s="8">
        <v>6</v>
      </c>
      <c r="B135" s="73">
        <v>37792</v>
      </c>
      <c r="C135" s="12">
        <v>2003</v>
      </c>
      <c r="D135" s="11" t="s">
        <v>23</v>
      </c>
      <c r="E135" s="12">
        <v>6</v>
      </c>
      <c r="F135" s="14">
        <v>15.832712659534909</v>
      </c>
      <c r="G135" s="14">
        <v>8.6877020550394572</v>
      </c>
    </row>
    <row r="136" spans="1:14">
      <c r="A136" s="8">
        <v>8</v>
      </c>
      <c r="B136" s="73">
        <v>37790</v>
      </c>
      <c r="C136" s="12">
        <v>2003</v>
      </c>
      <c r="D136" s="11" t="s">
        <v>23</v>
      </c>
      <c r="E136" s="12">
        <v>6</v>
      </c>
      <c r="F136" s="14">
        <v>15.114857572639529</v>
      </c>
      <c r="G136" s="14">
        <v>5.8303912362610735</v>
      </c>
    </row>
    <row r="137" spans="1:14">
      <c r="A137" s="8">
        <v>15</v>
      </c>
      <c r="B137" s="73">
        <v>37790</v>
      </c>
      <c r="C137" s="12">
        <v>2003</v>
      </c>
      <c r="D137" s="11" t="s">
        <v>23</v>
      </c>
      <c r="E137" s="12">
        <v>6</v>
      </c>
      <c r="F137" s="14">
        <v>11.282353868849933</v>
      </c>
      <c r="G137" s="14">
        <v>4.5497954958604456</v>
      </c>
      <c r="I137" s="18">
        <f>AVERAGE(F135:F137)</f>
        <v>14.076641367008124</v>
      </c>
      <c r="J137" s="18">
        <f>AVERAGE(G135:G137)</f>
        <v>6.3559629290536579</v>
      </c>
      <c r="L137">
        <f>+J137/I137</f>
        <v>0.45152552823788861</v>
      </c>
      <c r="M137">
        <f>+(L137-$L$927)/$L$928</f>
        <v>1.6367358604834223</v>
      </c>
      <c r="N137">
        <f>+N134+M137</f>
        <v>-4.4978141291138609</v>
      </c>
    </row>
    <row r="138" spans="1:14">
      <c r="A138" s="8">
        <v>6</v>
      </c>
      <c r="B138" s="73">
        <v>37819</v>
      </c>
      <c r="C138" s="12">
        <v>2003</v>
      </c>
      <c r="D138" s="15" t="s">
        <v>24</v>
      </c>
      <c r="E138" s="12">
        <v>7</v>
      </c>
      <c r="F138" s="14">
        <v>15.953109210142616</v>
      </c>
      <c r="G138" s="14">
        <v>2.225299762314044</v>
      </c>
    </row>
    <row r="139" spans="1:14">
      <c r="A139" s="8">
        <v>8</v>
      </c>
      <c r="B139" s="73">
        <v>37818</v>
      </c>
      <c r="C139" s="12">
        <v>2003</v>
      </c>
      <c r="D139" s="15" t="s">
        <v>24</v>
      </c>
      <c r="E139" s="12">
        <v>7</v>
      </c>
      <c r="F139" s="14">
        <v>7.9433931678976784</v>
      </c>
      <c r="G139" s="14">
        <v>0.78864239769782851</v>
      </c>
    </row>
    <row r="140" spans="1:14">
      <c r="A140" s="8">
        <v>15</v>
      </c>
      <c r="B140" s="73">
        <v>37819</v>
      </c>
      <c r="C140" s="12">
        <v>2003</v>
      </c>
      <c r="D140" s="15" t="s">
        <v>24</v>
      </c>
      <c r="E140" s="12">
        <v>7</v>
      </c>
      <c r="F140" s="14">
        <v>12.777910973708968</v>
      </c>
      <c r="G140" s="14">
        <v>1.1371478490698572</v>
      </c>
      <c r="I140" s="18">
        <f>AVERAGE(F138:F140)</f>
        <v>12.224804450583088</v>
      </c>
      <c r="J140" s="18">
        <f>AVERAGE(G138:G140)</f>
        <v>1.3836966696939097</v>
      </c>
      <c r="L140">
        <f>+J140/I140</f>
        <v>0.11318763218563478</v>
      </c>
      <c r="M140">
        <f>+(L140-$L$927)/$L$928</f>
        <v>-1.5725497988576724</v>
      </c>
      <c r="N140">
        <f>+N137+M140</f>
        <v>-6.0703639279715329</v>
      </c>
    </row>
    <row r="141" spans="1:14">
      <c r="A141" s="8">
        <v>6</v>
      </c>
      <c r="B141" s="73">
        <v>37847</v>
      </c>
      <c r="C141" s="12">
        <v>2003</v>
      </c>
      <c r="D141" s="15" t="s">
        <v>25</v>
      </c>
      <c r="E141" s="12">
        <v>8</v>
      </c>
      <c r="F141" s="14">
        <v>14.195668450441072</v>
      </c>
      <c r="G141" s="14">
        <v>1.3584058105362848</v>
      </c>
    </row>
    <row r="142" spans="1:14">
      <c r="A142" s="8">
        <v>8</v>
      </c>
      <c r="B142" s="73">
        <v>37846</v>
      </c>
      <c r="C142" s="12">
        <v>2003</v>
      </c>
      <c r="D142" s="15" t="s">
        <v>25</v>
      </c>
      <c r="E142" s="12">
        <v>8</v>
      </c>
      <c r="F142" s="14">
        <v>4.7116439297159216</v>
      </c>
      <c r="G142" s="14">
        <v>1.1788650425031488</v>
      </c>
    </row>
    <row r="143" spans="1:14">
      <c r="A143" s="8">
        <v>15</v>
      </c>
      <c r="B143" s="73">
        <v>37847</v>
      </c>
      <c r="C143" s="12">
        <v>2003</v>
      </c>
      <c r="D143" s="15" t="s">
        <v>25</v>
      </c>
      <c r="E143" s="12">
        <v>8</v>
      </c>
      <c r="F143" s="14">
        <v>5.9788124531664577</v>
      </c>
      <c r="G143" s="14">
        <v>0.47024617610141722</v>
      </c>
      <c r="I143" s="18">
        <f>AVERAGE(F141:F143)</f>
        <v>8.2953749444411518</v>
      </c>
      <c r="J143" s="18">
        <f>AVERAGE(G141:G143)</f>
        <v>1.0025056763802838</v>
      </c>
      <c r="L143">
        <f>+J143/I143</f>
        <v>0.12085115900060395</v>
      </c>
      <c r="M143">
        <f>+(L143-$L$927)/$L$928</f>
        <v>-1.4998578332392005</v>
      </c>
      <c r="N143">
        <f>+N140+M143</f>
        <v>-7.5702217612107336</v>
      </c>
    </row>
    <row r="144" spans="1:14">
      <c r="A144" s="8">
        <v>6</v>
      </c>
      <c r="B144" s="73">
        <v>37888</v>
      </c>
      <c r="C144" s="12">
        <v>2003</v>
      </c>
      <c r="D144" s="15" t="s">
        <v>26</v>
      </c>
      <c r="E144" s="12">
        <v>9</v>
      </c>
      <c r="F144" s="14">
        <v>10.450080753489985</v>
      </c>
      <c r="G144" s="14">
        <v>2.6915481720547132</v>
      </c>
    </row>
    <row r="145" spans="1:14">
      <c r="A145" s="8">
        <v>8</v>
      </c>
      <c r="B145" s="73">
        <v>37886</v>
      </c>
      <c r="C145" s="12">
        <v>2003</v>
      </c>
      <c r="D145" s="15" t="s">
        <v>26</v>
      </c>
      <c r="E145" s="12">
        <v>9</v>
      </c>
      <c r="F145" s="14">
        <v>15.420783565527255</v>
      </c>
      <c r="G145" s="14">
        <v>3.3411310533993541</v>
      </c>
    </row>
    <row r="146" spans="1:14">
      <c r="A146" s="8">
        <v>15</v>
      </c>
      <c r="B146" s="73">
        <v>37886</v>
      </c>
      <c r="C146" s="12">
        <v>2003</v>
      </c>
      <c r="D146" s="15" t="s">
        <v>26</v>
      </c>
      <c r="E146" s="12">
        <v>9</v>
      </c>
      <c r="F146" s="14">
        <v>11.004315055400102</v>
      </c>
      <c r="G146" s="14">
        <v>3.1281354257287761</v>
      </c>
      <c r="I146" s="18">
        <f>AVERAGE(F144:F146)</f>
        <v>12.291726458139115</v>
      </c>
      <c r="J146" s="18">
        <f>AVERAGE(G144:G146)</f>
        <v>3.0536048837276142</v>
      </c>
      <c r="L146">
        <f>+J146/I146</f>
        <v>0.24842766344719891</v>
      </c>
      <c r="M146">
        <f>+(L146-$L$927)/$L$928</f>
        <v>-0.28973785860269341</v>
      </c>
      <c r="N146">
        <f>+N143+M146</f>
        <v>-7.8599596198134272</v>
      </c>
    </row>
    <row r="147" spans="1:14">
      <c r="A147" s="8">
        <v>6</v>
      </c>
      <c r="B147" s="73">
        <v>37910</v>
      </c>
      <c r="C147" s="12">
        <v>2003</v>
      </c>
      <c r="D147" s="15" t="s">
        <v>14</v>
      </c>
      <c r="E147" s="12">
        <v>10</v>
      </c>
      <c r="F147" s="13">
        <v>6.7571000000000003</v>
      </c>
      <c r="G147" s="14">
        <v>2.1358282426397728</v>
      </c>
    </row>
    <row r="148" spans="1:14">
      <c r="A148" s="8">
        <v>8</v>
      </c>
      <c r="B148" s="73">
        <v>37910</v>
      </c>
      <c r="C148" s="12">
        <v>2003</v>
      </c>
      <c r="D148" s="15" t="s">
        <v>14</v>
      </c>
      <c r="E148" s="12">
        <v>10</v>
      </c>
      <c r="F148" s="13">
        <v>5.6172000000000004</v>
      </c>
      <c r="G148" s="14">
        <v>1.6292816820469056</v>
      </c>
    </row>
    <row r="149" spans="1:14">
      <c r="A149" s="8">
        <v>15</v>
      </c>
      <c r="B149" s="73">
        <v>37910</v>
      </c>
      <c r="C149" s="12">
        <v>2003</v>
      </c>
      <c r="D149" s="15" t="s">
        <v>14</v>
      </c>
      <c r="E149" s="12">
        <v>10</v>
      </c>
      <c r="F149" s="13">
        <v>6.9024999999999999</v>
      </c>
      <c r="G149" s="14">
        <v>2.233148710705652</v>
      </c>
      <c r="I149" s="18">
        <f>AVERAGE(F147:F149)</f>
        <v>6.4256000000000002</v>
      </c>
      <c r="J149" s="18">
        <f>AVERAGE(G147:G149)</f>
        <v>1.9994195451307768</v>
      </c>
      <c r="L149">
        <f>+J149/I149</f>
        <v>0.31116464534530264</v>
      </c>
      <c r="M149">
        <f>+(L149-$L$927)/$L$928</f>
        <v>0.305350361384436</v>
      </c>
      <c r="N149">
        <f>+N146+M149</f>
        <v>-7.5546092584289912</v>
      </c>
    </row>
    <row r="150" spans="1:14">
      <c r="A150" s="8">
        <v>6</v>
      </c>
      <c r="B150" s="73">
        <v>37943</v>
      </c>
      <c r="C150" s="12">
        <v>2003</v>
      </c>
      <c r="D150" s="15" t="s">
        <v>16</v>
      </c>
      <c r="E150" s="12">
        <v>11</v>
      </c>
      <c r="F150" s="13">
        <v>2.3603999999999998</v>
      </c>
      <c r="G150" s="14">
        <v>0.39092925364320907</v>
      </c>
    </row>
    <row r="151" spans="1:14">
      <c r="A151" s="8">
        <v>8</v>
      </c>
      <c r="B151" s="73">
        <v>37942</v>
      </c>
      <c r="C151" s="12">
        <v>2003</v>
      </c>
      <c r="D151" s="15" t="s">
        <v>16</v>
      </c>
      <c r="E151" s="12">
        <v>11</v>
      </c>
      <c r="F151" s="13">
        <v>2.4371</v>
      </c>
      <c r="G151" s="14">
        <v>0.65445986936801592</v>
      </c>
    </row>
    <row r="152" spans="1:14">
      <c r="A152" s="8">
        <v>15</v>
      </c>
      <c r="B152" s="73">
        <v>37942</v>
      </c>
      <c r="C152" s="12">
        <v>2003</v>
      </c>
      <c r="D152" s="15" t="s">
        <v>16</v>
      </c>
      <c r="E152" s="12">
        <v>11</v>
      </c>
      <c r="F152" s="13">
        <v>2.0104000000000002</v>
      </c>
      <c r="G152" s="14">
        <v>0.37187444202893233</v>
      </c>
      <c r="I152" s="18">
        <f>AVERAGE(F150:F152)</f>
        <v>2.2692999999999999</v>
      </c>
      <c r="J152" s="18">
        <f>AVERAGE(G150:G152)</f>
        <v>0.47242118834671909</v>
      </c>
      <c r="L152">
        <f>+J152/I152</f>
        <v>0.20817925719240254</v>
      </c>
      <c r="M152">
        <f>+(L152-$L$927)/$L$928</f>
        <v>-0.671511920899585</v>
      </c>
      <c r="N152">
        <f>+N149+M152</f>
        <v>-8.226121179328576</v>
      </c>
    </row>
    <row r="153" spans="1:14">
      <c r="A153" s="8">
        <v>6</v>
      </c>
      <c r="B153" s="73">
        <v>37973</v>
      </c>
      <c r="C153" s="12">
        <v>2003</v>
      </c>
      <c r="D153" s="15" t="s">
        <v>17</v>
      </c>
      <c r="E153" s="12">
        <v>12</v>
      </c>
      <c r="F153" s="13">
        <v>7.0891999999999999</v>
      </c>
      <c r="G153" s="14">
        <v>2.0144463785441604</v>
      </c>
    </row>
    <row r="154" spans="1:14">
      <c r="A154" s="8">
        <v>8</v>
      </c>
      <c r="B154" s="73">
        <v>37971</v>
      </c>
      <c r="C154" s="12">
        <v>2003</v>
      </c>
      <c r="D154" s="15" t="s">
        <v>17</v>
      </c>
      <c r="E154" s="12">
        <v>12</v>
      </c>
      <c r="F154" s="13">
        <v>4.7662000000000004</v>
      </c>
      <c r="G154" s="14">
        <v>1.0849965308291862</v>
      </c>
    </row>
    <row r="155" spans="1:14">
      <c r="A155" s="8">
        <v>15</v>
      </c>
      <c r="B155" s="73">
        <v>37971</v>
      </c>
      <c r="C155" s="12">
        <v>2003</v>
      </c>
      <c r="D155" s="15" t="s">
        <v>17</v>
      </c>
      <c r="E155" s="12">
        <v>12</v>
      </c>
      <c r="F155" s="13">
        <v>5.1734</v>
      </c>
      <c r="G155" s="14">
        <v>1.1795446148014337</v>
      </c>
      <c r="I155" s="18">
        <f>AVERAGE(F153:F155)</f>
        <v>5.6762666666666668</v>
      </c>
      <c r="J155" s="18">
        <f>AVERAGE(G153:G155)</f>
        <v>1.4263291747249269</v>
      </c>
      <c r="L155">
        <f>+J155/I155</f>
        <v>0.2512794515276931</v>
      </c>
      <c r="M155">
        <f>+(L155-$L$927)/$L$928</f>
        <v>-0.26268737830770339</v>
      </c>
      <c r="N155">
        <f>+N152+M155</f>
        <v>-8.4888085576362791</v>
      </c>
    </row>
    <row r="156" spans="1:14">
      <c r="A156" s="8">
        <v>6</v>
      </c>
      <c r="B156" s="73">
        <v>37999</v>
      </c>
      <c r="C156" s="12">
        <v>2004</v>
      </c>
      <c r="D156" s="15" t="s">
        <v>18</v>
      </c>
      <c r="E156" s="12">
        <v>1</v>
      </c>
      <c r="F156" s="13">
        <v>4.9983000000000004</v>
      </c>
      <c r="G156" s="13">
        <v>1.9247098266209064</v>
      </c>
    </row>
    <row r="157" spans="1:14">
      <c r="A157" s="8">
        <v>8</v>
      </c>
      <c r="C157" s="12">
        <v>2004</v>
      </c>
      <c r="D157" s="15" t="s">
        <v>18</v>
      </c>
      <c r="E157" s="12">
        <v>1</v>
      </c>
      <c r="F157" s="13"/>
    </row>
    <row r="158" spans="1:14">
      <c r="A158" s="8">
        <v>15</v>
      </c>
      <c r="C158" s="12">
        <v>2004</v>
      </c>
      <c r="D158" s="15" t="s">
        <v>18</v>
      </c>
      <c r="E158" s="12">
        <v>1</v>
      </c>
      <c r="F158" s="13"/>
      <c r="I158" s="18">
        <f>AVERAGE(F156:F158)</f>
        <v>4.9983000000000004</v>
      </c>
      <c r="J158" s="18">
        <f>AVERAGE(G156:G158)</f>
        <v>1.9247098266209064</v>
      </c>
      <c r="L158">
        <f>+J158/I158</f>
        <v>0.38507289010681756</v>
      </c>
      <c r="M158">
        <f>+(L158-$L$927)/$L$928</f>
        <v>1.0064029859582104</v>
      </c>
      <c r="N158">
        <f>+N155+M158</f>
        <v>-7.4824055716780684</v>
      </c>
    </row>
    <row r="159" spans="1:14">
      <c r="A159" s="8">
        <v>6</v>
      </c>
      <c r="B159" s="73">
        <v>38027</v>
      </c>
      <c r="C159" s="12">
        <v>2004</v>
      </c>
      <c r="D159" s="11" t="s">
        <v>19</v>
      </c>
      <c r="E159" s="12">
        <v>2</v>
      </c>
      <c r="F159" s="13">
        <v>5.3985000000000003</v>
      </c>
      <c r="G159" s="13">
        <v>1.8227440805126356</v>
      </c>
    </row>
    <row r="160" spans="1:14">
      <c r="A160" s="8">
        <v>8</v>
      </c>
      <c r="B160" s="73">
        <v>38026</v>
      </c>
      <c r="C160" s="12">
        <v>2004</v>
      </c>
      <c r="D160" s="11" t="s">
        <v>19</v>
      </c>
      <c r="E160" s="12">
        <v>2</v>
      </c>
      <c r="F160" s="13">
        <v>9.5776000000000003</v>
      </c>
      <c r="G160" s="13">
        <v>2.821836789394514</v>
      </c>
    </row>
    <row r="161" spans="1:14">
      <c r="A161" s="8">
        <v>15</v>
      </c>
      <c r="B161" s="73">
        <v>38026</v>
      </c>
      <c r="C161" s="12">
        <v>2004</v>
      </c>
      <c r="D161" s="11" t="s">
        <v>19</v>
      </c>
      <c r="E161" s="12">
        <v>2</v>
      </c>
      <c r="F161" s="13">
        <v>7.0206999999999997</v>
      </c>
      <c r="G161" s="13">
        <v>2.1154093417333262</v>
      </c>
      <c r="I161" s="18">
        <f>AVERAGE(F159:F161)</f>
        <v>7.3322666666666665</v>
      </c>
      <c r="J161" s="18">
        <f>AVERAGE(G159:G161)</f>
        <v>2.2533300705468253</v>
      </c>
      <c r="L161">
        <f>+J161/I161</f>
        <v>0.30731698299936699</v>
      </c>
      <c r="M161">
        <f>+(L161-$L$927)/$L$928</f>
        <v>0.26885357006168425</v>
      </c>
      <c r="N161">
        <f>+N158+M161</f>
        <v>-7.2135520016163843</v>
      </c>
    </row>
    <row r="162" spans="1:14">
      <c r="A162" s="8">
        <v>6</v>
      </c>
      <c r="B162" s="73">
        <v>38063</v>
      </c>
      <c r="C162" s="12">
        <v>2004</v>
      </c>
      <c r="D162" s="11" t="s">
        <v>20</v>
      </c>
      <c r="E162" s="12">
        <v>3</v>
      </c>
      <c r="F162" s="13">
        <v>8.1742000000000008</v>
      </c>
      <c r="G162" s="13">
        <v>3.6224635193110415</v>
      </c>
    </row>
    <row r="163" spans="1:14">
      <c r="A163" s="8">
        <v>8</v>
      </c>
      <c r="B163" s="73">
        <v>38061</v>
      </c>
      <c r="C163" s="12">
        <v>2004</v>
      </c>
      <c r="D163" s="11" t="s">
        <v>20</v>
      </c>
      <c r="E163" s="12">
        <v>3</v>
      </c>
      <c r="F163" s="13">
        <v>6.0446999999999997</v>
      </c>
      <c r="G163" s="13">
        <v>2.5215772576040103</v>
      </c>
    </row>
    <row r="164" spans="1:14">
      <c r="A164" s="8">
        <v>15</v>
      </c>
      <c r="B164" s="73">
        <v>38063</v>
      </c>
      <c r="C164" s="12">
        <v>2004</v>
      </c>
      <c r="D164" s="11" t="s">
        <v>20</v>
      </c>
      <c r="E164" s="12">
        <v>3</v>
      </c>
      <c r="F164" s="13">
        <v>3.8525999999999998</v>
      </c>
      <c r="G164" s="13">
        <v>1.2473748946072514</v>
      </c>
      <c r="I164" s="18">
        <f>AVERAGE(F162:F164)</f>
        <v>6.0238333333333332</v>
      </c>
      <c r="J164" s="18">
        <f>AVERAGE(G162:G164)</f>
        <v>2.4638052238407675</v>
      </c>
      <c r="L164">
        <f>+J164/I164</f>
        <v>0.40900952724025691</v>
      </c>
      <c r="M164">
        <f>+(L164-$L$927)/$L$928</f>
        <v>1.2334526519327669</v>
      </c>
      <c r="N164">
        <f>+N161+M164</f>
        <v>-5.9800993496836172</v>
      </c>
    </row>
    <row r="165" spans="1:14">
      <c r="A165" s="8">
        <v>6</v>
      </c>
      <c r="B165" s="73">
        <v>38094</v>
      </c>
      <c r="C165" s="12">
        <v>2004</v>
      </c>
      <c r="D165" s="11" t="s">
        <v>21</v>
      </c>
      <c r="E165" s="12">
        <v>4</v>
      </c>
      <c r="F165" s="13">
        <v>4.3901000000000003</v>
      </c>
      <c r="G165" s="21">
        <v>1.9586465823040173</v>
      </c>
    </row>
    <row r="166" spans="1:14">
      <c r="A166" s="8">
        <v>8</v>
      </c>
      <c r="B166" s="73">
        <v>38093</v>
      </c>
      <c r="C166" s="12">
        <v>2004</v>
      </c>
      <c r="D166" s="11" t="s">
        <v>21</v>
      </c>
      <c r="E166" s="12">
        <v>4</v>
      </c>
      <c r="F166" s="13">
        <v>1.3182</v>
      </c>
      <c r="G166" s="21">
        <v>0.27923797003972478</v>
      </c>
    </row>
    <row r="167" spans="1:14">
      <c r="A167" s="8">
        <v>15</v>
      </c>
      <c r="B167" s="73">
        <v>38094</v>
      </c>
      <c r="C167" s="12">
        <v>2004</v>
      </c>
      <c r="D167" s="11" t="s">
        <v>21</v>
      </c>
      <c r="E167" s="12">
        <v>4</v>
      </c>
      <c r="F167" s="13">
        <v>3.8311000000000002</v>
      </c>
      <c r="G167" s="21">
        <v>1.7613477776316779</v>
      </c>
      <c r="I167" s="18">
        <f>AVERAGE(F165:F167)</f>
        <v>3.1798000000000002</v>
      </c>
      <c r="J167" s="18">
        <f>AVERAGE(G165:G167)</f>
        <v>1.33307744332514</v>
      </c>
      <c r="L167">
        <f>+J167/I167</f>
        <v>0.41923311004627334</v>
      </c>
      <c r="M167">
        <f>+(L167-$L$927)/$L$928</f>
        <v>1.3304278890234633</v>
      </c>
      <c r="N167">
        <f>+N164+M167</f>
        <v>-4.6496714606601541</v>
      </c>
    </row>
    <row r="168" spans="1:14">
      <c r="A168" s="8">
        <v>6</v>
      </c>
      <c r="B168" s="73">
        <v>38118</v>
      </c>
      <c r="C168" s="12">
        <v>2004</v>
      </c>
      <c r="D168" s="11" t="s">
        <v>22</v>
      </c>
      <c r="E168" s="12">
        <v>5</v>
      </c>
      <c r="F168" s="13">
        <v>2.6059999999999999</v>
      </c>
      <c r="G168" s="21">
        <v>0.86239617269574753</v>
      </c>
    </row>
    <row r="169" spans="1:14">
      <c r="A169" s="8">
        <v>8</v>
      </c>
      <c r="B169" s="73">
        <v>38117</v>
      </c>
      <c r="C169" s="12">
        <v>2004</v>
      </c>
      <c r="D169" s="11" t="s">
        <v>22</v>
      </c>
      <c r="E169" s="12">
        <v>5</v>
      </c>
      <c r="F169" s="13">
        <v>2.4889000000000001</v>
      </c>
      <c r="G169" s="21">
        <v>0.4829875467579165</v>
      </c>
    </row>
    <row r="170" spans="1:14">
      <c r="A170" s="8">
        <v>15</v>
      </c>
      <c r="B170" s="73">
        <v>38118</v>
      </c>
      <c r="C170" s="12">
        <v>2004</v>
      </c>
      <c r="D170" s="11" t="s">
        <v>22</v>
      </c>
      <c r="E170" s="12">
        <v>5</v>
      </c>
      <c r="F170" s="13">
        <v>2.1602999999999999</v>
      </c>
      <c r="G170" s="21">
        <v>0.58792327403574829</v>
      </c>
      <c r="I170" s="18">
        <f>AVERAGE(F168:F170)</f>
        <v>2.4184000000000001</v>
      </c>
      <c r="J170" s="18">
        <f>AVERAGE(G168:G170)</f>
        <v>0.64443566449647072</v>
      </c>
      <c r="L170">
        <f>+J170/I170</f>
        <v>0.26647190890525585</v>
      </c>
      <c r="M170">
        <f>+(L170-$L$927)/$L$928</f>
        <v>-0.11858015248150508</v>
      </c>
      <c r="N170">
        <f>+N167+M170</f>
        <v>-4.7682516131416595</v>
      </c>
    </row>
    <row r="171" spans="1:14">
      <c r="A171" s="8">
        <v>6</v>
      </c>
      <c r="B171" s="73">
        <v>38153</v>
      </c>
      <c r="C171" s="12">
        <v>2004</v>
      </c>
      <c r="D171" s="11" t="s">
        <v>23</v>
      </c>
      <c r="E171" s="12">
        <v>6</v>
      </c>
      <c r="F171" s="13">
        <v>13.8576</v>
      </c>
      <c r="G171" s="21">
        <v>4.0922159605172705</v>
      </c>
    </row>
    <row r="172" spans="1:14">
      <c r="A172" s="8">
        <v>8</v>
      </c>
      <c r="B172" s="73">
        <v>38160</v>
      </c>
      <c r="C172" s="12">
        <v>2004</v>
      </c>
      <c r="D172" s="11" t="s">
        <v>23</v>
      </c>
      <c r="E172" s="12">
        <v>6</v>
      </c>
      <c r="F172" s="13">
        <v>2.9472</v>
      </c>
      <c r="G172" s="21">
        <v>0.9235934696548237</v>
      </c>
    </row>
    <row r="173" spans="1:14">
      <c r="A173" s="8">
        <v>15</v>
      </c>
      <c r="B173" s="73">
        <v>38155</v>
      </c>
      <c r="C173" s="12">
        <v>2004</v>
      </c>
      <c r="D173" s="11" t="s">
        <v>23</v>
      </c>
      <c r="E173" s="12">
        <v>6</v>
      </c>
      <c r="F173" s="13">
        <v>4.3376000000000001</v>
      </c>
      <c r="G173" s="21">
        <v>0.62055947543889101</v>
      </c>
      <c r="I173" s="18">
        <f>AVERAGE(F171:F173)</f>
        <v>7.0474666666666677</v>
      </c>
      <c r="J173" s="18">
        <f>AVERAGE(G171:G173)</f>
        <v>1.8787896352036617</v>
      </c>
      <c r="L173">
        <f>+J173/I173</f>
        <v>0.26659077993089642</v>
      </c>
      <c r="M173">
        <f>+(L173-$L$927)/$L$928</f>
        <v>-0.11745260785126799</v>
      </c>
      <c r="N173">
        <f>+N170+M173</f>
        <v>-4.8857042209929276</v>
      </c>
    </row>
    <row r="174" spans="1:14">
      <c r="A174" s="8">
        <v>6</v>
      </c>
      <c r="B174" s="73">
        <v>38181</v>
      </c>
      <c r="C174" s="12">
        <v>2004</v>
      </c>
      <c r="D174" s="15" t="s">
        <v>24</v>
      </c>
      <c r="E174" s="12">
        <v>7</v>
      </c>
      <c r="F174" s="13">
        <v>11.0219</v>
      </c>
      <c r="G174" s="21">
        <v>0.93916996182169721</v>
      </c>
    </row>
    <row r="175" spans="1:14">
      <c r="A175" s="8">
        <v>8</v>
      </c>
      <c r="B175" s="73">
        <v>38182</v>
      </c>
      <c r="C175" s="12">
        <v>2004</v>
      </c>
      <c r="D175" s="15" t="s">
        <v>24</v>
      </c>
      <c r="E175" s="12">
        <v>7</v>
      </c>
      <c r="F175" s="13">
        <v>2.2934000000000001</v>
      </c>
      <c r="G175" s="21">
        <v>0.5209663676306957</v>
      </c>
    </row>
    <row r="176" spans="1:14">
      <c r="A176" s="8">
        <v>15</v>
      </c>
      <c r="B176" s="73">
        <v>38182</v>
      </c>
      <c r="C176" s="12">
        <v>2004</v>
      </c>
      <c r="D176" s="15" t="s">
        <v>24</v>
      </c>
      <c r="E176" s="12">
        <v>7</v>
      </c>
      <c r="F176" s="13">
        <v>4.0551000000000004</v>
      </c>
      <c r="G176" s="21">
        <v>0.23188662547043823</v>
      </c>
      <c r="I176" s="18">
        <f>AVERAGE(F174:F176)</f>
        <v>5.7901333333333334</v>
      </c>
      <c r="J176" s="18">
        <f>AVERAGE(G174:G176)</f>
        <v>0.56400765164094369</v>
      </c>
      <c r="L176">
        <f>+J176/I176</f>
        <v>9.740840481064518E-2</v>
      </c>
      <c r="M176">
        <f>+(L176-$L$927)/$L$928</f>
        <v>-1.7222227994907897</v>
      </c>
      <c r="N176">
        <f>+N173+M176</f>
        <v>-6.6079270204837171</v>
      </c>
    </row>
    <row r="177" spans="1:14">
      <c r="A177" s="8">
        <v>6</v>
      </c>
      <c r="B177" s="73">
        <v>38217</v>
      </c>
      <c r="C177" s="12">
        <v>2004</v>
      </c>
      <c r="D177" s="15" t="s">
        <v>25</v>
      </c>
      <c r="E177" s="12">
        <v>8</v>
      </c>
      <c r="F177" s="13">
        <v>15.412599999999999</v>
      </c>
      <c r="G177" s="20"/>
    </row>
    <row r="178" spans="1:14">
      <c r="A178" s="8">
        <v>8</v>
      </c>
      <c r="B178" s="73">
        <v>38218</v>
      </c>
      <c r="C178" s="12">
        <v>2004</v>
      </c>
      <c r="D178" s="15" t="s">
        <v>25</v>
      </c>
      <c r="E178" s="12">
        <v>8</v>
      </c>
      <c r="F178" s="13">
        <v>3.7090000000000001</v>
      </c>
      <c r="G178" s="20"/>
    </row>
    <row r="179" spans="1:14">
      <c r="A179" s="8">
        <v>15</v>
      </c>
      <c r="B179" s="73">
        <v>38218</v>
      </c>
      <c r="C179" s="12">
        <v>2004</v>
      </c>
      <c r="D179" s="15" t="s">
        <v>25</v>
      </c>
      <c r="E179" s="12">
        <v>8</v>
      </c>
      <c r="F179" s="13">
        <v>3.0560999999999998</v>
      </c>
      <c r="G179" s="20"/>
      <c r="I179" s="18">
        <f>AVERAGE(F177:F179)</f>
        <v>7.3925666666666672</v>
      </c>
      <c r="J179" s="18" t="e">
        <f>AVERAGE(G177:G179)</f>
        <v>#DIV/0!</v>
      </c>
    </row>
    <row r="180" spans="1:14">
      <c r="A180" s="8">
        <v>6</v>
      </c>
      <c r="B180" s="73">
        <v>38244</v>
      </c>
      <c r="C180" s="12">
        <v>2004</v>
      </c>
      <c r="D180" s="15" t="s">
        <v>26</v>
      </c>
      <c r="E180" s="12">
        <v>9</v>
      </c>
      <c r="F180" s="13">
        <v>9.4573999999999998</v>
      </c>
      <c r="G180" s="21">
        <v>2.6142454733109468</v>
      </c>
    </row>
    <row r="181" spans="1:14">
      <c r="A181" s="8">
        <v>8</v>
      </c>
      <c r="B181" s="73">
        <v>38246</v>
      </c>
      <c r="C181" s="12">
        <v>2004</v>
      </c>
      <c r="D181" s="15" t="s">
        <v>26</v>
      </c>
      <c r="E181" s="12">
        <v>9</v>
      </c>
      <c r="F181" s="13">
        <v>1.6736</v>
      </c>
      <c r="G181" s="21">
        <v>0.3830990435278705</v>
      </c>
    </row>
    <row r="182" spans="1:14">
      <c r="A182" s="8">
        <v>15</v>
      </c>
      <c r="B182" s="73">
        <v>38246</v>
      </c>
      <c r="C182" s="12">
        <v>2004</v>
      </c>
      <c r="D182" s="15" t="s">
        <v>26</v>
      </c>
      <c r="E182" s="12">
        <v>9</v>
      </c>
      <c r="F182" s="13">
        <v>2.9839000000000002</v>
      </c>
      <c r="G182" s="21">
        <v>0.83321118792634608</v>
      </c>
      <c r="I182" s="18">
        <f>AVERAGE(F180:F182)</f>
        <v>4.7049666666666665</v>
      </c>
      <c r="J182" s="18">
        <f>AVERAGE(G180:G182)</f>
        <v>1.2768519015883877</v>
      </c>
      <c r="L182">
        <f>+J182/I182</f>
        <v>0.27138383585892661</v>
      </c>
      <c r="M182">
        <f>+(L182-$L$927)/$L$928</f>
        <v>-7.1988337269318595E-2</v>
      </c>
      <c r="N182">
        <f>+N176+M182</f>
        <v>-6.6799153577530355</v>
      </c>
    </row>
    <row r="183" spans="1:14">
      <c r="A183" s="8">
        <v>6</v>
      </c>
      <c r="B183" s="73">
        <v>38273</v>
      </c>
      <c r="C183" s="12">
        <v>2004</v>
      </c>
      <c r="D183" s="15" t="s">
        <v>14</v>
      </c>
      <c r="E183" s="12">
        <v>10</v>
      </c>
      <c r="F183" s="14">
        <v>8.5496300000000005</v>
      </c>
      <c r="G183" s="14">
        <v>2.7082167142909488</v>
      </c>
    </row>
    <row r="184" spans="1:14">
      <c r="A184" s="8">
        <v>8</v>
      </c>
      <c r="B184" s="73">
        <v>38274</v>
      </c>
      <c r="C184" s="12">
        <v>2004</v>
      </c>
      <c r="D184" s="15" t="s">
        <v>14</v>
      </c>
      <c r="E184" s="12">
        <v>10</v>
      </c>
      <c r="F184" s="14">
        <v>1.54593</v>
      </c>
      <c r="G184" s="14">
        <v>0.16184923556408656</v>
      </c>
    </row>
    <row r="185" spans="1:14">
      <c r="A185" s="8">
        <v>15</v>
      </c>
      <c r="B185" s="73">
        <v>38273</v>
      </c>
      <c r="C185" s="12">
        <v>2004</v>
      </c>
      <c r="D185" s="15" t="s">
        <v>14</v>
      </c>
      <c r="E185" s="12">
        <v>10</v>
      </c>
      <c r="F185" s="14">
        <v>1.51335</v>
      </c>
      <c r="G185" s="14">
        <v>0.28434658272719388</v>
      </c>
      <c r="I185" s="18">
        <f>AVERAGE(F183:F185)</f>
        <v>3.8696366666666671</v>
      </c>
      <c r="J185" s="18">
        <f>AVERAGE(G183:G185)</f>
        <v>1.0514708441940763</v>
      </c>
      <c r="L185">
        <f>+J185/I185</f>
        <v>0.27172340319480714</v>
      </c>
      <c r="M185">
        <f>+(L185-$L$927)/$L$928</f>
        <v>-6.8767389825542619E-2</v>
      </c>
      <c r="N185">
        <f>+N182+M185</f>
        <v>-6.7486827475785782</v>
      </c>
    </row>
    <row r="186" spans="1:14">
      <c r="A186" s="8">
        <v>6</v>
      </c>
      <c r="B186" s="73">
        <v>38307</v>
      </c>
      <c r="C186" s="12">
        <v>2004</v>
      </c>
      <c r="D186" s="15" t="s">
        <v>16</v>
      </c>
      <c r="E186" s="12">
        <v>11</v>
      </c>
      <c r="F186" s="14">
        <v>1.90208</v>
      </c>
      <c r="G186" s="14">
        <v>0.48830136426248655</v>
      </c>
    </row>
    <row r="187" spans="1:14">
      <c r="A187" s="8">
        <v>8</v>
      </c>
      <c r="B187" s="73">
        <v>38309</v>
      </c>
      <c r="C187" s="12">
        <v>2004</v>
      </c>
      <c r="D187" s="15" t="s">
        <v>16</v>
      </c>
      <c r="E187" s="12">
        <v>11</v>
      </c>
      <c r="F187" s="14">
        <v>1.50061</v>
      </c>
      <c r="G187" s="14">
        <v>0.17764507836701413</v>
      </c>
    </row>
    <row r="188" spans="1:14">
      <c r="A188" s="8">
        <v>15</v>
      </c>
      <c r="B188" s="73">
        <v>38307</v>
      </c>
      <c r="C188" s="12">
        <v>2004</v>
      </c>
      <c r="D188" s="15" t="s">
        <v>16</v>
      </c>
      <c r="E188" s="12">
        <v>11</v>
      </c>
      <c r="F188" s="14">
        <v>1.69478</v>
      </c>
      <c r="G188" s="14">
        <v>0.28076262196027868</v>
      </c>
      <c r="I188" s="18">
        <f>AVERAGE(F186:F188)</f>
        <v>1.6991566666666664</v>
      </c>
      <c r="J188" s="18">
        <f>AVERAGE(G186:G188)</f>
        <v>0.31556968819659309</v>
      </c>
      <c r="L188">
        <f>+J188/I188</f>
        <v>0.18572136071223164</v>
      </c>
      <c r="M188">
        <f>+(L188-$L$927)/$L$928</f>
        <v>-0.88453507306119816</v>
      </c>
      <c r="N188">
        <f>+N185+M188</f>
        <v>-7.6332178206397767</v>
      </c>
    </row>
    <row r="189" spans="1:14">
      <c r="A189" s="8">
        <v>6</v>
      </c>
      <c r="B189" s="73">
        <v>38337</v>
      </c>
      <c r="C189" s="12">
        <v>2004</v>
      </c>
      <c r="D189" s="15" t="s">
        <v>17</v>
      </c>
      <c r="E189" s="12">
        <v>12</v>
      </c>
      <c r="F189" s="14">
        <v>3.1585000000000001</v>
      </c>
      <c r="G189" s="14">
        <v>0.64054476115280679</v>
      </c>
    </row>
    <row r="190" spans="1:14">
      <c r="A190" s="8">
        <v>8</v>
      </c>
      <c r="B190" s="73">
        <v>38337</v>
      </c>
      <c r="C190" s="12">
        <v>2004</v>
      </c>
      <c r="D190" s="15" t="s">
        <v>17</v>
      </c>
      <c r="E190" s="12">
        <v>12</v>
      </c>
      <c r="F190" s="14">
        <v>2.3885800000000001</v>
      </c>
      <c r="G190" s="14">
        <v>0.58057764149196611</v>
      </c>
    </row>
    <row r="191" spans="1:14">
      <c r="A191" s="8">
        <v>15</v>
      </c>
      <c r="B191" s="73">
        <v>38337</v>
      </c>
      <c r="C191" s="12">
        <v>2004</v>
      </c>
      <c r="D191" s="15" t="s">
        <v>17</v>
      </c>
      <c r="E191" s="12">
        <v>12</v>
      </c>
      <c r="F191" s="14">
        <v>2.2125400000000002</v>
      </c>
      <c r="G191" s="14">
        <v>0.35409929407336244</v>
      </c>
      <c r="I191" s="18">
        <f>AVERAGE(F189:F191)</f>
        <v>2.5865399999999998</v>
      </c>
      <c r="J191" s="18">
        <f>AVERAGE(G189:G191)</f>
        <v>0.52507389890604517</v>
      </c>
      <c r="L191">
        <f>+J191/I191</f>
        <v>0.20300242753100481</v>
      </c>
      <c r="M191">
        <f>+(L191-$L$927)/$L$928</f>
        <v>-0.72061645629756321</v>
      </c>
      <c r="N191">
        <f>+N188+M191</f>
        <v>-8.3538342769373397</v>
      </c>
    </row>
    <row r="192" spans="1:14">
      <c r="A192" s="8">
        <v>6</v>
      </c>
      <c r="B192" s="78">
        <v>38363</v>
      </c>
      <c r="C192" s="12">
        <v>2005</v>
      </c>
      <c r="D192" s="15" t="s">
        <v>18</v>
      </c>
      <c r="E192" s="12">
        <v>1</v>
      </c>
      <c r="F192" s="14">
        <v>3.3628</v>
      </c>
      <c r="G192" s="14">
        <v>0.8757627511111824</v>
      </c>
    </row>
    <row r="193" spans="1:14">
      <c r="A193" s="8">
        <v>8</v>
      </c>
      <c r="B193" s="78">
        <v>38364</v>
      </c>
      <c r="C193" s="12">
        <v>2005</v>
      </c>
      <c r="D193" s="15" t="s">
        <v>18</v>
      </c>
      <c r="E193" s="12">
        <v>1</v>
      </c>
      <c r="F193" s="14">
        <v>1.08186</v>
      </c>
      <c r="G193" s="14">
        <v>0.26343249791027068</v>
      </c>
    </row>
    <row r="194" spans="1:14">
      <c r="A194" s="8">
        <v>15</v>
      </c>
      <c r="B194" s="78">
        <v>38363</v>
      </c>
      <c r="C194" s="12">
        <v>2005</v>
      </c>
      <c r="D194" s="15" t="s">
        <v>18</v>
      </c>
      <c r="E194" s="12">
        <v>1</v>
      </c>
      <c r="F194" s="14">
        <v>3.7126399999999999</v>
      </c>
      <c r="G194" s="14">
        <v>0.94453408512830606</v>
      </c>
      <c r="I194" s="18">
        <f>AVERAGE(F192:F194)</f>
        <v>2.7190999999999996</v>
      </c>
      <c r="J194" s="18">
        <f>AVERAGE(G192:G194)</f>
        <v>0.69457644471658642</v>
      </c>
      <c r="L194">
        <f>+J194/I194</f>
        <v>0.25544350877738464</v>
      </c>
      <c r="M194">
        <f>+(L194-$L$927)/$L$928</f>
        <v>-0.22318944038222055</v>
      </c>
      <c r="N194">
        <f>+N191+M194</f>
        <v>-8.5770237173195607</v>
      </c>
    </row>
    <row r="195" spans="1:14">
      <c r="A195" s="8">
        <v>6</v>
      </c>
      <c r="B195" s="78">
        <v>38399</v>
      </c>
      <c r="C195" s="12">
        <v>2005</v>
      </c>
      <c r="D195" s="11" t="s">
        <v>19</v>
      </c>
      <c r="E195" s="12">
        <v>2</v>
      </c>
      <c r="F195" s="14">
        <v>3.0975199999999998</v>
      </c>
      <c r="G195" s="14">
        <v>0.69531465448971064</v>
      </c>
    </row>
    <row r="196" spans="1:14">
      <c r="A196" s="8">
        <v>8</v>
      </c>
      <c r="B196" s="78">
        <v>38398</v>
      </c>
      <c r="C196" s="12">
        <v>2005</v>
      </c>
      <c r="D196" s="11" t="s">
        <v>19</v>
      </c>
      <c r="E196" s="12">
        <v>2</v>
      </c>
      <c r="F196" s="14">
        <v>3.34823</v>
      </c>
      <c r="G196" s="14">
        <v>0.8570286059322868</v>
      </c>
    </row>
    <row r="197" spans="1:14">
      <c r="A197" s="8">
        <v>15</v>
      </c>
      <c r="B197" s="78">
        <v>38398</v>
      </c>
      <c r="C197" s="12">
        <v>2005</v>
      </c>
      <c r="D197" s="11" t="s">
        <v>19</v>
      </c>
      <c r="E197" s="12">
        <v>2</v>
      </c>
      <c r="F197" s="14">
        <v>2.5410400000000002</v>
      </c>
      <c r="G197" s="14">
        <v>0.55073771323992704</v>
      </c>
      <c r="I197" s="18">
        <f>AVERAGE(F195:F197)</f>
        <v>2.9955966666666671</v>
      </c>
      <c r="J197" s="18">
        <f>AVERAGE(G195:G197)</f>
        <v>0.70102699122064138</v>
      </c>
      <c r="L197">
        <f>+J197/I197</f>
        <v>0.23401915185087488</v>
      </c>
      <c r="M197">
        <f>+(L197-$L$927)/$L$928</f>
        <v>-0.42640900947900839</v>
      </c>
      <c r="N197">
        <f>+N194+M197</f>
        <v>-9.0034327267985699</v>
      </c>
    </row>
    <row r="198" spans="1:14">
      <c r="A198" s="8">
        <v>6</v>
      </c>
      <c r="B198" s="78">
        <v>38428</v>
      </c>
      <c r="C198" s="12">
        <v>2005</v>
      </c>
      <c r="D198" s="11" t="s">
        <v>20</v>
      </c>
      <c r="E198" s="12">
        <v>3</v>
      </c>
      <c r="F198" s="14">
        <v>1.57328</v>
      </c>
      <c r="G198" s="14">
        <v>0.3432031160447338</v>
      </c>
    </row>
    <row r="199" spans="1:14">
      <c r="A199" s="8">
        <v>8</v>
      </c>
      <c r="B199" s="78">
        <v>38427</v>
      </c>
      <c r="C199" s="12">
        <v>2005</v>
      </c>
      <c r="D199" s="11" t="s">
        <v>20</v>
      </c>
      <c r="E199" s="12">
        <v>3</v>
      </c>
      <c r="F199" s="14">
        <v>1.8873200000000001</v>
      </c>
      <c r="G199" s="14">
        <v>0.40979858708316558</v>
      </c>
    </row>
    <row r="200" spans="1:14">
      <c r="A200" s="8">
        <v>15</v>
      </c>
      <c r="B200" s="78">
        <v>38427</v>
      </c>
      <c r="C200" s="12">
        <v>2005</v>
      </c>
      <c r="D200" s="11" t="s">
        <v>20</v>
      </c>
      <c r="E200" s="12">
        <v>3</v>
      </c>
      <c r="F200" s="14">
        <v>1.9217599999999999</v>
      </c>
      <c r="G200" s="14">
        <v>0.41932724824685258</v>
      </c>
      <c r="I200" s="18">
        <f>AVERAGE(F198:F200)</f>
        <v>1.7941200000000002</v>
      </c>
      <c r="J200" s="18">
        <f>AVERAGE(G198:G200)</f>
        <v>0.39077631712491728</v>
      </c>
      <c r="L200">
        <f>+J200/I200</f>
        <v>0.21780946487688518</v>
      </c>
      <c r="M200">
        <f>+(L200-$L$927)/$L$928</f>
        <v>-0.58016511116026648</v>
      </c>
      <c r="N200">
        <f>+N197+M200</f>
        <v>-9.5835978379588358</v>
      </c>
    </row>
    <row r="201" spans="1:14">
      <c r="A201" s="8">
        <v>6</v>
      </c>
      <c r="B201" s="78">
        <v>38469</v>
      </c>
      <c r="C201" s="12">
        <v>2005</v>
      </c>
      <c r="D201" s="11" t="s">
        <v>21</v>
      </c>
      <c r="E201" s="12">
        <v>4</v>
      </c>
      <c r="F201" s="14">
        <v>4.1978900000000001</v>
      </c>
      <c r="G201" s="14">
        <v>1.9776967917084602</v>
      </c>
    </row>
    <row r="202" spans="1:14">
      <c r="A202" s="8">
        <v>8</v>
      </c>
      <c r="B202" s="78">
        <v>38470</v>
      </c>
      <c r="C202" s="12">
        <v>2005</v>
      </c>
      <c r="D202" s="11" t="s">
        <v>21</v>
      </c>
      <c r="E202" s="12">
        <v>4</v>
      </c>
      <c r="F202" s="14">
        <v>1.4016</v>
      </c>
      <c r="G202" s="14">
        <v>0.31496672450858831</v>
      </c>
    </row>
    <row r="203" spans="1:14">
      <c r="A203" s="8">
        <v>15</v>
      </c>
      <c r="B203" s="78">
        <v>38469</v>
      </c>
      <c r="C203" s="12">
        <v>2005</v>
      </c>
      <c r="D203" s="11" t="s">
        <v>21</v>
      </c>
      <c r="E203" s="12">
        <v>4</v>
      </c>
      <c r="F203" s="14">
        <v>3.1296499999999998</v>
      </c>
      <c r="G203" s="14">
        <v>1.5318957626163592</v>
      </c>
      <c r="I203" s="18">
        <f>AVERAGE(F201:F203)</f>
        <v>2.9097133333333338</v>
      </c>
      <c r="J203" s="18">
        <f>AVERAGE(G201:G203)</f>
        <v>1.2748530929444692</v>
      </c>
      <c r="L203">
        <f>+J203/I203</f>
        <v>0.43813700763573582</v>
      </c>
      <c r="M203">
        <f>+(L203-$L$927)/$L$928</f>
        <v>1.5097397785498581</v>
      </c>
      <c r="N203">
        <f>+N200+M203</f>
        <v>-8.0738580594089768</v>
      </c>
    </row>
    <row r="204" spans="1:14">
      <c r="A204" s="8">
        <v>6</v>
      </c>
      <c r="B204" s="78">
        <v>38490</v>
      </c>
      <c r="C204" s="12">
        <v>2005</v>
      </c>
      <c r="D204" s="11" t="s">
        <v>22</v>
      </c>
      <c r="E204" s="12">
        <v>5</v>
      </c>
      <c r="F204" s="14">
        <v>6.09511</v>
      </c>
      <c r="G204" s="14">
        <v>2.882361694145966</v>
      </c>
    </row>
    <row r="205" spans="1:14">
      <c r="A205" s="8">
        <v>8</v>
      </c>
      <c r="B205" s="78">
        <v>38488</v>
      </c>
      <c r="C205" s="12">
        <v>2005</v>
      </c>
      <c r="D205" s="11" t="s">
        <v>22</v>
      </c>
      <c r="E205" s="12">
        <v>5</v>
      </c>
      <c r="F205" s="14">
        <v>1.2165699999999999</v>
      </c>
      <c r="G205" s="14">
        <v>0.19561877027022687</v>
      </c>
    </row>
    <row r="206" spans="1:14">
      <c r="A206" s="8">
        <v>15</v>
      </c>
      <c r="B206" s="78">
        <v>38488</v>
      </c>
      <c r="C206" s="12">
        <v>2005</v>
      </c>
      <c r="D206" s="11" t="s">
        <v>22</v>
      </c>
      <c r="E206" s="12">
        <v>5</v>
      </c>
      <c r="F206" s="14">
        <v>1.8910100000000001</v>
      </c>
      <c r="G206" s="14">
        <v>0.46106872860805154</v>
      </c>
      <c r="I206" s="18">
        <f>AVERAGE(F204:F206)</f>
        <v>3.0675633333333336</v>
      </c>
      <c r="J206" s="18">
        <f>AVERAGE(G204:G206)</f>
        <v>1.1796830643414149</v>
      </c>
      <c r="L206">
        <f>+J206/I206</f>
        <v>0.38456681611835719</v>
      </c>
      <c r="M206">
        <f>+(L206-$L$927)/$L$928</f>
        <v>1.0016026487430125</v>
      </c>
      <c r="N206">
        <f>+N203+M206</f>
        <v>-7.0722554106659645</v>
      </c>
    </row>
    <row r="207" spans="1:14">
      <c r="A207" s="8">
        <v>6</v>
      </c>
      <c r="B207" s="78">
        <v>38518</v>
      </c>
      <c r="C207" s="12">
        <v>2005</v>
      </c>
      <c r="D207" s="11" t="s">
        <v>23</v>
      </c>
      <c r="E207" s="12">
        <v>6</v>
      </c>
      <c r="F207" s="14">
        <v>8.4142499999999991</v>
      </c>
      <c r="G207" s="14">
        <v>1.4741227795496608</v>
      </c>
    </row>
    <row r="208" spans="1:14">
      <c r="A208" s="8">
        <v>8</v>
      </c>
      <c r="B208" s="78">
        <v>38525</v>
      </c>
      <c r="C208" s="12">
        <v>2005</v>
      </c>
      <c r="D208" s="11" t="s">
        <v>23</v>
      </c>
      <c r="E208" s="12">
        <v>6</v>
      </c>
      <c r="F208" s="14">
        <v>3.2334000000000001</v>
      </c>
      <c r="G208" s="14">
        <v>0.81349506007282557</v>
      </c>
    </row>
    <row r="209" spans="1:14">
      <c r="A209" s="8">
        <v>15</v>
      </c>
      <c r="B209" s="78">
        <v>38525</v>
      </c>
      <c r="C209" s="12">
        <v>2005</v>
      </c>
      <c r="D209" s="11" t="s">
        <v>23</v>
      </c>
      <c r="E209" s="12">
        <v>6</v>
      </c>
      <c r="F209" s="14">
        <v>5.8687399999999998</v>
      </c>
      <c r="G209" s="14">
        <v>1.2781770722864736</v>
      </c>
      <c r="I209" s="18">
        <f>AVERAGE(F207:F209)</f>
        <v>5.8387966666666662</v>
      </c>
      <c r="J209" s="18">
        <f>AVERAGE(G207:G209)</f>
        <v>1.1885983039696533</v>
      </c>
      <c r="L209">
        <f>+J209/I209</f>
        <v>0.20356905229382083</v>
      </c>
      <c r="M209">
        <f>+(L209-$L$927)/$L$928</f>
        <v>-0.71524176801478168</v>
      </c>
      <c r="N209">
        <f>+N206+M209</f>
        <v>-7.7874971786807459</v>
      </c>
    </row>
    <row r="210" spans="1:14">
      <c r="A210" s="8">
        <v>6</v>
      </c>
      <c r="B210" s="78">
        <v>38547</v>
      </c>
      <c r="C210" s="12">
        <v>2005</v>
      </c>
      <c r="D210" s="15" t="s">
        <v>24</v>
      </c>
      <c r="E210" s="12">
        <v>7</v>
      </c>
      <c r="F210" s="14">
        <v>9.1883400000000002</v>
      </c>
      <c r="G210" s="14">
        <v>1.5103255876139645</v>
      </c>
    </row>
    <row r="211" spans="1:14">
      <c r="A211" s="8">
        <v>8</v>
      </c>
      <c r="B211" s="78">
        <v>38546</v>
      </c>
      <c r="C211" s="12">
        <v>2005</v>
      </c>
      <c r="D211" s="15" t="s">
        <v>24</v>
      </c>
      <c r="E211" s="12">
        <v>7</v>
      </c>
      <c r="F211" s="14">
        <v>6.8234500000000002</v>
      </c>
      <c r="G211" s="14">
        <v>1.3478209380882993</v>
      </c>
    </row>
    <row r="212" spans="1:14">
      <c r="A212" s="8">
        <v>15</v>
      </c>
      <c r="B212" s="78">
        <v>38546</v>
      </c>
      <c r="C212" s="12">
        <v>2005</v>
      </c>
      <c r="D212" s="15" t="s">
        <v>24</v>
      </c>
      <c r="E212" s="12">
        <v>7</v>
      </c>
      <c r="F212" s="14">
        <v>6.5940000000000003</v>
      </c>
      <c r="G212" s="14">
        <v>0.86828323754374181</v>
      </c>
      <c r="I212" s="18">
        <f>AVERAGE(F210:F212)</f>
        <v>7.5352633333333339</v>
      </c>
      <c r="J212" s="18">
        <f>AVERAGE(G210:G212)</f>
        <v>1.2421432544153352</v>
      </c>
      <c r="L212">
        <f>+J212/I212</f>
        <v>0.16484404054209145</v>
      </c>
      <c r="M212">
        <f>+(L212-$L$927)/$L$928</f>
        <v>-1.0825657548419811</v>
      </c>
      <c r="N212">
        <f>+N209+M212</f>
        <v>-8.8700629335227266</v>
      </c>
    </row>
    <row r="213" spans="1:14">
      <c r="A213" s="8">
        <v>6</v>
      </c>
      <c r="B213" s="78">
        <v>38587</v>
      </c>
      <c r="C213" s="12">
        <v>2005</v>
      </c>
      <c r="D213" s="15" t="s">
        <v>25</v>
      </c>
      <c r="E213" s="12">
        <v>8</v>
      </c>
      <c r="F213" s="14">
        <v>10.99231</v>
      </c>
      <c r="G213" s="14">
        <v>1.8401485337826042</v>
      </c>
    </row>
    <row r="214" spans="1:14">
      <c r="A214" s="8">
        <v>8</v>
      </c>
      <c r="B214" s="78">
        <v>38587</v>
      </c>
      <c r="C214" s="12">
        <v>2005</v>
      </c>
      <c r="D214" s="15" t="s">
        <v>25</v>
      </c>
      <c r="E214" s="12">
        <v>8</v>
      </c>
      <c r="F214" s="14">
        <v>14.17001</v>
      </c>
      <c r="G214" s="14">
        <v>3.9987197838434696</v>
      </c>
    </row>
    <row r="215" spans="1:14">
      <c r="A215" s="8">
        <v>15</v>
      </c>
      <c r="B215" s="78">
        <v>38587</v>
      </c>
      <c r="C215" s="12">
        <v>2005</v>
      </c>
      <c r="D215" s="15" t="s">
        <v>25</v>
      </c>
      <c r="E215" s="12">
        <v>8</v>
      </c>
      <c r="F215" s="14">
        <v>6.8003099999999996</v>
      </c>
      <c r="G215" s="14">
        <v>1.7388751621715719</v>
      </c>
      <c r="I215" s="18">
        <f>AVERAGE(F213:F215)</f>
        <v>10.654210000000001</v>
      </c>
      <c r="J215" s="18">
        <f>AVERAGE(G213:G215)</f>
        <v>2.5259144932658817</v>
      </c>
      <c r="L215">
        <f>+J215/I215</f>
        <v>0.23708135030808306</v>
      </c>
      <c r="M215">
        <f>+(L215-$L$927)/$L$928</f>
        <v>-0.39736269303192367</v>
      </c>
      <c r="N215">
        <f>+N212+M215</f>
        <v>-9.2674256265546511</v>
      </c>
    </row>
    <row r="216" spans="1:14">
      <c r="A216" s="8">
        <v>6</v>
      </c>
      <c r="B216" s="78">
        <v>38608</v>
      </c>
      <c r="C216" s="12">
        <v>2005</v>
      </c>
      <c r="D216" s="15" t="s">
        <v>26</v>
      </c>
      <c r="E216" s="12">
        <v>9</v>
      </c>
      <c r="F216" s="14">
        <v>6.3655600000000003</v>
      </c>
      <c r="G216" s="14">
        <v>1.6728158400312214</v>
      </c>
    </row>
    <row r="217" spans="1:14">
      <c r="A217" s="8">
        <v>8</v>
      </c>
      <c r="B217" s="78">
        <v>38609</v>
      </c>
      <c r="C217" s="12">
        <v>2005</v>
      </c>
      <c r="D217" s="15" t="s">
        <v>26</v>
      </c>
      <c r="E217" s="12">
        <v>9</v>
      </c>
      <c r="F217" s="14">
        <v>21.48677</v>
      </c>
      <c r="G217" s="14">
        <v>6.490350490553765</v>
      </c>
    </row>
    <row r="218" spans="1:14">
      <c r="A218" s="8">
        <v>15</v>
      </c>
      <c r="B218" s="78">
        <v>38609</v>
      </c>
      <c r="C218" s="12">
        <v>2005</v>
      </c>
      <c r="D218" s="15" t="s">
        <v>26</v>
      </c>
      <c r="E218" s="12">
        <v>9</v>
      </c>
      <c r="F218" s="14">
        <v>7.8046199999999999</v>
      </c>
      <c r="G218" s="14">
        <v>1.7586461901358286</v>
      </c>
      <c r="I218" s="18">
        <f>AVERAGE(F216:F218)</f>
        <v>11.88565</v>
      </c>
      <c r="J218" s="18">
        <f>AVERAGE(G216:G218)</f>
        <v>3.3072708402402711</v>
      </c>
      <c r="L218">
        <f>+J218/I218</f>
        <v>0.27825746511467786</v>
      </c>
      <c r="M218">
        <f>+(L218-$L$927)/$L$928</f>
        <v>-6.788901866129367E-3</v>
      </c>
      <c r="N218">
        <f>+N215+M218</f>
        <v>-9.2742145284207798</v>
      </c>
    </row>
    <row r="219" spans="1:14">
      <c r="A219" s="8">
        <v>6</v>
      </c>
      <c r="B219" s="78">
        <v>38636</v>
      </c>
      <c r="C219" s="12">
        <v>2005</v>
      </c>
      <c r="D219" s="15" t="s">
        <v>14</v>
      </c>
      <c r="E219" s="12">
        <v>10</v>
      </c>
      <c r="F219" s="14">
        <v>7.0763999999999996</v>
      </c>
      <c r="G219" s="14">
        <v>3.0167000000000002</v>
      </c>
    </row>
    <row r="220" spans="1:14">
      <c r="A220" s="8">
        <v>8</v>
      </c>
      <c r="B220" s="78">
        <v>38642</v>
      </c>
      <c r="C220" s="12">
        <v>2005</v>
      </c>
      <c r="D220" s="15" t="s">
        <v>14</v>
      </c>
      <c r="E220" s="12">
        <v>10</v>
      </c>
      <c r="F220" s="14">
        <v>6.02</v>
      </c>
      <c r="G220" s="14">
        <v>1.9277</v>
      </c>
    </row>
    <row r="221" spans="1:14">
      <c r="A221" s="8">
        <v>15</v>
      </c>
      <c r="B221" s="78">
        <v>38637</v>
      </c>
      <c r="C221" s="12">
        <v>2005</v>
      </c>
      <c r="D221" s="15" t="s">
        <v>14</v>
      </c>
      <c r="E221" s="12">
        <v>10</v>
      </c>
      <c r="F221" s="14">
        <v>8.5502000000000002</v>
      </c>
      <c r="G221" s="14">
        <v>3.1316000000000002</v>
      </c>
      <c r="I221" s="18">
        <f>AVERAGE(F219:F221)</f>
        <v>7.2155333333333331</v>
      </c>
      <c r="J221" s="18">
        <f>AVERAGE(G219:G221)</f>
        <v>2.6920000000000002</v>
      </c>
      <c r="L221">
        <f>+J221/I221</f>
        <v>0.37308399471510539</v>
      </c>
      <c r="M221">
        <f>+(L221-$L$927)/$L$928</f>
        <v>0.89268297261976937</v>
      </c>
      <c r="N221">
        <f>+N218+M221</f>
        <v>-8.3815315558010113</v>
      </c>
    </row>
    <row r="222" spans="1:14">
      <c r="A222" s="8">
        <v>6</v>
      </c>
      <c r="B222" s="78">
        <v>38671</v>
      </c>
      <c r="C222" s="12">
        <v>2005</v>
      </c>
      <c r="D222" s="15" t="s">
        <v>16</v>
      </c>
      <c r="E222" s="12">
        <v>11</v>
      </c>
      <c r="F222" s="14">
        <v>4.6013000000000002</v>
      </c>
      <c r="G222" s="14">
        <v>1.3718999999999999</v>
      </c>
    </row>
    <row r="223" spans="1:14">
      <c r="A223" s="8">
        <v>8</v>
      </c>
      <c r="B223" s="78">
        <v>38670</v>
      </c>
      <c r="C223" s="12">
        <v>2005</v>
      </c>
      <c r="D223" s="15" t="s">
        <v>16</v>
      </c>
      <c r="E223" s="12">
        <v>11</v>
      </c>
      <c r="F223" s="14">
        <v>1.0083</v>
      </c>
      <c r="G223" s="14">
        <v>0.2135</v>
      </c>
    </row>
    <row r="224" spans="1:14">
      <c r="A224" s="8">
        <v>15</v>
      </c>
      <c r="B224" s="78">
        <v>38670</v>
      </c>
      <c r="C224" s="12">
        <v>2005</v>
      </c>
      <c r="D224" s="15" t="s">
        <v>16</v>
      </c>
      <c r="E224" s="12">
        <v>11</v>
      </c>
      <c r="F224" s="14">
        <v>2.6530999999999998</v>
      </c>
      <c r="G224" s="14">
        <v>0.73670000000000002</v>
      </c>
      <c r="I224" s="18">
        <f>AVERAGE(F222:F224)</f>
        <v>2.7542333333333335</v>
      </c>
      <c r="J224" s="18">
        <f>AVERAGE(G222:G224)</f>
        <v>0.77403333333333324</v>
      </c>
      <c r="L224">
        <f>+J224/I224</f>
        <v>0.28103404456170494</v>
      </c>
      <c r="M224">
        <f>+(L224-$L$927)/$L$928</f>
        <v>1.954819103814592E-2</v>
      </c>
      <c r="N224">
        <f>+N221+M224</f>
        <v>-8.3619833647628656</v>
      </c>
    </row>
    <row r="225" spans="1:14">
      <c r="A225" s="8">
        <v>6</v>
      </c>
      <c r="B225" s="78">
        <v>38707</v>
      </c>
      <c r="C225" s="12">
        <v>2005</v>
      </c>
      <c r="D225" s="15" t="s">
        <v>17</v>
      </c>
      <c r="E225" s="12">
        <v>12</v>
      </c>
      <c r="F225" s="14">
        <v>6.2308000000000003</v>
      </c>
      <c r="G225" s="14">
        <v>1.5968</v>
      </c>
    </row>
    <row r="226" spans="1:14">
      <c r="A226" s="8">
        <v>8</v>
      </c>
      <c r="B226" s="78">
        <v>38706</v>
      </c>
      <c r="C226" s="12">
        <v>2005</v>
      </c>
      <c r="D226" s="15" t="s">
        <v>17</v>
      </c>
      <c r="E226" s="12">
        <v>12</v>
      </c>
      <c r="F226" s="14">
        <v>2.7450999999999999</v>
      </c>
      <c r="G226" s="14">
        <v>0.68820000000000003</v>
      </c>
    </row>
    <row r="227" spans="1:14">
      <c r="A227" s="8">
        <v>15</v>
      </c>
      <c r="B227" s="78">
        <v>38706</v>
      </c>
      <c r="C227" s="12">
        <v>2005</v>
      </c>
      <c r="D227" s="15" t="s">
        <v>17</v>
      </c>
      <c r="E227" s="12">
        <v>12</v>
      </c>
      <c r="F227" s="14">
        <v>7.9623999999999997</v>
      </c>
      <c r="G227" s="14">
        <v>2.1614</v>
      </c>
      <c r="I227" s="18">
        <f>AVERAGE(F225:F227)</f>
        <v>5.6460999999999997</v>
      </c>
      <c r="J227" s="18">
        <f>AVERAGE(G225:G227)</f>
        <v>1.4821333333333335</v>
      </c>
      <c r="L227">
        <f>+J227/I227</f>
        <v>0.26250568238843336</v>
      </c>
      <c r="M227">
        <f>+(L227-$L$927)/$L$928</f>
        <v>-0.15620157778046401</v>
      </c>
      <c r="N227">
        <f>+N224+M227</f>
        <v>-8.5181849425433303</v>
      </c>
    </row>
    <row r="228" spans="1:14">
      <c r="A228" s="12">
        <v>6</v>
      </c>
      <c r="B228" s="78">
        <v>38734</v>
      </c>
      <c r="C228" s="12">
        <v>2006</v>
      </c>
      <c r="D228" s="11" t="s">
        <v>18</v>
      </c>
      <c r="E228" s="12">
        <v>1</v>
      </c>
      <c r="F228" s="14">
        <v>4.1159999999999997</v>
      </c>
      <c r="G228" s="14">
        <v>1.2539</v>
      </c>
    </row>
    <row r="229" spans="1:14">
      <c r="A229" s="12">
        <v>8</v>
      </c>
      <c r="B229" s="78">
        <v>38740</v>
      </c>
      <c r="C229" s="12">
        <v>2006</v>
      </c>
      <c r="D229" s="11" t="s">
        <v>18</v>
      </c>
      <c r="E229" s="12">
        <v>1</v>
      </c>
      <c r="F229" s="14">
        <v>3.9529999999999998</v>
      </c>
      <c r="G229" s="14">
        <v>0.97970000000000002</v>
      </c>
    </row>
    <row r="230" spans="1:14">
      <c r="A230" s="12">
        <v>15</v>
      </c>
      <c r="B230" s="78">
        <v>38737</v>
      </c>
      <c r="C230" s="12">
        <v>2006</v>
      </c>
      <c r="D230" s="11" t="s">
        <v>18</v>
      </c>
      <c r="E230" s="12">
        <v>1</v>
      </c>
      <c r="F230" s="14">
        <v>3.8660999999999999</v>
      </c>
      <c r="G230" s="14">
        <v>0.9083</v>
      </c>
      <c r="I230" s="18">
        <f>AVERAGE(F228:F230)</f>
        <v>3.9783666666666662</v>
      </c>
      <c r="J230" s="18">
        <f>AVERAGE(G228:G230)</f>
        <v>1.0473000000000001</v>
      </c>
      <c r="L230">
        <f>+J230/I230</f>
        <v>0.2632487369188361</v>
      </c>
      <c r="M230">
        <f>+(L230-$L$927)/$L$928</f>
        <v>-0.14915337456009034</v>
      </c>
      <c r="N230">
        <f>+N227+M230</f>
        <v>-8.66733831710342</v>
      </c>
    </row>
    <row r="231" spans="1:14">
      <c r="A231" s="12">
        <v>6</v>
      </c>
      <c r="B231" s="78">
        <v>38762</v>
      </c>
      <c r="C231" s="15">
        <v>2006</v>
      </c>
      <c r="D231" s="11" t="s">
        <v>28</v>
      </c>
      <c r="E231" s="15">
        <v>2</v>
      </c>
      <c r="F231" s="14">
        <v>7.2595999999999998</v>
      </c>
      <c r="G231" s="14">
        <v>2.2505000000000002</v>
      </c>
    </row>
    <row r="232" spans="1:14">
      <c r="A232" s="12">
        <v>8</v>
      </c>
      <c r="B232" s="78">
        <v>38763</v>
      </c>
      <c r="C232" s="15">
        <v>2006</v>
      </c>
      <c r="D232" s="11" t="s">
        <v>28</v>
      </c>
      <c r="E232" s="15">
        <v>2</v>
      </c>
      <c r="F232" s="14">
        <v>2.5998999999999999</v>
      </c>
      <c r="G232" s="14">
        <v>0.77929999999999999</v>
      </c>
    </row>
    <row r="233" spans="1:14">
      <c r="A233" s="12">
        <v>15</v>
      </c>
      <c r="B233" s="78">
        <v>38763</v>
      </c>
      <c r="C233" s="15">
        <v>2006</v>
      </c>
      <c r="D233" s="11" t="s">
        <v>28</v>
      </c>
      <c r="E233" s="15">
        <v>2</v>
      </c>
      <c r="F233" s="14">
        <v>4.6071</v>
      </c>
      <c r="G233" s="14">
        <v>1.4321999999999999</v>
      </c>
      <c r="I233" s="18">
        <f>AVERAGE(F231:F233)</f>
        <v>4.8221999999999996</v>
      </c>
      <c r="J233" s="18">
        <f>AVERAGE(G231:G233)</f>
        <v>1.4873333333333332</v>
      </c>
      <c r="L233">
        <f>+J233/I233</f>
        <v>0.30843460108111098</v>
      </c>
      <c r="M233">
        <f>+(L233-$L$927)/$L$928</f>
        <v>0.27945467541881908</v>
      </c>
      <c r="N233">
        <f>+N230+M233</f>
        <v>-8.387883641684601</v>
      </c>
    </row>
    <row r="234" spans="1:14">
      <c r="A234" s="12">
        <v>6</v>
      </c>
      <c r="B234" s="78">
        <v>38789</v>
      </c>
      <c r="C234" s="12">
        <v>2006</v>
      </c>
      <c r="D234" s="11" t="s">
        <v>29</v>
      </c>
      <c r="E234" s="15">
        <v>3</v>
      </c>
      <c r="F234" s="14">
        <v>4.0525000000000002</v>
      </c>
      <c r="G234" s="14">
        <v>1.4258</v>
      </c>
    </row>
    <row r="235" spans="1:14">
      <c r="A235" s="12">
        <v>8</v>
      </c>
      <c r="B235" s="78">
        <v>38792</v>
      </c>
      <c r="C235" s="12">
        <v>2006</v>
      </c>
      <c r="D235" s="11" t="s">
        <v>29</v>
      </c>
      <c r="E235" s="15">
        <v>3</v>
      </c>
      <c r="F235" s="14">
        <v>3.1962999999999999</v>
      </c>
      <c r="G235" s="14">
        <v>1.1153</v>
      </c>
    </row>
    <row r="236" spans="1:14">
      <c r="A236" s="12">
        <v>15</v>
      </c>
      <c r="B236" s="78">
        <v>38792</v>
      </c>
      <c r="C236" s="12">
        <v>2006</v>
      </c>
      <c r="D236" s="11" t="s">
        <v>29</v>
      </c>
      <c r="E236" s="15">
        <v>3</v>
      </c>
      <c r="F236" s="14">
        <v>4.2167000000000003</v>
      </c>
      <c r="G236" s="14">
        <v>1.4429000000000001</v>
      </c>
      <c r="I236" s="18">
        <f>AVERAGE(F234:F236)</f>
        <v>3.8218333333333336</v>
      </c>
      <c r="J236" s="18">
        <f>AVERAGE(G234:G236)</f>
        <v>1.3280000000000001</v>
      </c>
      <c r="L236">
        <f>+J236/I236</f>
        <v>0.34747721425145001</v>
      </c>
      <c r="M236">
        <f>+(L236-$L$927)/$L$928</f>
        <v>0.64979125317958897</v>
      </c>
      <c r="N236">
        <f>+N233+M236</f>
        <v>-7.7380923885050121</v>
      </c>
    </row>
    <row r="237" spans="1:14">
      <c r="A237" s="12">
        <v>6</v>
      </c>
      <c r="B237" s="77">
        <v>38825</v>
      </c>
      <c r="C237" s="12">
        <v>2006</v>
      </c>
      <c r="D237" s="11" t="s">
        <v>30</v>
      </c>
      <c r="E237" s="12">
        <v>4</v>
      </c>
      <c r="F237" s="14">
        <v>4.0721999999999996</v>
      </c>
      <c r="G237" s="14">
        <v>1.9837</v>
      </c>
    </row>
    <row r="238" spans="1:14">
      <c r="A238" s="12">
        <v>8</v>
      </c>
      <c r="B238" s="77">
        <v>38826</v>
      </c>
      <c r="C238" s="12">
        <v>2006</v>
      </c>
      <c r="D238" s="11" t="s">
        <v>30</v>
      </c>
      <c r="E238" s="12">
        <v>4</v>
      </c>
      <c r="F238" s="14">
        <v>0.61629999999999996</v>
      </c>
      <c r="G238" s="14">
        <v>8.5000000000000006E-2</v>
      </c>
    </row>
    <row r="239" spans="1:14">
      <c r="A239" s="12">
        <v>15</v>
      </c>
      <c r="B239" s="77">
        <v>38826</v>
      </c>
      <c r="C239" s="12">
        <v>2006</v>
      </c>
      <c r="D239" s="11" t="s">
        <v>30</v>
      </c>
      <c r="E239" s="12">
        <v>4</v>
      </c>
      <c r="F239" s="14">
        <v>3.2526000000000002</v>
      </c>
      <c r="G239" s="14">
        <v>1.3798999999999999</v>
      </c>
      <c r="I239" s="18">
        <f>AVERAGE(F237:F239)</f>
        <v>2.6470333333333333</v>
      </c>
      <c r="J239" s="18">
        <f>AVERAGE(G237:G239)</f>
        <v>1.1495333333333333</v>
      </c>
      <c r="L239">
        <f>+J239/I239</f>
        <v>0.43427233002984472</v>
      </c>
      <c r="M239">
        <f>+(L239-$L$927)/$L$928</f>
        <v>1.4730815899068472</v>
      </c>
      <c r="N239">
        <f>+N236+M239</f>
        <v>-6.2650107985981647</v>
      </c>
    </row>
    <row r="240" spans="1:14">
      <c r="A240" s="12">
        <v>6</v>
      </c>
      <c r="B240" s="77">
        <v>38852</v>
      </c>
      <c r="C240" s="12">
        <v>2006</v>
      </c>
      <c r="D240" s="11" t="s">
        <v>31</v>
      </c>
      <c r="E240" s="12">
        <v>5</v>
      </c>
      <c r="F240" s="14">
        <v>5.1787999999999998</v>
      </c>
      <c r="G240" s="14">
        <v>2.1124999999999998</v>
      </c>
    </row>
    <row r="241" spans="1:14">
      <c r="A241" s="12">
        <v>8</v>
      </c>
      <c r="B241" s="77">
        <v>38853</v>
      </c>
      <c r="C241" s="12">
        <v>2006</v>
      </c>
      <c r="D241" s="11" t="s">
        <v>31</v>
      </c>
      <c r="E241" s="12">
        <v>5</v>
      </c>
      <c r="F241" s="14">
        <v>8.0970999999999993</v>
      </c>
      <c r="G241" s="14">
        <v>3.5886999999999998</v>
      </c>
    </row>
    <row r="242" spans="1:14">
      <c r="A242" s="12">
        <v>15</v>
      </c>
      <c r="B242" s="77">
        <v>38853</v>
      </c>
      <c r="C242" s="12">
        <v>2006</v>
      </c>
      <c r="D242" s="11" t="s">
        <v>31</v>
      </c>
      <c r="E242" s="12">
        <v>5</v>
      </c>
      <c r="F242" s="14">
        <v>5.1483999999999996</v>
      </c>
      <c r="G242" s="14">
        <v>2.0773999999999999</v>
      </c>
      <c r="I242" s="18">
        <f>AVERAGE(F240:F242)</f>
        <v>6.1414333333333326</v>
      </c>
      <c r="J242" s="18">
        <f>AVERAGE(G240:G242)</f>
        <v>2.5928666666666667</v>
      </c>
      <c r="L242">
        <f>+J242/I242</f>
        <v>0.42219243064865425</v>
      </c>
      <c r="M242">
        <f>+(L242-$L$927)/$L$928</f>
        <v>1.3584983631897591</v>
      </c>
      <c r="N242">
        <f>+N239+M242</f>
        <v>-4.9065124354084055</v>
      </c>
    </row>
    <row r="243" spans="1:14">
      <c r="A243" s="12">
        <v>6</v>
      </c>
      <c r="B243" s="77">
        <v>38883</v>
      </c>
      <c r="C243" s="12">
        <v>2006</v>
      </c>
      <c r="D243" s="11" t="s">
        <v>32</v>
      </c>
      <c r="E243" s="12">
        <v>6</v>
      </c>
      <c r="F243" s="14">
        <v>18.313400000000001</v>
      </c>
      <c r="G243" s="14">
        <v>7.1950000000000003</v>
      </c>
    </row>
    <row r="244" spans="1:14">
      <c r="A244" s="12">
        <v>8</v>
      </c>
      <c r="B244" s="77">
        <v>38884</v>
      </c>
      <c r="C244" s="12">
        <v>2006</v>
      </c>
      <c r="D244" s="11" t="s">
        <v>32</v>
      </c>
      <c r="E244" s="12">
        <v>6</v>
      </c>
      <c r="F244" s="14">
        <v>6.8802000000000003</v>
      </c>
      <c r="G244" s="14">
        <v>2.1678999999999999</v>
      </c>
    </row>
    <row r="245" spans="1:14">
      <c r="A245" s="12">
        <v>15</v>
      </c>
      <c r="B245" s="77">
        <v>38884</v>
      </c>
      <c r="C245" s="12">
        <v>2006</v>
      </c>
      <c r="D245" s="11" t="s">
        <v>32</v>
      </c>
      <c r="E245" s="12">
        <v>6</v>
      </c>
      <c r="F245" s="14">
        <v>13.961499999999999</v>
      </c>
      <c r="G245" s="14">
        <v>5.5434000000000001</v>
      </c>
      <c r="I245" s="18">
        <f>AVERAGE(F243:F245)</f>
        <v>13.051700000000002</v>
      </c>
      <c r="J245" s="18">
        <f>AVERAGE(G243:G245)</f>
        <v>4.9687666666666663</v>
      </c>
      <c r="L245">
        <f>+J245/I245</f>
        <v>0.38069881062747885</v>
      </c>
      <c r="M245">
        <f>+(L245-$L$927)/$L$928</f>
        <v>0.96491289362846477</v>
      </c>
      <c r="N245">
        <f>+N242+M245</f>
        <v>-3.941599541779941</v>
      </c>
    </row>
    <row r="246" spans="1:14">
      <c r="A246" s="12">
        <v>6</v>
      </c>
      <c r="B246" s="77">
        <v>38916</v>
      </c>
      <c r="C246" s="12">
        <v>2006</v>
      </c>
      <c r="D246" s="11" t="s">
        <v>33</v>
      </c>
      <c r="E246" s="12">
        <v>7</v>
      </c>
      <c r="F246" s="14">
        <v>11.2727</v>
      </c>
      <c r="G246" s="14">
        <v>1.0936999999999999</v>
      </c>
    </row>
    <row r="247" spans="1:14">
      <c r="A247" s="12">
        <v>8</v>
      </c>
      <c r="B247" s="77">
        <v>38915</v>
      </c>
      <c r="C247" s="12">
        <v>2006</v>
      </c>
      <c r="D247" s="11" t="s">
        <v>33</v>
      </c>
      <c r="E247" s="12">
        <v>7</v>
      </c>
      <c r="F247" s="14">
        <v>8.0587999999999997</v>
      </c>
      <c r="G247" s="14">
        <v>1.0764</v>
      </c>
    </row>
    <row r="248" spans="1:14">
      <c r="A248" s="12">
        <v>15</v>
      </c>
      <c r="B248" s="77">
        <v>38915</v>
      </c>
      <c r="C248" s="12">
        <v>2006</v>
      </c>
      <c r="D248" s="11" t="s">
        <v>33</v>
      </c>
      <c r="E248" s="12">
        <v>7</v>
      </c>
      <c r="F248" s="14">
        <v>6.4635999999999996</v>
      </c>
      <c r="G248" s="14">
        <v>0.68200000000000005</v>
      </c>
      <c r="I248" s="18">
        <f>AVERAGE(F246:F248)</f>
        <v>8.5983666666666654</v>
      </c>
      <c r="J248" s="18">
        <f>AVERAGE(G246:G248)</f>
        <v>0.95069999999999988</v>
      </c>
      <c r="L248">
        <f>+J248/I248</f>
        <v>0.11056751088385004</v>
      </c>
      <c r="M248">
        <f>+(L248-$L$927)/$L$928</f>
        <v>-1.5974028165588086</v>
      </c>
      <c r="N248">
        <f>+N245+M248</f>
        <v>-5.5390023583387498</v>
      </c>
    </row>
    <row r="249" spans="1:14">
      <c r="A249" s="12">
        <v>6</v>
      </c>
      <c r="B249" s="77">
        <v>38953</v>
      </c>
      <c r="C249" s="12">
        <v>2006</v>
      </c>
      <c r="D249" s="11" t="s">
        <v>34</v>
      </c>
      <c r="E249" s="12">
        <v>8</v>
      </c>
      <c r="F249" s="14">
        <v>8.9014000000000006</v>
      </c>
      <c r="G249" s="14">
        <v>3.3713000000000002</v>
      </c>
    </row>
    <row r="250" spans="1:14">
      <c r="A250" s="12">
        <v>8</v>
      </c>
      <c r="B250" s="77">
        <v>38952</v>
      </c>
      <c r="C250" s="12">
        <v>2006</v>
      </c>
      <c r="D250" s="11" t="s">
        <v>34</v>
      </c>
      <c r="E250" s="12">
        <v>8</v>
      </c>
      <c r="F250" s="14">
        <v>6.9972000000000003</v>
      </c>
      <c r="G250" s="14">
        <v>1.8351</v>
      </c>
    </row>
    <row r="251" spans="1:14">
      <c r="A251" s="12">
        <v>15</v>
      </c>
      <c r="B251" s="77">
        <v>38952</v>
      </c>
      <c r="C251" s="12">
        <v>2006</v>
      </c>
      <c r="D251" s="11" t="s">
        <v>34</v>
      </c>
      <c r="E251" s="12">
        <v>8</v>
      </c>
      <c r="F251" s="14">
        <v>7.4080000000000004</v>
      </c>
      <c r="G251" s="14">
        <v>1.4823999999999999</v>
      </c>
      <c r="I251" s="18">
        <f>AVERAGE(F249:F251)</f>
        <v>7.7688666666666677</v>
      </c>
      <c r="J251" s="18">
        <f>AVERAGE(G249:G251)</f>
        <v>2.2296</v>
      </c>
      <c r="L251">
        <f>+J251/I251</f>
        <v>0.28699166759630318</v>
      </c>
      <c r="M251">
        <f>+(L251-$L$927)/$L$928</f>
        <v>7.6058899391499846E-2</v>
      </c>
      <c r="N251">
        <f>+N248+M251</f>
        <v>-5.4629434589472501</v>
      </c>
    </row>
    <row r="252" spans="1:14">
      <c r="A252" s="12">
        <v>6</v>
      </c>
      <c r="B252" s="77">
        <v>38972</v>
      </c>
      <c r="C252" s="12">
        <v>2006</v>
      </c>
      <c r="D252" s="11" t="s">
        <v>35</v>
      </c>
      <c r="E252" s="12">
        <v>9</v>
      </c>
      <c r="F252" s="14">
        <v>12.767300000000001</v>
      </c>
      <c r="G252" s="14">
        <v>3.9758</v>
      </c>
    </row>
    <row r="253" spans="1:14">
      <c r="A253" s="12">
        <v>8</v>
      </c>
      <c r="B253" s="77">
        <v>38975</v>
      </c>
      <c r="C253" s="12">
        <v>2006</v>
      </c>
      <c r="D253" s="11" t="s">
        <v>35</v>
      </c>
      <c r="E253" s="12">
        <v>9</v>
      </c>
      <c r="F253" s="14">
        <v>8.2116000000000007</v>
      </c>
      <c r="G253" s="14">
        <v>2.4681000000000002</v>
      </c>
    </row>
    <row r="254" spans="1:14">
      <c r="A254" s="12">
        <v>15</v>
      </c>
      <c r="B254" s="77">
        <v>38975</v>
      </c>
      <c r="C254" s="12">
        <v>2006</v>
      </c>
      <c r="D254" s="11" t="s">
        <v>35</v>
      </c>
      <c r="E254" s="12">
        <v>9</v>
      </c>
      <c r="F254" s="14">
        <v>6.4158999999999997</v>
      </c>
      <c r="G254" s="14">
        <v>2.1070000000000002</v>
      </c>
      <c r="I254" s="18">
        <f>AVERAGE(F252:F254)</f>
        <v>9.1316000000000006</v>
      </c>
      <c r="J254" s="18">
        <f>AVERAGE(G252:G254)</f>
        <v>2.8503000000000003</v>
      </c>
      <c r="L254">
        <f>+J254/I254</f>
        <v>0.31213587980200624</v>
      </c>
      <c r="M254">
        <f>+(L254-$L$927)/$L$928</f>
        <v>0.31456295285032199</v>
      </c>
      <c r="N254">
        <f>+N251+M254</f>
        <v>-5.1483805060969283</v>
      </c>
    </row>
    <row r="255" spans="1:14">
      <c r="A255" s="12">
        <v>6</v>
      </c>
      <c r="B255" s="77">
        <v>39008</v>
      </c>
      <c r="C255" s="12">
        <v>2006</v>
      </c>
      <c r="D255" s="11" t="s">
        <v>36</v>
      </c>
      <c r="E255" s="12">
        <v>10</v>
      </c>
      <c r="F255" s="14">
        <v>9.7240000000000002</v>
      </c>
      <c r="G255" s="14">
        <v>4.2249999999999996</v>
      </c>
    </row>
    <row r="256" spans="1:14">
      <c r="A256" s="12">
        <v>8</v>
      </c>
      <c r="B256" s="77">
        <v>39006</v>
      </c>
      <c r="C256" s="12">
        <v>2006</v>
      </c>
      <c r="D256" s="11" t="s">
        <v>36</v>
      </c>
      <c r="E256" s="12">
        <v>10</v>
      </c>
      <c r="F256" s="14">
        <v>3.0350000000000001</v>
      </c>
      <c r="G256" s="14">
        <v>0.59399999999999997</v>
      </c>
    </row>
    <row r="257" spans="1:14">
      <c r="A257" s="12">
        <v>15</v>
      </c>
      <c r="B257" s="77">
        <v>39006</v>
      </c>
      <c r="C257" s="12">
        <v>2006</v>
      </c>
      <c r="D257" s="11" t="s">
        <v>36</v>
      </c>
      <c r="E257" s="12">
        <v>10</v>
      </c>
      <c r="F257" s="14">
        <v>8.3379999999999992</v>
      </c>
      <c r="G257" s="14">
        <v>3.86</v>
      </c>
      <c r="I257" s="18">
        <f>AVERAGE(F255:F257)</f>
        <v>7.0323333333333338</v>
      </c>
      <c r="J257" s="18">
        <f>AVERAGE(G255:G257)</f>
        <v>2.8930000000000002</v>
      </c>
      <c r="L257">
        <f>+J257/I257</f>
        <v>0.41138550504811111</v>
      </c>
      <c r="M257">
        <f>+(L257-$L$927)/$L$928</f>
        <v>1.2559898598383261</v>
      </c>
      <c r="N257">
        <f>+N254+M257</f>
        <v>-3.892390646258602</v>
      </c>
    </row>
    <row r="258" spans="1:14">
      <c r="A258" s="12">
        <v>6</v>
      </c>
      <c r="B258" s="77">
        <v>39035</v>
      </c>
      <c r="C258" s="12">
        <v>2006</v>
      </c>
      <c r="D258" s="11" t="s">
        <v>37</v>
      </c>
      <c r="E258" s="12">
        <v>11</v>
      </c>
      <c r="F258" s="14">
        <v>11.513999999999999</v>
      </c>
      <c r="G258" s="14">
        <v>6.0190000000000001</v>
      </c>
    </row>
    <row r="259" spans="1:14">
      <c r="A259" s="12">
        <v>8</v>
      </c>
      <c r="B259" s="77">
        <v>39041</v>
      </c>
      <c r="C259" s="12">
        <v>2006</v>
      </c>
      <c r="D259" s="11" t="s">
        <v>37</v>
      </c>
      <c r="E259" s="12">
        <v>11</v>
      </c>
      <c r="F259" s="14">
        <v>1.508</v>
      </c>
      <c r="G259" s="14">
        <v>0.16500000000000001</v>
      </c>
    </row>
    <row r="260" spans="1:14">
      <c r="A260" s="12">
        <v>15</v>
      </c>
      <c r="B260" s="77">
        <v>39041</v>
      </c>
      <c r="C260" s="12">
        <v>2006</v>
      </c>
      <c r="D260" s="11" t="s">
        <v>37</v>
      </c>
      <c r="E260" s="12">
        <v>11</v>
      </c>
      <c r="F260" s="14">
        <v>5.242</v>
      </c>
      <c r="G260" s="14">
        <v>1.601</v>
      </c>
      <c r="I260" s="18">
        <f>AVERAGE(F258:F260)</f>
        <v>6.0880000000000001</v>
      </c>
      <c r="J260" s="18">
        <f>AVERAGE(G258:G260)</f>
        <v>2.5950000000000002</v>
      </c>
      <c r="L260">
        <f>+J260/I260</f>
        <v>0.42624835742444156</v>
      </c>
      <c r="M260">
        <f>+(L260-$L$927)/$L$928</f>
        <v>1.3969706354026876</v>
      </c>
      <c r="N260">
        <f>+N257+M260</f>
        <v>-2.4954200108559146</v>
      </c>
    </row>
    <row r="261" spans="1:14">
      <c r="A261" s="12">
        <v>6</v>
      </c>
      <c r="B261" s="78">
        <v>39063</v>
      </c>
      <c r="C261" s="15">
        <v>2006</v>
      </c>
      <c r="D261" s="11" t="s">
        <v>38</v>
      </c>
      <c r="E261" s="15">
        <v>12</v>
      </c>
      <c r="F261" s="14">
        <v>7.4880000000000004</v>
      </c>
      <c r="G261" s="14">
        <v>2.8029999999999999</v>
      </c>
    </row>
    <row r="262" spans="1:14">
      <c r="A262" s="12">
        <v>8</v>
      </c>
      <c r="B262" s="78">
        <v>39062</v>
      </c>
      <c r="C262" s="15">
        <v>2006</v>
      </c>
      <c r="D262" s="11" t="s">
        <v>38</v>
      </c>
      <c r="E262" s="15">
        <v>12</v>
      </c>
      <c r="F262" s="14">
        <v>3.0649999999999999</v>
      </c>
      <c r="G262" s="14">
        <v>0.61299999999999999</v>
      </c>
    </row>
    <row r="263" spans="1:14">
      <c r="A263" s="12">
        <v>15</v>
      </c>
      <c r="B263" s="78">
        <v>39062</v>
      </c>
      <c r="C263" s="15">
        <v>2006</v>
      </c>
      <c r="D263" s="11" t="s">
        <v>38</v>
      </c>
      <c r="E263" s="15">
        <v>12</v>
      </c>
      <c r="F263" s="14">
        <v>6.2370000000000001</v>
      </c>
      <c r="G263" s="14">
        <v>2.0379999999999998</v>
      </c>
      <c r="I263" s="18">
        <f>AVERAGE(F261:F263)</f>
        <v>5.5966666666666667</v>
      </c>
      <c r="J263" s="18">
        <f>AVERAGE(G261:G263)</f>
        <v>1.8179999999999998</v>
      </c>
      <c r="L263">
        <f>+J263/I263</f>
        <v>0.32483621203097079</v>
      </c>
      <c r="M263">
        <f>+(L263-$L$927)/$L$928</f>
        <v>0.43503126150525467</v>
      </c>
      <c r="N263">
        <f>+N260+M263</f>
        <v>-2.0603887493506599</v>
      </c>
    </row>
    <row r="264" spans="1:14">
      <c r="A264" s="15">
        <v>6</v>
      </c>
      <c r="B264" s="78">
        <v>39100</v>
      </c>
      <c r="C264" s="15">
        <v>2007</v>
      </c>
      <c r="D264" s="11" t="s">
        <v>39</v>
      </c>
      <c r="E264" s="15">
        <v>1</v>
      </c>
      <c r="F264" s="14">
        <v>17.344999999999999</v>
      </c>
      <c r="G264" s="14">
        <v>7.6349999999999998</v>
      </c>
    </row>
    <row r="265" spans="1:14">
      <c r="A265" s="15">
        <v>8</v>
      </c>
      <c r="B265" s="78">
        <v>39100</v>
      </c>
      <c r="C265" s="15">
        <v>2007</v>
      </c>
      <c r="D265" s="11" t="s">
        <v>39</v>
      </c>
      <c r="E265" s="15">
        <v>1</v>
      </c>
      <c r="F265" s="14">
        <v>1.1359999999999999</v>
      </c>
      <c r="G265" s="14">
        <v>9.9989999999999996E-4</v>
      </c>
    </row>
    <row r="266" spans="1:14">
      <c r="A266" s="15">
        <v>15</v>
      </c>
      <c r="B266" s="78">
        <v>39100</v>
      </c>
      <c r="C266" s="15">
        <v>2007</v>
      </c>
      <c r="D266" s="11" t="s">
        <v>39</v>
      </c>
      <c r="E266" s="15">
        <v>1</v>
      </c>
      <c r="F266" s="14">
        <v>5.3250000000000002</v>
      </c>
      <c r="G266" s="14">
        <v>1.5329999999999999</v>
      </c>
      <c r="I266" s="18">
        <f>AVERAGE(F264:F266)</f>
        <v>7.9353333333333325</v>
      </c>
      <c r="J266" s="18">
        <f>AVERAGE(G264:G266)</f>
        <v>3.0563332999999999</v>
      </c>
      <c r="L266">
        <f>+J266/I266</f>
        <v>0.38515499873981351</v>
      </c>
      <c r="M266">
        <f>+(L266-$L$927)/$L$928</f>
        <v>1.0071818229181155</v>
      </c>
      <c r="N266">
        <f>+N263+M266</f>
        <v>-1.0532069264325443</v>
      </c>
    </row>
    <row r="267" spans="1:14">
      <c r="A267" s="15">
        <v>6</v>
      </c>
      <c r="B267" s="78">
        <v>39134</v>
      </c>
      <c r="C267" s="15">
        <v>2007</v>
      </c>
      <c r="D267" s="11" t="s">
        <v>28</v>
      </c>
      <c r="E267" s="15">
        <v>2</v>
      </c>
      <c r="F267" s="14">
        <v>4.9550000000000001</v>
      </c>
      <c r="G267" s="14">
        <v>1.337</v>
      </c>
    </row>
    <row r="268" spans="1:14">
      <c r="A268" s="15">
        <v>8</v>
      </c>
      <c r="B268" s="78">
        <v>39135</v>
      </c>
      <c r="C268" s="15">
        <v>2007</v>
      </c>
      <c r="D268" s="11" t="s">
        <v>28</v>
      </c>
      <c r="E268" s="15">
        <v>2</v>
      </c>
      <c r="F268" s="14">
        <v>3.0470000000000002</v>
      </c>
      <c r="G268" s="14">
        <v>0.91900000000000004</v>
      </c>
    </row>
    <row r="269" spans="1:14">
      <c r="A269" s="15">
        <v>15</v>
      </c>
      <c r="B269" s="78">
        <v>39135</v>
      </c>
      <c r="C269" s="15">
        <v>2007</v>
      </c>
      <c r="D269" s="11" t="s">
        <v>28</v>
      </c>
      <c r="E269" s="15">
        <v>2</v>
      </c>
      <c r="F269" s="14">
        <v>3.0609999999999999</v>
      </c>
      <c r="G269" s="14">
        <v>0.80300000000000005</v>
      </c>
      <c r="I269" s="18">
        <f>AVERAGE(F267:F269)</f>
        <v>3.6876666666666669</v>
      </c>
      <c r="J269" s="18">
        <f>AVERAGE(G267:G269)</f>
        <v>1.0196666666666667</v>
      </c>
      <c r="L269">
        <f>+J269/I269</f>
        <v>0.27650727650727652</v>
      </c>
      <c r="M269">
        <f>+(L269-$L$927)/$L$928</f>
        <v>-2.3390220442656161E-2</v>
      </c>
      <c r="N269">
        <f>+N266+M269</f>
        <v>-1.0765971468752005</v>
      </c>
    </row>
    <row r="270" spans="1:14">
      <c r="A270" s="15">
        <v>6</v>
      </c>
      <c r="B270" s="78">
        <v>39154</v>
      </c>
      <c r="C270" s="15">
        <v>2007</v>
      </c>
      <c r="D270" s="11" t="s">
        <v>29</v>
      </c>
      <c r="E270" s="15">
        <v>3</v>
      </c>
      <c r="F270" s="14">
        <v>2.3919999999999999</v>
      </c>
      <c r="G270" s="14">
        <v>0.79600000000000004</v>
      </c>
    </row>
    <row r="271" spans="1:14">
      <c r="A271" s="15">
        <v>8</v>
      </c>
      <c r="B271" s="78">
        <v>39153</v>
      </c>
      <c r="C271" s="15">
        <v>2007</v>
      </c>
      <c r="D271" s="11" t="s">
        <v>29</v>
      </c>
      <c r="E271" s="15">
        <v>3</v>
      </c>
      <c r="F271" s="14">
        <v>1.5880000000000001</v>
      </c>
      <c r="G271" s="14">
        <v>0.502</v>
      </c>
    </row>
    <row r="272" spans="1:14">
      <c r="A272" s="15">
        <v>15</v>
      </c>
      <c r="B272" s="78">
        <v>39153</v>
      </c>
      <c r="C272" s="15">
        <v>2007</v>
      </c>
      <c r="D272" s="11" t="s">
        <v>29</v>
      </c>
      <c r="E272" s="15">
        <v>3</v>
      </c>
      <c r="F272" s="14">
        <v>1.9370000000000001</v>
      </c>
      <c r="G272" s="14">
        <v>0.754</v>
      </c>
      <c r="I272" s="18">
        <f>AVERAGE(F270:F272)</f>
        <v>1.9723333333333333</v>
      </c>
      <c r="J272" s="18">
        <f>AVERAGE(G270:G272)</f>
        <v>0.68400000000000005</v>
      </c>
      <c r="L272">
        <f>+J272/I272</f>
        <v>0.34679736352881529</v>
      </c>
      <c r="M272">
        <f>+(L272-$L$927)/$L$928</f>
        <v>0.64334256623052999</v>
      </c>
      <c r="N272">
        <f>+N269+M272</f>
        <v>-0.43325458064467048</v>
      </c>
    </row>
    <row r="273" spans="1:14">
      <c r="A273" s="15">
        <v>6</v>
      </c>
      <c r="B273" s="78">
        <v>39190</v>
      </c>
      <c r="C273" s="15">
        <v>2007</v>
      </c>
      <c r="D273" s="11" t="s">
        <v>30</v>
      </c>
      <c r="E273" s="15">
        <v>4</v>
      </c>
      <c r="F273" s="14">
        <v>5.9420000000000002</v>
      </c>
      <c r="G273" s="14">
        <v>2.7189999999999999</v>
      </c>
    </row>
    <row r="274" spans="1:14">
      <c r="A274" s="15">
        <v>8</v>
      </c>
      <c r="B274" s="78">
        <v>39191</v>
      </c>
      <c r="C274" s="15">
        <v>2007</v>
      </c>
      <c r="D274" s="11" t="s">
        <v>30</v>
      </c>
      <c r="E274" s="15">
        <v>4</v>
      </c>
      <c r="F274" s="14">
        <v>2.1269999999999998</v>
      </c>
      <c r="G274" s="14">
        <v>0.61</v>
      </c>
    </row>
    <row r="275" spans="1:14">
      <c r="A275" s="15">
        <v>15</v>
      </c>
      <c r="B275" s="78">
        <v>39191</v>
      </c>
      <c r="C275" s="15">
        <v>2007</v>
      </c>
      <c r="D275" s="11" t="s">
        <v>30</v>
      </c>
      <c r="E275" s="15">
        <v>4</v>
      </c>
      <c r="F275" s="14">
        <v>4.8029999999999999</v>
      </c>
      <c r="G275" s="14">
        <v>1.8280000000000001</v>
      </c>
      <c r="I275" s="18">
        <f>AVERAGE(F273:F275)</f>
        <v>4.2906666666666666</v>
      </c>
      <c r="J275" s="18">
        <f>AVERAGE(G273:G275)</f>
        <v>1.7190000000000001</v>
      </c>
      <c r="L275">
        <f>+J275/I275</f>
        <v>0.40063704164077069</v>
      </c>
      <c r="M275">
        <f>+(L275-$L$927)/$L$928</f>
        <v>1.1540358964318662</v>
      </c>
      <c r="N275">
        <f>+N272+M275</f>
        <v>0.72078131578719573</v>
      </c>
    </row>
    <row r="276" spans="1:14">
      <c r="A276" s="15">
        <v>6</v>
      </c>
      <c r="B276" s="78">
        <v>39217</v>
      </c>
      <c r="C276" s="15">
        <v>2007</v>
      </c>
      <c r="D276" s="11" t="s">
        <v>31</v>
      </c>
      <c r="E276" s="15">
        <v>5</v>
      </c>
      <c r="F276" s="14">
        <v>9.2240000000000002</v>
      </c>
      <c r="G276" s="14">
        <v>3.351</v>
      </c>
    </row>
    <row r="277" spans="1:14">
      <c r="A277" s="15">
        <v>8</v>
      </c>
      <c r="B277" s="78">
        <v>39216</v>
      </c>
      <c r="C277" s="15">
        <v>2007</v>
      </c>
      <c r="D277" s="11" t="s">
        <v>31</v>
      </c>
      <c r="E277" s="15">
        <v>5</v>
      </c>
      <c r="F277" s="14">
        <v>17.225000000000001</v>
      </c>
      <c r="G277" s="14">
        <v>9.141</v>
      </c>
    </row>
    <row r="278" spans="1:14">
      <c r="A278" s="15">
        <v>15</v>
      </c>
      <c r="B278" s="78">
        <v>39216</v>
      </c>
      <c r="C278" s="15">
        <v>2007</v>
      </c>
      <c r="D278" s="11" t="s">
        <v>31</v>
      </c>
      <c r="E278" s="15">
        <v>5</v>
      </c>
      <c r="F278" s="14">
        <v>9.6329999999999991</v>
      </c>
      <c r="G278" s="14">
        <v>4.2359999999999998</v>
      </c>
      <c r="I278" s="18">
        <f>AVERAGE(F276:F278)</f>
        <v>12.027333333333333</v>
      </c>
      <c r="J278" s="18">
        <f>AVERAGE(G276:G278)</f>
        <v>5.5760000000000005</v>
      </c>
      <c r="L278">
        <f>+J278/I278</f>
        <v>0.46361066459730621</v>
      </c>
      <c r="M278">
        <f>+(L278-$L$927)/$L$928</f>
        <v>1.7513687622718479</v>
      </c>
      <c r="N278">
        <f>+N275+M278</f>
        <v>2.4721500780590437</v>
      </c>
    </row>
    <row r="279" spans="1:14">
      <c r="A279" s="15">
        <v>6</v>
      </c>
      <c r="B279" s="78">
        <v>39246</v>
      </c>
      <c r="C279" s="15">
        <v>2007</v>
      </c>
      <c r="D279" s="11" t="s">
        <v>32</v>
      </c>
      <c r="E279" s="15">
        <v>6</v>
      </c>
      <c r="F279" s="14">
        <v>24.803000000000001</v>
      </c>
      <c r="G279" s="14">
        <v>7.9210000000000003</v>
      </c>
    </row>
    <row r="280" spans="1:14">
      <c r="A280" s="15">
        <v>8</v>
      </c>
      <c r="B280" s="78">
        <v>39248</v>
      </c>
      <c r="C280" s="15">
        <v>2007</v>
      </c>
      <c r="D280" s="11" t="s">
        <v>32</v>
      </c>
      <c r="E280" s="15">
        <v>6</v>
      </c>
      <c r="F280" s="14">
        <v>12.871</v>
      </c>
      <c r="G280" s="14">
        <v>4.6159999999999997</v>
      </c>
    </row>
    <row r="281" spans="1:14">
      <c r="A281" s="15">
        <v>15</v>
      </c>
      <c r="B281" s="78">
        <v>39248</v>
      </c>
      <c r="C281" s="15">
        <v>2007</v>
      </c>
      <c r="D281" s="11" t="s">
        <v>32</v>
      </c>
      <c r="E281" s="15">
        <v>6</v>
      </c>
      <c r="F281" s="14">
        <v>18.126999999999999</v>
      </c>
      <c r="G281" s="14">
        <v>6.6719999999999997</v>
      </c>
      <c r="I281" s="18">
        <f>AVERAGE(F279:F281)</f>
        <v>18.600333333333335</v>
      </c>
      <c r="J281" s="18">
        <f>AVERAGE(G279:G281)</f>
        <v>6.4029999999999996</v>
      </c>
      <c r="L281">
        <f>+J281/I281</f>
        <v>0.3442411426318524</v>
      </c>
      <c r="M281">
        <f>+(L281-$L$927)/$L$928</f>
        <v>0.61909567233406837</v>
      </c>
      <c r="N281">
        <f>+N278+M281</f>
        <v>3.0912457503931119</v>
      </c>
    </row>
    <row r="282" spans="1:14">
      <c r="A282" s="15">
        <v>6</v>
      </c>
      <c r="B282" s="78">
        <v>39280</v>
      </c>
      <c r="C282" s="15">
        <v>2007</v>
      </c>
      <c r="D282" s="11" t="s">
        <v>33</v>
      </c>
      <c r="E282" s="15">
        <v>7</v>
      </c>
      <c r="F282" s="14">
        <v>13.331</v>
      </c>
      <c r="G282" s="14">
        <v>1.0920000000000001</v>
      </c>
    </row>
    <row r="283" spans="1:14">
      <c r="A283" s="15">
        <v>8</v>
      </c>
      <c r="B283" s="78">
        <v>39279</v>
      </c>
      <c r="C283" s="15">
        <v>2007</v>
      </c>
      <c r="D283" s="11" t="s">
        <v>33</v>
      </c>
      <c r="E283" s="15">
        <v>7</v>
      </c>
      <c r="F283" s="14">
        <v>6.2880000000000003</v>
      </c>
      <c r="G283" s="14">
        <v>1.3819999999999999</v>
      </c>
    </row>
    <row r="284" spans="1:14">
      <c r="A284" s="15">
        <v>15</v>
      </c>
      <c r="B284" s="78">
        <v>39279</v>
      </c>
      <c r="C284" s="15">
        <v>2007</v>
      </c>
      <c r="D284" s="11" t="s">
        <v>33</v>
      </c>
      <c r="E284" s="15">
        <v>7</v>
      </c>
      <c r="F284" s="14">
        <v>4.6980000000000004</v>
      </c>
      <c r="G284" s="14">
        <v>1.2709999999999999</v>
      </c>
      <c r="I284" s="18">
        <f>AVERAGE(F282:F284)</f>
        <v>8.1056666666666661</v>
      </c>
      <c r="J284" s="18">
        <f>AVERAGE(G282:G284)</f>
        <v>1.2483333333333333</v>
      </c>
      <c r="L284">
        <f>+J284/I284</f>
        <v>0.15400748447588108</v>
      </c>
      <c r="M284">
        <f>+(L284-$L$927)/$L$928</f>
        <v>-1.1853553163593924</v>
      </c>
      <c r="N284">
        <f>+N281+M284</f>
        <v>1.9058904340337195</v>
      </c>
    </row>
    <row r="285" spans="1:14">
      <c r="A285" s="15">
        <v>6</v>
      </c>
      <c r="B285" s="78">
        <v>39308</v>
      </c>
      <c r="C285" s="15">
        <v>2007</v>
      </c>
      <c r="D285" s="11" t="s">
        <v>34</v>
      </c>
      <c r="E285" s="15">
        <v>8</v>
      </c>
      <c r="F285" s="14">
        <v>15.651999999999999</v>
      </c>
      <c r="G285" s="14">
        <v>1.524</v>
      </c>
    </row>
    <row r="286" spans="1:14">
      <c r="A286" s="15">
        <v>8</v>
      </c>
      <c r="B286" s="78">
        <v>39308</v>
      </c>
      <c r="C286" s="15">
        <v>2007</v>
      </c>
      <c r="D286" s="11" t="s">
        <v>34</v>
      </c>
      <c r="E286" s="15">
        <v>8</v>
      </c>
      <c r="F286" s="14">
        <v>10.67</v>
      </c>
      <c r="G286" s="14">
        <v>3.1709999999999998</v>
      </c>
    </row>
    <row r="287" spans="1:14">
      <c r="A287" s="15">
        <v>15</v>
      </c>
      <c r="B287" s="78">
        <v>39308</v>
      </c>
      <c r="C287" s="15">
        <v>2007</v>
      </c>
      <c r="D287" s="11" t="s">
        <v>34</v>
      </c>
      <c r="E287" s="15">
        <v>8</v>
      </c>
      <c r="F287" s="14">
        <v>9.2789999999999999</v>
      </c>
      <c r="G287" s="14">
        <v>0.83599999999999997</v>
      </c>
      <c r="I287" s="18">
        <f>AVERAGE(F285:F287)</f>
        <v>11.866999999999999</v>
      </c>
      <c r="J287" s="18">
        <f>AVERAGE(G285:G287)</f>
        <v>1.8436666666666668</v>
      </c>
      <c r="L287">
        <f>+J287/I287</f>
        <v>0.15536080447178452</v>
      </c>
      <c r="M287">
        <f>+(L287-$L$927)/$L$928</f>
        <v>-1.1725184733511778</v>
      </c>
      <c r="N287">
        <f>+N284+M287</f>
        <v>0.73337196068254173</v>
      </c>
    </row>
    <row r="288" spans="1:14">
      <c r="A288" s="15">
        <v>6</v>
      </c>
      <c r="B288" s="78">
        <v>39336</v>
      </c>
      <c r="C288" s="15">
        <v>2007</v>
      </c>
      <c r="D288" s="11" t="s">
        <v>40</v>
      </c>
      <c r="E288" s="15">
        <v>9</v>
      </c>
      <c r="F288" s="14">
        <v>12.808</v>
      </c>
      <c r="G288" s="14">
        <v>1.018</v>
      </c>
    </row>
    <row r="289" spans="1:14">
      <c r="A289" s="15">
        <v>8</v>
      </c>
      <c r="B289" s="78">
        <v>39335</v>
      </c>
      <c r="C289" s="15">
        <v>2007</v>
      </c>
      <c r="D289" s="11" t="s">
        <v>40</v>
      </c>
      <c r="E289" s="15">
        <v>9</v>
      </c>
      <c r="F289" s="14">
        <v>5.8520000000000003</v>
      </c>
      <c r="G289" s="14">
        <v>1.738</v>
      </c>
    </row>
    <row r="290" spans="1:14">
      <c r="A290" s="15">
        <v>15</v>
      </c>
      <c r="B290" s="78">
        <v>39335</v>
      </c>
      <c r="C290" s="15">
        <v>2007</v>
      </c>
      <c r="D290" s="11" t="s">
        <v>40</v>
      </c>
      <c r="E290" s="15">
        <v>9</v>
      </c>
      <c r="F290" s="14">
        <v>8.2789999999999999</v>
      </c>
      <c r="G290" s="14">
        <v>0.623</v>
      </c>
      <c r="I290" s="18">
        <f>AVERAGE(F288:F290)</f>
        <v>8.9796666666666667</v>
      </c>
      <c r="J290" s="18">
        <f>AVERAGE(G288:G290)</f>
        <v>1.1263333333333334</v>
      </c>
      <c r="L290">
        <f>+J290/I290</f>
        <v>0.12543153049482164</v>
      </c>
      <c r="M290">
        <f>+(L290-$L$927)/$L$928</f>
        <v>-1.456410969253922</v>
      </c>
      <c r="N290">
        <f>+N287+M290</f>
        <v>-0.72303900857138026</v>
      </c>
    </row>
    <row r="291" spans="1:14">
      <c r="A291" s="15">
        <v>6</v>
      </c>
      <c r="B291" s="78">
        <v>39370</v>
      </c>
      <c r="C291" s="15">
        <v>2007</v>
      </c>
      <c r="D291" s="11" t="s">
        <v>36</v>
      </c>
      <c r="E291" s="15">
        <v>10</v>
      </c>
      <c r="F291" s="14">
        <v>7.6589999999999998</v>
      </c>
      <c r="G291" s="14">
        <v>1.3560000000000001</v>
      </c>
    </row>
    <row r="292" spans="1:14">
      <c r="A292" s="15">
        <v>8</v>
      </c>
      <c r="B292" s="78">
        <v>39370</v>
      </c>
      <c r="C292" s="15">
        <v>2007</v>
      </c>
      <c r="D292" s="11" t="s">
        <v>36</v>
      </c>
      <c r="E292" s="15">
        <v>10</v>
      </c>
      <c r="F292" s="14">
        <v>1.9419999999999999</v>
      </c>
      <c r="G292" s="14">
        <v>0.27500000000000002</v>
      </c>
    </row>
    <row r="293" spans="1:14">
      <c r="A293" s="15">
        <v>15</v>
      </c>
      <c r="B293" s="78">
        <v>39370</v>
      </c>
      <c r="C293" s="15">
        <v>2007</v>
      </c>
      <c r="D293" s="11" t="s">
        <v>36</v>
      </c>
      <c r="E293" s="15">
        <v>10</v>
      </c>
      <c r="F293" s="14">
        <v>6.4880000000000004</v>
      </c>
      <c r="G293" s="14">
        <v>2.1659999999999999</v>
      </c>
      <c r="I293" s="18">
        <f>AVERAGE(F291:F293)</f>
        <v>5.3629999999999995</v>
      </c>
      <c r="J293" s="18">
        <f>AVERAGE(G291:G293)</f>
        <v>1.2656666666666667</v>
      </c>
      <c r="L293">
        <f>+J293/I293</f>
        <v>0.23599975138293247</v>
      </c>
      <c r="M293">
        <f>+(L293-$L$927)/$L$928</f>
        <v>-0.40762214064375257</v>
      </c>
      <c r="N293">
        <f>+N290+M293</f>
        <v>-1.1306611492151328</v>
      </c>
    </row>
    <row r="294" spans="1:14">
      <c r="A294" s="15">
        <v>6</v>
      </c>
      <c r="B294" s="78">
        <v>39400</v>
      </c>
      <c r="C294" s="15">
        <v>2007</v>
      </c>
      <c r="D294" s="11" t="s">
        <v>37</v>
      </c>
      <c r="E294" s="15">
        <v>11</v>
      </c>
      <c r="F294" s="14">
        <v>4.7519999999999998</v>
      </c>
      <c r="G294" s="14">
        <v>0.90800000000000003</v>
      </c>
    </row>
    <row r="295" spans="1:14">
      <c r="A295" s="15">
        <v>8</v>
      </c>
      <c r="B295" s="78">
        <v>39400</v>
      </c>
      <c r="C295" s="15">
        <v>2007</v>
      </c>
      <c r="D295" s="11" t="s">
        <v>37</v>
      </c>
      <c r="E295" s="15">
        <v>11</v>
      </c>
      <c r="F295" s="14">
        <v>0.77700000000000002</v>
      </c>
      <c r="G295" s="14">
        <v>0.13200000000000001</v>
      </c>
    </row>
    <row r="296" spans="1:14">
      <c r="A296" s="15">
        <v>15</v>
      </c>
      <c r="B296" s="78">
        <v>39400</v>
      </c>
      <c r="C296" s="15">
        <v>2007</v>
      </c>
      <c r="D296" s="11" t="s">
        <v>37</v>
      </c>
      <c r="E296" s="15">
        <v>11</v>
      </c>
      <c r="F296" s="14">
        <v>5.4020000000000001</v>
      </c>
      <c r="G296" s="14">
        <v>0.53500000000000003</v>
      </c>
      <c r="I296" s="18">
        <f>AVERAGE(F294:F296)</f>
        <v>3.6436666666666668</v>
      </c>
      <c r="J296" s="18">
        <f>AVERAGE(G294:G296)</f>
        <v>0.52500000000000002</v>
      </c>
      <c r="L296">
        <f>+J296/I296</f>
        <v>0.14408562803037234</v>
      </c>
      <c r="M296">
        <f>+(L296-$L$927)/$L$928</f>
        <v>-1.2794685445142855</v>
      </c>
      <c r="N296">
        <f>+N293+M296</f>
        <v>-2.4101296937294183</v>
      </c>
    </row>
    <row r="297" spans="1:14">
      <c r="A297" s="15">
        <v>6</v>
      </c>
      <c r="B297" s="78">
        <v>39427</v>
      </c>
      <c r="C297" s="15">
        <v>2007</v>
      </c>
      <c r="D297" s="11" t="s">
        <v>38</v>
      </c>
      <c r="E297" s="15">
        <v>12</v>
      </c>
      <c r="F297" s="14">
        <v>2.9740000000000002</v>
      </c>
      <c r="G297" s="14">
        <v>0.91100000000000003</v>
      </c>
    </row>
    <row r="298" spans="1:14">
      <c r="A298" s="15">
        <v>8</v>
      </c>
      <c r="B298" s="78">
        <v>39434</v>
      </c>
      <c r="C298" s="15">
        <v>2007</v>
      </c>
      <c r="D298" s="11" t="s">
        <v>38</v>
      </c>
      <c r="E298" s="15">
        <v>12</v>
      </c>
      <c r="F298" s="14">
        <v>5.484</v>
      </c>
      <c r="G298" s="14">
        <v>1.7</v>
      </c>
    </row>
    <row r="299" spans="1:14">
      <c r="A299" s="15">
        <v>15</v>
      </c>
      <c r="B299" s="78">
        <v>39434</v>
      </c>
      <c r="C299" s="15">
        <v>2007</v>
      </c>
      <c r="D299" s="11" t="s">
        <v>38</v>
      </c>
      <c r="E299" s="15">
        <v>12</v>
      </c>
      <c r="F299" s="14">
        <v>8.7189999999999994</v>
      </c>
      <c r="G299" s="14">
        <v>2.7570000000000001</v>
      </c>
      <c r="I299" s="18">
        <f>AVERAGE(F297:F299)</f>
        <v>5.7256666666666662</v>
      </c>
      <c r="J299" s="18">
        <f>AVERAGE(G297:G299)</f>
        <v>1.7893333333333334</v>
      </c>
      <c r="L299">
        <f>+J299/I299</f>
        <v>0.31251091575944584</v>
      </c>
      <c r="M299">
        <f>+(L299-$L$927)/$L$928</f>
        <v>0.31812033596936307</v>
      </c>
      <c r="N299">
        <f>+N296+M299</f>
        <v>-2.0920093577600554</v>
      </c>
    </row>
    <row r="300" spans="1:14">
      <c r="A300" s="15">
        <v>6</v>
      </c>
      <c r="B300" s="78">
        <v>39462</v>
      </c>
      <c r="C300" s="15">
        <v>2008</v>
      </c>
      <c r="D300" s="11" t="s">
        <v>39</v>
      </c>
      <c r="E300" s="15">
        <v>1</v>
      </c>
      <c r="F300" s="23">
        <v>4.6150000000000002</v>
      </c>
      <c r="G300" s="23">
        <v>0.84899999999999998</v>
      </c>
    </row>
    <row r="301" spans="1:14">
      <c r="A301" s="15">
        <v>8</v>
      </c>
      <c r="B301" s="78">
        <v>39463</v>
      </c>
      <c r="C301" s="15">
        <v>2008</v>
      </c>
      <c r="D301" s="11" t="s">
        <v>39</v>
      </c>
      <c r="E301" s="15">
        <v>1</v>
      </c>
      <c r="F301" s="23">
        <v>1.212</v>
      </c>
      <c r="G301" s="23">
        <v>0.33</v>
      </c>
    </row>
    <row r="302" spans="1:14">
      <c r="A302" s="15">
        <v>15</v>
      </c>
      <c r="B302" s="78">
        <v>39463</v>
      </c>
      <c r="C302" s="15">
        <v>2008</v>
      </c>
      <c r="D302" s="11" t="s">
        <v>39</v>
      </c>
      <c r="E302" s="15">
        <v>1</v>
      </c>
      <c r="F302" s="23">
        <v>5.5389999999999997</v>
      </c>
      <c r="G302" s="23">
        <v>1.4410000000000001</v>
      </c>
      <c r="I302" s="18">
        <f>AVERAGE(F300:F302)</f>
        <v>3.7886666666666664</v>
      </c>
      <c r="J302" s="18">
        <f>AVERAGE(G300:G302)</f>
        <v>0.87333333333333341</v>
      </c>
      <c r="L302">
        <f>+J302/I302</f>
        <v>0.23051205349287351</v>
      </c>
      <c r="M302">
        <f>+(L302-$L$927)/$L$928</f>
        <v>-0.45967539966928783</v>
      </c>
      <c r="N302">
        <f>+N299+M302</f>
        <v>-2.5516847574293431</v>
      </c>
    </row>
    <row r="303" spans="1:14">
      <c r="A303" s="15">
        <v>6</v>
      </c>
      <c r="B303" s="78">
        <v>39490</v>
      </c>
      <c r="C303" s="15">
        <v>2008</v>
      </c>
      <c r="D303" s="11" t="s">
        <v>28</v>
      </c>
      <c r="E303" s="15">
        <v>2</v>
      </c>
      <c r="F303" s="23">
        <v>3.996</v>
      </c>
      <c r="G303" s="23">
        <v>1.121</v>
      </c>
    </row>
    <row r="304" spans="1:14">
      <c r="A304" s="15">
        <v>8</v>
      </c>
      <c r="B304" s="78">
        <v>39493</v>
      </c>
      <c r="C304" s="15">
        <v>2008</v>
      </c>
      <c r="D304" s="11" t="s">
        <v>28</v>
      </c>
      <c r="E304" s="15">
        <v>2</v>
      </c>
      <c r="F304" s="23">
        <v>1.27</v>
      </c>
      <c r="G304" s="23">
        <v>0.25600000000000001</v>
      </c>
    </row>
    <row r="305" spans="1:14">
      <c r="A305" s="15">
        <v>15</v>
      </c>
      <c r="B305" s="78">
        <v>39493</v>
      </c>
      <c r="C305" s="15">
        <v>2008</v>
      </c>
      <c r="D305" s="11" t="s">
        <v>28</v>
      </c>
      <c r="E305" s="15">
        <v>2</v>
      </c>
      <c r="F305" s="23">
        <v>4.3520000000000003</v>
      </c>
      <c r="G305" s="23">
        <v>1.3</v>
      </c>
      <c r="I305" s="18">
        <f>AVERAGE(F303:F305)</f>
        <v>3.206</v>
      </c>
      <c r="J305" s="18">
        <f>AVERAGE(G303:G305)</f>
        <v>0.89233333333333331</v>
      </c>
      <c r="L305">
        <f>+J305/I305</f>
        <v>0.27833229361613643</v>
      </c>
      <c r="M305">
        <f>+(L305-$L$927)/$L$928</f>
        <v>-6.0791201968484363E-3</v>
      </c>
      <c r="N305">
        <f>+N302+M305</f>
        <v>-2.5577638776261917</v>
      </c>
    </row>
    <row r="306" spans="1:14">
      <c r="A306" s="15">
        <v>6</v>
      </c>
      <c r="B306" s="78">
        <v>39517</v>
      </c>
      <c r="C306" s="15">
        <v>2008</v>
      </c>
      <c r="D306" s="11" t="s">
        <v>29</v>
      </c>
      <c r="E306" s="15">
        <v>3</v>
      </c>
      <c r="F306" s="24">
        <v>2.3260000000000001</v>
      </c>
      <c r="G306" s="23">
        <v>0.61199999999999999</v>
      </c>
    </row>
    <row r="307" spans="1:14">
      <c r="A307" s="15">
        <v>8</v>
      </c>
      <c r="B307" s="78">
        <v>39517</v>
      </c>
      <c r="C307" s="15">
        <v>2008</v>
      </c>
      <c r="D307" s="11" t="s">
        <v>29</v>
      </c>
      <c r="E307" s="15">
        <v>3</v>
      </c>
      <c r="F307" s="24">
        <v>1.3839999999999999</v>
      </c>
      <c r="G307" s="23">
        <v>0.30199999999999999</v>
      </c>
    </row>
    <row r="308" spans="1:14">
      <c r="A308" s="15">
        <v>15</v>
      </c>
      <c r="B308" s="78">
        <v>39517</v>
      </c>
      <c r="C308" s="15">
        <v>2008</v>
      </c>
      <c r="D308" s="11" t="s">
        <v>29</v>
      </c>
      <c r="E308" s="15">
        <v>3</v>
      </c>
      <c r="F308" s="24">
        <v>2.589</v>
      </c>
      <c r="G308" s="23">
        <v>0.59299999999999997</v>
      </c>
      <c r="I308" s="18">
        <f>AVERAGE(F306:F308)</f>
        <v>2.0996666666666663</v>
      </c>
      <c r="J308" s="18">
        <f>AVERAGE(G306:G308)</f>
        <v>0.5023333333333333</v>
      </c>
      <c r="L308">
        <f>+J308/I308</f>
        <v>0.23924432449595176</v>
      </c>
      <c r="M308">
        <f>+(L308-$L$927)/$L$928</f>
        <v>-0.37684591934606998</v>
      </c>
      <c r="N308">
        <f>+N305+M308</f>
        <v>-2.9346097969722615</v>
      </c>
    </row>
    <row r="309" spans="1:14">
      <c r="A309" s="15">
        <v>6</v>
      </c>
      <c r="B309" s="78">
        <v>39553</v>
      </c>
      <c r="C309" s="15">
        <v>2008</v>
      </c>
      <c r="D309" s="11" t="s">
        <v>30</v>
      </c>
      <c r="E309" s="15">
        <v>4</v>
      </c>
      <c r="F309" s="24">
        <v>3.3140000000000001</v>
      </c>
      <c r="G309" s="23">
        <v>1.528</v>
      </c>
    </row>
    <row r="310" spans="1:14">
      <c r="A310" s="15">
        <v>8</v>
      </c>
      <c r="B310" s="78">
        <v>39552</v>
      </c>
      <c r="C310" s="15">
        <v>2008</v>
      </c>
      <c r="D310" s="11" t="s">
        <v>30</v>
      </c>
      <c r="E310" s="15">
        <v>4</v>
      </c>
      <c r="F310" s="24">
        <v>1.2050000000000001</v>
      </c>
      <c r="G310" s="23">
        <v>0.20200000000000001</v>
      </c>
    </row>
    <row r="311" spans="1:14">
      <c r="A311" s="15">
        <v>15</v>
      </c>
      <c r="B311" s="78">
        <v>39552</v>
      </c>
      <c r="C311" s="15">
        <v>2008</v>
      </c>
      <c r="D311" s="11" t="s">
        <v>30</v>
      </c>
      <c r="E311" s="15">
        <v>4</v>
      </c>
      <c r="F311" s="24">
        <v>4.49</v>
      </c>
      <c r="G311" s="23">
        <v>2.3069999999999999</v>
      </c>
      <c r="I311" s="18">
        <f>AVERAGE(F309:F311)</f>
        <v>3.0030000000000001</v>
      </c>
      <c r="J311" s="18">
        <f>AVERAGE(G309:G311)</f>
        <v>1.3456666666666666</v>
      </c>
      <c r="L311">
        <f>+J311/I311</f>
        <v>0.44810744810744807</v>
      </c>
      <c r="M311">
        <f>+(L311-$L$927)/$L$928</f>
        <v>1.6043138478354293</v>
      </c>
      <c r="N311">
        <f>+N308+M311</f>
        <v>-1.3302959491368322</v>
      </c>
    </row>
    <row r="312" spans="1:14">
      <c r="A312" s="15">
        <v>6</v>
      </c>
      <c r="B312" s="78">
        <v>39582</v>
      </c>
      <c r="C312" s="15">
        <v>2008</v>
      </c>
      <c r="D312" s="11" t="s">
        <v>31</v>
      </c>
      <c r="E312" s="15">
        <v>5</v>
      </c>
      <c r="F312" s="24">
        <v>2.105</v>
      </c>
      <c r="G312" s="23">
        <v>0.63700000000000001</v>
      </c>
    </row>
    <row r="313" spans="1:14">
      <c r="A313" s="15">
        <v>8</v>
      </c>
      <c r="B313" s="78">
        <v>39583</v>
      </c>
      <c r="C313" s="15">
        <v>2008</v>
      </c>
      <c r="D313" s="11" t="s">
        <v>31</v>
      </c>
      <c r="E313" s="15">
        <v>5</v>
      </c>
      <c r="F313" s="24">
        <v>2.3159999999999998</v>
      </c>
      <c r="G313" s="23">
        <v>0.73699999999999999</v>
      </c>
    </row>
    <row r="314" spans="1:14">
      <c r="A314" s="15">
        <v>15</v>
      </c>
      <c r="B314" s="78">
        <v>39583</v>
      </c>
      <c r="C314" s="15">
        <v>2008</v>
      </c>
      <c r="D314" s="11" t="s">
        <v>31</v>
      </c>
      <c r="E314" s="15">
        <v>5</v>
      </c>
      <c r="F314" s="24">
        <v>7.4509999999999996</v>
      </c>
      <c r="G314" s="23">
        <v>3.044</v>
      </c>
      <c r="I314" s="18">
        <f>AVERAGE(F312:F314)</f>
        <v>3.9573333333333331</v>
      </c>
      <c r="J314" s="18">
        <f>AVERAGE(G312:G314)</f>
        <v>1.4726666666666668</v>
      </c>
      <c r="L314">
        <f>+J314/I314</f>
        <v>0.3721361185983828</v>
      </c>
      <c r="M314">
        <f>+(L314-$L$927)/$L$928</f>
        <v>0.88369194541376006</v>
      </c>
      <c r="N314">
        <f>+N311+M314</f>
        <v>-0.44660400372307218</v>
      </c>
    </row>
    <row r="315" spans="1:14">
      <c r="A315" s="15">
        <v>6</v>
      </c>
      <c r="B315" s="78">
        <v>39616</v>
      </c>
      <c r="C315" s="15">
        <v>2008</v>
      </c>
      <c r="D315" s="11" t="s">
        <v>32</v>
      </c>
      <c r="E315" s="15">
        <v>6</v>
      </c>
      <c r="F315" s="24">
        <v>7.9009999999999998</v>
      </c>
      <c r="G315" s="23">
        <v>2.069</v>
      </c>
    </row>
    <row r="316" spans="1:14">
      <c r="A316" s="15">
        <v>8</v>
      </c>
      <c r="B316" s="78">
        <v>39617</v>
      </c>
      <c r="C316" s="15">
        <v>2008</v>
      </c>
      <c r="D316" s="11" t="s">
        <v>32</v>
      </c>
      <c r="E316" s="15">
        <v>6</v>
      </c>
      <c r="F316" s="24">
        <v>2.8180000000000001</v>
      </c>
      <c r="G316" s="23">
        <v>0.52500000000000002</v>
      </c>
    </row>
    <row r="317" spans="1:14">
      <c r="A317" s="15">
        <v>15</v>
      </c>
      <c r="B317" s="78">
        <v>39617</v>
      </c>
      <c r="C317" s="15">
        <v>2008</v>
      </c>
      <c r="D317" s="11" t="s">
        <v>32</v>
      </c>
      <c r="E317" s="15">
        <v>6</v>
      </c>
      <c r="F317" s="24">
        <v>4.1379999999999999</v>
      </c>
      <c r="G317" s="23">
        <v>0.83</v>
      </c>
      <c r="I317" s="18">
        <f>AVERAGE(F315:F317)</f>
        <v>4.9523333333333328</v>
      </c>
      <c r="J317" s="18">
        <f>AVERAGE(G315:G317)</f>
        <v>1.1413333333333333</v>
      </c>
      <c r="L317">
        <f>+J317/I317</f>
        <v>0.23046375445917752</v>
      </c>
      <c r="M317">
        <f>+(L317-$L$927)/$L$928</f>
        <v>-0.46013353751907998</v>
      </c>
      <c r="N317">
        <f>+N314+M317</f>
        <v>-0.90673754124215211</v>
      </c>
    </row>
    <row r="318" spans="1:14">
      <c r="A318" s="15">
        <v>6</v>
      </c>
      <c r="B318" s="78">
        <v>39644</v>
      </c>
      <c r="C318" s="15">
        <v>2008</v>
      </c>
      <c r="D318" s="11" t="s">
        <v>33</v>
      </c>
      <c r="E318" s="15">
        <v>7</v>
      </c>
      <c r="F318" s="24">
        <v>6.5490000000000004</v>
      </c>
      <c r="G318" s="23">
        <v>1.234</v>
      </c>
    </row>
    <row r="319" spans="1:14">
      <c r="A319" s="15">
        <v>8</v>
      </c>
      <c r="B319" s="78">
        <v>39645</v>
      </c>
      <c r="C319" s="15">
        <v>2008</v>
      </c>
      <c r="D319" s="11" t="s">
        <v>33</v>
      </c>
      <c r="E319" s="15">
        <v>7</v>
      </c>
      <c r="F319" s="24">
        <v>3.5419999999999998</v>
      </c>
      <c r="G319" s="23">
        <v>0.68400000000000005</v>
      </c>
    </row>
    <row r="320" spans="1:14">
      <c r="A320" s="15">
        <v>15</v>
      </c>
      <c r="B320" s="78">
        <v>39645</v>
      </c>
      <c r="C320" s="15">
        <v>2008</v>
      </c>
      <c r="D320" s="11" t="s">
        <v>33</v>
      </c>
      <c r="E320" s="15">
        <v>7</v>
      </c>
      <c r="F320" s="24">
        <v>4.4009999999999998</v>
      </c>
      <c r="G320" s="23">
        <v>1.4019999999999999</v>
      </c>
      <c r="I320" s="18">
        <f>AVERAGE(F318:F320)</f>
        <v>4.8306666666666667</v>
      </c>
      <c r="J320" s="18">
        <f>AVERAGE(G318:G320)</f>
        <v>1.1066666666666667</v>
      </c>
      <c r="L320">
        <f>+J320/I320</f>
        <v>0.22909191277946453</v>
      </c>
      <c r="M320">
        <f>+(L320-$L$927)/$L$928</f>
        <v>-0.47314606694885852</v>
      </c>
      <c r="N320">
        <f>+N317+M320</f>
        <v>-1.3798836081910106</v>
      </c>
    </row>
    <row r="321" spans="1:14">
      <c r="A321" s="15">
        <v>6</v>
      </c>
      <c r="B321" s="78">
        <v>39672</v>
      </c>
      <c r="C321" s="15">
        <v>2008</v>
      </c>
      <c r="D321" s="11" t="s">
        <v>34</v>
      </c>
      <c r="E321" s="15">
        <v>8</v>
      </c>
      <c r="F321" s="24">
        <v>6.8209999999999997</v>
      </c>
      <c r="G321" s="23">
        <v>0.52400000000000002</v>
      </c>
    </row>
    <row r="322" spans="1:14">
      <c r="A322" s="15">
        <v>8</v>
      </c>
      <c r="B322" s="78">
        <v>39672</v>
      </c>
      <c r="C322" s="15">
        <v>2008</v>
      </c>
      <c r="D322" s="11" t="s">
        <v>34</v>
      </c>
      <c r="E322" s="15">
        <v>8</v>
      </c>
      <c r="F322" s="24">
        <v>7.8410000000000002</v>
      </c>
      <c r="G322" s="23">
        <v>1.599</v>
      </c>
    </row>
    <row r="323" spans="1:14">
      <c r="A323" s="15">
        <v>15</v>
      </c>
      <c r="B323" s="78">
        <v>39672</v>
      </c>
      <c r="C323" s="15">
        <v>2008</v>
      </c>
      <c r="D323" s="11" t="s">
        <v>34</v>
      </c>
      <c r="E323" s="15">
        <v>8</v>
      </c>
      <c r="F323" s="24">
        <v>4.0529999999999999</v>
      </c>
      <c r="G323" s="23">
        <v>0.45100000000000001</v>
      </c>
      <c r="I323" s="18">
        <f>AVERAGE(F321:F323)</f>
        <v>6.2383333333333333</v>
      </c>
      <c r="J323" s="18">
        <f>AVERAGE(G321:G323)</f>
        <v>0.8580000000000001</v>
      </c>
      <c r="L323">
        <f>+J323/I323</f>
        <v>0.13753673523911303</v>
      </c>
      <c r="M323">
        <f>+(L323-$L$927)/$L$928</f>
        <v>-1.3415877098953481</v>
      </c>
      <c r="N323">
        <f>+N320+M323</f>
        <v>-2.7214713180863588</v>
      </c>
    </row>
    <row r="324" spans="1:14">
      <c r="A324" s="15">
        <v>6</v>
      </c>
      <c r="B324" s="78">
        <v>39709</v>
      </c>
      <c r="C324" s="15">
        <v>2008</v>
      </c>
      <c r="D324" s="11" t="s">
        <v>40</v>
      </c>
      <c r="E324" s="15">
        <v>9</v>
      </c>
      <c r="F324" s="23">
        <v>18.856000000000002</v>
      </c>
      <c r="G324" s="23">
        <v>7.125</v>
      </c>
    </row>
    <row r="325" spans="1:14">
      <c r="A325" s="15">
        <v>8</v>
      </c>
      <c r="B325" s="78">
        <v>39709</v>
      </c>
      <c r="C325" s="15">
        <v>2008</v>
      </c>
      <c r="D325" s="11" t="s">
        <v>40</v>
      </c>
      <c r="E325" s="15">
        <v>9</v>
      </c>
      <c r="F325" s="23">
        <v>4.0910000000000002</v>
      </c>
      <c r="G325" s="23">
        <v>1.6579999999999999</v>
      </c>
    </row>
    <row r="326" spans="1:14">
      <c r="A326" s="15">
        <v>15</v>
      </c>
      <c r="B326" s="78">
        <v>39709</v>
      </c>
      <c r="C326" s="15">
        <v>2008</v>
      </c>
      <c r="D326" s="11" t="s">
        <v>40</v>
      </c>
      <c r="E326" s="15">
        <v>9</v>
      </c>
      <c r="F326" s="23">
        <v>9.84</v>
      </c>
      <c r="G326" s="23">
        <v>3.669</v>
      </c>
      <c r="I326" s="18">
        <f>AVERAGE(F324:F326)</f>
        <v>10.929000000000002</v>
      </c>
      <c r="J326" s="18">
        <f>AVERAGE(G324:G326)</f>
        <v>4.1506666666666669</v>
      </c>
      <c r="L326">
        <f>+J326/I326</f>
        <v>0.3797846707536523</v>
      </c>
      <c r="M326">
        <f>+(L326-$L$927)/$L$928</f>
        <v>0.95624186971440006</v>
      </c>
      <c r="N326">
        <f>+N323+M326</f>
        <v>-1.7652294483719588</v>
      </c>
    </row>
    <row r="327" spans="1:14">
      <c r="A327" s="15">
        <v>6</v>
      </c>
      <c r="B327" s="78">
        <v>39737</v>
      </c>
      <c r="C327" s="15">
        <v>2008</v>
      </c>
      <c r="D327" s="11" t="s">
        <v>36</v>
      </c>
      <c r="E327" s="15">
        <v>10</v>
      </c>
      <c r="F327" s="23">
        <v>8.9269999999999996</v>
      </c>
      <c r="G327" s="23">
        <v>3.32</v>
      </c>
    </row>
    <row r="328" spans="1:14">
      <c r="A328" s="15">
        <v>8</v>
      </c>
      <c r="B328" s="78">
        <v>39735</v>
      </c>
      <c r="C328" s="15">
        <v>2008</v>
      </c>
      <c r="D328" s="11" t="s">
        <v>36</v>
      </c>
      <c r="E328" s="15">
        <v>10</v>
      </c>
      <c r="F328" s="23">
        <v>10.298</v>
      </c>
      <c r="G328" s="23">
        <v>4.141</v>
      </c>
    </row>
    <row r="329" spans="1:14">
      <c r="A329" s="15">
        <v>15</v>
      </c>
      <c r="B329" s="78">
        <v>39735</v>
      </c>
      <c r="C329" s="15">
        <v>2008</v>
      </c>
      <c r="D329" s="11" t="s">
        <v>36</v>
      </c>
      <c r="E329" s="15">
        <v>10</v>
      </c>
      <c r="F329" s="23">
        <v>2.0609999999999999</v>
      </c>
      <c r="G329" s="23">
        <v>0.78400000000000003</v>
      </c>
      <c r="I329" s="18">
        <f>AVERAGE(F327:F329)</f>
        <v>7.0953333333333335</v>
      </c>
      <c r="J329" s="18">
        <f>AVERAGE(G327:G329)</f>
        <v>2.7483333333333335</v>
      </c>
      <c r="L329">
        <f>+J329/I329</f>
        <v>0.38734379404303299</v>
      </c>
      <c r="M329">
        <f>+(L329-$L$927)/$L$928</f>
        <v>1.0279435213852908</v>
      </c>
      <c r="N329">
        <f>+N326+M329</f>
        <v>-0.73728592698666806</v>
      </c>
    </row>
    <row r="330" spans="1:14">
      <c r="A330" s="15">
        <v>6</v>
      </c>
      <c r="B330" s="78">
        <v>39763</v>
      </c>
      <c r="C330" s="15">
        <v>2008</v>
      </c>
      <c r="D330" s="11" t="s">
        <v>37</v>
      </c>
      <c r="E330" s="15">
        <v>11</v>
      </c>
      <c r="F330" s="23">
        <v>2.73</v>
      </c>
      <c r="G330" s="23">
        <v>0.82</v>
      </c>
    </row>
    <row r="331" spans="1:14">
      <c r="A331" s="15">
        <v>8</v>
      </c>
      <c r="B331" s="78">
        <v>39769</v>
      </c>
      <c r="C331" s="15">
        <v>2008</v>
      </c>
      <c r="D331" s="11" t="s">
        <v>37</v>
      </c>
      <c r="E331" s="15">
        <v>11</v>
      </c>
      <c r="F331" s="23">
        <v>0.91900000000000004</v>
      </c>
      <c r="G331" s="23">
        <v>0.223</v>
      </c>
    </row>
    <row r="332" spans="1:14">
      <c r="A332" s="15">
        <v>15</v>
      </c>
      <c r="B332" s="78">
        <v>39769</v>
      </c>
      <c r="C332" s="15">
        <v>2008</v>
      </c>
      <c r="D332" s="11" t="s">
        <v>37</v>
      </c>
      <c r="E332" s="15">
        <v>11</v>
      </c>
      <c r="F332" s="23">
        <v>3.798</v>
      </c>
      <c r="G332" s="23">
        <v>1.2450000000000001</v>
      </c>
      <c r="I332" s="18">
        <f>AVERAGE(F330:F332)</f>
        <v>2.4823333333333335</v>
      </c>
      <c r="J332" s="18">
        <f>AVERAGE(G330:G332)</f>
        <v>0.76266666666666671</v>
      </c>
      <c r="L332">
        <f>+J332/I332</f>
        <v>0.30723781388478583</v>
      </c>
      <c r="M332">
        <f>+(L332-$L$927)/$L$928</f>
        <v>0.26810261574337507</v>
      </c>
      <c r="N332">
        <f>+N329+M332</f>
        <v>-0.46918331124329299</v>
      </c>
    </row>
    <row r="333" spans="1:14">
      <c r="A333" s="15">
        <v>6</v>
      </c>
      <c r="B333" s="78">
        <v>39797</v>
      </c>
      <c r="C333" s="15">
        <v>2008</v>
      </c>
      <c r="D333" s="11" t="s">
        <v>38</v>
      </c>
      <c r="E333" s="15">
        <v>12</v>
      </c>
      <c r="F333" s="23">
        <v>3.5739999999999998</v>
      </c>
      <c r="G333" s="23">
        <v>0.95699999999999996</v>
      </c>
    </row>
    <row r="334" spans="1:14">
      <c r="A334" s="15">
        <v>8</v>
      </c>
      <c r="B334" s="78">
        <v>39797</v>
      </c>
      <c r="C334" s="15">
        <v>2008</v>
      </c>
      <c r="D334" s="11" t="s">
        <v>38</v>
      </c>
      <c r="E334" s="15">
        <v>12</v>
      </c>
      <c r="F334" s="23">
        <v>0.628</v>
      </c>
      <c r="G334" s="23">
        <v>0.16</v>
      </c>
    </row>
    <row r="335" spans="1:14">
      <c r="A335" s="15">
        <v>15</v>
      </c>
      <c r="B335" s="78">
        <v>39797</v>
      </c>
      <c r="C335" s="15">
        <v>2008</v>
      </c>
      <c r="D335" s="11" t="s">
        <v>38</v>
      </c>
      <c r="E335" s="15">
        <v>12</v>
      </c>
      <c r="F335" s="23">
        <v>2.6560000000000001</v>
      </c>
      <c r="G335" s="23">
        <v>0.56799999999999995</v>
      </c>
      <c r="I335" s="18">
        <f>AVERAGE(F333:F335)</f>
        <v>2.286</v>
      </c>
      <c r="J335" s="18">
        <f>AVERAGE(G333:G335)</f>
        <v>0.56166666666666665</v>
      </c>
      <c r="L335">
        <f>+J335/I335</f>
        <v>0.24569845435987167</v>
      </c>
      <c r="M335">
        <f>+(L335-$L$927)/$L$928</f>
        <v>-0.31562562254371518</v>
      </c>
      <c r="N335">
        <f>+N332+M335</f>
        <v>-0.78480893378700811</v>
      </c>
    </row>
    <row r="336" spans="1:14">
      <c r="A336" s="15">
        <v>6</v>
      </c>
      <c r="B336" s="78">
        <v>39825</v>
      </c>
      <c r="C336" s="15">
        <v>2009</v>
      </c>
      <c r="D336" s="11" t="s">
        <v>39</v>
      </c>
      <c r="E336" s="12">
        <v>1</v>
      </c>
      <c r="F336" s="23">
        <v>5.0339999999999998</v>
      </c>
      <c r="G336" s="23">
        <v>1.3440000000000001</v>
      </c>
    </row>
    <row r="337" spans="1:14">
      <c r="A337" s="15">
        <v>8</v>
      </c>
      <c r="B337" s="78">
        <v>39826</v>
      </c>
      <c r="C337" s="15">
        <v>2009</v>
      </c>
      <c r="D337" s="11" t="s">
        <v>39</v>
      </c>
      <c r="E337" s="12">
        <v>1</v>
      </c>
      <c r="F337" s="23">
        <v>1.4219999999999999</v>
      </c>
      <c r="G337" s="23">
        <v>0.39200000000000002</v>
      </c>
    </row>
    <row r="338" spans="1:14">
      <c r="A338" s="15">
        <v>15</v>
      </c>
      <c r="B338" s="78">
        <v>39826</v>
      </c>
      <c r="C338" s="15">
        <v>2009</v>
      </c>
      <c r="D338" s="11" t="s">
        <v>39</v>
      </c>
      <c r="E338" s="12">
        <v>1</v>
      </c>
      <c r="F338" s="23">
        <v>3.698</v>
      </c>
      <c r="G338" s="23">
        <v>0.94299999999999995</v>
      </c>
      <c r="I338" s="18">
        <f>AVERAGE(F336:F338)</f>
        <v>3.3846666666666665</v>
      </c>
      <c r="J338" s="18">
        <f>AVERAGE(G336:G338)</f>
        <v>0.89300000000000013</v>
      </c>
      <c r="L338">
        <f>+J338/I338</f>
        <v>0.26383691156194611</v>
      </c>
      <c r="M338">
        <f>+(L338-$L$927)/$L$928</f>
        <v>-0.14357427606315612</v>
      </c>
      <c r="N338">
        <f>+N335+M338</f>
        <v>-0.9283832098501642</v>
      </c>
    </row>
    <row r="339" spans="1:14">
      <c r="A339" s="12">
        <v>6</v>
      </c>
      <c r="B339" s="78">
        <v>39854</v>
      </c>
      <c r="C339" s="15">
        <v>2009</v>
      </c>
      <c r="D339" s="11" t="s">
        <v>28</v>
      </c>
      <c r="E339" s="12">
        <v>2</v>
      </c>
      <c r="F339" s="23">
        <v>3.08</v>
      </c>
      <c r="G339" s="23">
        <v>0.92400000000000004</v>
      </c>
    </row>
    <row r="340" spans="1:14">
      <c r="A340" s="12">
        <v>8</v>
      </c>
      <c r="B340" s="78">
        <v>39855</v>
      </c>
      <c r="C340" s="15">
        <v>2009</v>
      </c>
      <c r="D340" s="11" t="s">
        <v>28</v>
      </c>
      <c r="E340" s="12">
        <v>2</v>
      </c>
      <c r="F340" s="23">
        <v>2.1640000000000001</v>
      </c>
      <c r="G340" s="23">
        <v>0.79800000000000004</v>
      </c>
    </row>
    <row r="341" spans="1:14">
      <c r="A341" s="12">
        <v>15</v>
      </c>
      <c r="B341" s="78">
        <v>39855</v>
      </c>
      <c r="C341" s="15">
        <v>2009</v>
      </c>
      <c r="D341" s="11" t="s">
        <v>28</v>
      </c>
      <c r="E341" s="12">
        <v>2</v>
      </c>
      <c r="F341" s="23">
        <v>2.4750000000000001</v>
      </c>
      <c r="G341" s="23">
        <v>0.84899999999999998</v>
      </c>
      <c r="I341" s="18">
        <f>AVERAGE(F339:F341)</f>
        <v>2.573</v>
      </c>
      <c r="J341" s="18">
        <f>AVERAGE(G339:G341)</f>
        <v>0.85699999999999987</v>
      </c>
      <c r="L341">
        <f>+J341/I341</f>
        <v>0.33307423241352502</v>
      </c>
      <c r="M341">
        <f>+(L341-$L$927)/$L$928</f>
        <v>0.51317255452496335</v>
      </c>
      <c r="N341">
        <f>+N338+M341</f>
        <v>-0.41521065532520085</v>
      </c>
    </row>
    <row r="342" spans="1:14">
      <c r="A342" s="12">
        <v>6</v>
      </c>
      <c r="B342" s="78">
        <v>39890</v>
      </c>
      <c r="C342" s="15">
        <v>2009</v>
      </c>
      <c r="D342" s="11" t="s">
        <v>29</v>
      </c>
      <c r="E342" s="12">
        <v>3</v>
      </c>
      <c r="F342" s="23">
        <v>5.8040000000000003</v>
      </c>
      <c r="G342" s="25">
        <v>2.5910000000000002</v>
      </c>
    </row>
    <row r="343" spans="1:14">
      <c r="A343" s="12">
        <v>8</v>
      </c>
      <c r="B343" s="78">
        <v>39888</v>
      </c>
      <c r="C343" s="15">
        <v>2009</v>
      </c>
      <c r="D343" s="11" t="s">
        <v>29</v>
      </c>
      <c r="E343" s="12">
        <v>3</v>
      </c>
      <c r="F343" s="23">
        <v>1.9910000000000001</v>
      </c>
      <c r="G343" s="25">
        <v>0.65400000000000003</v>
      </c>
    </row>
    <row r="344" spans="1:14">
      <c r="A344" s="12">
        <v>15</v>
      </c>
      <c r="B344" s="78">
        <v>39888</v>
      </c>
      <c r="C344" s="15">
        <v>2009</v>
      </c>
      <c r="D344" s="11" t="s">
        <v>29</v>
      </c>
      <c r="E344" s="12">
        <v>3</v>
      </c>
      <c r="F344" s="23">
        <v>3.77</v>
      </c>
      <c r="G344" s="25">
        <v>1.5780000000000001</v>
      </c>
      <c r="I344" s="18">
        <f>AVERAGE(F342:F344)</f>
        <v>3.855</v>
      </c>
      <c r="J344" s="18">
        <f>AVERAGE(G342:G344)</f>
        <v>1.6076666666666668</v>
      </c>
      <c r="L344">
        <f>+J344/I344</f>
        <v>0.41703415477734546</v>
      </c>
      <c r="M344">
        <f>+(L344-$L$927)/$L$928</f>
        <v>1.3095698187557068</v>
      </c>
      <c r="N344">
        <f>+N341+M344</f>
        <v>0.89435916343050592</v>
      </c>
    </row>
    <row r="345" spans="1:14">
      <c r="A345" s="12">
        <v>6</v>
      </c>
      <c r="B345" s="78">
        <v>39920</v>
      </c>
      <c r="C345" s="15">
        <v>2009</v>
      </c>
      <c r="D345" s="11" t="s">
        <v>30</v>
      </c>
      <c r="E345" s="12">
        <v>4</v>
      </c>
      <c r="F345" s="23">
        <v>1.2190000000000001</v>
      </c>
      <c r="G345" s="25">
        <v>0.192</v>
      </c>
    </row>
    <row r="346" spans="1:14">
      <c r="A346" s="12">
        <v>8</v>
      </c>
      <c r="B346" s="78">
        <v>39916</v>
      </c>
      <c r="C346" s="15">
        <v>2009</v>
      </c>
      <c r="D346" s="11" t="s">
        <v>30</v>
      </c>
      <c r="E346" s="12">
        <v>4</v>
      </c>
      <c r="F346" s="23">
        <v>0.41199999999999998</v>
      </c>
      <c r="G346" s="25">
        <v>5.3999999999999999E-2</v>
      </c>
    </row>
    <row r="347" spans="1:14">
      <c r="A347" s="12">
        <v>15</v>
      </c>
      <c r="B347" s="78">
        <v>39916</v>
      </c>
      <c r="C347" s="15">
        <v>2009</v>
      </c>
      <c r="D347" s="11" t="s">
        <v>30</v>
      </c>
      <c r="E347" s="12">
        <v>4</v>
      </c>
      <c r="F347" s="23">
        <v>1.7949999999999999</v>
      </c>
      <c r="G347" s="25">
        <v>0.193</v>
      </c>
      <c r="I347" s="18">
        <f>AVERAGE(F345:F347)</f>
        <v>1.1420000000000001</v>
      </c>
      <c r="J347" s="18">
        <f>AVERAGE(G345:G347)</f>
        <v>0.14633333333333334</v>
      </c>
      <c r="L347">
        <f>+J347/I347</f>
        <v>0.12813776999416229</v>
      </c>
      <c r="M347">
        <f>+(L347-$L$927)/$L$928</f>
        <v>-1.4307410820869373</v>
      </c>
      <c r="N347">
        <f>+N344+M347</f>
        <v>-0.53638191865643137</v>
      </c>
    </row>
    <row r="348" spans="1:14">
      <c r="A348" s="12">
        <v>6</v>
      </c>
      <c r="B348" s="78">
        <v>39945</v>
      </c>
      <c r="C348" s="15">
        <v>2009</v>
      </c>
      <c r="D348" s="11" t="s">
        <v>31</v>
      </c>
      <c r="E348" s="12">
        <v>5</v>
      </c>
      <c r="F348" s="23">
        <v>8.4529999999999994</v>
      </c>
      <c r="G348" s="25">
        <v>3.5009999999999999</v>
      </c>
    </row>
    <row r="349" spans="1:14">
      <c r="A349" s="12">
        <v>8</v>
      </c>
      <c r="B349" s="78">
        <v>39946</v>
      </c>
      <c r="C349" s="15">
        <v>2009</v>
      </c>
      <c r="D349" s="11" t="s">
        <v>31</v>
      </c>
      <c r="E349" s="12">
        <v>5</v>
      </c>
      <c r="F349" s="23">
        <v>0.33900000000000002</v>
      </c>
      <c r="G349" s="25">
        <v>3.4000000000000002E-2</v>
      </c>
    </row>
    <row r="350" spans="1:14">
      <c r="A350" s="12">
        <v>15</v>
      </c>
      <c r="B350" s="78">
        <v>39946</v>
      </c>
      <c r="C350" s="15">
        <v>2009</v>
      </c>
      <c r="D350" s="11" t="s">
        <v>31</v>
      </c>
      <c r="E350" s="12">
        <v>5</v>
      </c>
      <c r="F350" s="23">
        <v>7.6669999999999998</v>
      </c>
      <c r="G350" s="25">
        <v>3.2650000000000001</v>
      </c>
      <c r="I350" s="18">
        <f>AVERAGE(F348:F350)</f>
        <v>5.4863333333333335</v>
      </c>
      <c r="J350" s="18">
        <f>AVERAGE(G348:G350)</f>
        <v>2.2666666666666666</v>
      </c>
      <c r="L350">
        <f>+J350/I350</f>
        <v>0.41314782186038029</v>
      </c>
      <c r="M350">
        <f>+(L350-$L$927)/$L$928</f>
        <v>1.2727062198406291</v>
      </c>
      <c r="N350">
        <f>+N347+M350</f>
        <v>0.73632430118419778</v>
      </c>
    </row>
    <row r="351" spans="1:14">
      <c r="A351" s="15">
        <v>6</v>
      </c>
      <c r="B351" s="78">
        <v>39980</v>
      </c>
      <c r="C351" s="15">
        <v>2009</v>
      </c>
      <c r="D351" s="11" t="s">
        <v>32</v>
      </c>
      <c r="E351" s="12">
        <v>6</v>
      </c>
      <c r="F351" s="23">
        <v>15.779</v>
      </c>
      <c r="G351" s="25">
        <v>5.782</v>
      </c>
    </row>
    <row r="352" spans="1:14">
      <c r="A352" s="15">
        <v>8</v>
      </c>
      <c r="B352" s="78">
        <v>39983</v>
      </c>
      <c r="C352" s="15">
        <v>2009</v>
      </c>
      <c r="D352" s="11" t="s">
        <v>32</v>
      </c>
      <c r="E352" s="12">
        <v>6</v>
      </c>
      <c r="F352" s="23">
        <v>2.0019999999999998</v>
      </c>
      <c r="G352" s="25">
        <v>0.308</v>
      </c>
    </row>
    <row r="353" spans="1:14">
      <c r="A353" s="15">
        <v>15</v>
      </c>
      <c r="B353" s="78">
        <v>39983</v>
      </c>
      <c r="C353" s="15">
        <v>2009</v>
      </c>
      <c r="D353" s="11" t="s">
        <v>32</v>
      </c>
      <c r="E353" s="12">
        <v>6</v>
      </c>
      <c r="F353" s="23">
        <v>8.2710000000000008</v>
      </c>
      <c r="G353" s="25">
        <v>2.641</v>
      </c>
      <c r="I353" s="18">
        <f>AVERAGE(F351:F353)</f>
        <v>8.6839999999999993</v>
      </c>
      <c r="J353" s="18">
        <f>AVERAGE(G351:G353)</f>
        <v>2.9103333333333334</v>
      </c>
      <c r="L353">
        <f>+J353/I353</f>
        <v>0.33513741747274683</v>
      </c>
      <c r="M353">
        <f>+(L353-$L$927)/$L$928</f>
        <v>0.53274278387374663</v>
      </c>
      <c r="N353">
        <f>+N350+M353</f>
        <v>1.2690670850579444</v>
      </c>
    </row>
    <row r="354" spans="1:14">
      <c r="A354" s="15">
        <v>6</v>
      </c>
      <c r="B354" s="78">
        <v>40007</v>
      </c>
      <c r="C354" s="15">
        <v>2009</v>
      </c>
      <c r="D354" s="11" t="s">
        <v>33</v>
      </c>
      <c r="E354" s="12">
        <v>7</v>
      </c>
      <c r="F354" s="23">
        <v>9.7100000000000009</v>
      </c>
      <c r="G354" s="25">
        <v>2.665</v>
      </c>
    </row>
    <row r="355" spans="1:14">
      <c r="A355" s="15">
        <v>8</v>
      </c>
      <c r="B355" s="78">
        <v>40007</v>
      </c>
      <c r="C355" s="15">
        <v>2009</v>
      </c>
      <c r="D355" s="11" t="s">
        <v>33</v>
      </c>
      <c r="E355" s="12">
        <v>7</v>
      </c>
      <c r="F355" s="23">
        <v>1.663</v>
      </c>
      <c r="G355" s="25">
        <v>0.13300000000000001</v>
      </c>
    </row>
    <row r="356" spans="1:14">
      <c r="A356" s="15">
        <v>15</v>
      </c>
      <c r="B356" s="78">
        <v>40007</v>
      </c>
      <c r="C356" s="15">
        <v>2009</v>
      </c>
      <c r="D356" s="11" t="s">
        <v>33</v>
      </c>
      <c r="E356" s="12">
        <v>7</v>
      </c>
      <c r="F356" s="23">
        <v>12.875999999999999</v>
      </c>
      <c r="G356" s="25">
        <v>3.9950000000000001</v>
      </c>
      <c r="I356" s="18">
        <f>AVERAGE(F354:F356)</f>
        <v>8.0830000000000002</v>
      </c>
      <c r="J356" s="18">
        <f>AVERAGE(G354:G356)</f>
        <v>2.2643333333333335</v>
      </c>
      <c r="L356">
        <f>+J356/I356</f>
        <v>0.28013526330982724</v>
      </c>
      <c r="M356">
        <f>+(L356-$L$927)/$L$928</f>
        <v>1.1022850494885409E-2</v>
      </c>
      <c r="N356">
        <f>+N353+M356</f>
        <v>1.2800899355528299</v>
      </c>
    </row>
    <row r="357" spans="1:14">
      <c r="A357" s="15">
        <v>6</v>
      </c>
      <c r="B357" s="78">
        <v>40043</v>
      </c>
      <c r="C357" s="15">
        <v>2009</v>
      </c>
      <c r="D357" s="11" t="s">
        <v>34</v>
      </c>
      <c r="E357" s="12">
        <v>8</v>
      </c>
      <c r="F357" s="23">
        <v>8.4060000000000006</v>
      </c>
      <c r="G357" s="25">
        <v>1.0189999999999999</v>
      </c>
    </row>
    <row r="358" spans="1:14">
      <c r="A358" s="15">
        <v>8</v>
      </c>
      <c r="B358" s="78">
        <v>40042</v>
      </c>
      <c r="C358" s="15">
        <v>2009</v>
      </c>
      <c r="D358" s="11" t="s">
        <v>34</v>
      </c>
      <c r="E358" s="12">
        <v>8</v>
      </c>
      <c r="F358" s="23">
        <v>3.9969999999999999</v>
      </c>
      <c r="G358" s="25">
        <v>1.022</v>
      </c>
    </row>
    <row r="359" spans="1:14">
      <c r="A359" s="15">
        <v>15</v>
      </c>
      <c r="B359" s="78">
        <v>40042</v>
      </c>
      <c r="C359" s="15">
        <v>2009</v>
      </c>
      <c r="D359" s="11" t="s">
        <v>34</v>
      </c>
      <c r="E359" s="12">
        <v>8</v>
      </c>
      <c r="F359" s="23">
        <v>4.3540000000000001</v>
      </c>
      <c r="G359" s="25">
        <v>0.63100000000000001</v>
      </c>
      <c r="I359" s="18">
        <f>AVERAGE(F357:F359)</f>
        <v>5.5856666666666674</v>
      </c>
      <c r="J359" s="18">
        <f>AVERAGE(G357:G359)</f>
        <v>0.89066666666666661</v>
      </c>
      <c r="L359">
        <f>+J359/I359</f>
        <v>0.15945574983588945</v>
      </c>
      <c r="M359">
        <f>+(L359-$L$927)/$L$928</f>
        <v>-1.1336760924469187</v>
      </c>
      <c r="N359">
        <f>+N356+M359</f>
        <v>0.14641384310591121</v>
      </c>
    </row>
    <row r="360" spans="1:14">
      <c r="A360" s="15">
        <v>6</v>
      </c>
      <c r="B360" s="78">
        <v>40070</v>
      </c>
      <c r="C360" s="15">
        <v>2009</v>
      </c>
      <c r="D360" s="11" t="s">
        <v>40</v>
      </c>
      <c r="E360" s="12">
        <v>9</v>
      </c>
      <c r="F360" s="23">
        <v>15.342000000000001</v>
      </c>
      <c r="G360" s="25">
        <v>3.8159999999999998</v>
      </c>
    </row>
    <row r="361" spans="1:14">
      <c r="A361" s="15">
        <v>8</v>
      </c>
      <c r="B361" s="78">
        <v>40071</v>
      </c>
      <c r="C361" s="15">
        <v>2009</v>
      </c>
      <c r="D361" s="11" t="s">
        <v>40</v>
      </c>
      <c r="E361" s="12">
        <v>9</v>
      </c>
      <c r="F361" s="23">
        <v>3.0209999999999999</v>
      </c>
      <c r="G361" s="25">
        <v>0.58399999999999996</v>
      </c>
    </row>
    <row r="362" spans="1:14">
      <c r="A362" s="15">
        <v>15</v>
      </c>
      <c r="B362" s="78">
        <v>40071</v>
      </c>
      <c r="C362" s="15">
        <v>2009</v>
      </c>
      <c r="D362" s="11" t="s">
        <v>40</v>
      </c>
      <c r="E362" s="12">
        <v>9</v>
      </c>
      <c r="F362" s="23">
        <v>5.6849999999999996</v>
      </c>
      <c r="G362" s="25">
        <v>1.2270000000000001</v>
      </c>
      <c r="I362" s="18">
        <f>AVERAGE(F360:F362)</f>
        <v>8.016</v>
      </c>
      <c r="J362" s="18">
        <f>AVERAGE(G360:G362)</f>
        <v>1.8756666666666666</v>
      </c>
      <c r="L362">
        <f>+J362/I362</f>
        <v>0.23399035262807716</v>
      </c>
      <c r="M362">
        <f>+(L362-$L$927)/$L$928</f>
        <v>-0.42668218293608584</v>
      </c>
      <c r="N362">
        <f>+N359+M362</f>
        <v>-0.28026833983017463</v>
      </c>
    </row>
    <row r="363" spans="1:14">
      <c r="A363" s="15">
        <v>6</v>
      </c>
      <c r="B363" s="78">
        <v>40099</v>
      </c>
      <c r="C363" s="15">
        <v>2009</v>
      </c>
      <c r="D363" s="11" t="s">
        <v>36</v>
      </c>
      <c r="E363" s="12">
        <v>10</v>
      </c>
      <c r="F363" s="23">
        <v>7.2110000000000003</v>
      </c>
      <c r="G363" s="25">
        <v>4.6539999999999999</v>
      </c>
    </row>
    <row r="364" spans="1:14">
      <c r="A364" s="15">
        <v>8</v>
      </c>
      <c r="B364" s="78">
        <v>40100</v>
      </c>
      <c r="C364" s="15">
        <v>2009</v>
      </c>
      <c r="D364" s="11" t="s">
        <v>36</v>
      </c>
      <c r="E364" s="12">
        <v>10</v>
      </c>
      <c r="F364" s="23">
        <v>1.18</v>
      </c>
      <c r="G364" s="25">
        <v>0.309</v>
      </c>
    </row>
    <row r="365" spans="1:14">
      <c r="A365" s="15">
        <v>15</v>
      </c>
      <c r="B365" s="78">
        <v>40100</v>
      </c>
      <c r="C365" s="15">
        <v>2009</v>
      </c>
      <c r="D365" s="11" t="s">
        <v>36</v>
      </c>
      <c r="E365" s="12">
        <v>10</v>
      </c>
      <c r="F365" s="23">
        <v>5.5419999999999998</v>
      </c>
      <c r="G365" s="25">
        <v>1.643</v>
      </c>
      <c r="I365" s="18">
        <f>AVERAGE(F363:F365)</f>
        <v>4.644333333333333</v>
      </c>
      <c r="J365" s="18">
        <f>AVERAGE(G363:G365)</f>
        <v>2.202</v>
      </c>
      <c r="L365">
        <f>+J365/I365</f>
        <v>0.4741261752673509</v>
      </c>
      <c r="M365">
        <f>+(L365-$L$927)/$L$928</f>
        <v>1.851113065194423</v>
      </c>
      <c r="N365">
        <f>+N362+M365</f>
        <v>1.5708447253642484</v>
      </c>
    </row>
    <row r="366" spans="1:14">
      <c r="A366" s="15">
        <v>6</v>
      </c>
      <c r="B366" s="78">
        <v>40133</v>
      </c>
      <c r="C366" s="15">
        <v>2009</v>
      </c>
      <c r="D366" s="11" t="s">
        <v>37</v>
      </c>
      <c r="E366" s="12">
        <v>11</v>
      </c>
      <c r="F366" s="23">
        <v>3.5150000000000001</v>
      </c>
      <c r="G366" s="25">
        <v>0.82099999999999995</v>
      </c>
    </row>
    <row r="367" spans="1:14">
      <c r="A367" s="15">
        <v>8</v>
      </c>
      <c r="B367" s="78">
        <v>40133</v>
      </c>
      <c r="C367" s="15">
        <v>2009</v>
      </c>
      <c r="D367" s="11" t="s">
        <v>37</v>
      </c>
      <c r="E367" s="12">
        <v>11</v>
      </c>
      <c r="F367" s="23">
        <v>2.919</v>
      </c>
      <c r="G367" s="25">
        <v>0.80100000000000005</v>
      </c>
    </row>
    <row r="368" spans="1:14">
      <c r="A368" s="15">
        <v>15</v>
      </c>
      <c r="B368" s="78">
        <v>40133</v>
      </c>
      <c r="C368" s="15">
        <v>2009</v>
      </c>
      <c r="D368" s="11" t="s">
        <v>37</v>
      </c>
      <c r="E368" s="12">
        <v>11</v>
      </c>
      <c r="F368" s="23">
        <v>3.758</v>
      </c>
      <c r="G368" s="25">
        <v>1.129</v>
      </c>
      <c r="I368" s="18">
        <f>AVERAGE(F366:F368)</f>
        <v>3.3973333333333335</v>
      </c>
      <c r="J368" s="18">
        <f>AVERAGE(G366:G368)</f>
        <v>0.91699999999999993</v>
      </c>
      <c r="L368">
        <f>+J368/I368</f>
        <v>0.2699175824175824</v>
      </c>
      <c r="M368">
        <f>+(L368-$L$927)/$L$928</f>
        <v>-8.5896404314633426E-2</v>
      </c>
      <c r="N368">
        <f>+N365+M368</f>
        <v>1.4849483210496148</v>
      </c>
    </row>
    <row r="369" spans="1:14">
      <c r="A369" s="15">
        <v>6</v>
      </c>
      <c r="B369" s="78">
        <v>40161</v>
      </c>
      <c r="C369" s="15">
        <v>2009</v>
      </c>
      <c r="D369" s="11" t="s">
        <v>38</v>
      </c>
      <c r="E369" s="12">
        <v>12</v>
      </c>
      <c r="F369" s="23">
        <v>2.84</v>
      </c>
      <c r="G369" s="25">
        <v>0.45800000000000002</v>
      </c>
    </row>
    <row r="370" spans="1:14">
      <c r="A370" s="15">
        <v>8</v>
      </c>
      <c r="B370" s="78">
        <v>40161</v>
      </c>
      <c r="C370" s="15">
        <v>2009</v>
      </c>
      <c r="D370" s="11" t="s">
        <v>38</v>
      </c>
      <c r="E370" s="12">
        <v>12</v>
      </c>
      <c r="F370" s="23">
        <v>2.5099999999999998</v>
      </c>
      <c r="G370" s="25">
        <v>0.63800000000000001</v>
      </c>
    </row>
    <row r="371" spans="1:14">
      <c r="A371" s="15">
        <v>15</v>
      </c>
      <c r="B371" s="78">
        <v>40161</v>
      </c>
      <c r="C371" s="15">
        <v>2009</v>
      </c>
      <c r="D371" s="11" t="s">
        <v>38</v>
      </c>
      <c r="E371" s="12">
        <v>12</v>
      </c>
      <c r="F371" s="23">
        <v>1.82</v>
      </c>
      <c r="G371" s="25">
        <v>0.31900000000000001</v>
      </c>
      <c r="I371" s="18">
        <f>AVERAGE(F369:F371)</f>
        <v>2.39</v>
      </c>
      <c r="J371" s="18">
        <f>AVERAGE(G369:G371)</f>
        <v>0.47166666666666668</v>
      </c>
      <c r="L371">
        <f>+J371/I371</f>
        <v>0.19735006973500696</v>
      </c>
      <c r="M371">
        <f>+(L371-$L$927)/$L$928</f>
        <v>-0.77423158787998314</v>
      </c>
      <c r="N371">
        <f>+N368+M371</f>
        <v>0.71071673316963169</v>
      </c>
    </row>
    <row r="372" spans="1:14">
      <c r="A372" s="15">
        <v>6</v>
      </c>
      <c r="B372" s="73">
        <v>40197</v>
      </c>
      <c r="C372" s="15">
        <v>2010</v>
      </c>
      <c r="D372" s="11" t="s">
        <v>39</v>
      </c>
      <c r="E372" s="15">
        <v>1</v>
      </c>
      <c r="F372" s="26">
        <v>4.9989999999999997</v>
      </c>
      <c r="G372" s="18">
        <v>1.9752213749999998</v>
      </c>
    </row>
    <row r="373" spans="1:14">
      <c r="A373" s="15">
        <v>8</v>
      </c>
      <c r="B373" s="73">
        <v>40197</v>
      </c>
      <c r="C373" s="15">
        <v>2010</v>
      </c>
      <c r="D373" s="11" t="s">
        <v>39</v>
      </c>
      <c r="E373" s="15">
        <v>1</v>
      </c>
      <c r="F373" s="26">
        <v>5.9050000000000002</v>
      </c>
      <c r="G373" s="18">
        <v>2.4125623749999998</v>
      </c>
    </row>
    <row r="374" spans="1:14">
      <c r="A374" s="15">
        <v>15</v>
      </c>
      <c r="B374" s="73">
        <v>40197</v>
      </c>
      <c r="C374" s="15">
        <v>2010</v>
      </c>
      <c r="D374" s="11" t="s">
        <v>39</v>
      </c>
      <c r="E374" s="15">
        <v>1</v>
      </c>
      <c r="F374" s="26">
        <v>4.7960000000000003</v>
      </c>
      <c r="G374" s="18">
        <v>1.8365761249999999</v>
      </c>
      <c r="I374" s="18">
        <f>AVERAGE(F372:F374)</f>
        <v>5.2333333333333334</v>
      </c>
      <c r="J374" s="18">
        <f>AVERAGE(G372:G374)</f>
        <v>2.0747866249999998</v>
      </c>
      <c r="L374">
        <f>+J374/I374</f>
        <v>0.39645604299363052</v>
      </c>
      <c r="M374">
        <f>+(L374-$L$927)/$L$928</f>
        <v>1.1143772618049039</v>
      </c>
      <c r="N374">
        <f>+N371+M374</f>
        <v>1.8250939949745355</v>
      </c>
    </row>
    <row r="375" spans="1:14">
      <c r="A375" s="15">
        <v>6</v>
      </c>
      <c r="B375" s="73">
        <v>40225</v>
      </c>
      <c r="C375" s="15">
        <v>2010</v>
      </c>
      <c r="D375" s="11" t="s">
        <v>28</v>
      </c>
      <c r="E375" s="15">
        <v>2</v>
      </c>
      <c r="F375" s="26">
        <v>12.962999999999999</v>
      </c>
      <c r="G375" s="18">
        <v>5.6583409999999992</v>
      </c>
    </row>
    <row r="376" spans="1:14">
      <c r="A376" s="15">
        <v>8</v>
      </c>
      <c r="B376" s="73">
        <v>40225</v>
      </c>
      <c r="C376" s="15">
        <v>2010</v>
      </c>
      <c r="D376" s="11" t="s">
        <v>28</v>
      </c>
      <c r="E376" s="15">
        <v>2</v>
      </c>
      <c r="F376" s="26">
        <v>6.0780000000000003</v>
      </c>
      <c r="G376" s="18">
        <v>1.420873625</v>
      </c>
    </row>
    <row r="377" spans="1:14">
      <c r="A377" s="15">
        <v>15</v>
      </c>
      <c r="B377" s="73">
        <v>40225</v>
      </c>
      <c r="C377" s="15">
        <v>2010</v>
      </c>
      <c r="D377" s="11" t="s">
        <v>28</v>
      </c>
      <c r="E377" s="15">
        <v>2</v>
      </c>
      <c r="F377" s="26">
        <v>6.5510000000000002</v>
      </c>
      <c r="G377" s="18">
        <v>1.2893794999999997</v>
      </c>
      <c r="I377" s="18">
        <f>AVERAGE(F375:F377)</f>
        <v>8.5306666666666668</v>
      </c>
      <c r="J377" s="18">
        <f>AVERAGE(G375:G377)</f>
        <v>2.7895313749999993</v>
      </c>
      <c r="L377">
        <f>+J377/I377</f>
        <v>0.32700039563144723</v>
      </c>
      <c r="M377">
        <f>+(L377-$L$927)/$L$928</f>
        <v>0.45555950700843506</v>
      </c>
      <c r="N377">
        <f>+N374+M377</f>
        <v>2.2806535019829708</v>
      </c>
    </row>
    <row r="378" spans="1:14">
      <c r="A378" s="15">
        <v>6</v>
      </c>
      <c r="B378" s="73">
        <v>40254</v>
      </c>
      <c r="C378" s="15">
        <v>2010</v>
      </c>
      <c r="D378" s="11" t="s">
        <v>29</v>
      </c>
      <c r="E378" s="15">
        <v>3</v>
      </c>
      <c r="F378" s="26">
        <v>6.1379999999999999</v>
      </c>
      <c r="G378" s="18">
        <v>2.5625428749999997</v>
      </c>
    </row>
    <row r="379" spans="1:14">
      <c r="A379" s="15">
        <v>8</v>
      </c>
      <c r="B379" s="73">
        <v>40255</v>
      </c>
      <c r="C379" s="15">
        <v>2010</v>
      </c>
      <c r="D379" s="11" t="s">
        <v>29</v>
      </c>
      <c r="E379" s="15">
        <v>3</v>
      </c>
      <c r="F379" s="26">
        <v>6.1959999999999997</v>
      </c>
      <c r="G379" s="18">
        <v>2.6467047499999996</v>
      </c>
    </row>
    <row r="380" spans="1:14">
      <c r="A380" s="15">
        <v>15</v>
      </c>
      <c r="B380" s="73">
        <v>40255</v>
      </c>
      <c r="C380" s="15">
        <v>2010</v>
      </c>
      <c r="D380" s="11" t="s">
        <v>29</v>
      </c>
      <c r="E380" s="15">
        <v>3</v>
      </c>
      <c r="F380" s="26">
        <v>6.1070000000000002</v>
      </c>
      <c r="G380" s="18">
        <v>2.5867329999999997</v>
      </c>
      <c r="I380" s="18">
        <f>AVERAGE(F378:F380)</f>
        <v>6.1469999999999994</v>
      </c>
      <c r="J380" s="18">
        <f>AVERAGE(G378:G380)</f>
        <v>2.598660208333333</v>
      </c>
      <c r="L380">
        <f>+J380/I380</f>
        <v>0.42275259611734722</v>
      </c>
      <c r="M380">
        <f>+(L380-$L$927)/$L$928</f>
        <v>1.3638117821904401</v>
      </c>
      <c r="N380">
        <f>+N377+M380</f>
        <v>3.6444652841734109</v>
      </c>
    </row>
    <row r="381" spans="1:14">
      <c r="A381" s="15">
        <v>6</v>
      </c>
      <c r="B381" s="73">
        <v>40280</v>
      </c>
      <c r="C381" s="15">
        <v>2010</v>
      </c>
      <c r="D381" s="11" t="s">
        <v>30</v>
      </c>
      <c r="E381" s="15">
        <v>4</v>
      </c>
      <c r="F381" s="26">
        <v>2.9020000000000001</v>
      </c>
      <c r="G381" s="18">
        <v>1.0030531250000001</v>
      </c>
    </row>
    <row r="382" spans="1:14">
      <c r="A382" s="15">
        <v>8</v>
      </c>
      <c r="B382" s="73">
        <v>40281</v>
      </c>
      <c r="C382" s="15">
        <v>2010</v>
      </c>
      <c r="D382" s="11" t="s">
        <v>30</v>
      </c>
      <c r="E382" s="15">
        <v>4</v>
      </c>
      <c r="F382" s="26">
        <v>0.80500000000000005</v>
      </c>
      <c r="G382" s="18">
        <v>0.15340712499999998</v>
      </c>
    </row>
    <row r="383" spans="1:14">
      <c r="A383" s="15">
        <v>15</v>
      </c>
      <c r="B383" s="73">
        <v>40281</v>
      </c>
      <c r="C383" s="15">
        <v>2010</v>
      </c>
      <c r="D383" s="11" t="s">
        <v>30</v>
      </c>
      <c r="E383" s="15">
        <v>4</v>
      </c>
      <c r="F383" s="26">
        <v>1.873</v>
      </c>
      <c r="G383" s="18">
        <v>0.43758524999999993</v>
      </c>
      <c r="I383" s="18">
        <f>AVERAGE(F381:F383)</f>
        <v>1.86</v>
      </c>
      <c r="J383" s="18">
        <f>AVERAGE(G381:G383)</f>
        <v>0.5313485</v>
      </c>
      <c r="L383">
        <f>+J383/I383</f>
        <v>0.28567123655913979</v>
      </c>
      <c r="M383">
        <f>+(L383-$L$927)/$L$928</f>
        <v>6.3534022807580623E-2</v>
      </c>
      <c r="N383">
        <f>+N380+M383</f>
        <v>3.7079993069809913</v>
      </c>
    </row>
    <row r="384" spans="1:14">
      <c r="A384" s="15">
        <v>6</v>
      </c>
      <c r="B384" s="78">
        <v>40315</v>
      </c>
      <c r="C384" s="15">
        <v>2010</v>
      </c>
      <c r="D384" s="11" t="s">
        <v>31</v>
      </c>
      <c r="E384" s="15">
        <v>5</v>
      </c>
      <c r="F384" s="27">
        <v>6.8540000000000001</v>
      </c>
      <c r="G384" s="18">
        <v>3.84321175</v>
      </c>
    </row>
    <row r="385" spans="1:14">
      <c r="A385" s="15">
        <v>8</v>
      </c>
      <c r="B385" s="78">
        <v>40317</v>
      </c>
      <c r="C385" s="15">
        <v>2010</v>
      </c>
      <c r="D385" s="11" t="s">
        <v>31</v>
      </c>
      <c r="E385" s="15">
        <v>5</v>
      </c>
      <c r="F385" s="27">
        <v>1.6919999999999999</v>
      </c>
      <c r="G385" s="18">
        <v>0.55132612499999989</v>
      </c>
    </row>
    <row r="386" spans="1:14">
      <c r="A386" s="15">
        <v>15</v>
      </c>
      <c r="B386" s="78">
        <v>40317</v>
      </c>
      <c r="C386" s="15">
        <v>2010</v>
      </c>
      <c r="D386" s="11" t="s">
        <v>31</v>
      </c>
      <c r="E386" s="15">
        <v>5</v>
      </c>
      <c r="F386" s="27">
        <v>4.1239999999999997</v>
      </c>
      <c r="G386" s="18">
        <v>2.1057296249999999</v>
      </c>
      <c r="I386" s="18">
        <f>AVERAGE(F384:F386)</f>
        <v>4.2233333333333327</v>
      </c>
      <c r="J386" s="18">
        <f>AVERAGE(G384:G386)</f>
        <v>2.1667558333333332</v>
      </c>
      <c r="L386">
        <f>+J386/I386</f>
        <v>0.51304400157853203</v>
      </c>
      <c r="M386">
        <f>+(L386-$L$927)/$L$928</f>
        <v>2.2202659840087891</v>
      </c>
      <c r="N386">
        <f>+N383+M386</f>
        <v>5.9282652909897804</v>
      </c>
    </row>
    <row r="387" spans="1:14">
      <c r="A387" s="15">
        <v>6</v>
      </c>
      <c r="B387" s="78">
        <v>40344</v>
      </c>
      <c r="C387" s="15">
        <v>2010</v>
      </c>
      <c r="D387" s="11" t="s">
        <v>32</v>
      </c>
      <c r="E387" s="15">
        <v>6</v>
      </c>
      <c r="F387" s="27">
        <v>9.5589999999999993</v>
      </c>
      <c r="G387" s="18">
        <v>2.0582235</v>
      </c>
    </row>
    <row r="388" spans="1:14">
      <c r="A388" s="15">
        <v>8</v>
      </c>
      <c r="B388" s="78">
        <v>40345</v>
      </c>
      <c r="C388" s="15">
        <v>2010</v>
      </c>
      <c r="D388" s="11" t="s">
        <v>32</v>
      </c>
      <c r="E388" s="15">
        <v>6</v>
      </c>
      <c r="F388" s="27">
        <v>4.774</v>
      </c>
      <c r="G388" s="18">
        <v>1.3392356249999999</v>
      </c>
    </row>
    <row r="389" spans="1:14">
      <c r="A389" s="15">
        <v>15</v>
      </c>
      <c r="B389" s="78">
        <v>40345</v>
      </c>
      <c r="C389" s="15">
        <v>2010</v>
      </c>
      <c r="D389" s="11" t="s">
        <v>32</v>
      </c>
      <c r="E389" s="15">
        <v>6</v>
      </c>
      <c r="F389" s="27">
        <v>3.863</v>
      </c>
      <c r="G389" s="18">
        <v>0.90657987500000015</v>
      </c>
      <c r="I389" s="18">
        <f>AVERAGE(F387:F389)</f>
        <v>6.0653333333333324</v>
      </c>
      <c r="J389" s="18">
        <f>AVERAGE(G387:G389)</f>
        <v>1.4346796666666668</v>
      </c>
      <c r="L389">
        <f>+J389/I389</f>
        <v>0.23653764563640367</v>
      </c>
      <c r="M389">
        <f>+(L389-$L$927)/$L$928</f>
        <v>-0.40251997404033879</v>
      </c>
      <c r="N389">
        <f>+N386+M389</f>
        <v>5.5257453169494415</v>
      </c>
    </row>
    <row r="390" spans="1:14">
      <c r="A390" s="15">
        <v>6</v>
      </c>
      <c r="B390" s="78">
        <v>40374</v>
      </c>
      <c r="C390" s="15">
        <v>2010</v>
      </c>
      <c r="D390" s="11" t="s">
        <v>33</v>
      </c>
      <c r="E390" s="15">
        <v>7</v>
      </c>
      <c r="F390" s="27">
        <v>7.5309999999999997</v>
      </c>
      <c r="G390" s="18">
        <v>0.98062062499999991</v>
      </c>
    </row>
    <row r="391" spans="1:14">
      <c r="A391" s="15">
        <v>8</v>
      </c>
      <c r="B391" s="78">
        <v>40374</v>
      </c>
      <c r="C391" s="15">
        <v>2010</v>
      </c>
      <c r="D391" s="11" t="s">
        <v>33</v>
      </c>
      <c r="E391" s="15">
        <v>7</v>
      </c>
      <c r="F391" s="27">
        <v>5.3780000000000001</v>
      </c>
      <c r="G391" s="18">
        <v>1.9705622499999997</v>
      </c>
    </row>
    <row r="392" spans="1:14">
      <c r="A392" s="15">
        <v>15</v>
      </c>
      <c r="B392" s="78">
        <v>40374</v>
      </c>
      <c r="C392" s="15">
        <v>2010</v>
      </c>
      <c r="D392" s="11" t="s">
        <v>33</v>
      </c>
      <c r="E392" s="15">
        <v>7</v>
      </c>
      <c r="F392" s="27">
        <v>5.258</v>
      </c>
      <c r="G392" s="18">
        <v>1.6579238750000003</v>
      </c>
      <c r="I392" s="18">
        <f>AVERAGE(F390:F392)</f>
        <v>6.0556666666666663</v>
      </c>
      <c r="J392" s="18">
        <f>AVERAGE(G390:G392)</f>
        <v>1.5363689166666668</v>
      </c>
      <c r="L392">
        <f>+J392/I392</f>
        <v>0.25370764297902793</v>
      </c>
      <c r="M392">
        <f>+(L392-$L$927)/$L$928</f>
        <v>-0.23965490073475082</v>
      </c>
      <c r="N392">
        <f>+N389+M392</f>
        <v>5.2860904162146909</v>
      </c>
    </row>
    <row r="393" spans="1:14">
      <c r="A393" s="15">
        <v>6</v>
      </c>
      <c r="B393" s="78">
        <v>40407</v>
      </c>
      <c r="C393" s="15">
        <v>2010</v>
      </c>
      <c r="D393" s="11" t="s">
        <v>34</v>
      </c>
      <c r="E393" s="15">
        <v>8</v>
      </c>
      <c r="F393" s="27">
        <v>6.5019999999999998</v>
      </c>
      <c r="G393" s="18">
        <v>1.7452052499999997</v>
      </c>
    </row>
    <row r="394" spans="1:14">
      <c r="A394" s="15">
        <v>8</v>
      </c>
      <c r="B394" s="78">
        <v>40409</v>
      </c>
      <c r="C394" s="15">
        <v>2010</v>
      </c>
      <c r="D394" s="11" t="s">
        <v>34</v>
      </c>
      <c r="E394" s="15">
        <v>8</v>
      </c>
      <c r="F394" s="27">
        <v>6.0250000000000004</v>
      </c>
      <c r="G394" s="18">
        <v>2.0735653749999998</v>
      </c>
    </row>
    <row r="395" spans="1:14">
      <c r="A395" s="15">
        <v>8</v>
      </c>
      <c r="B395" s="78">
        <v>40409</v>
      </c>
      <c r="C395" s="15">
        <v>2010</v>
      </c>
      <c r="D395" s="11" t="s">
        <v>34</v>
      </c>
      <c r="E395" s="15">
        <v>8</v>
      </c>
      <c r="F395" s="27">
        <v>6.0250000000000004</v>
      </c>
      <c r="G395" s="18">
        <v>2.2019431250000001</v>
      </c>
      <c r="H395" t="s">
        <v>13</v>
      </c>
    </row>
    <row r="396" spans="1:14">
      <c r="A396" s="15">
        <v>15</v>
      </c>
      <c r="B396" s="78">
        <v>40409</v>
      </c>
      <c r="C396" s="15">
        <v>2010</v>
      </c>
      <c r="D396" s="11" t="s">
        <v>34</v>
      </c>
      <c r="E396" s="15">
        <v>8</v>
      </c>
      <c r="F396" s="27">
        <v>7.1319999999999997</v>
      </c>
      <c r="G396" s="18">
        <v>3.0616693750000001</v>
      </c>
      <c r="I396" s="18">
        <f>AVERAGE(F393:F396)</f>
        <v>6.4209999999999994</v>
      </c>
      <c r="J396" s="18">
        <f>AVERAGE(G393:G396)</f>
        <v>2.2705957812499999</v>
      </c>
      <c r="L396">
        <f>+J396/I396</f>
        <v>0.35362027429528115</v>
      </c>
      <c r="M396">
        <f>+(L396-$L$927)/$L$928</f>
        <v>0.70806091416989592</v>
      </c>
      <c r="N396">
        <f>+N392+M396</f>
        <v>5.9941513303845868</v>
      </c>
    </row>
    <row r="397" spans="1:14">
      <c r="A397" s="15">
        <v>6</v>
      </c>
      <c r="B397" s="78">
        <v>40436</v>
      </c>
      <c r="C397" s="15">
        <v>2010</v>
      </c>
      <c r="D397" s="11" t="s">
        <v>40</v>
      </c>
      <c r="E397" s="15">
        <v>9</v>
      </c>
      <c r="F397" s="27">
        <v>8.3450000000000006</v>
      </c>
      <c r="G397" s="18">
        <v>3.6247561249999998</v>
      </c>
    </row>
    <row r="398" spans="1:14">
      <c r="A398" s="15">
        <v>8</v>
      </c>
      <c r="B398" s="78">
        <v>40434</v>
      </c>
      <c r="C398" s="15">
        <v>2010</v>
      </c>
      <c r="D398" s="11" t="s">
        <v>40</v>
      </c>
      <c r="E398" s="15">
        <v>9</v>
      </c>
      <c r="F398" s="27">
        <v>6.6950000000000003</v>
      </c>
      <c r="G398" s="18">
        <v>2.5509623750000006</v>
      </c>
    </row>
    <row r="399" spans="1:14">
      <c r="A399" s="15">
        <v>15</v>
      </c>
      <c r="B399" s="78">
        <v>40434</v>
      </c>
      <c r="C399" s="15">
        <v>2010</v>
      </c>
      <c r="D399" s="11" t="s">
        <v>40</v>
      </c>
      <c r="E399" s="15">
        <v>9</v>
      </c>
      <c r="F399" s="27">
        <v>5.4589999999999996</v>
      </c>
      <c r="G399" s="18">
        <v>1.8076376249999999</v>
      </c>
      <c r="I399" s="18">
        <f>AVERAGE(F397:F399)</f>
        <v>6.8330000000000011</v>
      </c>
      <c r="J399" s="18">
        <f>AVERAGE(G397:G399)</f>
        <v>2.6611187083333334</v>
      </c>
      <c r="L399">
        <f>+J399/I399</f>
        <v>0.38945100370749786</v>
      </c>
      <c r="M399">
        <f>+(L399-$L$927)/$L$928</f>
        <v>1.0479313437259121</v>
      </c>
      <c r="N399">
        <f>+N396+M399</f>
        <v>7.0420826741104987</v>
      </c>
    </row>
    <row r="400" spans="1:14">
      <c r="A400" s="15">
        <v>6</v>
      </c>
      <c r="B400" s="78">
        <v>40464</v>
      </c>
      <c r="C400" s="15">
        <v>2010</v>
      </c>
      <c r="D400" s="11" t="s">
        <v>36</v>
      </c>
      <c r="E400" s="15">
        <v>10</v>
      </c>
      <c r="F400" s="26">
        <v>6.468</v>
      </c>
      <c r="G400" s="18">
        <v>2.4023811249999998</v>
      </c>
    </row>
    <row r="401" spans="1:14">
      <c r="A401" s="15">
        <v>8</v>
      </c>
      <c r="B401" s="78">
        <v>40463</v>
      </c>
      <c r="C401" s="15">
        <v>2010</v>
      </c>
      <c r="D401" s="11" t="s">
        <v>36</v>
      </c>
      <c r="E401" s="15">
        <v>10</v>
      </c>
      <c r="F401" s="26">
        <v>3.1059999999999999</v>
      </c>
      <c r="G401" s="18">
        <v>0.60815112500000001</v>
      </c>
    </row>
    <row r="402" spans="1:14">
      <c r="A402" s="15">
        <v>15</v>
      </c>
      <c r="B402" s="78">
        <v>40463</v>
      </c>
      <c r="C402" s="15">
        <v>2010</v>
      </c>
      <c r="D402" s="11" t="s">
        <v>36</v>
      </c>
      <c r="E402" s="15">
        <v>10</v>
      </c>
      <c r="F402" s="26">
        <v>3.3380000000000001</v>
      </c>
      <c r="G402" s="18">
        <v>0.50218775000000004</v>
      </c>
      <c r="I402" s="18">
        <f>AVERAGE(F400:F402)</f>
        <v>4.3039999999999994</v>
      </c>
      <c r="J402" s="18">
        <f>AVERAGE(G400:G402)</f>
        <v>1.1709066666666665</v>
      </c>
      <c r="L402">
        <f>+J402/I402</f>
        <v>0.27205080545229243</v>
      </c>
      <c r="M402">
        <f>+(L402-$L$927)/$L$928</f>
        <v>-6.5661833569375688E-2</v>
      </c>
      <c r="N402">
        <f>+N399+M402</f>
        <v>6.976420840541123</v>
      </c>
    </row>
    <row r="403" spans="1:14">
      <c r="A403" s="15">
        <v>6</v>
      </c>
      <c r="B403" s="78">
        <v>40498</v>
      </c>
      <c r="C403" s="15">
        <v>2010</v>
      </c>
      <c r="D403" s="11" t="s">
        <v>37</v>
      </c>
      <c r="E403" s="15">
        <v>11</v>
      </c>
      <c r="F403" s="26">
        <v>1.373</v>
      </c>
      <c r="G403" s="18">
        <v>0.24493424999999996</v>
      </c>
    </row>
    <row r="404" spans="1:14">
      <c r="A404" s="15">
        <v>8</v>
      </c>
      <c r="B404" s="78">
        <v>40500</v>
      </c>
      <c r="C404" s="15">
        <v>2010</v>
      </c>
      <c r="D404" s="11" t="s">
        <v>37</v>
      </c>
      <c r="E404" s="15">
        <v>11</v>
      </c>
      <c r="F404" s="26">
        <v>2.5230000000000001</v>
      </c>
      <c r="G404" s="18">
        <v>0.54801999999999995</v>
      </c>
    </row>
    <row r="405" spans="1:14">
      <c r="A405" s="15">
        <v>15</v>
      </c>
      <c r="B405" s="78">
        <v>40500</v>
      </c>
      <c r="C405" s="15">
        <v>2010</v>
      </c>
      <c r="D405" s="11" t="s">
        <v>37</v>
      </c>
      <c r="E405" s="15">
        <v>11</v>
      </c>
      <c r="F405" s="26">
        <v>3.8769999999999998</v>
      </c>
      <c r="G405" s="18">
        <v>0.92351037500000011</v>
      </c>
      <c r="I405" s="18">
        <f>AVERAGE(F403:F405)</f>
        <v>2.5909999999999997</v>
      </c>
      <c r="J405" s="18">
        <f>AVERAGE(G403:G405)</f>
        <v>0.57215487499999995</v>
      </c>
      <c r="L405">
        <f>+J405/I405</f>
        <v>0.22082395793130066</v>
      </c>
      <c r="M405">
        <f>+(L405-$L$927)/$L$928</f>
        <v>-0.55157130170941859</v>
      </c>
      <c r="N405">
        <f>+N402+M405</f>
        <v>6.4248495388317046</v>
      </c>
    </row>
    <row r="406" spans="1:14">
      <c r="A406" s="15">
        <v>6</v>
      </c>
      <c r="B406" s="78">
        <v>40520</v>
      </c>
      <c r="C406" s="15">
        <v>2010</v>
      </c>
      <c r="D406" s="11" t="s">
        <v>38</v>
      </c>
      <c r="E406" s="15">
        <v>12</v>
      </c>
      <c r="F406" s="26">
        <v>3.7120000000000002</v>
      </c>
      <c r="G406" s="18">
        <v>1.552262</v>
      </c>
    </row>
    <row r="407" spans="1:14">
      <c r="A407" s="15">
        <v>8</v>
      </c>
      <c r="B407" s="78">
        <v>40521</v>
      </c>
      <c r="C407" s="15">
        <v>2010</v>
      </c>
      <c r="D407" s="11" t="s">
        <v>38</v>
      </c>
      <c r="E407" s="15">
        <v>12</v>
      </c>
      <c r="F407" s="26">
        <v>1.1579999999999999</v>
      </c>
      <c r="G407" s="18">
        <v>0.29790074999999999</v>
      </c>
    </row>
    <row r="408" spans="1:14">
      <c r="A408" s="15">
        <v>15</v>
      </c>
      <c r="B408" s="78">
        <v>40521</v>
      </c>
      <c r="C408" s="15">
        <v>2010</v>
      </c>
      <c r="D408" s="11" t="s">
        <v>38</v>
      </c>
      <c r="E408" s="15">
        <v>12</v>
      </c>
      <c r="F408" s="26">
        <v>3.177</v>
      </c>
      <c r="G408" s="18">
        <v>1.1805088749999999</v>
      </c>
      <c r="I408" s="18">
        <f>AVERAGE(F406:F408)</f>
        <v>2.6823333333333337</v>
      </c>
      <c r="J408" s="18">
        <f>AVERAGE(G406:G408)</f>
        <v>1.0102238750000001</v>
      </c>
      <c r="L408">
        <f>+J408/I408</f>
        <v>0.37662130297005092</v>
      </c>
      <c r="M408">
        <f>+(L408-$L$927)/$L$928</f>
        <v>0.92623591713980113</v>
      </c>
      <c r="N408">
        <f>+N405+M408</f>
        <v>7.3510854559715053</v>
      </c>
    </row>
    <row r="409" spans="1:14">
      <c r="A409" s="15">
        <v>6</v>
      </c>
      <c r="B409" s="78">
        <v>40562</v>
      </c>
      <c r="C409" s="15">
        <v>2011</v>
      </c>
      <c r="D409" s="11" t="s">
        <v>39</v>
      </c>
      <c r="E409" s="15">
        <v>1</v>
      </c>
      <c r="F409" s="26">
        <v>2.3679999999999999</v>
      </c>
      <c r="G409" s="18">
        <v>0.6569546249999999</v>
      </c>
    </row>
    <row r="410" spans="1:14">
      <c r="A410" s="15">
        <v>8</v>
      </c>
      <c r="B410" s="78">
        <v>40563</v>
      </c>
      <c r="C410" s="15">
        <v>2011</v>
      </c>
      <c r="D410" s="11" t="s">
        <v>39</v>
      </c>
      <c r="E410" s="15">
        <v>1</v>
      </c>
      <c r="F410" s="26">
        <v>2.976</v>
      </c>
      <c r="G410" s="18">
        <v>1.1207971249999999</v>
      </c>
    </row>
    <row r="411" spans="1:14">
      <c r="A411" s="15">
        <v>15</v>
      </c>
      <c r="B411" s="78">
        <v>40563</v>
      </c>
      <c r="C411" s="15">
        <v>2011</v>
      </c>
      <c r="D411" s="11" t="s">
        <v>39</v>
      </c>
      <c r="E411" s="15">
        <v>1</v>
      </c>
      <c r="F411" s="26">
        <v>3.0059999999999998</v>
      </c>
      <c r="G411" s="18">
        <v>0.97548137499999998</v>
      </c>
      <c r="I411" s="18">
        <f>AVERAGE(F409:F411)</f>
        <v>2.7833333333333332</v>
      </c>
      <c r="J411" s="18">
        <f>AVERAGE(G409:G411)</f>
        <v>0.91774437499999983</v>
      </c>
      <c r="L411">
        <f>+J411/I411</f>
        <v>0.32972851796407182</v>
      </c>
      <c r="M411">
        <f>+(L411-$L$927)/$L$928</f>
        <v>0.48143696259699881</v>
      </c>
      <c r="N411">
        <f>+N408+M411</f>
        <v>7.8325224185685043</v>
      </c>
    </row>
    <row r="412" spans="1:14">
      <c r="A412" s="15">
        <v>6</v>
      </c>
      <c r="B412" s="78">
        <v>40591</v>
      </c>
      <c r="C412" s="15">
        <v>2011</v>
      </c>
      <c r="D412" s="11" t="s">
        <v>28</v>
      </c>
      <c r="E412" s="15">
        <v>2</v>
      </c>
      <c r="F412" s="26">
        <v>1.8620000000000001</v>
      </c>
      <c r="G412" s="18">
        <v>0.6824572499999999</v>
      </c>
    </row>
    <row r="413" spans="1:14">
      <c r="A413" s="15">
        <v>8</v>
      </c>
      <c r="B413" s="78">
        <v>40598</v>
      </c>
      <c r="C413" s="15">
        <v>2011</v>
      </c>
      <c r="D413" s="11" t="s">
        <v>28</v>
      </c>
      <c r="E413" s="15">
        <v>2</v>
      </c>
      <c r="F413" s="26">
        <v>4.9710000000000001</v>
      </c>
      <c r="G413" s="18">
        <v>2.0230118749999999</v>
      </c>
    </row>
    <row r="414" spans="1:14">
      <c r="A414" s="15">
        <v>15</v>
      </c>
      <c r="B414" s="78">
        <v>40598</v>
      </c>
      <c r="C414" s="15">
        <v>2011</v>
      </c>
      <c r="D414" s="11" t="s">
        <v>28</v>
      </c>
      <c r="E414" s="15">
        <v>2</v>
      </c>
      <c r="F414" s="26">
        <v>2.8839999999999999</v>
      </c>
      <c r="G414" s="18">
        <v>1.0552923750000001</v>
      </c>
      <c r="I414" s="18">
        <f>AVERAGE(F412:F414)</f>
        <v>3.2390000000000003</v>
      </c>
      <c r="J414" s="18">
        <f>AVERAGE(G412:G414)</f>
        <v>1.2535871666666665</v>
      </c>
      <c r="L414">
        <f>+J414/I414</f>
        <v>0.38702907275908194</v>
      </c>
      <c r="M414">
        <f>+(L414-$L$927)/$L$928</f>
        <v>1.0249582498119358</v>
      </c>
      <c r="N414">
        <f>+N411+M414</f>
        <v>8.8574806683804397</v>
      </c>
    </row>
    <row r="415" spans="1:14">
      <c r="A415" s="15">
        <v>6</v>
      </c>
      <c r="B415" s="78">
        <v>40619</v>
      </c>
      <c r="C415" s="15">
        <v>2011</v>
      </c>
      <c r="D415" s="11" t="s">
        <v>29</v>
      </c>
      <c r="E415" s="15">
        <v>3</v>
      </c>
      <c r="F415" s="26">
        <v>1.2869999999999999</v>
      </c>
      <c r="G415" s="18">
        <v>0.46725375000000008</v>
      </c>
    </row>
    <row r="416" spans="1:14">
      <c r="A416" s="15">
        <v>8</v>
      </c>
      <c r="B416" s="78">
        <v>40617</v>
      </c>
      <c r="C416" s="15">
        <v>2011</v>
      </c>
      <c r="D416" s="11" t="s">
        <v>29</v>
      </c>
      <c r="E416" s="15">
        <v>3</v>
      </c>
      <c r="F416" s="26">
        <v>2.1829999999999998</v>
      </c>
      <c r="G416" s="18">
        <v>0.8618627499999999</v>
      </c>
    </row>
    <row r="417" spans="1:14">
      <c r="A417" s="15">
        <v>8</v>
      </c>
      <c r="B417" s="78">
        <v>40617</v>
      </c>
      <c r="C417" s="15">
        <v>2011</v>
      </c>
      <c r="D417" s="11" t="s">
        <v>29</v>
      </c>
      <c r="E417" s="15">
        <v>3</v>
      </c>
      <c r="F417" s="26">
        <v>2.1829999999999998</v>
      </c>
      <c r="G417" s="18">
        <v>0.80688887499999984</v>
      </c>
      <c r="H417" t="s">
        <v>13</v>
      </c>
      <c r="I417" s="18"/>
      <c r="J417" s="18"/>
    </row>
    <row r="418" spans="1:14">
      <c r="A418" s="15">
        <v>15</v>
      </c>
      <c r="B418" s="78">
        <v>40617</v>
      </c>
      <c r="C418" s="15">
        <v>2011</v>
      </c>
      <c r="D418" s="11" t="s">
        <v>29</v>
      </c>
      <c r="E418" s="15">
        <v>3</v>
      </c>
      <c r="F418" s="26">
        <v>2.274</v>
      </c>
      <c r="G418" s="18">
        <v>1.0012592499999999</v>
      </c>
      <c r="I418" s="18">
        <f>AVERAGE(F415:F418)</f>
        <v>1.9817499999999999</v>
      </c>
      <c r="J418" s="18">
        <f>AVERAGE(G415:G418)</f>
        <v>0.78431615624999995</v>
      </c>
      <c r="L418">
        <f>+J418/I418</f>
        <v>0.39576947458054751</v>
      </c>
      <c r="M418">
        <f>+(L418-$L$927)/$L$928</f>
        <v>1.1078648545694947</v>
      </c>
      <c r="N418">
        <f>+N414+M418</f>
        <v>9.965345522949935</v>
      </c>
    </row>
    <row r="419" spans="1:14">
      <c r="A419" s="15">
        <v>6</v>
      </c>
      <c r="B419" s="78">
        <v>40646</v>
      </c>
      <c r="C419" s="15">
        <v>2011</v>
      </c>
      <c r="D419" s="11" t="s">
        <v>30</v>
      </c>
      <c r="E419" s="15">
        <v>4</v>
      </c>
      <c r="F419" s="26">
        <v>1.804</v>
      </c>
      <c r="G419" s="18">
        <v>0.15437962499999999</v>
      </c>
    </row>
    <row r="420" spans="1:14">
      <c r="A420" s="15">
        <v>8</v>
      </c>
      <c r="B420" s="78">
        <v>40647</v>
      </c>
      <c r="C420" s="15">
        <v>2011</v>
      </c>
      <c r="D420" s="11" t="s">
        <v>30</v>
      </c>
      <c r="E420" s="15">
        <v>4</v>
      </c>
      <c r="F420" s="26">
        <v>1.5169999999999999</v>
      </c>
      <c r="G420" s="18">
        <v>0.20082874999999997</v>
      </c>
      <c r="I420" s="18"/>
      <c r="J420" s="18"/>
    </row>
    <row r="421" spans="1:14">
      <c r="A421" s="15">
        <v>15</v>
      </c>
      <c r="B421" s="78">
        <v>40647</v>
      </c>
      <c r="C421" s="15">
        <v>2011</v>
      </c>
      <c r="D421" s="11" t="s">
        <v>30</v>
      </c>
      <c r="E421" s="15">
        <v>4</v>
      </c>
      <c r="F421" s="26">
        <v>1.119</v>
      </c>
      <c r="G421" s="18">
        <v>0.136097</v>
      </c>
      <c r="I421" s="18">
        <f>AVERAGE(F419:F421)</f>
        <v>1.4799999999999998</v>
      </c>
      <c r="J421" s="18">
        <f>AVERAGE(G419:G421)</f>
        <v>0.16376845833333331</v>
      </c>
      <c r="L421">
        <f>+J421/I421</f>
        <v>0.11065436373873874</v>
      </c>
      <c r="M421">
        <f>+(L421-$L$927)/$L$928</f>
        <v>-1.5965789785408997</v>
      </c>
      <c r="N421">
        <f>+N418+M421</f>
        <v>8.368766544409036</v>
      </c>
    </row>
    <row r="422" spans="1:14">
      <c r="A422" s="15">
        <v>6</v>
      </c>
      <c r="B422" s="78">
        <v>40681</v>
      </c>
      <c r="C422" s="15">
        <v>2011</v>
      </c>
      <c r="D422" s="11" t="s">
        <v>31</v>
      </c>
      <c r="E422" s="15">
        <v>5</v>
      </c>
      <c r="F422" s="26">
        <v>3.1560000000000001</v>
      </c>
      <c r="G422" s="18">
        <v>1.3817578749999997</v>
      </c>
    </row>
    <row r="423" spans="1:14">
      <c r="A423" s="15">
        <v>6</v>
      </c>
      <c r="B423" s="78">
        <v>40681</v>
      </c>
      <c r="C423" s="15">
        <v>2011</v>
      </c>
      <c r="D423" s="11" t="s">
        <v>31</v>
      </c>
      <c r="E423" s="15">
        <v>5</v>
      </c>
      <c r="F423" s="26">
        <v>3.1560000000000001</v>
      </c>
      <c r="G423" s="18">
        <v>1.0920031249999997</v>
      </c>
      <c r="H423" t="s">
        <v>13</v>
      </c>
    </row>
    <row r="424" spans="1:14">
      <c r="A424" s="15">
        <v>8</v>
      </c>
      <c r="B424" s="78">
        <v>40682</v>
      </c>
      <c r="C424" s="15">
        <v>2011</v>
      </c>
      <c r="D424" s="11" t="s">
        <v>31</v>
      </c>
      <c r="E424" s="15">
        <v>5</v>
      </c>
      <c r="F424" s="26">
        <v>1.4690000000000001</v>
      </c>
      <c r="G424" s="18">
        <v>0.168544375</v>
      </c>
    </row>
    <row r="425" spans="1:14">
      <c r="A425" s="15">
        <v>15</v>
      </c>
      <c r="B425" s="78">
        <v>40682</v>
      </c>
      <c r="C425" s="15">
        <v>2011</v>
      </c>
      <c r="D425" s="11" t="s">
        <v>31</v>
      </c>
      <c r="E425" s="15">
        <v>5</v>
      </c>
      <c r="F425" s="26">
        <v>0.86399999999999999</v>
      </c>
      <c r="G425" s="18">
        <v>0.25125249999999999</v>
      </c>
      <c r="I425" s="18">
        <f>AVERAGE(F422:F425)</f>
        <v>2.1612500000000003</v>
      </c>
      <c r="J425" s="18">
        <f>AVERAGE(G422:G425)</f>
        <v>0.72338946874999999</v>
      </c>
      <c r="L425">
        <f>+J425/I425</f>
        <v>0.33470883458646611</v>
      </c>
      <c r="M425">
        <f>+(L425-$L$927)/$L$928</f>
        <v>0.52867748428174544</v>
      </c>
      <c r="N425">
        <f>+N421+M425</f>
        <v>8.8974440286907814</v>
      </c>
    </row>
    <row r="426" spans="1:14">
      <c r="A426" s="15">
        <v>6</v>
      </c>
      <c r="B426" s="78">
        <v>40709</v>
      </c>
      <c r="C426" s="15">
        <v>2011</v>
      </c>
      <c r="D426" s="11" t="s">
        <v>32</v>
      </c>
      <c r="E426" s="15">
        <v>6</v>
      </c>
      <c r="F426" s="26">
        <v>4.5199999999999996</v>
      </c>
      <c r="G426" s="18">
        <v>1.0741095000000001</v>
      </c>
    </row>
    <row r="427" spans="1:14">
      <c r="A427" s="15">
        <v>6</v>
      </c>
      <c r="B427" s="78">
        <v>40709</v>
      </c>
      <c r="C427" s="15">
        <v>2011</v>
      </c>
      <c r="D427" s="11" t="s">
        <v>32</v>
      </c>
      <c r="E427" s="15">
        <v>6</v>
      </c>
      <c r="F427" s="26">
        <v>4.5199999999999996</v>
      </c>
      <c r="G427" s="18">
        <v>1.170993875</v>
      </c>
      <c r="H427" t="s">
        <v>13</v>
      </c>
    </row>
    <row r="428" spans="1:14">
      <c r="A428" s="15">
        <v>8</v>
      </c>
      <c r="B428" s="78">
        <v>40709</v>
      </c>
      <c r="C428" s="15">
        <v>2011</v>
      </c>
      <c r="D428" s="11" t="s">
        <v>32</v>
      </c>
      <c r="E428" s="15">
        <v>6</v>
      </c>
      <c r="F428" s="26">
        <v>5.7460000000000004</v>
      </c>
      <c r="G428" s="18">
        <v>1.8019009999999998</v>
      </c>
    </row>
    <row r="429" spans="1:14">
      <c r="A429" s="15">
        <v>15</v>
      </c>
      <c r="B429" s="78">
        <v>40709</v>
      </c>
      <c r="C429" s="15">
        <v>2011</v>
      </c>
      <c r="D429" s="11" t="s">
        <v>32</v>
      </c>
      <c r="E429" s="15">
        <v>6</v>
      </c>
      <c r="F429" s="26">
        <v>2.988</v>
      </c>
      <c r="G429" s="18">
        <v>0.48424337499999986</v>
      </c>
      <c r="I429" s="18">
        <f>AVERAGE(F426:F429)</f>
        <v>4.4435000000000002</v>
      </c>
      <c r="J429" s="18">
        <f>AVERAGE(G426:G429)</f>
        <v>1.1328119375000001</v>
      </c>
      <c r="L429">
        <f>+J429/I429</f>
        <v>0.25493686002025429</v>
      </c>
      <c r="M429">
        <f>+(L429-$L$927)/$L$928</f>
        <v>-0.22799522953428858</v>
      </c>
      <c r="N429">
        <f>+N425+M429</f>
        <v>8.669448799156493</v>
      </c>
    </row>
    <row r="430" spans="1:14">
      <c r="A430" s="15">
        <v>6</v>
      </c>
      <c r="B430" s="78">
        <v>40735</v>
      </c>
      <c r="C430" s="15">
        <v>2011</v>
      </c>
      <c r="D430" s="11" t="s">
        <v>33</v>
      </c>
      <c r="E430" s="15">
        <v>7</v>
      </c>
      <c r="F430" s="26">
        <v>1.407</v>
      </c>
      <c r="G430" s="18">
        <v>0.32336862499999997</v>
      </c>
    </row>
    <row r="431" spans="1:14">
      <c r="A431" s="15">
        <v>8</v>
      </c>
      <c r="B431" s="78">
        <v>40736</v>
      </c>
      <c r="C431" s="15">
        <v>2011</v>
      </c>
      <c r="D431" s="11" t="s">
        <v>33</v>
      </c>
      <c r="E431" s="15">
        <v>7</v>
      </c>
      <c r="F431" s="26">
        <v>3.21</v>
      </c>
      <c r="G431" s="18">
        <v>0.97207462499999997</v>
      </c>
    </row>
    <row r="432" spans="1:14">
      <c r="A432" s="15">
        <v>15</v>
      </c>
      <c r="B432" s="78">
        <v>40736</v>
      </c>
      <c r="C432" s="15">
        <v>2011</v>
      </c>
      <c r="D432" s="11" t="s">
        <v>33</v>
      </c>
      <c r="E432" s="15">
        <v>7</v>
      </c>
      <c r="F432" s="26">
        <v>1.7130000000000001</v>
      </c>
      <c r="G432" s="18">
        <v>0.73017437500000004</v>
      </c>
      <c r="I432" s="18">
        <f>AVERAGE(F430:F432)</f>
        <v>2.11</v>
      </c>
      <c r="J432" s="18">
        <f>AVERAGE(G430:G432)</f>
        <v>0.67520587499999996</v>
      </c>
      <c r="L432">
        <f>+J432/I432</f>
        <v>0.32000278436018958</v>
      </c>
      <c r="M432">
        <f>+(L432-$L$927)/$L$928</f>
        <v>0.38918404695940062</v>
      </c>
      <c r="N432">
        <f>+N429+M432</f>
        <v>9.0586328461158931</v>
      </c>
    </row>
    <row r="433" spans="1:14">
      <c r="A433" s="15">
        <v>15</v>
      </c>
      <c r="B433" s="78">
        <v>40736</v>
      </c>
      <c r="C433" s="15">
        <v>2011</v>
      </c>
      <c r="D433" s="11" t="s">
        <v>33</v>
      </c>
      <c r="E433" s="15">
        <v>7</v>
      </c>
      <c r="F433" s="26">
        <v>1.7130000000000001</v>
      </c>
      <c r="G433" s="18">
        <v>0.54545074999999998</v>
      </c>
      <c r="H433" t="s">
        <v>13</v>
      </c>
    </row>
    <row r="434" spans="1:14">
      <c r="A434" s="15">
        <v>6</v>
      </c>
      <c r="B434" s="78">
        <v>40771</v>
      </c>
      <c r="C434" s="15">
        <v>2011</v>
      </c>
      <c r="D434" s="11" t="s">
        <v>34</v>
      </c>
      <c r="E434" s="15">
        <v>8</v>
      </c>
      <c r="F434" s="26">
        <v>2.86</v>
      </c>
      <c r="G434" s="18">
        <v>1.070613625</v>
      </c>
    </row>
    <row r="435" spans="1:14">
      <c r="A435" s="15">
        <v>8</v>
      </c>
      <c r="B435" s="78">
        <v>40772</v>
      </c>
      <c r="C435" s="15">
        <v>2011</v>
      </c>
      <c r="D435" s="11" t="s">
        <v>34</v>
      </c>
      <c r="E435" s="15">
        <v>8</v>
      </c>
      <c r="F435" s="26">
        <v>22.92</v>
      </c>
      <c r="G435" s="18">
        <v>9.429306875</v>
      </c>
    </row>
    <row r="436" spans="1:14">
      <c r="A436" s="15">
        <v>15</v>
      </c>
      <c r="B436" s="78">
        <v>40772</v>
      </c>
      <c r="C436" s="15">
        <v>2011</v>
      </c>
      <c r="D436" s="11" t="s">
        <v>34</v>
      </c>
      <c r="E436" s="15">
        <v>8</v>
      </c>
      <c r="F436" s="26">
        <v>1.569</v>
      </c>
      <c r="G436" s="18">
        <v>0.24858587500000004</v>
      </c>
      <c r="I436" s="18">
        <f>AVERAGE(F434:F436)</f>
        <v>9.1163333333333334</v>
      </c>
      <c r="J436" s="18">
        <f>AVERAGE(G434:G436)</f>
        <v>3.5828354583333333</v>
      </c>
      <c r="L436">
        <f>+J436/I436</f>
        <v>0.39301277469011664</v>
      </c>
      <c r="M436">
        <f>+(L436-$L$927)/$L$928</f>
        <v>1.0817163281150397</v>
      </c>
      <c r="N436">
        <f>+N432+M436</f>
        <v>10.140349174230932</v>
      </c>
    </row>
    <row r="437" spans="1:14">
      <c r="A437" s="15">
        <v>6</v>
      </c>
      <c r="B437" s="78">
        <v>40799</v>
      </c>
      <c r="C437" s="15">
        <v>2011</v>
      </c>
      <c r="D437" s="11" t="s">
        <v>40</v>
      </c>
      <c r="E437" s="15">
        <v>9</v>
      </c>
      <c r="F437" s="26">
        <v>6.6159999999999997</v>
      </c>
      <c r="G437" s="18">
        <v>1.642322625</v>
      </c>
    </row>
    <row r="438" spans="1:14">
      <c r="A438" s="15">
        <v>8</v>
      </c>
      <c r="B438" s="78">
        <v>40798</v>
      </c>
      <c r="C438" s="15">
        <v>2011</v>
      </c>
      <c r="D438" s="11" t="s">
        <v>40</v>
      </c>
      <c r="E438" s="15">
        <v>9</v>
      </c>
      <c r="F438" s="26">
        <v>10.555999999999999</v>
      </c>
      <c r="G438" s="18">
        <v>4.2810331250000004</v>
      </c>
    </row>
    <row r="439" spans="1:14">
      <c r="A439" s="15">
        <v>15</v>
      </c>
      <c r="B439" s="78">
        <v>40798</v>
      </c>
      <c r="C439" s="15">
        <v>2011</v>
      </c>
      <c r="D439" s="11" t="s">
        <v>40</v>
      </c>
      <c r="E439" s="15">
        <v>9</v>
      </c>
      <c r="F439" s="26">
        <v>5.335</v>
      </c>
      <c r="G439" s="18">
        <v>1.9934081249999998</v>
      </c>
    </row>
    <row r="440" spans="1:14">
      <c r="A440" s="15">
        <v>15</v>
      </c>
      <c r="B440" s="78">
        <v>40798</v>
      </c>
      <c r="C440" s="15">
        <v>2011</v>
      </c>
      <c r="D440" s="11" t="s">
        <v>40</v>
      </c>
      <c r="E440" s="15">
        <v>9</v>
      </c>
      <c r="F440" s="26">
        <v>5.335</v>
      </c>
      <c r="G440" s="18">
        <v>2.0181583750000001</v>
      </c>
      <c r="I440" s="18">
        <f>AVERAGE(F437:F440)</f>
        <v>6.9604999999999997</v>
      </c>
      <c r="J440" s="18">
        <f>AVERAGE(G437:G440)</f>
        <v>2.4837305625000003</v>
      </c>
      <c r="L440">
        <f>+J440/I440</f>
        <v>0.35683220494217377</v>
      </c>
      <c r="M440">
        <f>+(L440-$L$927)/$L$928</f>
        <v>0.73852750713552306</v>
      </c>
      <c r="N440">
        <f>+N436+M440</f>
        <v>10.878876681366455</v>
      </c>
    </row>
    <row r="441" spans="1:14">
      <c r="A441" s="15">
        <v>6</v>
      </c>
      <c r="B441" s="78">
        <v>40827</v>
      </c>
      <c r="C441" s="15">
        <v>2011</v>
      </c>
      <c r="D441" s="11" t="s">
        <v>36</v>
      </c>
      <c r="E441" s="15">
        <v>10</v>
      </c>
      <c r="F441" s="27">
        <v>3.1709999999999998</v>
      </c>
      <c r="G441" s="18">
        <v>0.34522187500000001</v>
      </c>
    </row>
    <row r="442" spans="1:14">
      <c r="A442" s="15">
        <v>6</v>
      </c>
      <c r="B442" s="78">
        <v>40827</v>
      </c>
      <c r="C442" s="15">
        <v>2011</v>
      </c>
      <c r="D442" s="11" t="s">
        <v>36</v>
      </c>
      <c r="E442" s="15">
        <v>10</v>
      </c>
      <c r="F442" s="27">
        <v>3.1709999999999998</v>
      </c>
      <c r="G442" s="18">
        <v>0.35171150000000001</v>
      </c>
    </row>
    <row r="443" spans="1:14">
      <c r="A443" s="15">
        <v>8</v>
      </c>
      <c r="B443" s="78">
        <v>40829</v>
      </c>
      <c r="C443" s="15">
        <v>2011</v>
      </c>
      <c r="D443" s="11" t="s">
        <v>36</v>
      </c>
      <c r="E443" s="15">
        <v>10</v>
      </c>
      <c r="F443" s="27">
        <v>1.8959999999999999</v>
      </c>
      <c r="G443" s="18">
        <v>0.71342474999999994</v>
      </c>
    </row>
    <row r="444" spans="1:14">
      <c r="A444" s="15">
        <v>15</v>
      </c>
      <c r="B444" s="78">
        <v>40829</v>
      </c>
      <c r="C444" s="15">
        <v>2011</v>
      </c>
      <c r="D444" s="11" t="s">
        <v>36</v>
      </c>
      <c r="E444" s="15">
        <v>10</v>
      </c>
      <c r="F444" s="27">
        <v>1.623</v>
      </c>
      <c r="G444" s="18">
        <v>0.31274024999999994</v>
      </c>
      <c r="I444" s="18">
        <f>AVERAGE(F441:F444)</f>
        <v>2.4652499999999997</v>
      </c>
      <c r="J444" s="18">
        <f>AVERAGE(G441:G444)</f>
        <v>0.43077459374999993</v>
      </c>
      <c r="L444">
        <f>+J444/I444</f>
        <v>0.17473870550654091</v>
      </c>
      <c r="M444">
        <f>+(L444-$L$927)/$L$928</f>
        <v>-0.98871044999759516</v>
      </c>
      <c r="N444">
        <f>+N440+M444</f>
        <v>9.890166231368859</v>
      </c>
    </row>
    <row r="445" spans="1:14">
      <c r="A445" s="15">
        <v>6</v>
      </c>
      <c r="B445" s="79">
        <v>40862</v>
      </c>
      <c r="C445" s="15">
        <v>2011</v>
      </c>
      <c r="D445" s="11" t="s">
        <v>37</v>
      </c>
      <c r="E445" s="15">
        <v>11</v>
      </c>
      <c r="F445" s="27">
        <v>7.1029999999999998</v>
      </c>
      <c r="G445" s="18">
        <v>2.6951581249999994</v>
      </c>
    </row>
    <row r="446" spans="1:14">
      <c r="A446" s="15">
        <v>8</v>
      </c>
      <c r="B446" s="79">
        <v>40865</v>
      </c>
      <c r="C446" s="15">
        <v>2011</v>
      </c>
      <c r="D446" s="11" t="s">
        <v>37</v>
      </c>
      <c r="E446" s="15">
        <v>11</v>
      </c>
      <c r="F446" s="27">
        <v>1.5029999999999999</v>
      </c>
      <c r="G446" s="18">
        <v>0.38642887500000001</v>
      </c>
    </row>
    <row r="447" spans="1:14">
      <c r="A447" s="15">
        <v>15</v>
      </c>
      <c r="B447" s="79">
        <v>40865</v>
      </c>
      <c r="C447" s="15">
        <v>2011</v>
      </c>
      <c r="D447" s="11" t="s">
        <v>37</v>
      </c>
      <c r="E447" s="15">
        <v>11</v>
      </c>
      <c r="F447" s="27">
        <v>4.1970000000000001</v>
      </c>
      <c r="G447" s="18">
        <v>1.3542453750000001</v>
      </c>
      <c r="I447" s="18">
        <f>AVERAGE(F445:F447)</f>
        <v>4.2676666666666669</v>
      </c>
      <c r="J447" s="18">
        <f>AVERAGE(G445:G447)</f>
        <v>1.4786107916666664</v>
      </c>
      <c r="L447">
        <f>+J447/I447</f>
        <v>0.34646820081230956</v>
      </c>
      <c r="M447">
        <f>+(L447-$L$927)/$L$928</f>
        <v>0.64022031123634371</v>
      </c>
      <c r="N447">
        <f>+N444+M447</f>
        <v>10.530386542605203</v>
      </c>
    </row>
    <row r="448" spans="1:14">
      <c r="A448" s="15">
        <v>6</v>
      </c>
      <c r="B448" s="79">
        <v>40891</v>
      </c>
      <c r="C448" s="15">
        <v>2011</v>
      </c>
      <c r="D448" s="11" t="s">
        <v>38</v>
      </c>
      <c r="E448" s="15">
        <v>12</v>
      </c>
      <c r="F448" s="27">
        <v>4.149</v>
      </c>
      <c r="G448" s="18">
        <v>0.89984549999999996</v>
      </c>
    </row>
    <row r="449" spans="1:14">
      <c r="A449" s="15">
        <v>8</v>
      </c>
      <c r="B449" s="79">
        <v>40891</v>
      </c>
      <c r="C449" s="15">
        <v>2011</v>
      </c>
      <c r="D449" s="11" t="s">
        <v>38</v>
      </c>
      <c r="E449" s="15">
        <v>12</v>
      </c>
      <c r="F449" s="27">
        <v>0.69399999999999995</v>
      </c>
      <c r="G449" s="18">
        <v>0.12335012499999998</v>
      </c>
    </row>
    <row r="450" spans="1:14">
      <c r="A450" s="15">
        <v>15</v>
      </c>
      <c r="B450" s="79">
        <v>40891</v>
      </c>
      <c r="C450" s="15">
        <v>2011</v>
      </c>
      <c r="D450" s="11" t="s">
        <v>38</v>
      </c>
      <c r="E450" s="15">
        <v>12</v>
      </c>
      <c r="F450" s="27">
        <v>3.49</v>
      </c>
      <c r="G450" s="18">
        <v>0.68382912500000004</v>
      </c>
      <c r="I450" s="18">
        <f>AVERAGE(F448:F450)</f>
        <v>2.7776666666666667</v>
      </c>
      <c r="J450" s="18">
        <f>AVERAGE(G448:G450)</f>
        <v>0.56900824999999999</v>
      </c>
      <c r="L450">
        <f>+J450/I450</f>
        <v>0.20485116404656187</v>
      </c>
      <c r="M450">
        <f>+(L450-$L$927)/$L$928</f>
        <v>-0.70308036691323605</v>
      </c>
      <c r="N450">
        <f>+N447+M450</f>
        <v>9.8273061756919677</v>
      </c>
    </row>
    <row r="451" spans="1:14">
      <c r="A451" s="15">
        <v>6</v>
      </c>
      <c r="B451" s="78">
        <v>40919</v>
      </c>
      <c r="C451" s="15">
        <v>2012</v>
      </c>
      <c r="D451" s="11" t="s">
        <v>39</v>
      </c>
      <c r="E451" s="15">
        <v>1</v>
      </c>
      <c r="F451" s="29">
        <v>5.1779999999999999</v>
      </c>
      <c r="G451" s="18">
        <v>2.2151856249999997</v>
      </c>
    </row>
    <row r="452" spans="1:14">
      <c r="A452" s="15">
        <v>8</v>
      </c>
      <c r="B452" s="78">
        <v>40919</v>
      </c>
      <c r="C452" s="15">
        <v>2012</v>
      </c>
      <c r="D452" s="11" t="s">
        <v>39</v>
      </c>
      <c r="E452" s="15">
        <v>1</v>
      </c>
      <c r="F452" s="29">
        <v>1.081</v>
      </c>
      <c r="G452" s="18">
        <v>0.22859924999999995</v>
      </c>
    </row>
    <row r="453" spans="1:14">
      <c r="A453" s="15">
        <v>15</v>
      </c>
      <c r="B453" s="78">
        <v>40919</v>
      </c>
      <c r="C453" s="15">
        <v>2012</v>
      </c>
      <c r="D453" s="11" t="s">
        <v>39</v>
      </c>
      <c r="E453" s="15">
        <v>1</v>
      </c>
      <c r="F453" s="29">
        <v>3.7160000000000002</v>
      </c>
      <c r="G453" s="18">
        <v>1.4648356249999999</v>
      </c>
      <c r="I453" s="18">
        <f>AVERAGE(F451:F453)</f>
        <v>3.3250000000000006</v>
      </c>
      <c r="J453" s="18">
        <f>AVERAGE(G451:G453)</f>
        <v>1.3028734999999998</v>
      </c>
      <c r="L453">
        <f>+J453/I453</f>
        <v>0.39184165413533822</v>
      </c>
      <c r="M453">
        <f>+(L453-$L$927)/$L$928</f>
        <v>1.0706077279680746</v>
      </c>
      <c r="N453">
        <f>+N450+M453</f>
        <v>10.897913903660042</v>
      </c>
    </row>
    <row r="454" spans="1:14">
      <c r="A454" s="15">
        <v>6</v>
      </c>
      <c r="B454" s="78">
        <v>40962</v>
      </c>
      <c r="C454" s="15">
        <v>2012</v>
      </c>
      <c r="D454" s="11" t="s">
        <v>28</v>
      </c>
      <c r="E454" s="15">
        <v>2</v>
      </c>
      <c r="F454" s="29">
        <v>3.669</v>
      </c>
      <c r="G454" s="18">
        <v>1.988811125</v>
      </c>
    </row>
    <row r="455" spans="1:14">
      <c r="A455" s="15">
        <v>8</v>
      </c>
      <c r="B455" s="78">
        <v>40960</v>
      </c>
      <c r="C455" s="15">
        <v>2012</v>
      </c>
      <c r="D455" s="11" t="s">
        <v>28</v>
      </c>
      <c r="E455" s="15">
        <v>2</v>
      </c>
      <c r="F455" s="29">
        <v>1.252</v>
      </c>
      <c r="G455" s="18">
        <v>0.31244724999999995</v>
      </c>
    </row>
    <row r="456" spans="1:14">
      <c r="A456" s="15">
        <v>15</v>
      </c>
      <c r="B456" s="78">
        <v>40960</v>
      </c>
      <c r="C456" s="15">
        <v>2012</v>
      </c>
      <c r="D456" s="11" t="s">
        <v>28</v>
      </c>
      <c r="E456" s="15">
        <v>2</v>
      </c>
      <c r="F456" s="29">
        <v>3.2050000000000001</v>
      </c>
      <c r="G456" s="18">
        <v>1.5878133749999999</v>
      </c>
      <c r="I456" s="18">
        <f>AVERAGE(F454:F456)</f>
        <v>2.7086666666666672</v>
      </c>
      <c r="J456" s="18">
        <f>AVERAGE(G454:G456)</f>
        <v>1.2963572499999998</v>
      </c>
      <c r="L456">
        <f>+J456/I456</f>
        <v>0.47859608048240199</v>
      </c>
      <c r="M456">
        <f>+(L456-$L$927)/$L$928</f>
        <v>1.8935121073137304</v>
      </c>
      <c r="N456">
        <f>+N453+M456</f>
        <v>12.791426010973773</v>
      </c>
    </row>
    <row r="457" spans="1:14">
      <c r="A457" s="15">
        <v>6</v>
      </c>
      <c r="B457" s="78">
        <v>40980</v>
      </c>
      <c r="C457" s="15">
        <v>2012</v>
      </c>
      <c r="D457" s="11" t="s">
        <v>29</v>
      </c>
      <c r="E457" s="15">
        <v>3</v>
      </c>
      <c r="F457" s="29">
        <v>2.4209999999999998</v>
      </c>
      <c r="G457" s="18">
        <v>1.1943785</v>
      </c>
    </row>
    <row r="458" spans="1:14">
      <c r="A458" s="15">
        <v>8</v>
      </c>
      <c r="B458" s="78">
        <v>40982</v>
      </c>
      <c r="C458" s="15">
        <v>2012</v>
      </c>
      <c r="D458" s="11" t="s">
        <v>29</v>
      </c>
      <c r="E458" s="15">
        <v>3</v>
      </c>
      <c r="F458" s="29">
        <v>1.1220000000000001</v>
      </c>
      <c r="G458" s="18">
        <v>0.34624874999999994</v>
      </c>
    </row>
    <row r="459" spans="1:14">
      <c r="A459" s="15">
        <v>15</v>
      </c>
      <c r="B459" s="78">
        <v>40982</v>
      </c>
      <c r="C459" s="15">
        <v>2012</v>
      </c>
      <c r="D459" s="11" t="s">
        <v>29</v>
      </c>
      <c r="E459" s="15">
        <v>3</v>
      </c>
      <c r="F459" s="29">
        <v>0.95699999999999996</v>
      </c>
      <c r="G459" s="18">
        <v>0.20874224999999996</v>
      </c>
      <c r="I459" s="18">
        <f>AVERAGE(F457:F459)</f>
        <v>1.5</v>
      </c>
      <c r="J459" s="18">
        <f>AVERAGE(G457:G459)</f>
        <v>0.58312316666666664</v>
      </c>
      <c r="L459">
        <f>+J459/I459</f>
        <v>0.38874877777777778</v>
      </c>
      <c r="M459">
        <f>+(L459-$L$927)/$L$928</f>
        <v>1.0412704179704357</v>
      </c>
      <c r="N459">
        <f>+N456+M459</f>
        <v>13.832696428944208</v>
      </c>
    </row>
    <row r="460" spans="1:14">
      <c r="A460" s="15">
        <v>6</v>
      </c>
      <c r="B460" s="78">
        <v>41015</v>
      </c>
      <c r="C460" s="15">
        <v>2012</v>
      </c>
      <c r="D460" s="11" t="s">
        <v>30</v>
      </c>
      <c r="E460" s="15">
        <v>4</v>
      </c>
      <c r="F460" s="26">
        <v>2.6419999999999999</v>
      </c>
      <c r="G460" s="18">
        <v>1.1063207499999999</v>
      </c>
    </row>
    <row r="461" spans="1:14">
      <c r="A461" s="15">
        <v>8</v>
      </c>
      <c r="B461" s="78">
        <v>41016</v>
      </c>
      <c r="C461" s="15">
        <v>2012</v>
      </c>
      <c r="D461" s="11" t="s">
        <v>30</v>
      </c>
      <c r="E461" s="15">
        <v>4</v>
      </c>
      <c r="F461" s="26">
        <v>1.998</v>
      </c>
      <c r="G461" s="18">
        <v>0.75936224999999991</v>
      </c>
    </row>
    <row r="462" spans="1:14">
      <c r="A462" s="15">
        <v>15</v>
      </c>
      <c r="B462" s="78">
        <v>41016</v>
      </c>
      <c r="C462" s="15">
        <v>2012</v>
      </c>
      <c r="D462" s="11" t="s">
        <v>30</v>
      </c>
      <c r="E462" s="15">
        <v>4</v>
      </c>
      <c r="F462" s="26">
        <v>1.831</v>
      </c>
      <c r="G462" s="18">
        <v>0.59995362499999993</v>
      </c>
      <c r="I462" s="18"/>
      <c r="J462" s="18"/>
    </row>
    <row r="463" spans="1:14">
      <c r="A463" s="15">
        <v>15</v>
      </c>
      <c r="B463" s="78">
        <v>41016</v>
      </c>
      <c r="C463" s="15">
        <v>2012</v>
      </c>
      <c r="D463" s="11" t="s">
        <v>30</v>
      </c>
      <c r="E463" s="15">
        <v>4</v>
      </c>
      <c r="F463" s="26">
        <v>1.831</v>
      </c>
      <c r="G463" s="18">
        <v>0.59839287500000005</v>
      </c>
      <c r="I463" s="18">
        <f>AVERAGE(F460:F463)</f>
        <v>2.0754999999999999</v>
      </c>
      <c r="J463" s="18">
        <f>AVERAGE(G460:G463)</f>
        <v>0.76600737499999993</v>
      </c>
      <c r="L463">
        <f>+J463/I463</f>
        <v>0.36907124789207418</v>
      </c>
      <c r="M463">
        <f>+(L463-$L$927)/$L$928</f>
        <v>0.85462028149358327</v>
      </c>
      <c r="N463">
        <f>+N459+M463</f>
        <v>14.687316710437791</v>
      </c>
    </row>
    <row r="464" spans="1:14">
      <c r="A464" s="15">
        <v>6</v>
      </c>
      <c r="B464" s="78">
        <v>41045</v>
      </c>
      <c r="C464" s="15">
        <v>2012</v>
      </c>
      <c r="D464" s="11" t="s">
        <v>31</v>
      </c>
      <c r="E464" s="15">
        <v>5</v>
      </c>
      <c r="F464" s="26">
        <v>4.5250000000000004</v>
      </c>
      <c r="G464" s="18">
        <v>2.35994875</v>
      </c>
    </row>
    <row r="465" spans="1:14">
      <c r="A465" s="15">
        <v>8</v>
      </c>
      <c r="B465" s="78">
        <v>41051</v>
      </c>
      <c r="C465" s="15">
        <v>2012</v>
      </c>
      <c r="D465" s="11" t="s">
        <v>31</v>
      </c>
      <c r="E465" s="15">
        <v>5</v>
      </c>
      <c r="F465" s="26">
        <v>2.125</v>
      </c>
      <c r="G465" s="18">
        <v>0.76894612500000015</v>
      </c>
    </row>
    <row r="466" spans="1:14">
      <c r="A466" s="15">
        <v>8</v>
      </c>
      <c r="B466" s="78">
        <v>41051</v>
      </c>
      <c r="C466" s="15">
        <v>2012</v>
      </c>
      <c r="D466" s="11" t="s">
        <v>31</v>
      </c>
      <c r="E466" s="15">
        <v>5</v>
      </c>
      <c r="F466" s="26">
        <v>2.125</v>
      </c>
      <c r="G466" s="18">
        <v>0.74027549999999998</v>
      </c>
      <c r="H466" t="s">
        <v>13</v>
      </c>
    </row>
    <row r="467" spans="1:14">
      <c r="A467" s="15">
        <v>15</v>
      </c>
      <c r="B467" s="78">
        <v>41051</v>
      </c>
      <c r="C467" s="15">
        <v>2012</v>
      </c>
      <c r="D467" s="11" t="s">
        <v>31</v>
      </c>
      <c r="E467" s="15">
        <v>5</v>
      </c>
      <c r="F467" s="26">
        <v>7.6310000000000002</v>
      </c>
      <c r="G467" s="18">
        <v>4.6660288750000003</v>
      </c>
      <c r="I467" s="18">
        <f>AVERAGE(F464:F467)</f>
        <v>4.1014999999999997</v>
      </c>
      <c r="J467" s="18">
        <f>AVERAGE(G464:G467)</f>
        <v>2.1337998125000004</v>
      </c>
      <c r="L467">
        <f>+J467/I467</f>
        <v>0.52024864378885782</v>
      </c>
      <c r="M467">
        <f>+(L467-$L$927)/$L$928</f>
        <v>2.2886052247384505</v>
      </c>
      <c r="N467">
        <f>+N463+M467</f>
        <v>16.975921935176242</v>
      </c>
    </row>
    <row r="468" spans="1:14">
      <c r="A468" s="15">
        <v>6</v>
      </c>
      <c r="B468" s="78">
        <v>41073</v>
      </c>
      <c r="C468" s="15">
        <v>2012</v>
      </c>
      <c r="D468" s="11" t="s">
        <v>32</v>
      </c>
      <c r="E468" s="15">
        <v>6</v>
      </c>
      <c r="F468" s="26">
        <v>13.755000000000001</v>
      </c>
      <c r="G468" s="18">
        <v>4.346654375</v>
      </c>
    </row>
    <row r="469" spans="1:14">
      <c r="A469" s="15">
        <v>8</v>
      </c>
      <c r="B469" s="78">
        <v>41080</v>
      </c>
      <c r="C469" s="15">
        <v>2012</v>
      </c>
      <c r="D469" s="11" t="s">
        <v>32</v>
      </c>
      <c r="E469" s="15">
        <v>6</v>
      </c>
      <c r="F469" s="26">
        <v>2.5510000000000002</v>
      </c>
      <c r="G469" s="18">
        <v>1.184563625</v>
      </c>
    </row>
    <row r="470" spans="1:14">
      <c r="A470" s="15">
        <v>15</v>
      </c>
      <c r="B470" s="78">
        <v>41080</v>
      </c>
      <c r="C470" s="15">
        <v>2012</v>
      </c>
      <c r="D470" s="11" t="s">
        <v>32</v>
      </c>
      <c r="E470" s="15">
        <v>6</v>
      </c>
      <c r="F470" s="26">
        <v>3.3330000000000002</v>
      </c>
      <c r="G470" s="18">
        <v>1.5035845000000001</v>
      </c>
      <c r="I470" s="18">
        <f>AVERAGE(F468:F470)</f>
        <v>6.546333333333334</v>
      </c>
      <c r="J470" s="18">
        <f>AVERAGE(G468:G470)</f>
        <v>2.3449341666666665</v>
      </c>
      <c r="L470">
        <f>+J470/I470</f>
        <v>0.3582057385813941</v>
      </c>
      <c r="M470">
        <f>+(L470-$L$927)/$L$928</f>
        <v>0.75155608555492537</v>
      </c>
      <c r="N470">
        <f>+N467+M470</f>
        <v>17.727478020731166</v>
      </c>
    </row>
    <row r="471" spans="1:14">
      <c r="A471" s="15">
        <v>6</v>
      </c>
      <c r="B471" s="78">
        <v>41107</v>
      </c>
      <c r="C471" s="15">
        <v>2012</v>
      </c>
      <c r="D471" s="11" t="s">
        <v>33</v>
      </c>
      <c r="E471" s="15">
        <v>7</v>
      </c>
      <c r="F471" s="26">
        <v>7.46</v>
      </c>
      <c r="G471" s="18">
        <v>1.3055807500000001</v>
      </c>
    </row>
    <row r="472" spans="1:14">
      <c r="A472" s="15">
        <v>8</v>
      </c>
      <c r="B472" s="78">
        <v>41106</v>
      </c>
      <c r="C472" s="15">
        <v>2012</v>
      </c>
      <c r="D472" s="11" t="s">
        <v>33</v>
      </c>
      <c r="E472" s="15">
        <v>7</v>
      </c>
      <c r="F472" s="26">
        <v>6.9989999999999997</v>
      </c>
      <c r="G472" s="18">
        <v>2.7819926249999996</v>
      </c>
    </row>
    <row r="473" spans="1:14">
      <c r="A473" s="15">
        <v>15</v>
      </c>
      <c r="B473" s="78">
        <v>41106</v>
      </c>
      <c r="C473" s="15">
        <v>2012</v>
      </c>
      <c r="D473" s="11" t="s">
        <v>33</v>
      </c>
      <c r="E473" s="15">
        <v>7</v>
      </c>
      <c r="F473" s="26">
        <v>6.0439999999999996</v>
      </c>
      <c r="G473" s="18">
        <v>1.2998034999999997</v>
      </c>
      <c r="I473" s="18">
        <f>AVERAGE(F471:F473)</f>
        <v>6.8343333333333334</v>
      </c>
      <c r="J473" s="18">
        <f>AVERAGE(G471:G473)</f>
        <v>1.7957922916666664</v>
      </c>
      <c r="L473">
        <f>+J473/I473</f>
        <v>0.26276041920694526</v>
      </c>
      <c r="M473">
        <f>+(L473-$L$927)/$L$928</f>
        <v>-0.1537852855823528</v>
      </c>
      <c r="N473">
        <f>+N470+M473</f>
        <v>17.573692735148814</v>
      </c>
    </row>
    <row r="474" spans="1:14">
      <c r="A474" s="15">
        <v>6</v>
      </c>
      <c r="B474" s="78">
        <v>41135</v>
      </c>
      <c r="C474" s="15">
        <v>2012</v>
      </c>
      <c r="D474" s="11" t="s">
        <v>34</v>
      </c>
      <c r="E474" s="15">
        <v>8</v>
      </c>
      <c r="F474" s="26">
        <v>5.58</v>
      </c>
      <c r="G474" s="18">
        <v>1.3556585000000001</v>
      </c>
    </row>
    <row r="475" spans="1:14">
      <c r="A475" s="15">
        <v>8</v>
      </c>
      <c r="B475" s="78">
        <v>41137</v>
      </c>
      <c r="C475" s="15">
        <v>2012</v>
      </c>
      <c r="D475" s="11" t="s">
        <v>34</v>
      </c>
      <c r="E475" s="15">
        <v>8</v>
      </c>
      <c r="F475" s="26">
        <v>13.215999999999999</v>
      </c>
      <c r="G475" s="18">
        <v>6.919854374999999</v>
      </c>
    </row>
    <row r="476" spans="1:14">
      <c r="A476" s="15">
        <v>15</v>
      </c>
      <c r="B476" s="78">
        <v>41137</v>
      </c>
      <c r="C476" s="15">
        <v>2012</v>
      </c>
      <c r="D476" s="11" t="s">
        <v>34</v>
      </c>
      <c r="E476" s="15">
        <v>8</v>
      </c>
      <c r="F476" s="26">
        <v>7.7359999999999998</v>
      </c>
      <c r="G476" s="18">
        <v>1.2451540000000001</v>
      </c>
      <c r="I476" s="18">
        <f>AVERAGE(F474:F476)</f>
        <v>8.8439999999999994</v>
      </c>
      <c r="J476" s="18">
        <f>AVERAGE(G474:G476)</f>
        <v>3.1735556249999992</v>
      </c>
      <c r="L476">
        <f>+J476/I476</f>
        <v>0.3588371353459972</v>
      </c>
      <c r="M476">
        <f>+(L476-$L$927)/$L$928</f>
        <v>0.75754516512785675</v>
      </c>
      <c r="N476">
        <f>+N473+M476</f>
        <v>18.331237900276673</v>
      </c>
    </row>
    <row r="477" spans="1:14">
      <c r="A477" s="15">
        <v>6</v>
      </c>
      <c r="B477" s="78">
        <v>41164</v>
      </c>
      <c r="C477" s="15">
        <v>2012</v>
      </c>
      <c r="D477" s="11" t="s">
        <v>40</v>
      </c>
      <c r="E477" s="15">
        <v>9</v>
      </c>
      <c r="F477" s="26">
        <v>12.352</v>
      </c>
      <c r="G477" s="18">
        <v>7.5408633749999989</v>
      </c>
    </row>
    <row r="478" spans="1:14">
      <c r="A478" s="15">
        <v>8</v>
      </c>
      <c r="B478" s="78">
        <v>41163</v>
      </c>
      <c r="C478" s="15">
        <v>2012</v>
      </c>
      <c r="D478" s="11" t="s">
        <v>40</v>
      </c>
      <c r="E478" s="15">
        <v>9</v>
      </c>
      <c r="F478" s="26">
        <v>15.667999999999999</v>
      </c>
      <c r="G478" s="18">
        <v>3.16244675</v>
      </c>
    </row>
    <row r="479" spans="1:14">
      <c r="A479" s="15">
        <v>15</v>
      </c>
      <c r="B479" s="78">
        <v>41163</v>
      </c>
      <c r="C479" s="15">
        <v>2012</v>
      </c>
      <c r="D479" s="11" t="s">
        <v>40</v>
      </c>
      <c r="E479" s="15">
        <v>9</v>
      </c>
      <c r="F479" s="26">
        <v>9.2889999999999997</v>
      </c>
      <c r="G479" s="18">
        <v>2.5038612500000004</v>
      </c>
      <c r="I479" s="18">
        <f>AVERAGE(F477:F479)</f>
        <v>12.436333333333332</v>
      </c>
      <c r="J479" s="18">
        <f>AVERAGE(G477:G479)</f>
        <v>4.4023904583333326</v>
      </c>
      <c r="L479">
        <f>+J479/I479</f>
        <v>0.35399424736658713</v>
      </c>
      <c r="M479">
        <f>+(L479-$L$927)/$L$928</f>
        <v>0.71160821534048868</v>
      </c>
      <c r="N479">
        <f>+N476+M479</f>
        <v>19.042846115617163</v>
      </c>
    </row>
    <row r="480" spans="1:14">
      <c r="A480" s="15">
        <v>6</v>
      </c>
      <c r="B480" s="78">
        <v>41199</v>
      </c>
      <c r="C480" s="15">
        <v>2012</v>
      </c>
      <c r="D480" s="11" t="s">
        <v>36</v>
      </c>
      <c r="E480" s="15">
        <v>10</v>
      </c>
      <c r="F480" s="26">
        <v>6.0670000000000002</v>
      </c>
      <c r="G480" s="18">
        <v>3.2005636249999996</v>
      </c>
    </row>
    <row r="481" spans="1:14">
      <c r="A481" s="15">
        <v>8</v>
      </c>
      <c r="B481" s="78">
        <v>41199</v>
      </c>
      <c r="C481" s="15">
        <v>2012</v>
      </c>
      <c r="D481" s="11" t="s">
        <v>36</v>
      </c>
      <c r="E481" s="15">
        <v>10</v>
      </c>
      <c r="F481" s="26">
        <v>1.466</v>
      </c>
      <c r="G481" s="18">
        <v>0.4113695</v>
      </c>
    </row>
    <row r="482" spans="1:14">
      <c r="A482" s="15">
        <v>15</v>
      </c>
      <c r="B482" s="78">
        <v>41199</v>
      </c>
      <c r="C482" s="15">
        <v>2012</v>
      </c>
      <c r="D482" s="11" t="s">
        <v>36</v>
      </c>
      <c r="E482" s="15">
        <v>10</v>
      </c>
      <c r="F482" s="26">
        <v>9.5060000000000002</v>
      </c>
      <c r="G482" s="18">
        <v>6.0468192499999995</v>
      </c>
      <c r="I482" s="18">
        <f>AVERAGE(F480:F482)</f>
        <v>5.6796666666666669</v>
      </c>
      <c r="J482" s="18">
        <f>AVERAGE(G480:G482)</f>
        <v>3.2195841249999995</v>
      </c>
      <c r="L482">
        <f>+J482/I482</f>
        <v>0.56686145753858785</v>
      </c>
      <c r="M482">
        <f>+(L482-$L$927)/$L$928</f>
        <v>2.7307485272003249</v>
      </c>
      <c r="N482">
        <f>+N479+M482</f>
        <v>21.773594642817489</v>
      </c>
    </row>
    <row r="483" spans="1:14">
      <c r="A483" s="15">
        <v>6</v>
      </c>
      <c r="B483" s="78">
        <v>41225</v>
      </c>
      <c r="C483" s="15">
        <v>2012</v>
      </c>
      <c r="D483" s="11" t="s">
        <v>37</v>
      </c>
      <c r="E483" s="15">
        <v>11</v>
      </c>
      <c r="F483" s="26">
        <v>7.7229999999999999</v>
      </c>
      <c r="G483" s="18">
        <v>2.5338873749999995</v>
      </c>
    </row>
    <row r="484" spans="1:14">
      <c r="A484" s="15">
        <v>8</v>
      </c>
      <c r="B484" s="78">
        <v>41225</v>
      </c>
      <c r="C484" s="15">
        <v>2012</v>
      </c>
      <c r="D484" s="11" t="s">
        <v>37</v>
      </c>
      <c r="E484" s="15">
        <v>11</v>
      </c>
      <c r="F484" s="26">
        <v>2.4769999999999999</v>
      </c>
      <c r="G484" s="18">
        <v>0.66442650000000003</v>
      </c>
    </row>
    <row r="485" spans="1:14">
      <c r="A485" s="15">
        <v>15</v>
      </c>
      <c r="B485" s="78">
        <v>41225</v>
      </c>
      <c r="C485" s="15">
        <v>2012</v>
      </c>
      <c r="D485" s="11" t="s">
        <v>37</v>
      </c>
      <c r="E485" s="15">
        <v>11</v>
      </c>
      <c r="F485" s="26">
        <v>8.2490000000000006</v>
      </c>
      <c r="G485" s="18">
        <v>3.2002238749999994</v>
      </c>
      <c r="I485" s="18">
        <f>AVERAGE(F483:F485)</f>
        <v>6.1496666666666657</v>
      </c>
      <c r="J485" s="18">
        <f>AVERAGE(G483:G485)</f>
        <v>2.1328459166666662</v>
      </c>
      <c r="L485">
        <f>+J485/I485</f>
        <v>0.34682301208737598</v>
      </c>
      <c r="M485">
        <f>+(L485-$L$927)/$L$928</f>
        <v>0.64358585423383086</v>
      </c>
      <c r="N485">
        <f>+N482+M485</f>
        <v>22.417180497051319</v>
      </c>
    </row>
    <row r="486" spans="1:14">
      <c r="A486" s="15">
        <v>6</v>
      </c>
      <c r="B486" s="78">
        <v>41254</v>
      </c>
      <c r="C486" s="15">
        <v>2012</v>
      </c>
      <c r="D486" s="11" t="s">
        <v>38</v>
      </c>
      <c r="E486" s="15">
        <v>12</v>
      </c>
      <c r="F486" s="26">
        <v>3.5219999999999998</v>
      </c>
      <c r="G486" s="18">
        <v>1.7608033749999998</v>
      </c>
    </row>
    <row r="487" spans="1:14">
      <c r="A487" s="15">
        <v>8</v>
      </c>
      <c r="B487" s="78">
        <v>41255</v>
      </c>
      <c r="C487" s="15">
        <v>2012</v>
      </c>
      <c r="D487" s="11" t="s">
        <v>38</v>
      </c>
      <c r="E487" s="15">
        <v>12</v>
      </c>
      <c r="F487" s="26">
        <v>1.3089999999999999</v>
      </c>
      <c r="G487" s="18">
        <v>0.34291074999999993</v>
      </c>
    </row>
    <row r="488" spans="1:14">
      <c r="A488" s="15">
        <v>15</v>
      </c>
      <c r="B488" s="78">
        <v>41255</v>
      </c>
      <c r="C488" s="15">
        <v>2012</v>
      </c>
      <c r="D488" s="11" t="s">
        <v>38</v>
      </c>
      <c r="E488" s="15">
        <v>12</v>
      </c>
      <c r="F488" s="26">
        <v>2.9049999999999998</v>
      </c>
      <c r="G488" s="18">
        <v>1.3219664999999998</v>
      </c>
      <c r="I488" s="18">
        <f>AVERAGE(F486:F488)</f>
        <v>2.5786666666666664</v>
      </c>
      <c r="J488" s="18">
        <f>AVERAGE(G486:G488)</f>
        <v>1.1418935416666665</v>
      </c>
      <c r="L488">
        <f>+J488/I488</f>
        <v>0.44282324521716643</v>
      </c>
      <c r="M488">
        <f>+(L488-$L$927)/$L$928</f>
        <v>1.554190829531235</v>
      </c>
      <c r="N488">
        <f>+N485+M488</f>
        <v>23.971371326582556</v>
      </c>
    </row>
    <row r="489" spans="1:14">
      <c r="A489" s="15">
        <v>6</v>
      </c>
      <c r="B489" s="78">
        <v>41288</v>
      </c>
      <c r="C489" s="15">
        <v>2013</v>
      </c>
      <c r="D489" s="11" t="s">
        <v>39</v>
      </c>
      <c r="E489" s="15">
        <v>1</v>
      </c>
      <c r="F489" s="26">
        <v>2.8029999999999999</v>
      </c>
      <c r="G489" s="18">
        <v>1.2843416249999997</v>
      </c>
    </row>
    <row r="490" spans="1:14">
      <c r="A490" s="15">
        <v>8</v>
      </c>
      <c r="B490" s="78">
        <v>41297</v>
      </c>
      <c r="C490" s="15">
        <v>2013</v>
      </c>
      <c r="D490" s="11" t="s">
        <v>39</v>
      </c>
      <c r="E490" s="15">
        <v>1</v>
      </c>
      <c r="F490" s="26">
        <v>1.788</v>
      </c>
      <c r="G490" s="18">
        <v>0.74756487500000013</v>
      </c>
    </row>
    <row r="491" spans="1:14">
      <c r="A491" s="15">
        <v>15</v>
      </c>
      <c r="B491" s="78">
        <v>41297</v>
      </c>
      <c r="C491" s="15">
        <v>2013</v>
      </c>
      <c r="D491" s="11" t="s">
        <v>39</v>
      </c>
      <c r="E491" s="15">
        <v>1</v>
      </c>
      <c r="F491" s="26">
        <v>5.1769999999999996</v>
      </c>
      <c r="G491" s="18">
        <v>2.9764596249999995</v>
      </c>
      <c r="I491" s="18">
        <f>AVERAGE(F489:F491)</f>
        <v>3.2560000000000002</v>
      </c>
      <c r="J491" s="18">
        <f>AVERAGE(G489:G491)</f>
        <v>1.6694553749999999</v>
      </c>
      <c r="L491">
        <f>+J491/I491</f>
        <v>0.51273199477886966</v>
      </c>
      <c r="M491">
        <f>+(L491-$L$927)/$L$928</f>
        <v>2.2173064605281008</v>
      </c>
      <c r="N491">
        <f>+N488+M491</f>
        <v>26.188677787110656</v>
      </c>
    </row>
    <row r="492" spans="1:14">
      <c r="A492" s="15">
        <v>6</v>
      </c>
      <c r="B492" s="78">
        <v>41318</v>
      </c>
      <c r="C492" s="15">
        <v>2013</v>
      </c>
      <c r="D492" s="11" t="s">
        <v>28</v>
      </c>
      <c r="E492" s="15">
        <v>2</v>
      </c>
      <c r="F492" s="30">
        <v>9.032</v>
      </c>
      <c r="G492" s="18">
        <v>5.3088947499999994</v>
      </c>
    </row>
    <row r="493" spans="1:14">
      <c r="A493" s="15">
        <v>8</v>
      </c>
      <c r="B493" s="78">
        <v>41319</v>
      </c>
      <c r="C493" s="15">
        <v>2013</v>
      </c>
      <c r="D493" s="11" t="s">
        <v>28</v>
      </c>
      <c r="E493" s="15">
        <v>2</v>
      </c>
      <c r="F493" s="30">
        <v>2.504</v>
      </c>
      <c r="G493" s="18">
        <v>1.1919569999999999</v>
      </c>
    </row>
    <row r="494" spans="1:14">
      <c r="A494" s="15">
        <v>15</v>
      </c>
      <c r="B494" s="78">
        <v>41319</v>
      </c>
      <c r="C494" s="15">
        <v>2013</v>
      </c>
      <c r="D494" s="11" t="s">
        <v>28</v>
      </c>
      <c r="E494" s="15">
        <v>2</v>
      </c>
      <c r="F494" s="30">
        <v>7.0979999999999999</v>
      </c>
      <c r="G494" s="18">
        <v>4.2619478333333323</v>
      </c>
      <c r="I494" s="18">
        <f>AVERAGE(F492:F494)</f>
        <v>6.2113333333333332</v>
      </c>
      <c r="J494" s="18">
        <f>AVERAGE(G492:G494)</f>
        <v>3.5875998611111104</v>
      </c>
      <c r="L494">
        <f>+J494/I494</f>
        <v>0.57758933043540472</v>
      </c>
      <c r="M494">
        <f>+(L494-$L$927)/$L$928</f>
        <v>2.8325071804422639</v>
      </c>
      <c r="N494">
        <f>+N491+M494</f>
        <v>29.021184967552919</v>
      </c>
    </row>
    <row r="495" spans="1:14">
      <c r="A495" s="15">
        <v>6</v>
      </c>
      <c r="B495" s="78">
        <v>41344</v>
      </c>
      <c r="C495" s="15">
        <v>2013</v>
      </c>
      <c r="D495" s="11" t="s">
        <v>29</v>
      </c>
      <c r="E495" s="15">
        <v>3</v>
      </c>
      <c r="F495" s="30">
        <v>9.4570000000000007</v>
      </c>
      <c r="G495" s="18">
        <v>5.8173021249999994</v>
      </c>
    </row>
    <row r="496" spans="1:14">
      <c r="A496" s="15">
        <v>8</v>
      </c>
      <c r="B496" s="78">
        <v>41346</v>
      </c>
      <c r="C496" s="15">
        <v>2013</v>
      </c>
      <c r="D496" s="11" t="s">
        <v>29</v>
      </c>
      <c r="E496" s="15">
        <v>3</v>
      </c>
      <c r="F496" s="30">
        <v>9.9120000000000008</v>
      </c>
      <c r="G496" s="18">
        <v>6.5046553750000005</v>
      </c>
    </row>
    <row r="497" spans="1:14">
      <c r="A497" s="15">
        <v>8</v>
      </c>
      <c r="B497" s="78">
        <v>41346</v>
      </c>
      <c r="C497" s="15">
        <v>2013</v>
      </c>
      <c r="D497" s="11" t="s">
        <v>29</v>
      </c>
      <c r="E497" s="15">
        <v>3</v>
      </c>
      <c r="F497" s="30">
        <v>9.9120000000000008</v>
      </c>
      <c r="G497" s="18">
        <v>6.8182953749999982</v>
      </c>
      <c r="H497" t="s">
        <v>13</v>
      </c>
    </row>
    <row r="498" spans="1:14">
      <c r="A498" s="15">
        <v>15</v>
      </c>
      <c r="B498" s="78">
        <v>41346</v>
      </c>
      <c r="C498" s="15">
        <v>2013</v>
      </c>
      <c r="D498" s="11" t="s">
        <v>29</v>
      </c>
      <c r="E498" s="15">
        <v>3</v>
      </c>
      <c r="F498" s="30">
        <v>9.0190000000000001</v>
      </c>
      <c r="G498" s="18">
        <v>5.8565148750000002</v>
      </c>
      <c r="I498" s="18">
        <f>AVERAGE(F495:F498)</f>
        <v>9.5749999999999993</v>
      </c>
      <c r="J498" s="18">
        <f>AVERAGE(G495:G498)</f>
        <v>6.2491919374999991</v>
      </c>
      <c r="L498">
        <f>+J498/I498</f>
        <v>0.6526571214099216</v>
      </c>
      <c r="M498">
        <f>+(L498-$L$927)/$L$928</f>
        <v>3.5445586173753716</v>
      </c>
      <c r="N498">
        <f>+N494+M498</f>
        <v>32.565743584928292</v>
      </c>
    </row>
    <row r="499" spans="1:14">
      <c r="A499" s="15">
        <v>6</v>
      </c>
      <c r="B499" s="78">
        <v>41379</v>
      </c>
      <c r="C499" s="15">
        <v>2013</v>
      </c>
      <c r="D499" s="11" t="s">
        <v>30</v>
      </c>
      <c r="E499" s="15">
        <v>4</v>
      </c>
      <c r="F499" s="31">
        <v>0.59499999999999997</v>
      </c>
      <c r="G499" s="18">
        <v>0.36882712499999998</v>
      </c>
    </row>
    <row r="500" spans="1:14">
      <c r="A500" s="15">
        <v>8</v>
      </c>
      <c r="B500" s="78">
        <v>41380</v>
      </c>
      <c r="C500" s="15">
        <v>2013</v>
      </c>
      <c r="D500" s="11" t="s">
        <v>30</v>
      </c>
      <c r="E500" s="15">
        <v>4</v>
      </c>
      <c r="F500" s="31">
        <v>0.70699999999999996</v>
      </c>
      <c r="G500" s="18">
        <v>0.12105000000000002</v>
      </c>
    </row>
    <row r="501" spans="1:14">
      <c r="A501" s="15">
        <v>15</v>
      </c>
      <c r="B501" s="78">
        <v>41380</v>
      </c>
      <c r="C501" s="15">
        <v>2013</v>
      </c>
      <c r="D501" s="11" t="s">
        <v>30</v>
      </c>
      <c r="E501" s="15">
        <v>4</v>
      </c>
      <c r="F501" s="31">
        <v>0.377</v>
      </c>
      <c r="G501" s="18">
        <v>0.22333187499999999</v>
      </c>
      <c r="I501" s="18">
        <f>AVERAGE(F499:F501)</f>
        <v>0.55966666666666665</v>
      </c>
      <c r="J501" s="18">
        <f>AVERAGE(G499:G501)</f>
        <v>0.23773633333333333</v>
      </c>
      <c r="L501">
        <f>+J501/I501</f>
        <v>0.42478201310303754</v>
      </c>
      <c r="M501">
        <f>+(L501-$L$927)/$L$928</f>
        <v>1.3830617063195221</v>
      </c>
      <c r="N501">
        <f>+N498+M501</f>
        <v>33.948805291247815</v>
      </c>
    </row>
    <row r="502" spans="1:14">
      <c r="A502" s="15">
        <v>6</v>
      </c>
      <c r="B502" s="78">
        <v>41408</v>
      </c>
      <c r="C502" s="15">
        <v>2013</v>
      </c>
      <c r="D502" s="11" t="s">
        <v>31</v>
      </c>
      <c r="E502" s="15">
        <v>5</v>
      </c>
      <c r="F502" s="31">
        <v>0.69199999999999995</v>
      </c>
      <c r="G502" s="18">
        <v>0.21921062500000002</v>
      </c>
    </row>
    <row r="503" spans="1:14">
      <c r="A503" s="15">
        <v>6</v>
      </c>
      <c r="B503" s="78">
        <v>41408</v>
      </c>
      <c r="C503" s="15">
        <v>2013</v>
      </c>
      <c r="D503" s="11" t="s">
        <v>31</v>
      </c>
      <c r="E503" s="15">
        <v>5</v>
      </c>
      <c r="F503" s="31">
        <v>0.69199999999999995</v>
      </c>
      <c r="G503" s="18">
        <v>0.22783112499999997</v>
      </c>
    </row>
    <row r="504" spans="1:14">
      <c r="A504" s="15">
        <v>8</v>
      </c>
      <c r="B504" s="78">
        <v>41407</v>
      </c>
      <c r="C504" s="15">
        <v>2013</v>
      </c>
      <c r="D504" s="11" t="s">
        <v>31</v>
      </c>
      <c r="E504" s="15">
        <v>5</v>
      </c>
      <c r="F504" s="31">
        <v>1.17</v>
      </c>
      <c r="G504" s="18">
        <v>7.1371124999999994E-2</v>
      </c>
      <c r="I504" s="18"/>
      <c r="J504" s="18"/>
    </row>
    <row r="505" spans="1:14">
      <c r="A505" s="15">
        <v>15</v>
      </c>
      <c r="B505" s="78">
        <v>41407</v>
      </c>
      <c r="C505" s="15">
        <v>2013</v>
      </c>
      <c r="D505" s="11" t="s">
        <v>31</v>
      </c>
      <c r="E505" s="15">
        <v>5</v>
      </c>
      <c r="F505" s="31">
        <v>0.76100000000000001</v>
      </c>
      <c r="G505" s="18">
        <v>0.14191675000000001</v>
      </c>
      <c r="I505" s="18">
        <f>AVERAGE(F502:F505)</f>
        <v>0.82874999999999999</v>
      </c>
      <c r="J505" s="18">
        <f>AVERAGE(G502:G505)</f>
        <v>0.16508240625000001</v>
      </c>
      <c r="L505">
        <f>+J505/I505</f>
        <v>0.19919445701357466</v>
      </c>
      <c r="M505">
        <f>+(L505-$L$927)/$L$928</f>
        <v>-0.75673675294590215</v>
      </c>
      <c r="N505">
        <f>+N501+M505</f>
        <v>33.192068538301911</v>
      </c>
    </row>
    <row r="506" spans="1:14">
      <c r="A506" s="15">
        <v>6</v>
      </c>
      <c r="B506" s="78">
        <v>41436</v>
      </c>
      <c r="C506" s="15">
        <v>2013</v>
      </c>
      <c r="D506" s="11" t="s">
        <v>32</v>
      </c>
      <c r="E506" s="15">
        <v>6</v>
      </c>
      <c r="F506" s="31">
        <v>10.188000000000001</v>
      </c>
      <c r="G506" s="18">
        <v>5.9548275000000004</v>
      </c>
    </row>
    <row r="507" spans="1:14">
      <c r="A507" s="15">
        <v>8</v>
      </c>
      <c r="B507" s="78">
        <v>41437</v>
      </c>
      <c r="C507" s="15">
        <v>2013</v>
      </c>
      <c r="D507" s="11" t="s">
        <v>32</v>
      </c>
      <c r="E507" s="15">
        <v>6</v>
      </c>
      <c r="F507" s="31">
        <v>4.4930000000000003</v>
      </c>
      <c r="G507" s="18">
        <v>1.3955762499999995</v>
      </c>
    </row>
    <row r="508" spans="1:14">
      <c r="A508" s="15">
        <v>15</v>
      </c>
      <c r="B508" s="78">
        <v>41437</v>
      </c>
      <c r="C508" s="15">
        <v>2013</v>
      </c>
      <c r="D508" s="11" t="s">
        <v>32</v>
      </c>
      <c r="E508" s="15">
        <v>6</v>
      </c>
      <c r="F508" s="31">
        <v>3.3330000000000002</v>
      </c>
      <c r="G508" s="18">
        <v>1.5380359999999997</v>
      </c>
      <c r="I508" s="18">
        <f>AVERAGE(F506:F508)</f>
        <v>6.0046666666666679</v>
      </c>
      <c r="J508" s="18">
        <f>AVERAGE(G506:G508)</f>
        <v>2.96281325</v>
      </c>
      <c r="L508">
        <f>+J508/I508</f>
        <v>0.4934184384367713</v>
      </c>
      <c r="M508">
        <f>+(L508-$L$927)/$L$928</f>
        <v>2.0341087752472307</v>
      </c>
      <c r="N508">
        <f>+N505+M508</f>
        <v>35.226177313549144</v>
      </c>
    </row>
    <row r="509" spans="1:14">
      <c r="A509" s="15">
        <v>6</v>
      </c>
      <c r="B509" s="78">
        <v>41470</v>
      </c>
      <c r="C509" s="15">
        <v>2013</v>
      </c>
      <c r="D509" s="11" t="s">
        <v>33</v>
      </c>
      <c r="E509" s="15">
        <v>7</v>
      </c>
      <c r="F509" s="31">
        <v>4.2619999999999996</v>
      </c>
      <c r="G509" s="18">
        <v>0.58448999999999995</v>
      </c>
    </row>
    <row r="510" spans="1:14">
      <c r="A510" s="15">
        <v>8</v>
      </c>
      <c r="B510" s="78">
        <v>41470</v>
      </c>
      <c r="C510" s="15">
        <v>2013</v>
      </c>
      <c r="D510" s="11" t="s">
        <v>33</v>
      </c>
      <c r="E510" s="15">
        <v>7</v>
      </c>
      <c r="F510" s="31">
        <v>4.1459999999999999</v>
      </c>
      <c r="G510" s="18">
        <v>1.2132586249999997</v>
      </c>
    </row>
    <row r="511" spans="1:14">
      <c r="A511" s="15">
        <v>15</v>
      </c>
      <c r="B511" s="78">
        <v>41470</v>
      </c>
      <c r="C511" s="15">
        <v>2013</v>
      </c>
      <c r="D511" s="11" t="s">
        <v>33</v>
      </c>
      <c r="E511" s="15">
        <v>7</v>
      </c>
      <c r="F511" s="31">
        <v>3.3679999999999999</v>
      </c>
      <c r="G511" s="18">
        <v>1.116895</v>
      </c>
      <c r="I511" s="18">
        <f>AVERAGE(F509:F511)</f>
        <v>3.9253333333333331</v>
      </c>
      <c r="J511" s="18">
        <f>AVERAGE(G509:G511)</f>
        <v>0.97154787499999984</v>
      </c>
      <c r="L511">
        <f>+J511/I511</f>
        <v>0.24750710130774453</v>
      </c>
      <c r="M511">
        <f>+(L511-$L$927)/$L$928</f>
        <v>-0.29846980056708694</v>
      </c>
      <c r="N511">
        <f>+N508+M511</f>
        <v>34.92770751298206</v>
      </c>
    </row>
    <row r="512" spans="1:14">
      <c r="A512" s="15">
        <v>6</v>
      </c>
      <c r="B512" s="78">
        <v>41498</v>
      </c>
      <c r="C512" s="15">
        <v>2013</v>
      </c>
      <c r="D512" s="11" t="s">
        <v>34</v>
      </c>
      <c r="E512" s="15">
        <v>8</v>
      </c>
      <c r="F512" s="31">
        <v>3.323</v>
      </c>
      <c r="G512" s="18">
        <v>0.86965412499999994</v>
      </c>
    </row>
    <row r="513" spans="1:14">
      <c r="A513" s="15">
        <v>8</v>
      </c>
      <c r="B513" s="78">
        <v>41498</v>
      </c>
      <c r="C513" s="15">
        <v>2013</v>
      </c>
      <c r="D513" s="11" t="s">
        <v>34</v>
      </c>
      <c r="E513" s="15">
        <v>8</v>
      </c>
      <c r="F513" s="31">
        <v>3.33</v>
      </c>
      <c r="G513" s="18">
        <v>1.1862837500000001</v>
      </c>
    </row>
    <row r="514" spans="1:14">
      <c r="A514" s="15">
        <v>15</v>
      </c>
      <c r="B514" s="78">
        <v>41498</v>
      </c>
      <c r="C514" s="15">
        <v>2013</v>
      </c>
      <c r="D514" s="11" t="s">
        <v>34</v>
      </c>
      <c r="E514" s="15">
        <v>8</v>
      </c>
      <c r="F514" s="31">
        <v>1.9870000000000001</v>
      </c>
      <c r="G514" s="18">
        <v>0.56287425000000002</v>
      </c>
      <c r="I514" s="18">
        <f>AVERAGE(F512:F514)</f>
        <v>2.8800000000000003</v>
      </c>
      <c r="J514" s="18">
        <f>AVERAGE(G512:G514)</f>
        <v>0.87293737500000013</v>
      </c>
      <c r="L514">
        <f>+J514/I514</f>
        <v>0.30310325520833337</v>
      </c>
      <c r="M514">
        <f>+(L514-$L$927)/$L$928</f>
        <v>0.22888448492543717</v>
      </c>
      <c r="N514">
        <f>+N511+M514</f>
        <v>35.156591997907498</v>
      </c>
    </row>
    <row r="515" spans="1:14">
      <c r="A515" s="15">
        <v>6</v>
      </c>
      <c r="B515" s="78">
        <v>41535</v>
      </c>
      <c r="C515" s="15">
        <v>2013</v>
      </c>
      <c r="D515" s="11" t="s">
        <v>40</v>
      </c>
      <c r="E515" s="15">
        <v>9</v>
      </c>
      <c r="F515" s="31">
        <v>1.4730000000000001</v>
      </c>
      <c r="G515" s="18">
        <v>0.58542100000000008</v>
      </c>
    </row>
    <row r="516" spans="1:14">
      <c r="A516" s="15">
        <v>8</v>
      </c>
      <c r="B516" s="78">
        <v>41535</v>
      </c>
      <c r="C516" s="15">
        <v>2013</v>
      </c>
      <c r="D516" s="11" t="s">
        <v>40</v>
      </c>
      <c r="E516" s="15">
        <v>9</v>
      </c>
      <c r="F516" s="31">
        <v>2.9580000000000002</v>
      </c>
      <c r="G516" s="18">
        <v>1.2632656249999998</v>
      </c>
    </row>
    <row r="517" spans="1:14">
      <c r="A517" s="15">
        <v>15</v>
      </c>
      <c r="B517" s="78">
        <v>41535</v>
      </c>
      <c r="C517" s="15">
        <v>2013</v>
      </c>
      <c r="D517" s="11" t="s">
        <v>40</v>
      </c>
      <c r="E517" s="15">
        <v>9</v>
      </c>
      <c r="F517" s="31">
        <v>2.5760000000000001</v>
      </c>
      <c r="G517" s="18">
        <v>1.1704380000000001</v>
      </c>
      <c r="I517" s="18">
        <f>AVERAGE(F515:F517)</f>
        <v>2.3356666666666666</v>
      </c>
      <c r="J517" s="18">
        <f>AVERAGE(G515:G517)</f>
        <v>1.0063748749999999</v>
      </c>
      <c r="L517">
        <f>+J517/I517</f>
        <v>0.43087264521193092</v>
      </c>
      <c r="M517">
        <f>+(L517-$L$927)/$L$928</f>
        <v>1.4408340649925071</v>
      </c>
      <c r="N517">
        <f>+N514+M517</f>
        <v>36.597426062900006</v>
      </c>
    </row>
    <row r="518" spans="1:14">
      <c r="A518" s="15">
        <v>6</v>
      </c>
      <c r="B518" s="78">
        <v>41569</v>
      </c>
      <c r="C518" s="15">
        <v>2013</v>
      </c>
      <c r="D518" s="11" t="s">
        <v>36</v>
      </c>
      <c r="E518" s="15">
        <v>10</v>
      </c>
      <c r="F518" s="26">
        <v>1.5389999999999999</v>
      </c>
      <c r="G518" s="18">
        <v>6.3442125000000002E-2</v>
      </c>
    </row>
    <row r="519" spans="1:14">
      <c r="A519" s="15">
        <v>8</v>
      </c>
      <c r="B519" s="78">
        <v>406810</v>
      </c>
      <c r="C519" s="15">
        <v>2013</v>
      </c>
      <c r="D519" s="11" t="s">
        <v>36</v>
      </c>
      <c r="E519" s="15">
        <v>10</v>
      </c>
      <c r="F519" s="26">
        <v>0.92200000000000004</v>
      </c>
      <c r="G519" s="18">
        <v>0.12221799999999998</v>
      </c>
    </row>
    <row r="520" spans="1:14">
      <c r="A520" s="15">
        <v>15</v>
      </c>
      <c r="B520" s="78">
        <v>406810</v>
      </c>
      <c r="C520" s="15">
        <v>2013</v>
      </c>
      <c r="D520" s="11" t="s">
        <v>36</v>
      </c>
      <c r="E520" s="15">
        <v>10</v>
      </c>
      <c r="F520" s="26">
        <v>1.8380000000000001</v>
      </c>
      <c r="G520" s="18">
        <v>0.255803375</v>
      </c>
      <c r="I520" s="18">
        <f>AVERAGE(F518:F520)</f>
        <v>1.4329999999999998</v>
      </c>
      <c r="J520" s="18">
        <f>AVERAGE(G518:G520)</f>
        <v>0.14715449999999999</v>
      </c>
      <c r="L520">
        <f>+J520/I520</f>
        <v>0.10268981158408932</v>
      </c>
      <c r="M520">
        <f>+(L520-$L$927)/$L$928</f>
        <v>-1.6721263036003513</v>
      </c>
      <c r="N520">
        <f>+N517+M520</f>
        <v>34.925299759299655</v>
      </c>
    </row>
    <row r="521" spans="1:14">
      <c r="A521" s="15">
        <v>6</v>
      </c>
      <c r="B521" s="78">
        <v>41599</v>
      </c>
      <c r="C521" s="15">
        <v>2013</v>
      </c>
      <c r="D521" s="11" t="s">
        <v>37</v>
      </c>
      <c r="E521" s="15">
        <v>11</v>
      </c>
      <c r="F521" s="26">
        <v>2.1930000000000001</v>
      </c>
      <c r="G521" s="18">
        <v>0.44691249999999993</v>
      </c>
    </row>
    <row r="522" spans="1:14">
      <c r="A522" s="15">
        <v>8</v>
      </c>
      <c r="B522" s="78">
        <v>41599</v>
      </c>
      <c r="C522" s="15">
        <v>2013</v>
      </c>
      <c r="D522" s="11" t="s">
        <v>37</v>
      </c>
      <c r="E522" s="15">
        <v>11</v>
      </c>
      <c r="F522" s="26">
        <v>0.51</v>
      </c>
      <c r="G522" s="18">
        <v>0.108892875</v>
      </c>
    </row>
    <row r="523" spans="1:14">
      <c r="A523" s="15">
        <v>15</v>
      </c>
      <c r="B523" s="78">
        <v>41599</v>
      </c>
      <c r="C523" s="15">
        <v>2013</v>
      </c>
      <c r="D523" s="11" t="s">
        <v>37</v>
      </c>
      <c r="E523" s="15">
        <v>11</v>
      </c>
      <c r="F523" s="26">
        <v>1.6080000000000001</v>
      </c>
      <c r="G523" s="18">
        <v>0.35915974999999994</v>
      </c>
      <c r="I523" s="18">
        <f>AVERAGE(F521:F523)</f>
        <v>1.4370000000000001</v>
      </c>
      <c r="J523" s="18">
        <f>AVERAGE(G521:G523)</f>
        <v>0.30498837499999998</v>
      </c>
      <c r="L523">
        <f>+J523/I523</f>
        <v>0.21223964857341682</v>
      </c>
      <c r="M523">
        <f>+(L523-$L$927)/$L$928</f>
        <v>-0.63299729991728526</v>
      </c>
      <c r="N523">
        <f>+N520+M523</f>
        <v>34.29230245938237</v>
      </c>
    </row>
    <row r="524" spans="1:14">
      <c r="A524" s="15">
        <v>6</v>
      </c>
      <c r="B524" s="78">
        <v>41624</v>
      </c>
      <c r="C524" s="15">
        <v>2013</v>
      </c>
      <c r="D524" s="11" t="s">
        <v>38</v>
      </c>
      <c r="E524" s="15">
        <v>12</v>
      </c>
      <c r="F524" s="26">
        <v>4.742</v>
      </c>
      <c r="G524" s="18">
        <v>1.9930667499999999</v>
      </c>
    </row>
    <row r="525" spans="1:14">
      <c r="A525" s="15">
        <v>8</v>
      </c>
      <c r="B525" s="78">
        <v>41627</v>
      </c>
      <c r="C525" s="15">
        <v>2013</v>
      </c>
      <c r="D525" s="11" t="s">
        <v>38</v>
      </c>
      <c r="E525" s="15">
        <v>12</v>
      </c>
      <c r="F525" s="26">
        <v>1.417</v>
      </c>
      <c r="G525" s="18">
        <v>0.41722912499999998</v>
      </c>
    </row>
    <row r="526" spans="1:14">
      <c r="A526" s="15">
        <v>15</v>
      </c>
      <c r="B526" s="78">
        <v>41627</v>
      </c>
      <c r="C526" s="15">
        <v>2013</v>
      </c>
      <c r="D526" s="11" t="s">
        <v>38</v>
      </c>
      <c r="E526" s="15">
        <v>12</v>
      </c>
      <c r="F526" s="26">
        <v>3.1640000000000001</v>
      </c>
      <c r="G526" s="18">
        <v>1.1139265</v>
      </c>
      <c r="I526" s="18">
        <f>AVERAGE(F524:F526)</f>
        <v>3.1076666666666668</v>
      </c>
      <c r="J526" s="18">
        <f>AVERAGE(G524:G526)</f>
        <v>1.1747407916666666</v>
      </c>
      <c r="L526">
        <f>+J526/I526</f>
        <v>0.37801376970932099</v>
      </c>
      <c r="M526">
        <f>+(L526-$L$927)/$L$928</f>
        <v>0.93944408444707406</v>
      </c>
      <c r="N526">
        <f>+N523+M526</f>
        <v>35.231746543829445</v>
      </c>
    </row>
    <row r="527" spans="1:14">
      <c r="A527" s="15">
        <v>6</v>
      </c>
      <c r="B527" s="78">
        <v>41654</v>
      </c>
      <c r="C527" s="15">
        <v>2014</v>
      </c>
      <c r="D527" s="11" t="s">
        <v>39</v>
      </c>
      <c r="E527" s="15">
        <v>1</v>
      </c>
      <c r="F527" s="26">
        <v>2.57</v>
      </c>
      <c r="G527" s="18">
        <v>1.0897259999999998</v>
      </c>
    </row>
    <row r="528" spans="1:14">
      <c r="A528" s="15">
        <v>8</v>
      </c>
      <c r="B528" s="78">
        <v>41655</v>
      </c>
      <c r="C528" s="15">
        <v>2014</v>
      </c>
      <c r="D528" s="11" t="s">
        <v>39</v>
      </c>
      <c r="E528" s="15">
        <v>1</v>
      </c>
      <c r="F528" s="26">
        <v>1.9390000000000001</v>
      </c>
      <c r="G528" s="18">
        <v>0.83379287499999999</v>
      </c>
    </row>
    <row r="529" spans="1:14">
      <c r="A529" s="15">
        <v>15</v>
      </c>
      <c r="B529" s="78">
        <v>41655</v>
      </c>
      <c r="C529" s="15">
        <v>2014</v>
      </c>
      <c r="D529" s="11" t="s">
        <v>39</v>
      </c>
      <c r="E529" s="15">
        <v>1</v>
      </c>
      <c r="F529" s="26">
        <v>2.8519999999999999</v>
      </c>
      <c r="G529" s="18">
        <v>1.10187575</v>
      </c>
      <c r="I529" s="18">
        <f>AVERAGE(F527:F529)</f>
        <v>2.4536666666666669</v>
      </c>
      <c r="J529" s="18">
        <f>AVERAGE(G527:G529)</f>
        <v>1.0084648749999998</v>
      </c>
      <c r="L529">
        <f>+J529/I529</f>
        <v>0.41100320948240715</v>
      </c>
      <c r="M529">
        <f>+(L529-$L$927)/$L$928</f>
        <v>1.2523636161010478</v>
      </c>
      <c r="N529">
        <f>+N526+M529</f>
        <v>36.484110159930495</v>
      </c>
    </row>
    <row r="530" spans="1:14">
      <c r="A530" s="15">
        <v>6</v>
      </c>
      <c r="B530" s="78">
        <v>41688</v>
      </c>
      <c r="C530" s="15">
        <v>2014</v>
      </c>
      <c r="D530" s="11" t="s">
        <v>28</v>
      </c>
      <c r="E530" s="15">
        <v>2</v>
      </c>
      <c r="F530" s="26">
        <v>5.194</v>
      </c>
      <c r="G530" s="18">
        <v>2.1479910000000006</v>
      </c>
    </row>
    <row r="531" spans="1:14">
      <c r="A531" s="15">
        <v>8</v>
      </c>
      <c r="B531" s="78">
        <v>41690</v>
      </c>
      <c r="C531" s="15">
        <v>2014</v>
      </c>
      <c r="D531" s="11" t="s">
        <v>28</v>
      </c>
      <c r="E531" s="15">
        <v>2</v>
      </c>
      <c r="F531" s="26">
        <v>2.6349999999999998</v>
      </c>
      <c r="G531" s="18">
        <v>0.98751750000000005</v>
      </c>
    </row>
    <row r="532" spans="1:14">
      <c r="A532" s="15">
        <v>15</v>
      </c>
      <c r="B532" s="78">
        <v>41690</v>
      </c>
      <c r="C532" s="15">
        <v>2014</v>
      </c>
      <c r="D532" s="11" t="s">
        <v>28</v>
      </c>
      <c r="E532" s="15">
        <v>2</v>
      </c>
      <c r="F532" s="26">
        <v>2.0369999999999999</v>
      </c>
      <c r="G532" s="18">
        <v>0.80476624999999979</v>
      </c>
      <c r="I532" s="18">
        <f>AVERAGE(F530:F532)</f>
        <v>3.2886666666666664</v>
      </c>
      <c r="J532" s="18">
        <f>AVERAGE(G530:G532)</f>
        <v>1.3134249166666667</v>
      </c>
      <c r="L532">
        <f>+J532/I532</f>
        <v>0.39937915568619509</v>
      </c>
      <c r="M532">
        <f>+(L532-$L$927)/$L$928</f>
        <v>1.1421042878174927</v>
      </c>
      <c r="N532">
        <f>+N529+M532</f>
        <v>37.626214447747991</v>
      </c>
    </row>
    <row r="533" spans="1:14">
      <c r="A533" s="32">
        <v>6</v>
      </c>
      <c r="B533" s="80">
        <v>41719</v>
      </c>
      <c r="C533" s="32">
        <v>2014</v>
      </c>
      <c r="D533" s="34" t="s">
        <v>29</v>
      </c>
      <c r="E533" s="15">
        <v>3</v>
      </c>
      <c r="F533" s="35">
        <v>3.532</v>
      </c>
      <c r="G533" s="36">
        <v>1.64696</v>
      </c>
    </row>
    <row r="534" spans="1:14">
      <c r="A534" s="15">
        <v>8</v>
      </c>
      <c r="B534" s="78">
        <v>41718</v>
      </c>
      <c r="C534" s="15">
        <v>2014</v>
      </c>
      <c r="D534" s="11" t="s">
        <v>29</v>
      </c>
      <c r="E534" s="15">
        <v>3</v>
      </c>
      <c r="F534" s="26">
        <v>3.2989999999999999</v>
      </c>
      <c r="G534" s="18">
        <v>1.3240952500000001</v>
      </c>
    </row>
    <row r="535" spans="1:14">
      <c r="A535" s="15">
        <v>15</v>
      </c>
      <c r="B535" s="78">
        <v>41718</v>
      </c>
      <c r="C535" s="15">
        <v>2014</v>
      </c>
      <c r="D535" s="11" t="s">
        <v>29</v>
      </c>
      <c r="E535" s="15">
        <v>3</v>
      </c>
      <c r="F535" s="26">
        <v>5.0549999999999997</v>
      </c>
      <c r="G535" s="18">
        <v>2.4427641250000001</v>
      </c>
      <c r="I535" s="18">
        <f>AVERAGE(F533:F535)</f>
        <v>3.9619999999999997</v>
      </c>
      <c r="J535" s="18">
        <f>AVERAGE(G533:G535)</f>
        <v>1.8046064583333334</v>
      </c>
      <c r="L535">
        <f>+J535/I535</f>
        <v>0.45547866187110891</v>
      </c>
      <c r="M535">
        <f>+(L535-$L$927)/$L$928</f>
        <v>1.6742330939490861</v>
      </c>
      <c r="N535">
        <f>+N532+M535</f>
        <v>39.300447541697075</v>
      </c>
    </row>
    <row r="536" spans="1:14">
      <c r="A536" s="15">
        <v>6</v>
      </c>
      <c r="B536" s="78">
        <v>41747</v>
      </c>
      <c r="C536" s="15">
        <v>2014</v>
      </c>
      <c r="D536" s="11" t="s">
        <v>30</v>
      </c>
      <c r="E536" s="15">
        <v>4</v>
      </c>
      <c r="F536" s="38">
        <v>3.5249999999999999</v>
      </c>
      <c r="G536" s="18">
        <v>1.6397242499999998</v>
      </c>
    </row>
    <row r="537" spans="1:14">
      <c r="A537" s="15">
        <v>8</v>
      </c>
      <c r="B537" s="78">
        <v>41750</v>
      </c>
      <c r="C537" s="15">
        <v>2014</v>
      </c>
      <c r="D537" s="11" t="s">
        <v>30</v>
      </c>
      <c r="E537" s="15">
        <v>4</v>
      </c>
      <c r="F537" s="38">
        <v>1.02</v>
      </c>
      <c r="G537" s="18">
        <v>0.303593375</v>
      </c>
    </row>
    <row r="538" spans="1:14">
      <c r="A538" s="15">
        <v>15</v>
      </c>
      <c r="B538" s="78">
        <v>41750</v>
      </c>
      <c r="C538" s="15">
        <v>2014</v>
      </c>
      <c r="D538" s="11" t="s">
        <v>30</v>
      </c>
      <c r="E538" s="15">
        <v>4</v>
      </c>
      <c r="F538" s="38">
        <v>2.5870000000000002</v>
      </c>
      <c r="G538" s="18">
        <v>1.1846015000000001</v>
      </c>
      <c r="I538" s="18">
        <f>AVERAGE(F536:F538)</f>
        <v>2.3773333333333331</v>
      </c>
      <c r="J538" s="18">
        <f>AVERAGE(G536:G538)</f>
        <v>1.0426397083333334</v>
      </c>
      <c r="L538">
        <f>+J538/I538</f>
        <v>0.43857531197420085</v>
      </c>
      <c r="M538">
        <f>+(L538-$L$927)/$L$928</f>
        <v>1.513897290446325</v>
      </c>
      <c r="N538">
        <f>+N535+M538</f>
        <v>40.814344832143398</v>
      </c>
    </row>
    <row r="539" spans="1:14">
      <c r="A539" s="15">
        <v>6</v>
      </c>
      <c r="B539" s="78">
        <v>41772</v>
      </c>
      <c r="C539" s="15">
        <v>2014</v>
      </c>
      <c r="D539" s="11" t="s">
        <v>31</v>
      </c>
      <c r="E539" s="15">
        <v>5</v>
      </c>
      <c r="F539" s="38">
        <v>1.8720000000000001</v>
      </c>
      <c r="G539" s="18">
        <v>0.20579149999999996</v>
      </c>
    </row>
    <row r="540" spans="1:14">
      <c r="A540" s="15">
        <v>8</v>
      </c>
      <c r="B540" s="78">
        <v>41406</v>
      </c>
      <c r="C540" s="15">
        <v>2014</v>
      </c>
      <c r="D540" s="11" t="s">
        <v>31</v>
      </c>
      <c r="E540" s="15">
        <v>5</v>
      </c>
      <c r="F540" s="38">
        <v>1.1919999999999999</v>
      </c>
      <c r="G540" s="18">
        <v>0.18357124999999994</v>
      </c>
    </row>
    <row r="541" spans="1:14">
      <c r="A541" s="15">
        <v>15</v>
      </c>
      <c r="B541" s="78">
        <v>41406</v>
      </c>
      <c r="C541" s="15">
        <v>2014</v>
      </c>
      <c r="D541" s="11" t="s">
        <v>31</v>
      </c>
      <c r="E541" s="15">
        <v>5</v>
      </c>
      <c r="F541" s="38">
        <v>1.1439999999999999</v>
      </c>
      <c r="G541" s="18">
        <v>6.4500249999999981E-2</v>
      </c>
      <c r="I541" s="18">
        <f>AVERAGE(F539:F541)</f>
        <v>1.4026666666666667</v>
      </c>
      <c r="J541" s="18">
        <f>AVERAGE(G539:G541)</f>
        <v>0.15128766666666663</v>
      </c>
      <c r="L541">
        <f>+J541/I541</f>
        <v>0.10785717680608362</v>
      </c>
      <c r="M541">
        <f>+(L541-$L$927)/$L$928</f>
        <v>-1.623111542626124</v>
      </c>
      <c r="N541">
        <f>+N538+M541</f>
        <v>39.191233289517271</v>
      </c>
    </row>
    <row r="542" spans="1:14">
      <c r="A542" s="15">
        <v>6</v>
      </c>
      <c r="B542" s="78">
        <v>41808</v>
      </c>
      <c r="C542" s="15">
        <v>2014</v>
      </c>
      <c r="D542" s="11" t="s">
        <v>32</v>
      </c>
      <c r="E542" s="15">
        <v>6</v>
      </c>
      <c r="F542" s="38">
        <v>4.5490000000000004</v>
      </c>
      <c r="G542" s="18">
        <v>1.2678983749999997</v>
      </c>
    </row>
    <row r="543" spans="1:14">
      <c r="A543" s="15">
        <v>8</v>
      </c>
      <c r="B543" s="78">
        <v>41807</v>
      </c>
      <c r="C543" s="15">
        <v>2014</v>
      </c>
      <c r="D543" s="11" t="s">
        <v>32</v>
      </c>
      <c r="E543" s="15">
        <v>6</v>
      </c>
      <c r="F543" s="38">
        <v>2.823</v>
      </c>
      <c r="G543" s="18">
        <v>0.9740049999999999</v>
      </c>
    </row>
    <row r="544" spans="1:14">
      <c r="A544" s="15">
        <v>15</v>
      </c>
      <c r="B544" s="78">
        <v>41807</v>
      </c>
      <c r="C544" s="15">
        <v>2014</v>
      </c>
      <c r="D544" s="11" t="s">
        <v>32</v>
      </c>
      <c r="E544" s="15">
        <v>6</v>
      </c>
      <c r="F544" s="38">
        <v>2.129</v>
      </c>
      <c r="G544" s="18">
        <v>0.79169624999999988</v>
      </c>
      <c r="I544" s="18">
        <f>AVERAGE(F542:F544)</f>
        <v>3.1669999999999998</v>
      </c>
      <c r="J544" s="18">
        <f>AVERAGE(G542:G544)</f>
        <v>1.0111998749999997</v>
      </c>
      <c r="L544">
        <f>+J544/I544</f>
        <v>0.31929266656141453</v>
      </c>
      <c r="M544">
        <f>+(L544-$L$927)/$L$928</f>
        <v>0.38244826331044252</v>
      </c>
      <c r="N544">
        <f>+N541+M544</f>
        <v>39.573681552827715</v>
      </c>
    </row>
    <row r="545" spans="1:14">
      <c r="A545" s="15">
        <v>6</v>
      </c>
      <c r="B545" s="78">
        <v>41834</v>
      </c>
      <c r="C545" s="15">
        <v>2014</v>
      </c>
      <c r="D545" s="11" t="s">
        <v>33</v>
      </c>
      <c r="E545" s="15">
        <v>7</v>
      </c>
      <c r="F545" s="38">
        <v>1.706</v>
      </c>
      <c r="G545" s="18">
        <v>0.35359487499999998</v>
      </c>
    </row>
    <row r="546" spans="1:14">
      <c r="A546" s="15">
        <v>8</v>
      </c>
      <c r="B546" s="78">
        <v>41837</v>
      </c>
      <c r="C546" s="15">
        <v>2014</v>
      </c>
      <c r="D546" s="11" t="s">
        <v>33</v>
      </c>
      <c r="E546" s="15">
        <v>7</v>
      </c>
      <c r="F546" s="38">
        <v>2.9140000000000001</v>
      </c>
      <c r="G546" s="18">
        <v>0.49849137500000001</v>
      </c>
    </row>
    <row r="547" spans="1:14">
      <c r="A547" s="15">
        <v>15</v>
      </c>
      <c r="B547" s="78">
        <v>41837</v>
      </c>
      <c r="C547" s="15">
        <v>2014</v>
      </c>
      <c r="D547" s="11" t="s">
        <v>33</v>
      </c>
      <c r="E547" s="15">
        <v>7</v>
      </c>
      <c r="F547" s="38">
        <v>3.3260000000000001</v>
      </c>
      <c r="G547" s="18">
        <v>1.259355875</v>
      </c>
      <c r="I547" s="18">
        <f>AVERAGE(F545:F547)</f>
        <v>2.6486666666666667</v>
      </c>
      <c r="J547" s="18">
        <f>AVERAGE(G545:G547)</f>
        <v>0.70381404166666661</v>
      </c>
      <c r="L547">
        <f>+J547/I547</f>
        <v>0.26572390196325191</v>
      </c>
      <c r="M547">
        <f>+(L547-$L$927)/$L$928</f>
        <v>-0.12567533153200697</v>
      </c>
      <c r="N547">
        <f>+N544+M547</f>
        <v>39.448006221295707</v>
      </c>
    </row>
    <row r="548" spans="1:14">
      <c r="A548" s="15">
        <v>6</v>
      </c>
      <c r="B548" s="78">
        <v>41862</v>
      </c>
      <c r="C548" s="15">
        <v>2014</v>
      </c>
      <c r="D548" s="11" t="s">
        <v>34</v>
      </c>
      <c r="E548" s="15">
        <v>8</v>
      </c>
      <c r="F548" s="38">
        <v>2.972</v>
      </c>
      <c r="G548" s="18">
        <v>0.24460299999999999</v>
      </c>
    </row>
    <row r="549" spans="1:14">
      <c r="A549" s="15">
        <v>8</v>
      </c>
      <c r="B549" s="78">
        <v>41862</v>
      </c>
      <c r="C549" s="15">
        <v>2014</v>
      </c>
      <c r="D549" s="11" t="s">
        <v>34</v>
      </c>
      <c r="E549" s="15">
        <v>8</v>
      </c>
      <c r="F549" s="38">
        <v>4.1749999999999998</v>
      </c>
      <c r="G549" s="18">
        <v>1.3164909999999999</v>
      </c>
    </row>
    <row r="550" spans="1:14">
      <c r="A550" s="15">
        <v>15</v>
      </c>
      <c r="B550" s="78">
        <v>41862</v>
      </c>
      <c r="C550" s="15">
        <v>2014</v>
      </c>
      <c r="D550" s="11" t="s">
        <v>34</v>
      </c>
      <c r="E550" s="15">
        <v>8</v>
      </c>
      <c r="F550" s="38">
        <v>1.121</v>
      </c>
      <c r="G550" s="18">
        <v>0.36969475000000002</v>
      </c>
      <c r="I550" s="18">
        <f>AVERAGE(F548:F550)</f>
        <v>2.7560000000000002</v>
      </c>
      <c r="J550" s="18">
        <f>AVERAGE(G548:G550)</f>
        <v>0.64359624999999998</v>
      </c>
      <c r="L550">
        <f>+J550/I550</f>
        <v>0.23352548984034829</v>
      </c>
      <c r="M550">
        <f>+(L550-$L$927)/$L$928</f>
        <v>-0.43109161355449094</v>
      </c>
      <c r="N550">
        <f>+N547+M550</f>
        <v>39.016914607741214</v>
      </c>
    </row>
    <row r="551" spans="1:14">
      <c r="A551" s="15">
        <v>6</v>
      </c>
      <c r="B551" s="78">
        <v>41898</v>
      </c>
      <c r="C551" s="15">
        <v>2014</v>
      </c>
      <c r="D551" s="11" t="s">
        <v>40</v>
      </c>
      <c r="E551" s="15">
        <v>9</v>
      </c>
      <c r="F551" s="38">
        <v>3.35</v>
      </c>
      <c r="G551" s="18">
        <v>0.63321974999999986</v>
      </c>
    </row>
    <row r="552" spans="1:14">
      <c r="A552" s="15">
        <v>8</v>
      </c>
      <c r="B552" s="78">
        <v>41897</v>
      </c>
      <c r="C552" s="15">
        <v>2014</v>
      </c>
      <c r="D552" s="11" t="s">
        <v>40</v>
      </c>
      <c r="E552" s="15">
        <v>9</v>
      </c>
      <c r="F552" s="38">
        <v>1.718</v>
      </c>
      <c r="G552" s="18">
        <v>0.38743212500000002</v>
      </c>
    </row>
    <row r="553" spans="1:14">
      <c r="A553" s="15">
        <v>15</v>
      </c>
      <c r="B553" s="78">
        <v>41897</v>
      </c>
      <c r="C553" s="15">
        <v>2014</v>
      </c>
      <c r="D553" s="11" t="s">
        <v>40</v>
      </c>
      <c r="E553" s="15">
        <v>9</v>
      </c>
      <c r="F553" s="38">
        <v>1.7669999999999999</v>
      </c>
      <c r="G553" s="18">
        <v>0.51165612500000002</v>
      </c>
      <c r="I553" s="18">
        <f>AVERAGE(F551:F553)</f>
        <v>2.2783333333333329</v>
      </c>
      <c r="J553" s="18">
        <f>AVERAGE(G551:G553)</f>
        <v>0.5107693333333333</v>
      </c>
      <c r="L553">
        <f>+J553/I553</f>
        <v>0.22418551572787129</v>
      </c>
      <c r="M553">
        <f>+(L553-$L$927)/$L$928</f>
        <v>-0.51968542857650113</v>
      </c>
      <c r="N553">
        <f>+N550+M553</f>
        <v>38.497229179164712</v>
      </c>
    </row>
    <row r="554" spans="1:14">
      <c r="A554" s="15">
        <v>6</v>
      </c>
      <c r="B554" s="78">
        <v>41929</v>
      </c>
      <c r="C554" s="15">
        <v>2014</v>
      </c>
      <c r="D554" s="11" t="s">
        <v>36</v>
      </c>
      <c r="E554" s="15">
        <v>10</v>
      </c>
      <c r="F554" s="26">
        <v>1.51</v>
      </c>
      <c r="G554" s="18">
        <v>0.43258437500000002</v>
      </c>
    </row>
    <row r="555" spans="1:14">
      <c r="A555" s="15">
        <v>8</v>
      </c>
      <c r="B555" s="78">
        <v>41928</v>
      </c>
      <c r="C555" s="15">
        <v>2014</v>
      </c>
      <c r="D555" s="11" t="s">
        <v>36</v>
      </c>
      <c r="E555" s="15">
        <v>10</v>
      </c>
      <c r="F555" s="26">
        <v>1.224</v>
      </c>
      <c r="G555" s="18">
        <v>0.22581725000000002</v>
      </c>
    </row>
    <row r="556" spans="1:14">
      <c r="A556" s="15">
        <v>15</v>
      </c>
      <c r="B556" s="78">
        <v>41928</v>
      </c>
      <c r="C556" s="15">
        <v>2014</v>
      </c>
      <c r="D556" s="11" t="s">
        <v>36</v>
      </c>
      <c r="E556" s="15">
        <v>10</v>
      </c>
      <c r="F556" s="26">
        <v>2.0169999999999999</v>
      </c>
      <c r="G556" s="18">
        <v>0.42733824999999992</v>
      </c>
      <c r="I556" s="18">
        <f>AVERAGE(F554:F556)</f>
        <v>1.5836666666666666</v>
      </c>
      <c r="J556" s="18">
        <f>AVERAGE(G554:G556)</f>
        <v>0.36191329166666658</v>
      </c>
      <c r="L556">
        <f>+J556/I556</f>
        <v>0.22852870448326665</v>
      </c>
      <c r="M556">
        <f>+(L556-$L$927)/$L$928</f>
        <v>-0.47848834852387501</v>
      </c>
      <c r="N556">
        <f>+N553+M556</f>
        <v>38.018740830640837</v>
      </c>
    </row>
    <row r="557" spans="1:14">
      <c r="A557" s="15">
        <v>6</v>
      </c>
      <c r="B557" s="78">
        <v>41953</v>
      </c>
      <c r="C557" s="15">
        <v>2014</v>
      </c>
      <c r="D557" s="11" t="s">
        <v>37</v>
      </c>
      <c r="E557" s="15">
        <v>11</v>
      </c>
      <c r="F557" s="26">
        <v>3.0049999999999999</v>
      </c>
      <c r="G557" s="18">
        <v>0.32425074999999998</v>
      </c>
    </row>
    <row r="558" spans="1:14">
      <c r="A558" s="15">
        <v>8</v>
      </c>
      <c r="B558" s="78">
        <v>41955</v>
      </c>
      <c r="C558" s="15">
        <v>2014</v>
      </c>
      <c r="D558" s="11" t="s">
        <v>37</v>
      </c>
      <c r="E558" s="15">
        <v>11</v>
      </c>
      <c r="F558" s="26">
        <v>0.77900000000000003</v>
      </c>
      <c r="G558" s="18">
        <v>0.10562362499999998</v>
      </c>
    </row>
    <row r="559" spans="1:14">
      <c r="A559" s="15">
        <v>15</v>
      </c>
      <c r="B559" s="78">
        <v>41955</v>
      </c>
      <c r="C559" s="15">
        <v>2014</v>
      </c>
      <c r="D559" s="11" t="s">
        <v>37</v>
      </c>
      <c r="E559" s="15">
        <v>11</v>
      </c>
      <c r="F559" s="26">
        <v>1.903</v>
      </c>
      <c r="G559" s="18">
        <v>0.16562974999999996</v>
      </c>
      <c r="I559" s="18">
        <f>AVERAGE(F557:F559)</f>
        <v>1.8956666666666664</v>
      </c>
      <c r="J559" s="18">
        <f>AVERAGE(G557:G559)</f>
        <v>0.19850137499999998</v>
      </c>
      <c r="L559">
        <f>+J559/I559</f>
        <v>0.10471322753648672</v>
      </c>
      <c r="M559">
        <f>+(L559-$L$927)/$L$928</f>
        <v>-1.6529333019452603</v>
      </c>
      <c r="N559">
        <f>+N556+M559</f>
        <v>36.365807528695576</v>
      </c>
    </row>
    <row r="560" spans="1:14">
      <c r="A560" s="15">
        <v>6</v>
      </c>
      <c r="B560" s="78">
        <v>41988</v>
      </c>
      <c r="C560" s="15">
        <v>2014</v>
      </c>
      <c r="D560" s="11" t="s">
        <v>38</v>
      </c>
      <c r="E560" s="15">
        <v>12</v>
      </c>
      <c r="F560" s="26">
        <v>3.819</v>
      </c>
      <c r="G560" s="18">
        <v>1.402434875</v>
      </c>
    </row>
    <row r="561" spans="1:14">
      <c r="A561" s="15">
        <v>8</v>
      </c>
      <c r="B561" s="78">
        <v>41992</v>
      </c>
      <c r="C561" s="15">
        <v>2014</v>
      </c>
      <c r="D561" s="11" t="s">
        <v>38</v>
      </c>
      <c r="E561" s="15">
        <v>12</v>
      </c>
      <c r="F561" s="26">
        <v>1.2869999999999999</v>
      </c>
      <c r="G561" s="18">
        <v>0.26378712499999996</v>
      </c>
    </row>
    <row r="562" spans="1:14">
      <c r="A562" s="15">
        <v>15</v>
      </c>
      <c r="B562" s="78">
        <v>41992</v>
      </c>
      <c r="C562" s="15">
        <v>2014</v>
      </c>
      <c r="D562" s="11" t="s">
        <v>38</v>
      </c>
      <c r="E562" s="15">
        <v>12</v>
      </c>
      <c r="F562" s="26">
        <v>2.2200000000000002</v>
      </c>
      <c r="G562" s="18">
        <v>0.61752200000000002</v>
      </c>
      <c r="I562" s="18">
        <f>AVERAGE(F560:F562)</f>
        <v>2.4420000000000002</v>
      </c>
      <c r="J562" s="18">
        <f>AVERAGE(G560:G562)</f>
        <v>0.76124800000000004</v>
      </c>
      <c r="L562">
        <f>+J562/I562</f>
        <v>0.31173136773136773</v>
      </c>
      <c r="M562">
        <f>+(L562-$L$927)/$L$928</f>
        <v>0.31072597566722199</v>
      </c>
      <c r="N562">
        <f>+N559+M562</f>
        <v>36.676533504362801</v>
      </c>
    </row>
    <row r="563" spans="1:14">
      <c r="A563" s="8">
        <v>6</v>
      </c>
      <c r="B563" s="73">
        <v>42014</v>
      </c>
      <c r="E563" s="10">
        <v>1</v>
      </c>
      <c r="F563" s="83">
        <v>3.9870000000000001</v>
      </c>
      <c r="G563" s="83">
        <v>1.0980000000000001</v>
      </c>
    </row>
    <row r="564" spans="1:14">
      <c r="A564" s="8">
        <v>8</v>
      </c>
      <c r="B564" s="73">
        <v>42009</v>
      </c>
      <c r="E564" s="10">
        <v>1</v>
      </c>
      <c r="F564" s="83">
        <v>4.7270000000000003</v>
      </c>
      <c r="G564" s="83">
        <v>1.4450000000000001</v>
      </c>
    </row>
    <row r="565" spans="1:14">
      <c r="A565" s="8">
        <v>15</v>
      </c>
      <c r="B565" s="73">
        <v>42009</v>
      </c>
      <c r="E565" s="10">
        <v>1</v>
      </c>
      <c r="F565" s="83">
        <v>1.9930000000000001</v>
      </c>
      <c r="G565" s="83">
        <v>0.35899999999999999</v>
      </c>
      <c r="I565" s="18">
        <f>AVERAGE(F563:F565)</f>
        <v>3.5690000000000004</v>
      </c>
      <c r="J565" s="18">
        <f>AVERAGE(G563:G565)</f>
        <v>0.96733333333333338</v>
      </c>
      <c r="L565">
        <f>+J565/I565</f>
        <v>0.27103763892780425</v>
      </c>
      <c r="M565">
        <f>+(L565-$L$927)/$L$928</f>
        <v>-7.5272169377168893E-2</v>
      </c>
      <c r="N565">
        <f>+N562+M565</f>
        <v>36.60126133498563</v>
      </c>
    </row>
    <row r="566" spans="1:14">
      <c r="A566" s="8">
        <v>6</v>
      </c>
      <c r="B566" s="74">
        <v>42036</v>
      </c>
      <c r="E566" s="12">
        <v>2</v>
      </c>
    </row>
    <row r="567" spans="1:14">
      <c r="A567" s="8">
        <v>8</v>
      </c>
      <c r="B567" s="74">
        <v>42036</v>
      </c>
      <c r="E567" s="12">
        <v>2</v>
      </c>
    </row>
    <row r="568" spans="1:14">
      <c r="A568" s="8">
        <v>15</v>
      </c>
      <c r="B568" s="74">
        <v>42036</v>
      </c>
      <c r="E568" s="12">
        <v>2</v>
      </c>
      <c r="I568" s="18"/>
      <c r="J568" s="18"/>
    </row>
    <row r="569" spans="1:14">
      <c r="A569" s="8">
        <v>6</v>
      </c>
      <c r="B569" s="74">
        <v>42064</v>
      </c>
      <c r="E569" s="12">
        <v>3</v>
      </c>
      <c r="F569" s="83">
        <v>10.461</v>
      </c>
      <c r="G569" s="83">
        <v>3.3010000000000002</v>
      </c>
    </row>
    <row r="570" spans="1:14">
      <c r="A570" s="8">
        <v>8</v>
      </c>
      <c r="B570" s="74">
        <v>42064</v>
      </c>
      <c r="E570" s="12">
        <v>3</v>
      </c>
      <c r="F570" s="83">
        <v>9.5190000000000001</v>
      </c>
      <c r="G570" s="83">
        <v>3.6080000000000001</v>
      </c>
    </row>
    <row r="571" spans="1:14">
      <c r="A571" s="8">
        <v>15</v>
      </c>
      <c r="B571" s="74">
        <v>42064</v>
      </c>
      <c r="E571" s="12">
        <v>3</v>
      </c>
      <c r="F571" s="83">
        <v>7.3259999999999996</v>
      </c>
      <c r="G571" s="83">
        <v>2.4870000000000001</v>
      </c>
      <c r="I571" s="18">
        <f>AVERAGE(F569:F571)</f>
        <v>9.1020000000000003</v>
      </c>
      <c r="J571" s="18">
        <f>AVERAGE(G569:G571)</f>
        <v>3.1320000000000001</v>
      </c>
      <c r="L571">
        <f>+J571/I571</f>
        <v>0.34410019775873435</v>
      </c>
      <c r="M571">
        <f>+(L571-$L$927)/$L$928</f>
        <v>0.61775874742753778</v>
      </c>
      <c r="N571">
        <f>+N565+M571</f>
        <v>37.219020082413167</v>
      </c>
    </row>
    <row r="572" spans="1:14">
      <c r="A572" s="8">
        <v>6</v>
      </c>
      <c r="B572" s="74">
        <v>42095</v>
      </c>
      <c r="E572" s="12">
        <v>4</v>
      </c>
      <c r="F572" s="83">
        <v>3.7189999999999999</v>
      </c>
      <c r="G572" s="83">
        <v>1.4570000000000001</v>
      </c>
    </row>
    <row r="573" spans="1:14">
      <c r="A573" s="8">
        <v>8</v>
      </c>
      <c r="B573" s="74">
        <v>42095</v>
      </c>
      <c r="E573" s="12">
        <v>4</v>
      </c>
      <c r="F573" s="83">
        <v>0.97899999999999998</v>
      </c>
      <c r="G573" s="83">
        <v>0.224</v>
      </c>
    </row>
    <row r="574" spans="1:14">
      <c r="A574" s="8">
        <v>15</v>
      </c>
      <c r="B574" s="74">
        <v>42095</v>
      </c>
      <c r="E574" s="12">
        <v>4</v>
      </c>
      <c r="F574" s="83">
        <v>1.6140000000000001</v>
      </c>
      <c r="G574" s="83">
        <v>0.64600000000000002</v>
      </c>
      <c r="I574" s="18">
        <f>AVERAGE(F572:F574)</f>
        <v>2.1039999999999996</v>
      </c>
      <c r="J574" s="18">
        <f>AVERAGE(G572:G574)</f>
        <v>0.77566666666666662</v>
      </c>
      <c r="L574">
        <f>+J574/I574</f>
        <v>0.36866286438529788</v>
      </c>
      <c r="M574">
        <f>+(L574-$L$927)/$L$928</f>
        <v>0.85074658201415454</v>
      </c>
      <c r="N574">
        <f>+N571+M574</f>
        <v>38.06976666442732</v>
      </c>
    </row>
    <row r="575" spans="1:14">
      <c r="A575" s="8">
        <v>6</v>
      </c>
      <c r="B575" s="74">
        <v>42125</v>
      </c>
      <c r="E575" s="12">
        <v>5</v>
      </c>
      <c r="F575" s="83">
        <v>4.6970000000000001</v>
      </c>
      <c r="G575" s="83">
        <v>0.30099999999999999</v>
      </c>
    </row>
    <row r="576" spans="1:14">
      <c r="A576" s="8">
        <v>8</v>
      </c>
      <c r="B576" s="74">
        <v>42125</v>
      </c>
      <c r="E576" s="12">
        <v>5</v>
      </c>
      <c r="F576" s="83">
        <v>2.3340000000000001</v>
      </c>
      <c r="G576" s="83">
        <v>0.24</v>
      </c>
    </row>
    <row r="577" spans="1:14">
      <c r="A577" s="8">
        <v>15</v>
      </c>
      <c r="B577" s="74">
        <v>42125</v>
      </c>
      <c r="E577" s="12">
        <v>5</v>
      </c>
      <c r="F577" s="83">
        <v>3.5310000000000001</v>
      </c>
      <c r="G577" s="83">
        <v>0.16200000000000001</v>
      </c>
      <c r="I577" s="18">
        <f>AVERAGE(F575:F577)</f>
        <v>3.5206666666666671</v>
      </c>
      <c r="J577" s="18">
        <f>AVERAGE(G575:G577)</f>
        <v>0.23433333333333331</v>
      </c>
      <c r="L577">
        <f>+J577/I577</f>
        <v>6.655936375686422E-2</v>
      </c>
      <c r="M577">
        <f>+(L577-$L$927)/$L$928</f>
        <v>-2.0148396958346551</v>
      </c>
      <c r="N577">
        <f>+N574+M577</f>
        <v>36.054926968592667</v>
      </c>
    </row>
    <row r="578" spans="1:14">
      <c r="A578" s="8">
        <v>6</v>
      </c>
      <c r="B578" s="74">
        <v>42156</v>
      </c>
      <c r="E578" s="12">
        <v>6</v>
      </c>
      <c r="F578" s="83">
        <v>3.234</v>
      </c>
      <c r="G578" s="83">
        <v>0.80400000000000005</v>
      </c>
    </row>
    <row r="579" spans="1:14">
      <c r="A579" s="8">
        <v>8</v>
      </c>
      <c r="B579" s="74">
        <v>42156</v>
      </c>
      <c r="E579" s="12">
        <v>6</v>
      </c>
      <c r="F579" s="83">
        <v>4.1740000000000004</v>
      </c>
      <c r="G579" s="83">
        <v>1.1839999999999999</v>
      </c>
    </row>
    <row r="580" spans="1:14">
      <c r="A580" s="8">
        <v>15</v>
      </c>
      <c r="B580" s="74">
        <v>42156</v>
      </c>
      <c r="E580" s="12">
        <v>6</v>
      </c>
      <c r="F580" s="83">
        <v>1.8779999999999999</v>
      </c>
      <c r="G580" s="83">
        <v>0.44600000000000001</v>
      </c>
      <c r="I580" s="18">
        <f>AVERAGE(F578:F580)</f>
        <v>3.095333333333333</v>
      </c>
      <c r="J580" s="18">
        <f>AVERAGE(G578:G580)</f>
        <v>0.81133333333333335</v>
      </c>
      <c r="L580">
        <f>+J580/I580</f>
        <v>0.26211501184578939</v>
      </c>
      <c r="M580">
        <f>+(L580-$L$927)/$L$928</f>
        <v>-0.15990726190471788</v>
      </c>
      <c r="N580">
        <f>+N577+M580</f>
        <v>35.895019706687947</v>
      </c>
    </row>
    <row r="581" spans="1:14">
      <c r="A581" s="8">
        <v>6</v>
      </c>
      <c r="B581" s="74">
        <v>42186</v>
      </c>
      <c r="E581" s="12">
        <v>7</v>
      </c>
      <c r="F581" s="83">
        <v>7.84</v>
      </c>
      <c r="G581" s="83">
        <v>1.3859999999999999</v>
      </c>
    </row>
    <row r="582" spans="1:14">
      <c r="A582" s="8">
        <v>8</v>
      </c>
      <c r="B582" s="74">
        <v>42186</v>
      </c>
      <c r="E582" s="12">
        <v>7</v>
      </c>
      <c r="F582" s="83">
        <v>1.8819999999999999</v>
      </c>
      <c r="G582" s="83">
        <v>0.56299999999999994</v>
      </c>
    </row>
    <row r="583" spans="1:14">
      <c r="A583" s="8">
        <v>15</v>
      </c>
      <c r="B583" s="74">
        <v>42186</v>
      </c>
      <c r="E583" s="12">
        <v>7</v>
      </c>
      <c r="F583" s="83">
        <v>2.536</v>
      </c>
      <c r="G583" s="83">
        <v>0.64100000000000001</v>
      </c>
      <c r="I583" s="18">
        <f>AVERAGE(F581:F583)</f>
        <v>4.0859999999999994</v>
      </c>
      <c r="J583" s="18">
        <f>AVERAGE(G581:G583)</f>
        <v>0.86333333333333329</v>
      </c>
      <c r="L583">
        <f>+J583/I583</f>
        <v>0.21129058573992496</v>
      </c>
      <c r="M583">
        <f>+(L583-$L$927)/$L$928</f>
        <v>-0.64199958366048337</v>
      </c>
      <c r="N583">
        <f>+N580+M583</f>
        <v>35.253020123027461</v>
      </c>
    </row>
    <row r="584" spans="1:14">
      <c r="A584" s="8">
        <v>6</v>
      </c>
      <c r="B584" s="74">
        <v>42217</v>
      </c>
      <c r="E584" s="12">
        <v>8</v>
      </c>
      <c r="F584" s="83">
        <v>5.6269999999999998</v>
      </c>
      <c r="G584" s="83">
        <v>1.895</v>
      </c>
    </row>
    <row r="585" spans="1:14">
      <c r="A585" s="8">
        <v>8</v>
      </c>
      <c r="B585" s="74">
        <v>42217</v>
      </c>
      <c r="E585" s="12">
        <v>8</v>
      </c>
      <c r="F585" s="83">
        <v>8.9949999999999992</v>
      </c>
      <c r="G585" s="83">
        <v>0.46500000000000002</v>
      </c>
    </row>
    <row r="586" spans="1:14">
      <c r="A586" s="8">
        <v>15</v>
      </c>
      <c r="B586" s="74">
        <v>42217</v>
      </c>
      <c r="E586" s="12">
        <v>8</v>
      </c>
      <c r="F586" s="83">
        <v>6.1379999999999999</v>
      </c>
      <c r="G586" s="83">
        <v>1.4330000000000001</v>
      </c>
      <c r="I586" s="18">
        <f>AVERAGE(F584:F586)</f>
        <v>6.919999999999999</v>
      </c>
      <c r="J586" s="18">
        <f>AVERAGE(G584:G586)</f>
        <v>1.2643333333333333</v>
      </c>
      <c r="L586">
        <f>+J586/I586</f>
        <v>0.18270712909441236</v>
      </c>
      <c r="M586">
        <f>+(L586-$L$927)/$L$928</f>
        <v>-0.91312640266947209</v>
      </c>
      <c r="N586">
        <f>+N583+M586</f>
        <v>34.339893720357992</v>
      </c>
    </row>
    <row r="587" spans="1:14">
      <c r="A587" s="8">
        <v>6</v>
      </c>
      <c r="B587" s="74">
        <v>42248</v>
      </c>
      <c r="E587" s="12">
        <v>9</v>
      </c>
      <c r="F587" s="83">
        <v>10.029999999999999</v>
      </c>
      <c r="G587" s="83">
        <v>2.7330000000000001</v>
      </c>
    </row>
    <row r="588" spans="1:14">
      <c r="A588" s="8">
        <v>8</v>
      </c>
      <c r="B588" s="74">
        <v>42248</v>
      </c>
      <c r="E588" s="12">
        <v>9</v>
      </c>
      <c r="F588" s="83">
        <v>2.4670000000000001</v>
      </c>
      <c r="G588" s="83">
        <v>0.42</v>
      </c>
    </row>
    <row r="589" spans="1:14">
      <c r="A589" s="8">
        <v>15</v>
      </c>
      <c r="B589" s="74">
        <v>42248</v>
      </c>
      <c r="E589" s="12">
        <v>9</v>
      </c>
      <c r="F589" s="83">
        <v>7.7430000000000003</v>
      </c>
      <c r="G589" s="83">
        <v>2.0030000000000001</v>
      </c>
      <c r="I589" s="18">
        <f>AVERAGE(F587:F589)</f>
        <v>6.746666666666667</v>
      </c>
      <c r="J589" s="18">
        <f>AVERAGE(G587:G589)</f>
        <v>1.7186666666666668</v>
      </c>
      <c r="L589">
        <f>+J589/I589</f>
        <v>0.2547430830039526</v>
      </c>
      <c r="M589">
        <f>+(L589-$L$927)/$L$928</f>
        <v>-0.229833290853411</v>
      </c>
      <c r="N589">
        <f>+N586+M589</f>
        <v>34.110060429504578</v>
      </c>
    </row>
    <row r="590" spans="1:14">
      <c r="A590" s="8">
        <v>6</v>
      </c>
      <c r="B590" s="74">
        <v>42278</v>
      </c>
      <c r="E590" s="12">
        <v>10</v>
      </c>
      <c r="F590" s="83">
        <v>6.0460000000000003</v>
      </c>
      <c r="G590" s="83">
        <v>1.1519999999999999</v>
      </c>
    </row>
    <row r="591" spans="1:14">
      <c r="A591" s="8">
        <v>8</v>
      </c>
      <c r="B591" s="74">
        <v>42278</v>
      </c>
      <c r="E591" s="12">
        <v>10</v>
      </c>
      <c r="F591" s="83">
        <v>1.417</v>
      </c>
      <c r="G591" s="83">
        <v>0.26100000000000001</v>
      </c>
    </row>
    <row r="592" spans="1:14">
      <c r="A592" s="8">
        <v>15</v>
      </c>
      <c r="B592" s="74">
        <v>42278</v>
      </c>
      <c r="E592" s="12">
        <v>10</v>
      </c>
      <c r="F592" s="83">
        <v>7.5430000000000001</v>
      </c>
      <c r="G592" s="83">
        <v>0.877</v>
      </c>
      <c r="I592" s="18">
        <f>AVERAGE(F590:F592)</f>
        <v>5.0019999999999998</v>
      </c>
      <c r="J592" s="18">
        <f>AVERAGE(G590:G592)</f>
        <v>0.76333333333333331</v>
      </c>
      <c r="L592">
        <f>+J592/I592</f>
        <v>0.1526056244168999</v>
      </c>
      <c r="M592">
        <f>+(L592-$L$927)/$L$928</f>
        <v>-1.1986525834884536</v>
      </c>
      <c r="N592">
        <f>+N589+M592</f>
        <v>32.911407846016125</v>
      </c>
    </row>
    <row r="593" spans="1:14">
      <c r="A593" s="8">
        <v>6</v>
      </c>
      <c r="B593" s="74">
        <v>42309</v>
      </c>
      <c r="E593" s="12">
        <v>11</v>
      </c>
      <c r="F593" s="83">
        <v>0.97499999999999998</v>
      </c>
      <c r="G593" s="83">
        <v>0.115</v>
      </c>
    </row>
    <row r="594" spans="1:14">
      <c r="A594" s="8">
        <v>8</v>
      </c>
      <c r="B594" s="74">
        <v>42309</v>
      </c>
      <c r="E594" s="12">
        <v>11</v>
      </c>
      <c r="F594" s="83">
        <v>0.56899999999999995</v>
      </c>
      <c r="G594" s="83">
        <v>0.126</v>
      </c>
    </row>
    <row r="595" spans="1:14">
      <c r="A595" s="8">
        <v>15</v>
      </c>
      <c r="B595" s="74">
        <v>42309</v>
      </c>
      <c r="E595" s="12">
        <v>11</v>
      </c>
      <c r="F595" s="83">
        <v>2.7330000000000001</v>
      </c>
      <c r="G595" s="83">
        <v>1.0960000000000001</v>
      </c>
      <c r="I595" s="18">
        <f>AVERAGE(F593:F595)</f>
        <v>1.4256666666666666</v>
      </c>
      <c r="J595" s="18">
        <f>AVERAGE(G593:G595)</f>
        <v>0.44566666666666671</v>
      </c>
      <c r="L595">
        <f>+J595/I595</f>
        <v>0.31260229132569561</v>
      </c>
      <c r="M595">
        <f>+(L595-$L$927)/$L$928</f>
        <v>0.31898707391920911</v>
      </c>
      <c r="N595">
        <f>+N592+M595</f>
        <v>33.230394919935335</v>
      </c>
    </row>
    <row r="596" spans="1:14">
      <c r="A596" s="8">
        <v>6</v>
      </c>
      <c r="B596" s="75">
        <v>42339</v>
      </c>
      <c r="E596" s="12">
        <v>12</v>
      </c>
      <c r="F596" s="83">
        <v>3.2559999999999998</v>
      </c>
      <c r="G596" s="83">
        <v>7.8E-2</v>
      </c>
    </row>
    <row r="597" spans="1:14">
      <c r="A597" s="8">
        <v>8</v>
      </c>
      <c r="B597" s="74">
        <v>42339</v>
      </c>
      <c r="E597" s="12">
        <v>12</v>
      </c>
      <c r="F597" s="83">
        <v>0.64300000000000002</v>
      </c>
      <c r="G597" s="83">
        <v>0.10199999999999999</v>
      </c>
    </row>
    <row r="598" spans="1:14">
      <c r="A598" s="8">
        <v>15</v>
      </c>
      <c r="B598" s="74">
        <v>42339</v>
      </c>
      <c r="E598" s="12">
        <v>12</v>
      </c>
      <c r="F598" s="83">
        <v>2.294</v>
      </c>
      <c r="G598" s="83">
        <v>0.38600000000000001</v>
      </c>
      <c r="I598" s="18">
        <f>AVERAGE(F596:F598)</f>
        <v>2.0643333333333334</v>
      </c>
      <c r="J598" s="18">
        <f>AVERAGE(G596:G598)</f>
        <v>0.18866666666666668</v>
      </c>
      <c r="L598">
        <f>+J598/I598</f>
        <v>9.1393508800258358E-2</v>
      </c>
      <c r="M598">
        <f>+(L598-$L$927)/$L$928</f>
        <v>-1.779276767532197</v>
      </c>
      <c r="N598">
        <f>+N595+M598</f>
        <v>31.45111815240314</v>
      </c>
    </row>
    <row r="599" spans="1:14">
      <c r="A599" s="8">
        <v>6</v>
      </c>
      <c r="B599" s="73">
        <v>42379</v>
      </c>
      <c r="E599" s="10">
        <v>1</v>
      </c>
      <c r="F599" s="86">
        <v>3.8580000000000001</v>
      </c>
      <c r="G599" s="86">
        <v>0.91500000000000004</v>
      </c>
    </row>
    <row r="600" spans="1:14">
      <c r="A600" s="8">
        <v>8</v>
      </c>
      <c r="B600" s="73">
        <v>42374</v>
      </c>
      <c r="E600" s="10">
        <v>1</v>
      </c>
      <c r="F600" s="86">
        <v>1.9019999999999999</v>
      </c>
      <c r="G600" s="86">
        <v>0.28299999999999997</v>
      </c>
    </row>
    <row r="601" spans="1:14">
      <c r="A601" s="8">
        <v>15</v>
      </c>
      <c r="B601" s="73">
        <v>42374</v>
      </c>
      <c r="E601" s="10">
        <v>1</v>
      </c>
      <c r="F601" s="86">
        <v>2.6739999999999999</v>
      </c>
      <c r="G601" s="86">
        <v>0.40899999999999997</v>
      </c>
      <c r="I601" s="18">
        <f>AVERAGE(F599:F601)</f>
        <v>2.8113333333333332</v>
      </c>
      <c r="J601" s="18">
        <f>AVERAGE(G599:G601)</f>
        <v>0.53566666666666662</v>
      </c>
      <c r="L601">
        <f>+J601/I601</f>
        <v>0.19053829736779701</v>
      </c>
      <c r="M601">
        <f>+(L601-$L$927)/$L$928</f>
        <v>-0.83884428314071913</v>
      </c>
      <c r="N601">
        <f>+N598+M601</f>
        <v>30.61227386926242</v>
      </c>
    </row>
    <row r="602" spans="1:14">
      <c r="A602" s="8">
        <v>6</v>
      </c>
      <c r="B602" s="74">
        <v>42401</v>
      </c>
      <c r="E602" s="12">
        <v>2</v>
      </c>
      <c r="F602" s="86">
        <v>2.6349999999999998</v>
      </c>
      <c r="G602" s="86">
        <v>0.57799999999999996</v>
      </c>
    </row>
    <row r="603" spans="1:14">
      <c r="A603" s="8">
        <v>8</v>
      </c>
      <c r="B603" s="74">
        <v>42401</v>
      </c>
      <c r="E603" s="12">
        <v>2</v>
      </c>
      <c r="F603" s="86">
        <v>5.01</v>
      </c>
      <c r="G603" s="86">
        <v>0.99099999999999999</v>
      </c>
    </row>
    <row r="604" spans="1:14">
      <c r="A604" s="8">
        <v>15</v>
      </c>
      <c r="B604" s="74">
        <v>42401</v>
      </c>
      <c r="E604" s="12">
        <v>2</v>
      </c>
      <c r="F604" s="86">
        <v>3.0190000000000001</v>
      </c>
      <c r="G604" s="86">
        <v>0.66</v>
      </c>
      <c r="I604" s="18">
        <f>AVERAGE(F602:F604)</f>
        <v>3.5546666666666664</v>
      </c>
      <c r="J604" s="18">
        <f>AVERAGE(G602:G604)</f>
        <v>0.74299999999999999</v>
      </c>
      <c r="L604">
        <f>+J604/I604</f>
        <v>0.20902100525131284</v>
      </c>
      <c r="M604">
        <f>+(L604-$L$927)/$L$928</f>
        <v>-0.66352756559750614</v>
      </c>
      <c r="N604">
        <f>+N601+M604</f>
        <v>29.948746303664915</v>
      </c>
    </row>
    <row r="605" spans="1:14">
      <c r="A605" s="8">
        <v>6</v>
      </c>
      <c r="B605" s="74">
        <v>42430</v>
      </c>
      <c r="E605" s="12">
        <v>3</v>
      </c>
      <c r="F605" s="86">
        <v>1.98</v>
      </c>
      <c r="G605" s="86">
        <v>0.56200000000000006</v>
      </c>
    </row>
    <row r="606" spans="1:14">
      <c r="A606" s="8">
        <v>8</v>
      </c>
      <c r="B606" s="74">
        <v>42430</v>
      </c>
      <c r="E606" s="12">
        <v>3</v>
      </c>
      <c r="F606" s="86">
        <v>0.80100000000000005</v>
      </c>
      <c r="G606" s="86">
        <v>0.14899999999999999</v>
      </c>
    </row>
    <row r="607" spans="1:14">
      <c r="A607" s="8">
        <v>15</v>
      </c>
      <c r="B607" s="74">
        <v>42430</v>
      </c>
      <c r="E607" s="12">
        <v>3</v>
      </c>
      <c r="F607" s="86">
        <v>1.99</v>
      </c>
      <c r="G607" s="86">
        <v>0.52700000000000002</v>
      </c>
      <c r="I607" s="18">
        <f>AVERAGE(F605:F607)</f>
        <v>1.5903333333333334</v>
      </c>
      <c r="J607" s="18">
        <f>AVERAGE(G605:G607)</f>
        <v>0.41266666666666668</v>
      </c>
      <c r="L607">
        <f>+J607/I607</f>
        <v>0.25948438482498426</v>
      </c>
      <c r="M607">
        <f>+(L607-$L$927)/$L$928</f>
        <v>-0.18485993103061804</v>
      </c>
      <c r="N607">
        <f>+N604+M607</f>
        <v>29.763886372634296</v>
      </c>
    </row>
    <row r="608" spans="1:14">
      <c r="A608" s="8">
        <v>6</v>
      </c>
      <c r="B608" s="74">
        <v>42461</v>
      </c>
      <c r="E608" s="12">
        <v>4</v>
      </c>
      <c r="F608" s="86">
        <v>4.5380000000000003</v>
      </c>
      <c r="G608" s="86">
        <v>1.2689999999999999</v>
      </c>
    </row>
    <row r="609" spans="1:14">
      <c r="A609" s="8">
        <v>8</v>
      </c>
      <c r="B609" s="74">
        <v>42461</v>
      </c>
      <c r="E609" s="12">
        <v>4</v>
      </c>
      <c r="F609" s="86">
        <v>0.54300000000000004</v>
      </c>
      <c r="G609" s="86">
        <v>0.11600000000000001</v>
      </c>
    </row>
    <row r="610" spans="1:14">
      <c r="A610" s="8">
        <v>15</v>
      </c>
      <c r="B610" s="74">
        <v>42461</v>
      </c>
      <c r="E610" s="12">
        <v>4</v>
      </c>
      <c r="F610" s="86">
        <v>1.58</v>
      </c>
      <c r="G610" s="86">
        <v>0.29899999999999999</v>
      </c>
      <c r="I610" s="18">
        <f>AVERAGE(F608:F610)</f>
        <v>2.2203333333333335</v>
      </c>
      <c r="J610" s="18">
        <f>AVERAGE(G608:G610)</f>
        <v>0.56133333333333335</v>
      </c>
      <c r="L610">
        <f>+J610/I610</f>
        <v>0.25281489265875995</v>
      </c>
      <c r="M610">
        <f>+(L610-$L$927)/$L$928</f>
        <v>-0.24812303520516701</v>
      </c>
      <c r="N610">
        <f>+N607+M610</f>
        <v>29.515763337429128</v>
      </c>
    </row>
    <row r="611" spans="1:14">
      <c r="A611" s="8">
        <v>6</v>
      </c>
      <c r="B611" s="74">
        <v>42491</v>
      </c>
      <c r="E611" s="12">
        <v>5</v>
      </c>
      <c r="F611" s="86">
        <v>4.0369999999999999</v>
      </c>
      <c r="G611" s="86">
        <v>1.5609999999999999</v>
      </c>
    </row>
    <row r="612" spans="1:14">
      <c r="A612" s="8">
        <v>8</v>
      </c>
      <c r="B612" s="74">
        <v>42491</v>
      </c>
      <c r="E612" s="12">
        <v>5</v>
      </c>
      <c r="F612" s="86">
        <v>6.3419999999999996</v>
      </c>
      <c r="G612" s="86">
        <v>2.68</v>
      </c>
    </row>
    <row r="613" spans="1:14">
      <c r="A613" s="8">
        <v>15</v>
      </c>
      <c r="B613" s="74">
        <v>42491</v>
      </c>
      <c r="E613" s="12">
        <v>5</v>
      </c>
      <c r="F613" s="86">
        <v>9.5250000000000004</v>
      </c>
      <c r="G613" s="86">
        <v>3.7730000000000001</v>
      </c>
      <c r="I613" s="18">
        <f>AVERAGE(F611:F613)</f>
        <v>6.6346666666666669</v>
      </c>
      <c r="J613" s="18">
        <f>AVERAGE(G611:G613)</f>
        <v>2.6713333333333331</v>
      </c>
      <c r="L613">
        <f>+J613/I613</f>
        <v>0.40263263665594851</v>
      </c>
      <c r="M613">
        <f>+(L613-$L$927)/$L$928</f>
        <v>1.1729650041043738</v>
      </c>
      <c r="N613">
        <f>+N610+M613</f>
        <v>30.688728341533501</v>
      </c>
    </row>
    <row r="614" spans="1:14">
      <c r="A614" s="8">
        <v>6</v>
      </c>
      <c r="B614" s="74">
        <v>42522</v>
      </c>
      <c r="E614" s="12">
        <v>6</v>
      </c>
      <c r="F614" s="86">
        <v>10.295999999999999</v>
      </c>
      <c r="G614" s="86">
        <v>2.746</v>
      </c>
    </row>
    <row r="615" spans="1:14">
      <c r="A615" s="8">
        <v>8</v>
      </c>
      <c r="B615" s="74">
        <v>42522</v>
      </c>
      <c r="E615" s="12">
        <v>6</v>
      </c>
      <c r="F615" s="86">
        <v>3.5720000000000001</v>
      </c>
      <c r="G615" s="86">
        <v>1.2310000000000001</v>
      </c>
    </row>
    <row r="616" spans="1:14">
      <c r="A616" s="8">
        <v>15</v>
      </c>
      <c r="B616" s="74">
        <v>42522</v>
      </c>
      <c r="E616" s="12">
        <v>6</v>
      </c>
      <c r="F616" s="86">
        <v>19.372</v>
      </c>
      <c r="G616" s="86">
        <v>8.4589999999999996</v>
      </c>
      <c r="I616" s="18">
        <f>AVERAGE(F614:F616)</f>
        <v>11.079999999999998</v>
      </c>
      <c r="J616" s="18">
        <f>AVERAGE(G614:G616)</f>
        <v>4.1453333333333333</v>
      </c>
      <c r="L616">
        <f>+J616/I616</f>
        <v>0.3741275571600482</v>
      </c>
      <c r="M616">
        <f>+(L616-$L$927)/$L$928</f>
        <v>0.90258162727317715</v>
      </c>
      <c r="N616">
        <f>+N613+M616</f>
        <v>31.59130996880668</v>
      </c>
    </row>
    <row r="617" spans="1:14">
      <c r="A617" s="8">
        <v>6</v>
      </c>
      <c r="B617" s="74">
        <v>42552</v>
      </c>
      <c r="E617" s="12">
        <v>7</v>
      </c>
      <c r="F617" s="86">
        <v>7.4660000000000002</v>
      </c>
      <c r="G617" s="86">
        <v>1.7889999999999999</v>
      </c>
    </row>
    <row r="618" spans="1:14">
      <c r="A618" s="8">
        <v>8</v>
      </c>
      <c r="B618" s="74">
        <v>42552</v>
      </c>
      <c r="E618" s="12">
        <v>7</v>
      </c>
      <c r="F618" s="86">
        <v>7.5570000000000004</v>
      </c>
      <c r="G618" s="86">
        <v>1.9419999999999999</v>
      </c>
    </row>
    <row r="619" spans="1:14">
      <c r="A619" s="8">
        <v>15</v>
      </c>
      <c r="B619" s="74">
        <v>42552</v>
      </c>
      <c r="E619" s="12">
        <v>7</v>
      </c>
      <c r="F619" s="86">
        <v>6.8620000000000001</v>
      </c>
      <c r="G619" s="86">
        <v>1.411</v>
      </c>
      <c r="I619" s="18">
        <f>AVERAGE(F617:F619)</f>
        <v>7.294999999999999</v>
      </c>
      <c r="J619" s="18">
        <f>AVERAGE(G617:G619)</f>
        <v>1.7139999999999997</v>
      </c>
      <c r="L619">
        <f>+J619/I619</f>
        <v>0.23495544893762851</v>
      </c>
      <c r="M619">
        <f>+(L619-$L$927)/$L$928</f>
        <v>-0.41752781453022503</v>
      </c>
      <c r="N619">
        <f>+N616+M619</f>
        <v>31.173782154276456</v>
      </c>
    </row>
    <row r="620" spans="1:14">
      <c r="A620" s="8">
        <v>6</v>
      </c>
      <c r="B620" s="74">
        <v>42583</v>
      </c>
      <c r="E620" s="12">
        <v>8</v>
      </c>
      <c r="F620" s="86">
        <v>5.8949999999999996</v>
      </c>
      <c r="G620" s="86">
        <v>1.4179999999999999</v>
      </c>
    </row>
    <row r="621" spans="1:14">
      <c r="A621" s="8">
        <v>8</v>
      </c>
      <c r="B621" s="74">
        <v>42583</v>
      </c>
      <c r="E621" s="12">
        <v>8</v>
      </c>
      <c r="F621" s="86">
        <v>2.8050000000000002</v>
      </c>
      <c r="G621" s="86">
        <v>0.96699999999999997</v>
      </c>
    </row>
    <row r="622" spans="1:14">
      <c r="A622" s="8">
        <v>15</v>
      </c>
      <c r="B622" s="74">
        <v>42583</v>
      </c>
      <c r="E622" s="12">
        <v>8</v>
      </c>
      <c r="F622" s="86">
        <v>5.9660000000000002</v>
      </c>
      <c r="G622" s="86">
        <v>1.1819999999999999</v>
      </c>
      <c r="I622" s="18">
        <f>AVERAGE(F620:F622)</f>
        <v>4.8886666666666665</v>
      </c>
      <c r="J622" s="18">
        <f>AVERAGE(G620:G622)</f>
        <v>1.1889999999999998</v>
      </c>
      <c r="L622">
        <f>+J622/I622</f>
        <v>0.24321560070912313</v>
      </c>
      <c r="M622">
        <f>+(L622-$L$927)/$L$928</f>
        <v>-0.33917659542781492</v>
      </c>
      <c r="N622">
        <f>+N619+M622</f>
        <v>30.83460555884864</v>
      </c>
    </row>
    <row r="623" spans="1:14">
      <c r="A623" s="8">
        <v>6</v>
      </c>
      <c r="B623" s="74">
        <v>42614</v>
      </c>
      <c r="E623" s="12">
        <v>9</v>
      </c>
      <c r="F623" s="86">
        <v>16.298999999999999</v>
      </c>
      <c r="G623" s="86">
        <v>5.7380000000000004</v>
      </c>
    </row>
    <row r="624" spans="1:14">
      <c r="A624" s="8">
        <v>8</v>
      </c>
      <c r="B624" s="74">
        <v>42614</v>
      </c>
      <c r="E624" s="12">
        <v>9</v>
      </c>
      <c r="F624" s="86">
        <v>6.4720000000000004</v>
      </c>
      <c r="G624" s="86">
        <v>2.0630000000000002</v>
      </c>
    </row>
    <row r="625" spans="1:14">
      <c r="A625" s="8">
        <v>15</v>
      </c>
      <c r="B625" s="74">
        <v>42614</v>
      </c>
      <c r="E625" s="12">
        <v>9</v>
      </c>
      <c r="F625" s="86">
        <v>8.6649999999999991</v>
      </c>
      <c r="G625" s="86">
        <v>2.2120000000000002</v>
      </c>
      <c r="I625" s="18">
        <f>AVERAGE(F623:F625)</f>
        <v>10.478666666666667</v>
      </c>
      <c r="J625" s="18">
        <f>AVERAGE(G623:G625)</f>
        <v>3.3376666666666668</v>
      </c>
      <c r="L625">
        <f>+J625/I625</f>
        <v>0.3185201679603003</v>
      </c>
      <c r="M625">
        <f>+(L625-$L$927)/$L$928</f>
        <v>0.37512076996327681</v>
      </c>
      <c r="N625">
        <f>+N622+M625</f>
        <v>31.209726328811918</v>
      </c>
    </row>
    <row r="626" spans="1:14">
      <c r="A626" s="8">
        <v>6</v>
      </c>
      <c r="B626" s="74">
        <v>42644</v>
      </c>
      <c r="E626" s="12">
        <v>10</v>
      </c>
      <c r="F626" s="86">
        <v>6.2480000000000002</v>
      </c>
      <c r="G626" s="86">
        <v>1.7010000000000001</v>
      </c>
    </row>
    <row r="627" spans="1:14">
      <c r="A627" s="8">
        <v>8</v>
      </c>
      <c r="B627" s="74">
        <v>42644</v>
      </c>
      <c r="E627" s="12">
        <v>10</v>
      </c>
      <c r="F627" s="86">
        <v>3.7010000000000001</v>
      </c>
      <c r="G627" s="86">
        <v>1.006</v>
      </c>
    </row>
    <row r="628" spans="1:14">
      <c r="A628" s="8">
        <v>15</v>
      </c>
      <c r="B628" s="74">
        <v>42644</v>
      </c>
      <c r="E628" s="12">
        <v>10</v>
      </c>
      <c r="F628" s="86">
        <v>4.4660000000000002</v>
      </c>
      <c r="G628" s="86">
        <v>1.181</v>
      </c>
      <c r="I628" s="18">
        <f>AVERAGE(F626:F628)</f>
        <v>4.8049999999999997</v>
      </c>
      <c r="J628" s="18">
        <f>AVERAGE(G626:G628)</f>
        <v>1.296</v>
      </c>
      <c r="L628">
        <f>+J628/I628</f>
        <v>0.26971904266389179</v>
      </c>
      <c r="M628">
        <f>+(L628-$L$927)/$L$928</f>
        <v>-8.7779642319488704E-2</v>
      </c>
      <c r="N628">
        <f>+N625+M628</f>
        <v>31.121946686492429</v>
      </c>
    </row>
    <row r="629" spans="1:14">
      <c r="A629" s="8">
        <v>6</v>
      </c>
      <c r="B629" s="74">
        <v>42675</v>
      </c>
      <c r="E629" s="12">
        <v>11</v>
      </c>
      <c r="F629" s="86">
        <v>1.3</v>
      </c>
      <c r="G629" s="86">
        <v>0.35499999999999998</v>
      </c>
    </row>
    <row r="630" spans="1:14">
      <c r="A630" s="8">
        <v>8</v>
      </c>
      <c r="B630" s="74">
        <v>42675</v>
      </c>
      <c r="E630" s="12">
        <v>11</v>
      </c>
      <c r="F630" s="86">
        <v>0.68300000000000005</v>
      </c>
      <c r="G630" s="86">
        <v>0.20100000000000001</v>
      </c>
    </row>
    <row r="631" spans="1:14">
      <c r="A631" s="8">
        <v>15</v>
      </c>
      <c r="B631" s="74">
        <v>42675</v>
      </c>
      <c r="E631" s="12">
        <v>11</v>
      </c>
      <c r="F631" s="86">
        <v>2.0070000000000001</v>
      </c>
      <c r="G631" s="86">
        <v>0.61099999999999999</v>
      </c>
      <c r="I631" s="18">
        <f>AVERAGE(F629:F631)</f>
        <v>1.33</v>
      </c>
      <c r="J631" s="18">
        <f>AVERAGE(G629:G631)</f>
        <v>0.38900000000000001</v>
      </c>
      <c r="L631">
        <f>+J631/I631</f>
        <v>0.29248120300751879</v>
      </c>
      <c r="M631">
        <f>+(L631-$L$927)/$L$928</f>
        <v>0.12812958812374423</v>
      </c>
      <c r="N631">
        <f>+N628+M631</f>
        <v>31.250076274616173</v>
      </c>
    </row>
    <row r="632" spans="1:14">
      <c r="A632" s="8">
        <v>6</v>
      </c>
      <c r="B632" s="75">
        <v>42705</v>
      </c>
      <c r="E632" s="12">
        <v>12</v>
      </c>
      <c r="F632" s="86">
        <v>1.9239999999999999</v>
      </c>
      <c r="G632" s="86">
        <v>0.26200000000000001</v>
      </c>
    </row>
    <row r="633" spans="1:14">
      <c r="A633" s="8">
        <v>8</v>
      </c>
      <c r="B633" s="74">
        <v>42705</v>
      </c>
      <c r="E633" s="12">
        <v>12</v>
      </c>
      <c r="F633" s="86">
        <v>1.639</v>
      </c>
      <c r="G633" s="86">
        <v>0.38800000000000001</v>
      </c>
    </row>
    <row r="634" spans="1:14">
      <c r="A634" s="8">
        <v>15</v>
      </c>
      <c r="B634" s="74">
        <v>42705</v>
      </c>
      <c r="E634" s="12">
        <v>12</v>
      </c>
      <c r="F634" s="86">
        <v>2.9009999999999998</v>
      </c>
      <c r="G634" s="86">
        <v>0.57899999999999996</v>
      </c>
      <c r="I634" s="18">
        <f>AVERAGE(F632:F634)</f>
        <v>2.1546666666666665</v>
      </c>
      <c r="J634" s="18">
        <f>AVERAGE(G632:G634)</f>
        <v>0.40966666666666668</v>
      </c>
      <c r="L634">
        <f>+J634/I634</f>
        <v>0.19012995049504952</v>
      </c>
      <c r="M634">
        <f>+(L634-$L$927)/$L$928</f>
        <v>-0.84271763513006559</v>
      </c>
      <c r="N634">
        <f>+N631+M634</f>
        <v>30.407358639486109</v>
      </c>
    </row>
    <row r="635" spans="1:14">
      <c r="A635" s="8">
        <v>6</v>
      </c>
      <c r="B635" s="73">
        <v>42745</v>
      </c>
      <c r="E635" s="10">
        <v>1</v>
      </c>
    </row>
    <row r="636" spans="1:14">
      <c r="A636" s="8">
        <v>8</v>
      </c>
      <c r="B636" s="73">
        <v>42740</v>
      </c>
      <c r="E636" s="10">
        <v>1</v>
      </c>
    </row>
    <row r="637" spans="1:14">
      <c r="A637" s="8">
        <v>15</v>
      </c>
      <c r="B637" s="73">
        <v>42740</v>
      </c>
      <c r="E637" s="10">
        <v>1</v>
      </c>
    </row>
    <row r="638" spans="1:14">
      <c r="A638" s="8">
        <v>6</v>
      </c>
      <c r="B638" s="74">
        <v>42767</v>
      </c>
      <c r="E638" s="12">
        <v>2</v>
      </c>
    </row>
    <row r="639" spans="1:14">
      <c r="A639" s="8">
        <v>8</v>
      </c>
      <c r="B639" s="74">
        <v>42767</v>
      </c>
      <c r="E639" s="12">
        <v>2</v>
      </c>
    </row>
    <row r="640" spans="1:14">
      <c r="A640" s="8">
        <v>15</v>
      </c>
      <c r="B640" s="74">
        <v>42767</v>
      </c>
      <c r="E640" s="12">
        <v>2</v>
      </c>
    </row>
    <row r="641" spans="1:14">
      <c r="A641" s="8">
        <v>6</v>
      </c>
      <c r="B641" s="74">
        <v>42795</v>
      </c>
      <c r="E641" s="12">
        <v>3</v>
      </c>
      <c r="F641" s="86">
        <v>1.609</v>
      </c>
      <c r="G641" s="86">
        <v>0.64800000000000002</v>
      </c>
    </row>
    <row r="642" spans="1:14">
      <c r="A642" s="8">
        <v>8</v>
      </c>
      <c r="B642" s="74">
        <v>42795</v>
      </c>
      <c r="E642" s="12">
        <v>3</v>
      </c>
      <c r="F642" s="86">
        <v>1.3740000000000001</v>
      </c>
      <c r="G642" s="86">
        <v>0.54</v>
      </c>
    </row>
    <row r="643" spans="1:14">
      <c r="A643" s="8">
        <v>15</v>
      </c>
      <c r="B643" s="74">
        <v>42795</v>
      </c>
      <c r="E643" s="12">
        <v>3</v>
      </c>
      <c r="F643" s="86">
        <v>2.113</v>
      </c>
      <c r="G643" s="86">
        <v>0.86699999999999999</v>
      </c>
      <c r="I643" s="18">
        <f>AVERAGE(F641:F643)</f>
        <v>1.6986666666666668</v>
      </c>
      <c r="J643" s="18">
        <f>AVERAGE(G641:G643)</f>
        <v>0.68500000000000005</v>
      </c>
      <c r="L643">
        <f>+J643/I643</f>
        <v>0.40325745682888542</v>
      </c>
      <c r="M643">
        <f>+(L643-$L$927)/$L$928</f>
        <v>1.1788917017757565</v>
      </c>
      <c r="N643">
        <f>+N634+M643</f>
        <v>31.586250341261866</v>
      </c>
    </row>
    <row r="644" spans="1:14">
      <c r="A644" s="8">
        <v>6</v>
      </c>
      <c r="B644" s="74">
        <v>42826</v>
      </c>
      <c r="E644" s="12">
        <v>4</v>
      </c>
    </row>
    <row r="645" spans="1:14">
      <c r="A645" s="8">
        <v>8</v>
      </c>
      <c r="B645" s="74">
        <v>42826</v>
      </c>
      <c r="E645" s="12">
        <v>4</v>
      </c>
      <c r="F645" s="86">
        <v>3.9209999999999998</v>
      </c>
      <c r="G645" s="86">
        <v>1.7370000000000001</v>
      </c>
    </row>
    <row r="646" spans="1:14">
      <c r="A646" s="8">
        <v>15</v>
      </c>
      <c r="B646" s="74">
        <v>42826</v>
      </c>
      <c r="E646" s="12">
        <v>4</v>
      </c>
      <c r="F646" s="86">
        <v>3.8730000000000002</v>
      </c>
      <c r="G646" s="86">
        <v>1.7130000000000001</v>
      </c>
      <c r="I646" s="18">
        <f>AVERAGE(F644:F646)</f>
        <v>3.8970000000000002</v>
      </c>
      <c r="J646" s="18">
        <f>AVERAGE(G644:G646)</f>
        <v>1.7250000000000001</v>
      </c>
      <c r="L646">
        <f>+J646/I646</f>
        <v>0.44264819091608931</v>
      </c>
      <c r="M646">
        <f>+(L646-$L$927)/$L$928</f>
        <v>1.5525303615061989</v>
      </c>
      <c r="N646">
        <f>+N643+M646</f>
        <v>33.138780702768067</v>
      </c>
    </row>
    <row r="647" spans="1:14">
      <c r="A647" s="8">
        <v>6</v>
      </c>
      <c r="B647" s="74">
        <v>42856</v>
      </c>
      <c r="E647" s="12">
        <v>5</v>
      </c>
      <c r="F647" s="86">
        <v>14.352</v>
      </c>
      <c r="G647" s="86">
        <v>6.4219999999999997</v>
      </c>
    </row>
    <row r="648" spans="1:14">
      <c r="A648" s="8">
        <v>8</v>
      </c>
      <c r="B648" s="74">
        <v>42856</v>
      </c>
      <c r="E648" s="12">
        <v>5</v>
      </c>
      <c r="F648" s="86">
        <v>7.2270000000000003</v>
      </c>
      <c r="G648" s="86">
        <v>2.8580000000000001</v>
      </c>
    </row>
    <row r="649" spans="1:14">
      <c r="A649" s="8">
        <v>15</v>
      </c>
      <c r="B649" s="74">
        <v>42856</v>
      </c>
      <c r="E649" s="12">
        <v>5</v>
      </c>
      <c r="F649" s="86">
        <v>7.1390000000000002</v>
      </c>
      <c r="G649" s="86">
        <v>2.7050000000000001</v>
      </c>
      <c r="I649" s="18">
        <f>AVERAGE(F647:F649)</f>
        <v>9.5726666666666667</v>
      </c>
      <c r="J649" s="18">
        <f>AVERAGE(G647:G649)</f>
        <v>3.9949999999999997</v>
      </c>
      <c r="L649">
        <f>+J649/I649</f>
        <v>0.41733407618914964</v>
      </c>
      <c r="M649">
        <f>+(L649-$L$927)/$L$928</f>
        <v>1.3124147069490288</v>
      </c>
      <c r="N649">
        <f>+N646+M649</f>
        <v>34.451195409717094</v>
      </c>
    </row>
    <row r="650" spans="1:14">
      <c r="A650" s="8">
        <v>6</v>
      </c>
      <c r="B650" s="74">
        <v>42887</v>
      </c>
      <c r="E650" s="12">
        <v>6</v>
      </c>
      <c r="F650" s="86">
        <v>5.657</v>
      </c>
      <c r="G650" s="86">
        <v>1.8</v>
      </c>
    </row>
    <row r="651" spans="1:14">
      <c r="A651" s="8">
        <v>8</v>
      </c>
      <c r="B651" s="74">
        <v>42887</v>
      </c>
      <c r="E651" s="12">
        <v>6</v>
      </c>
      <c r="F651" s="86">
        <v>3.6970000000000001</v>
      </c>
      <c r="G651" s="86">
        <v>0.746</v>
      </c>
    </row>
    <row r="652" spans="1:14">
      <c r="A652" s="8">
        <v>15</v>
      </c>
      <c r="B652" s="74">
        <v>42887</v>
      </c>
      <c r="E652" s="12">
        <v>6</v>
      </c>
      <c r="F652" s="86">
        <v>2.2309999999999999</v>
      </c>
      <c r="G652" s="86">
        <v>9.9989999999999996E-4</v>
      </c>
      <c r="I652" s="18">
        <f>AVERAGE(F650:F652)</f>
        <v>3.8616666666666664</v>
      </c>
      <c r="J652" s="18">
        <f>AVERAGE(G650:G652)</f>
        <v>0.84899996666666677</v>
      </c>
      <c r="L652">
        <f>+J652/I652</f>
        <v>0.21985324989210189</v>
      </c>
      <c r="M652">
        <f>+(L652-$L$927)/$L$928</f>
        <v>-0.56077889987077445</v>
      </c>
      <c r="N652">
        <f>+N649+M652</f>
        <v>33.890416509846318</v>
      </c>
    </row>
    <row r="653" spans="1:14">
      <c r="A653" s="8">
        <v>6</v>
      </c>
      <c r="B653" s="74">
        <v>42917</v>
      </c>
      <c r="E653" s="12">
        <v>7</v>
      </c>
      <c r="F653" s="86">
        <v>2.9420000000000002</v>
      </c>
      <c r="G653" s="86">
        <v>0.32900000000000001</v>
      </c>
    </row>
    <row r="654" spans="1:14">
      <c r="A654" s="8">
        <v>8</v>
      </c>
      <c r="B654" s="74">
        <v>42917</v>
      </c>
      <c r="E654" s="12">
        <v>7</v>
      </c>
      <c r="F654" s="86">
        <v>0.92100000000000004</v>
      </c>
      <c r="G654" s="86">
        <v>0.18099999999999999</v>
      </c>
    </row>
    <row r="655" spans="1:14">
      <c r="A655" s="8">
        <v>15</v>
      </c>
      <c r="B655" s="74">
        <v>42917</v>
      </c>
      <c r="E655" s="12">
        <v>7</v>
      </c>
      <c r="F655" s="86">
        <v>2.2549999999999999</v>
      </c>
      <c r="G655" s="86">
        <v>0.28399999999999997</v>
      </c>
      <c r="I655" s="18">
        <f>AVERAGE(F653:F655)</f>
        <v>2.0393333333333334</v>
      </c>
      <c r="J655" s="18">
        <f>AVERAGE(G653:G655)</f>
        <v>0.26466666666666666</v>
      </c>
      <c r="L655">
        <f>+J655/I655</f>
        <v>0.12978097417456685</v>
      </c>
      <c r="M655">
        <f>+(L655-$L$927)/$L$928</f>
        <v>-1.415154558457532</v>
      </c>
      <c r="N655">
        <f>+N652+M655</f>
        <v>32.475261951388788</v>
      </c>
    </row>
    <row r="656" spans="1:14">
      <c r="A656" s="8">
        <v>6</v>
      </c>
      <c r="B656" s="74">
        <v>42948</v>
      </c>
      <c r="E656" s="12">
        <v>8</v>
      </c>
    </row>
    <row r="657" spans="1:14">
      <c r="A657" s="8">
        <v>8</v>
      </c>
      <c r="B657" s="74">
        <v>42948</v>
      </c>
      <c r="E657" s="12">
        <v>8</v>
      </c>
    </row>
    <row r="658" spans="1:14">
      <c r="A658" s="8">
        <v>15</v>
      </c>
      <c r="B658" s="74">
        <v>42948</v>
      </c>
      <c r="E658" s="12">
        <v>8</v>
      </c>
      <c r="I658" s="18"/>
      <c r="J658" s="18"/>
    </row>
    <row r="659" spans="1:14">
      <c r="A659" s="8">
        <v>6</v>
      </c>
      <c r="B659" s="74">
        <v>42979</v>
      </c>
      <c r="E659" s="12">
        <v>9</v>
      </c>
      <c r="F659" s="86">
        <v>4.4960000000000004</v>
      </c>
      <c r="G659" s="86">
        <v>1.256</v>
      </c>
    </row>
    <row r="660" spans="1:14">
      <c r="A660" s="8">
        <v>8</v>
      </c>
      <c r="B660" s="74">
        <v>42979</v>
      </c>
      <c r="E660" s="12">
        <v>9</v>
      </c>
      <c r="F660" s="86">
        <v>1.0920000000000001</v>
      </c>
      <c r="G660" s="86">
        <v>0.248</v>
      </c>
    </row>
    <row r="661" spans="1:14">
      <c r="A661" s="8">
        <v>15</v>
      </c>
      <c r="B661" s="74">
        <v>42979</v>
      </c>
      <c r="E661" s="12">
        <v>9</v>
      </c>
      <c r="F661" s="86">
        <v>1.2729999999999999</v>
      </c>
      <c r="G661" s="86">
        <v>0.183</v>
      </c>
      <c r="I661" s="18">
        <f>AVERAGE(F659:F661)</f>
        <v>2.2870000000000004</v>
      </c>
      <c r="J661" s="18">
        <f>AVERAGE(G659:G661)</f>
        <v>0.56233333333333335</v>
      </c>
      <c r="L661">
        <f>+J661/I661</f>
        <v>0.24588252441335079</v>
      </c>
      <c r="M661">
        <f>+(L661-$L$927)/$L$928</f>
        <v>-0.313879636091008</v>
      </c>
      <c r="N661">
        <f>+N655+M661</f>
        <v>32.161382315297779</v>
      </c>
    </row>
    <row r="662" spans="1:14">
      <c r="A662" s="8">
        <v>6</v>
      </c>
      <c r="B662" s="74">
        <v>43009</v>
      </c>
      <c r="E662" s="12">
        <v>10</v>
      </c>
      <c r="F662" s="86">
        <v>2.2679999999999998</v>
      </c>
      <c r="G662" s="86">
        <v>0.53900000000000003</v>
      </c>
    </row>
    <row r="663" spans="1:14">
      <c r="A663" s="8">
        <v>8</v>
      </c>
      <c r="B663" s="74">
        <v>43009</v>
      </c>
      <c r="E663" s="12">
        <v>10</v>
      </c>
      <c r="F663" s="86">
        <v>0.34799999999999998</v>
      </c>
      <c r="G663" s="86">
        <v>8.1000000000000003E-2</v>
      </c>
    </row>
    <row r="664" spans="1:14">
      <c r="A664" s="8">
        <v>15</v>
      </c>
      <c r="B664" s="74">
        <v>43009</v>
      </c>
      <c r="E664" s="12">
        <v>10</v>
      </c>
      <c r="F664" s="86">
        <v>1.5429999999999999</v>
      </c>
      <c r="G664" s="86">
        <v>0.34499999999999997</v>
      </c>
      <c r="I664" s="18">
        <f>AVERAGE(F662:F664)</f>
        <v>1.3863333333333332</v>
      </c>
      <c r="J664" s="18">
        <f>AVERAGE(G662:G664)</f>
        <v>0.32166666666666666</v>
      </c>
      <c r="L664">
        <f>+J664/I664</f>
        <v>0.23202692955037271</v>
      </c>
      <c r="M664">
        <f>+(L664-$L$927)/$L$928</f>
        <v>-0.44530612545041492</v>
      </c>
      <c r="N664">
        <f>+N661+M664</f>
        <v>31.716076189847364</v>
      </c>
    </row>
    <row r="665" spans="1:14">
      <c r="A665" s="8">
        <v>6</v>
      </c>
      <c r="B665" s="74">
        <v>43040</v>
      </c>
      <c r="E665" s="12">
        <v>11</v>
      </c>
    </row>
    <row r="666" spans="1:14">
      <c r="A666" s="8">
        <v>8</v>
      </c>
      <c r="B666" s="74">
        <v>43040</v>
      </c>
      <c r="E666" s="12">
        <v>11</v>
      </c>
    </row>
    <row r="667" spans="1:14">
      <c r="A667" s="8">
        <v>15</v>
      </c>
      <c r="B667" s="74">
        <v>43040</v>
      </c>
      <c r="E667" s="12">
        <v>11</v>
      </c>
      <c r="I667" s="18"/>
      <c r="J667" s="18"/>
    </row>
    <row r="668" spans="1:14">
      <c r="A668" s="8">
        <v>6</v>
      </c>
      <c r="B668" s="75">
        <v>43070</v>
      </c>
      <c r="E668" s="12">
        <v>12</v>
      </c>
      <c r="F668" s="86">
        <v>2.6429999999999998</v>
      </c>
      <c r="G668" s="86">
        <v>0.625</v>
      </c>
    </row>
    <row r="669" spans="1:14">
      <c r="A669" s="8">
        <v>8</v>
      </c>
      <c r="B669" s="74">
        <v>43070</v>
      </c>
      <c r="E669" s="12">
        <v>12</v>
      </c>
      <c r="F669" s="86">
        <v>1.196</v>
      </c>
      <c r="G669" s="86">
        <v>0.28499999999999998</v>
      </c>
    </row>
    <row r="670" spans="1:14">
      <c r="A670" s="8">
        <v>15</v>
      </c>
      <c r="B670" s="74">
        <v>43070</v>
      </c>
      <c r="E670" s="12">
        <v>12</v>
      </c>
      <c r="F670" s="86">
        <v>3.036</v>
      </c>
      <c r="G670" s="86">
        <v>0.64800000000000002</v>
      </c>
      <c r="I670" s="18">
        <f>AVERAGE(F668:F670)</f>
        <v>2.2916666666666665</v>
      </c>
      <c r="J670" s="18">
        <f>AVERAGE(G668:G670)</f>
        <v>0.51933333333333331</v>
      </c>
      <c r="L670">
        <f>+J670/I670</f>
        <v>0.22661818181818183</v>
      </c>
      <c r="M670">
        <f>+(L670-$L$927)/$L$928</f>
        <v>-0.49661050705960075</v>
      </c>
      <c r="N670">
        <f>+N664+M670</f>
        <v>31.219465682787764</v>
      </c>
    </row>
    <row r="671" spans="1:14">
      <c r="A671" s="8">
        <v>6</v>
      </c>
      <c r="B671" s="73">
        <v>43110</v>
      </c>
      <c r="E671" s="10">
        <v>1</v>
      </c>
      <c r="F671" s="81">
        <v>4.03</v>
      </c>
      <c r="G671" s="81">
        <v>0.87</v>
      </c>
    </row>
    <row r="672" spans="1:14">
      <c r="A672" s="8">
        <v>8</v>
      </c>
      <c r="B672" s="73">
        <v>43105</v>
      </c>
      <c r="E672" s="10">
        <v>1</v>
      </c>
      <c r="F672" s="81">
        <v>7.7279999999999998</v>
      </c>
      <c r="G672" s="81">
        <v>1.8089999999999999</v>
      </c>
    </row>
    <row r="673" spans="1:14">
      <c r="A673" s="8">
        <v>15</v>
      </c>
      <c r="B673" s="73">
        <v>43105</v>
      </c>
      <c r="E673" s="10">
        <v>1</v>
      </c>
      <c r="F673" s="81">
        <v>5.9379999999999997</v>
      </c>
      <c r="G673" s="81">
        <v>1.38</v>
      </c>
      <c r="I673">
        <v>5.8986666666666663</v>
      </c>
      <c r="J673">
        <v>1.3529999999999998</v>
      </c>
      <c r="L673">
        <v>0.22937386980108496</v>
      </c>
      <c r="M673">
        <f>+(L673-$L$927)/$L$928</f>
        <v>-0.4704715789988087</v>
      </c>
      <c r="N673">
        <f>+N670+M673</f>
        <v>30.748994103788956</v>
      </c>
    </row>
    <row r="674" spans="1:14">
      <c r="A674" s="8">
        <v>6</v>
      </c>
      <c r="B674" s="74">
        <v>43132</v>
      </c>
      <c r="E674" s="12">
        <v>2</v>
      </c>
      <c r="F674" s="81">
        <v>1.829</v>
      </c>
      <c r="G674" s="81">
        <v>0.441</v>
      </c>
    </row>
    <row r="675" spans="1:14">
      <c r="A675" s="8">
        <v>8</v>
      </c>
      <c r="B675" s="74">
        <v>43132</v>
      </c>
      <c r="E675" s="12">
        <v>2</v>
      </c>
      <c r="F675" s="81">
        <v>1.119</v>
      </c>
      <c r="G675" s="81">
        <v>0.33400000000000002</v>
      </c>
    </row>
    <row r="676" spans="1:14">
      <c r="A676" s="8">
        <v>15</v>
      </c>
      <c r="B676" s="74">
        <v>43132</v>
      </c>
      <c r="E676" s="12">
        <v>2</v>
      </c>
      <c r="F676" s="81">
        <v>1.149</v>
      </c>
      <c r="G676" s="81">
        <v>0.245</v>
      </c>
      <c r="I676">
        <v>1.3656666666666666</v>
      </c>
      <c r="J676">
        <v>0.34</v>
      </c>
      <c r="L676">
        <v>0.24896265560165978</v>
      </c>
      <c r="M676">
        <f>+(L676-$L$927)/$L$928</f>
        <v>-0.28466321970115543</v>
      </c>
      <c r="N676">
        <f>+N673+M676</f>
        <v>30.464330884087801</v>
      </c>
    </row>
    <row r="677" spans="1:14">
      <c r="A677" s="8">
        <v>6</v>
      </c>
      <c r="B677" s="74">
        <v>43160</v>
      </c>
      <c r="E677" s="12">
        <v>3</v>
      </c>
      <c r="F677" s="81">
        <v>4.4370000000000003</v>
      </c>
      <c r="G677" s="81">
        <v>1.7410000000000001</v>
      </c>
    </row>
    <row r="678" spans="1:14">
      <c r="A678" s="8">
        <v>8</v>
      </c>
      <c r="B678" s="74">
        <v>43160</v>
      </c>
      <c r="E678" s="12">
        <v>3</v>
      </c>
      <c r="F678" s="81">
        <v>3.7730000000000001</v>
      </c>
      <c r="G678" s="81">
        <v>1.391</v>
      </c>
    </row>
    <row r="679" spans="1:14">
      <c r="A679" s="8">
        <v>15</v>
      </c>
      <c r="B679" s="74">
        <v>43160</v>
      </c>
      <c r="E679" s="12">
        <v>3</v>
      </c>
      <c r="F679" s="81">
        <v>3.5169999999999999</v>
      </c>
      <c r="G679" s="81">
        <v>1.44</v>
      </c>
      <c r="I679">
        <v>3.9090000000000003</v>
      </c>
      <c r="J679">
        <v>1.524</v>
      </c>
      <c r="L679">
        <v>0.3898695318495779</v>
      </c>
      <c r="M679">
        <f>+(L679-$L$927)/$L$928</f>
        <v>1.0519012695902046</v>
      </c>
      <c r="N679">
        <f>+N676+M679</f>
        <v>31.516232153678004</v>
      </c>
    </row>
    <row r="680" spans="1:14">
      <c r="A680" s="8">
        <v>6</v>
      </c>
      <c r="B680" s="74">
        <v>43191</v>
      </c>
      <c r="E680" s="12">
        <v>4</v>
      </c>
      <c r="F680" s="81">
        <v>3.8260000000000001</v>
      </c>
      <c r="G680" s="81">
        <v>1.47</v>
      </c>
    </row>
    <row r="681" spans="1:14">
      <c r="A681" s="8">
        <v>8</v>
      </c>
      <c r="B681" s="74">
        <v>43191</v>
      </c>
      <c r="E681" s="12">
        <v>4</v>
      </c>
      <c r="F681" s="81">
        <v>1.375</v>
      </c>
      <c r="G681" s="81">
        <v>0.14899999999999999</v>
      </c>
    </row>
    <row r="682" spans="1:14">
      <c r="A682" s="8">
        <v>15</v>
      </c>
      <c r="B682" s="74">
        <v>43191</v>
      </c>
      <c r="E682" s="12">
        <v>4</v>
      </c>
      <c r="F682" s="82">
        <v>0.83899999999999997</v>
      </c>
      <c r="G682" s="82">
        <v>0.13200000000000001</v>
      </c>
      <c r="I682">
        <v>2.0133333333333336</v>
      </c>
      <c r="J682">
        <v>0.58366666666666667</v>
      </c>
      <c r="L682">
        <v>0.28990066225165556</v>
      </c>
      <c r="M682">
        <f>+(L682-$L$927)/$L$928</f>
        <v>0.10365200953213997</v>
      </c>
      <c r="N682">
        <f>+N679+M682</f>
        <v>31.619884163210145</v>
      </c>
    </row>
    <row r="683" spans="1:14">
      <c r="A683" s="8">
        <v>6</v>
      </c>
      <c r="B683" s="74">
        <v>43221</v>
      </c>
      <c r="E683" s="12">
        <v>5</v>
      </c>
      <c r="F683" s="82">
        <v>11.643000000000001</v>
      </c>
      <c r="G683" s="82">
        <v>3.0139999999999998</v>
      </c>
    </row>
    <row r="684" spans="1:14">
      <c r="A684" s="8">
        <v>8</v>
      </c>
      <c r="B684" s="74">
        <v>43221</v>
      </c>
      <c r="E684" s="12">
        <v>5</v>
      </c>
      <c r="F684" s="82">
        <v>2.782</v>
      </c>
      <c r="G684" s="82">
        <v>0.36699999999999999</v>
      </c>
    </row>
    <row r="685" spans="1:14">
      <c r="A685" s="8">
        <v>15</v>
      </c>
      <c r="B685" s="74">
        <v>43221</v>
      </c>
      <c r="E685" s="12">
        <v>5</v>
      </c>
      <c r="F685" s="82">
        <v>6.2859999999999996</v>
      </c>
      <c r="G685" s="82">
        <v>1.5049999999999999</v>
      </c>
      <c r="I685">
        <v>6.9036666666666662</v>
      </c>
      <c r="J685">
        <v>1.6286666666666665</v>
      </c>
      <c r="L685">
        <v>0.23591328279658152</v>
      </c>
      <c r="M685">
        <f>+(L685-$L$927)/$L$928</f>
        <v>-0.40844233370340538</v>
      </c>
      <c r="N685">
        <f>+N682+M685</f>
        <v>31.21144182950674</v>
      </c>
    </row>
    <row r="686" spans="1:14">
      <c r="A686" s="8">
        <v>6</v>
      </c>
      <c r="B686" s="74">
        <v>43252</v>
      </c>
      <c r="E686" s="12">
        <v>6</v>
      </c>
      <c r="F686" s="82">
        <v>4.6680000000000001</v>
      </c>
      <c r="G686" s="82">
        <v>0.59099999999999997</v>
      </c>
    </row>
    <row r="687" spans="1:14">
      <c r="A687" s="8">
        <v>8</v>
      </c>
      <c r="B687" s="74">
        <v>43252</v>
      </c>
      <c r="E687" s="12">
        <v>6</v>
      </c>
      <c r="F687" s="82">
        <v>2.66</v>
      </c>
      <c r="G687" s="82">
        <v>0.34899999999999998</v>
      </c>
    </row>
    <row r="688" spans="1:14">
      <c r="A688" s="8">
        <v>15</v>
      </c>
      <c r="B688" s="74">
        <v>43252</v>
      </c>
      <c r="E688" s="12">
        <v>6</v>
      </c>
      <c r="F688" s="82">
        <v>5.0890000000000004</v>
      </c>
      <c r="G688" s="82">
        <v>0.55900000000000005</v>
      </c>
      <c r="I688">
        <v>4.1390000000000002</v>
      </c>
      <c r="J688">
        <v>0.4996666666666667</v>
      </c>
      <c r="L688">
        <v>0.12072159136667472</v>
      </c>
      <c r="M688">
        <f>+(L688-$L$927)/$L$928</f>
        <v>-1.5010868399639443</v>
      </c>
      <c r="N688">
        <f>+N685+M688</f>
        <v>29.710354989542797</v>
      </c>
    </row>
    <row r="689" spans="1:14">
      <c r="A689" s="8">
        <v>6</v>
      </c>
      <c r="B689" s="74">
        <v>43282</v>
      </c>
      <c r="E689" s="12">
        <v>7</v>
      </c>
      <c r="F689" s="82">
        <v>17.873000000000001</v>
      </c>
      <c r="G689" s="82">
        <v>1.476</v>
      </c>
    </row>
    <row r="690" spans="1:14">
      <c r="A690" s="8">
        <v>8</v>
      </c>
      <c r="B690" s="74">
        <v>43282</v>
      </c>
      <c r="E690" s="12">
        <v>7</v>
      </c>
      <c r="F690" s="82">
        <v>4.2279999999999998</v>
      </c>
      <c r="G690" s="82">
        <v>0.63200000000000001</v>
      </c>
    </row>
    <row r="691" spans="1:14">
      <c r="A691" s="8">
        <v>15</v>
      </c>
      <c r="B691" s="74">
        <v>43282</v>
      </c>
      <c r="E691" s="12">
        <v>7</v>
      </c>
      <c r="F691" s="82">
        <v>2.0680000000000001</v>
      </c>
      <c r="G691" s="82">
        <v>0.52200000000000002</v>
      </c>
      <c r="I691">
        <v>8.0563333333333329</v>
      </c>
      <c r="J691">
        <v>0.87666666666666659</v>
      </c>
      <c r="L691">
        <v>0.10881707973023294</v>
      </c>
      <c r="M691">
        <f>+(L691-$L$927)/$L$928</f>
        <v>-1.6140064357942361</v>
      </c>
      <c r="N691">
        <f>+N688+M691</f>
        <v>28.096348553748562</v>
      </c>
    </row>
    <row r="692" spans="1:14">
      <c r="A692" s="8">
        <v>6</v>
      </c>
      <c r="B692" s="74">
        <v>43313</v>
      </c>
      <c r="E692" s="12">
        <v>8</v>
      </c>
      <c r="F692" s="82">
        <v>2.2989999999999999</v>
      </c>
      <c r="G692" s="82">
        <v>0.27700000000000002</v>
      </c>
    </row>
    <row r="693" spans="1:14">
      <c r="A693" s="8">
        <v>8</v>
      </c>
      <c r="B693" s="74">
        <v>43313</v>
      </c>
      <c r="E693" s="12">
        <v>8</v>
      </c>
      <c r="F693" s="82">
        <v>2.919</v>
      </c>
      <c r="G693" s="82">
        <v>0.58599999999999997</v>
      </c>
    </row>
    <row r="694" spans="1:14">
      <c r="A694" s="8">
        <v>15</v>
      </c>
      <c r="B694" s="74">
        <v>43313</v>
      </c>
      <c r="E694" s="12">
        <v>8</v>
      </c>
      <c r="F694" s="82">
        <v>1.7390000000000001</v>
      </c>
      <c r="G694" s="82">
        <v>0.30399999999999999</v>
      </c>
      <c r="I694">
        <v>2.319</v>
      </c>
      <c r="J694">
        <v>0.38900000000000001</v>
      </c>
      <c r="L694">
        <v>0.16774471755066839</v>
      </c>
      <c r="M694">
        <f>+(L694-$L$927)/$L$928</f>
        <v>-1.0550515412861674</v>
      </c>
      <c r="N694">
        <f>+N691+M694</f>
        <v>27.041297012462394</v>
      </c>
    </row>
    <row r="695" spans="1:14">
      <c r="A695" s="8">
        <v>6</v>
      </c>
      <c r="B695" s="74">
        <v>43344</v>
      </c>
      <c r="E695" s="12">
        <v>9</v>
      </c>
      <c r="F695" s="82">
        <v>7.1219999999999999</v>
      </c>
      <c r="G695" s="82">
        <v>1.1100000000000001</v>
      </c>
    </row>
    <row r="696" spans="1:14">
      <c r="A696" s="8">
        <v>8</v>
      </c>
      <c r="B696" s="74">
        <v>43344</v>
      </c>
      <c r="E696" s="12">
        <v>9</v>
      </c>
      <c r="F696" s="82">
        <v>2.97</v>
      </c>
      <c r="G696" s="82">
        <v>0.57399999999999995</v>
      </c>
    </row>
    <row r="697" spans="1:14">
      <c r="A697" s="8">
        <v>15</v>
      </c>
      <c r="B697" s="74">
        <v>43344</v>
      </c>
      <c r="E697" s="12">
        <v>9</v>
      </c>
      <c r="F697" s="82">
        <v>5.1970000000000001</v>
      </c>
      <c r="G697" s="82">
        <v>1.32</v>
      </c>
      <c r="I697">
        <v>5.0963333333333338</v>
      </c>
      <c r="J697">
        <v>1.0013333333333334</v>
      </c>
      <c r="L697">
        <v>0.1964811302243443</v>
      </c>
      <c r="M697">
        <f>+(L697-$L$927)/$L$928</f>
        <v>-0.78247386621458004</v>
      </c>
      <c r="N697">
        <f>+N694+M697</f>
        <v>26.258823146247813</v>
      </c>
    </row>
    <row r="698" spans="1:14">
      <c r="A698" s="8">
        <v>6</v>
      </c>
      <c r="B698" s="74">
        <v>43374</v>
      </c>
      <c r="E698" s="12">
        <v>10</v>
      </c>
      <c r="F698" s="82">
        <v>2.7970000000000002</v>
      </c>
      <c r="G698" s="82">
        <v>0.54200000000000004</v>
      </c>
    </row>
    <row r="699" spans="1:14">
      <c r="A699" s="8">
        <v>8</v>
      </c>
      <c r="B699" s="74">
        <v>43374</v>
      </c>
      <c r="E699" s="12">
        <v>10</v>
      </c>
      <c r="F699" s="82">
        <v>0.69499999999999995</v>
      </c>
      <c r="G699" s="82">
        <v>4.9000000000000002E-2</v>
      </c>
    </row>
    <row r="700" spans="1:14">
      <c r="A700" s="8">
        <v>15</v>
      </c>
      <c r="B700" s="74">
        <v>43374</v>
      </c>
      <c r="E700" s="12">
        <v>10</v>
      </c>
      <c r="F700" s="82">
        <v>3.7160000000000002</v>
      </c>
      <c r="G700" s="82">
        <v>0.60099999999999998</v>
      </c>
      <c r="I700">
        <v>2.4026666666666667</v>
      </c>
      <c r="J700">
        <v>0.39733333333333337</v>
      </c>
      <c r="L700">
        <v>0.16537180910099891</v>
      </c>
      <c r="M700">
        <f>+(L700-$L$927)/$L$928</f>
        <v>-1.0775596349620749</v>
      </c>
      <c r="N700">
        <f>+N697+M700</f>
        <v>25.181263511285739</v>
      </c>
    </row>
    <row r="701" spans="1:14">
      <c r="A701" s="8">
        <v>6</v>
      </c>
      <c r="B701" s="74">
        <v>43405</v>
      </c>
      <c r="E701" s="12">
        <v>11</v>
      </c>
      <c r="F701" s="82">
        <v>3.2709999999999999</v>
      </c>
      <c r="G701" s="82">
        <v>0.755</v>
      </c>
      <c r="I701">
        <v>3.2709999999999999</v>
      </c>
      <c r="J701">
        <v>0.755</v>
      </c>
      <c r="L701">
        <v>0.23081626413940692</v>
      </c>
      <c r="M701">
        <f>+(L701-$L$927)/$L$928</f>
        <v>-0.45678982617388558</v>
      </c>
      <c r="N701">
        <f>+N700+M701</f>
        <v>24.724473685111853</v>
      </c>
    </row>
    <row r="702" spans="1:14">
      <c r="A702" s="8">
        <v>8</v>
      </c>
      <c r="B702" s="74">
        <v>43405</v>
      </c>
      <c r="E702" s="12">
        <v>11</v>
      </c>
    </row>
    <row r="703" spans="1:14">
      <c r="A703" s="8">
        <v>15</v>
      </c>
      <c r="B703" s="74">
        <v>43405</v>
      </c>
      <c r="E703" s="12">
        <v>11</v>
      </c>
    </row>
    <row r="704" spans="1:14">
      <c r="A704" s="8">
        <v>6</v>
      </c>
      <c r="B704" s="75">
        <v>43435</v>
      </c>
      <c r="E704" s="12">
        <v>12</v>
      </c>
    </row>
    <row r="705" spans="1:14">
      <c r="A705" s="8">
        <v>8</v>
      </c>
      <c r="B705" s="74">
        <v>43435</v>
      </c>
      <c r="E705" s="12">
        <v>12</v>
      </c>
    </row>
    <row r="706" spans="1:14">
      <c r="A706" s="8">
        <v>15</v>
      </c>
      <c r="B706" s="74">
        <v>43435</v>
      </c>
      <c r="E706" s="12">
        <v>12</v>
      </c>
    </row>
    <row r="707" spans="1:14">
      <c r="A707" s="8">
        <v>6</v>
      </c>
      <c r="B707" s="73">
        <v>43475</v>
      </c>
      <c r="E707" s="10">
        <v>1</v>
      </c>
    </row>
    <row r="708" spans="1:14">
      <c r="A708" s="8">
        <v>8</v>
      </c>
      <c r="B708" s="73">
        <v>43470</v>
      </c>
      <c r="E708" s="10">
        <v>1</v>
      </c>
    </row>
    <row r="709" spans="1:14">
      <c r="A709" s="8">
        <v>15</v>
      </c>
      <c r="B709" s="73">
        <v>43470</v>
      </c>
      <c r="E709" s="10">
        <v>1</v>
      </c>
    </row>
    <row r="710" spans="1:14">
      <c r="A710" s="8">
        <v>6</v>
      </c>
      <c r="B710" s="74">
        <v>43497</v>
      </c>
      <c r="E710" s="12">
        <v>2</v>
      </c>
    </row>
    <row r="711" spans="1:14">
      <c r="A711" s="8">
        <v>8</v>
      </c>
      <c r="B711" s="74">
        <v>43497</v>
      </c>
      <c r="E711" s="12">
        <v>2</v>
      </c>
    </row>
    <row r="712" spans="1:14">
      <c r="A712" s="8">
        <v>15</v>
      </c>
      <c r="B712" s="74">
        <v>43497</v>
      </c>
      <c r="E712" s="12">
        <v>2</v>
      </c>
    </row>
    <row r="713" spans="1:14">
      <c r="A713" s="8">
        <v>6</v>
      </c>
      <c r="B713" s="74">
        <v>43525</v>
      </c>
      <c r="E713" s="12">
        <v>3</v>
      </c>
      <c r="F713" s="85">
        <v>0.65200000000000002</v>
      </c>
      <c r="G713" s="84">
        <v>0.10100000000000001</v>
      </c>
    </row>
    <row r="714" spans="1:14">
      <c r="A714" s="8">
        <v>8</v>
      </c>
      <c r="B714" s="74">
        <v>43525</v>
      </c>
      <c r="E714" s="12">
        <v>3</v>
      </c>
      <c r="F714" s="85">
        <v>0.38100000000000001</v>
      </c>
      <c r="G714" s="84">
        <v>3.4000000000000002E-2</v>
      </c>
    </row>
    <row r="715" spans="1:14">
      <c r="A715" s="8">
        <v>15</v>
      </c>
      <c r="B715" s="74">
        <v>43525</v>
      </c>
      <c r="E715" s="12">
        <v>3</v>
      </c>
      <c r="F715" s="85">
        <v>0.67500000000000004</v>
      </c>
      <c r="G715" s="84">
        <v>0.186</v>
      </c>
      <c r="I715" s="18">
        <f>AVERAGE(F713:F715)</f>
        <v>0.56933333333333336</v>
      </c>
      <c r="J715" s="18">
        <f>AVERAGE(G713:G715)</f>
        <v>0.107</v>
      </c>
      <c r="L715">
        <f>+J715/I715</f>
        <v>0.1879391100702576</v>
      </c>
      <c r="M715">
        <f>+(L715-$L$927)/$L$928</f>
        <v>-0.86349873248637121</v>
      </c>
      <c r="N715">
        <f>+N701+M715</f>
        <v>23.860974952625483</v>
      </c>
    </row>
    <row r="716" spans="1:14">
      <c r="A716" s="8">
        <v>6</v>
      </c>
      <c r="B716" s="74">
        <v>43556</v>
      </c>
      <c r="E716" s="12">
        <v>4</v>
      </c>
      <c r="F716" s="81">
        <v>1.5649999999999999</v>
      </c>
      <c r="G716" s="84">
        <v>0.47199999999999998</v>
      </c>
    </row>
    <row r="717" spans="1:14">
      <c r="A717" s="8">
        <v>8</v>
      </c>
      <c r="B717" s="74">
        <v>43556</v>
      </c>
      <c r="E717" s="12">
        <v>4</v>
      </c>
      <c r="F717" s="81">
        <v>1.157</v>
      </c>
      <c r="G717" s="84">
        <v>0.113</v>
      </c>
    </row>
    <row r="718" spans="1:14">
      <c r="A718" s="8">
        <v>15</v>
      </c>
      <c r="B718" s="74">
        <v>43556</v>
      </c>
      <c r="E718" s="12">
        <v>4</v>
      </c>
      <c r="F718" s="81">
        <v>0.80500000000000005</v>
      </c>
      <c r="G718" s="84">
        <v>0.152</v>
      </c>
      <c r="I718" s="18">
        <f>AVERAGE(F716:F718)</f>
        <v>1.1756666666666666</v>
      </c>
      <c r="J718" s="18">
        <f>AVERAGE(G716:G718)</f>
        <v>0.24566666666666667</v>
      </c>
      <c r="L718">
        <f>+J718/I718</f>
        <v>0.20895945562801249</v>
      </c>
      <c r="M718">
        <f>+(L718-$L$927)/$L$928</f>
        <v>-0.66411139119227536</v>
      </c>
      <c r="N718">
        <f>+N715+M718</f>
        <v>23.196863561433208</v>
      </c>
    </row>
    <row r="719" spans="1:14">
      <c r="A719" s="8">
        <v>6</v>
      </c>
      <c r="B719" s="74">
        <v>43586</v>
      </c>
      <c r="E719" s="12">
        <v>5</v>
      </c>
      <c r="F719" s="81">
        <v>6.4119999999999999</v>
      </c>
      <c r="G719" s="84">
        <v>2.4820000000000002</v>
      </c>
    </row>
    <row r="720" spans="1:14">
      <c r="A720" s="8">
        <v>8</v>
      </c>
      <c r="B720" s="74">
        <v>43586</v>
      </c>
      <c r="E720" s="12">
        <v>5</v>
      </c>
      <c r="F720" s="81">
        <v>1.66</v>
      </c>
      <c r="G720" s="84">
        <v>0.35799999999999998</v>
      </c>
    </row>
    <row r="721" spans="1:14">
      <c r="A721" s="8">
        <v>15</v>
      </c>
      <c r="B721" s="74">
        <v>43586</v>
      </c>
      <c r="E721" s="12">
        <v>5</v>
      </c>
      <c r="F721" s="81">
        <v>3.5920000000000001</v>
      </c>
      <c r="G721" s="84">
        <v>1.159</v>
      </c>
      <c r="I721" s="18">
        <f>AVERAGE(F719:F721)</f>
        <v>3.8879999999999999</v>
      </c>
      <c r="J721" s="18">
        <f>AVERAGE(G719:G721)</f>
        <v>1.3330000000000002</v>
      </c>
      <c r="L721">
        <f>+J721/I721</f>
        <v>0.34284979423868317</v>
      </c>
      <c r="M721">
        <f>+(L721-$L$927)/$L$928</f>
        <v>0.605898113037738</v>
      </c>
      <c r="N721">
        <f>+N718+M721</f>
        <v>23.802761674470947</v>
      </c>
    </row>
    <row r="722" spans="1:14">
      <c r="A722" s="8">
        <v>6</v>
      </c>
      <c r="B722" s="74">
        <v>43617</v>
      </c>
      <c r="E722" s="12">
        <v>6</v>
      </c>
      <c r="F722" s="81">
        <v>5.2050000000000001</v>
      </c>
      <c r="G722" s="84">
        <v>1.07</v>
      </c>
    </row>
    <row r="723" spans="1:14">
      <c r="A723" s="8">
        <v>8</v>
      </c>
      <c r="B723" s="74">
        <v>43617</v>
      </c>
      <c r="E723" s="12">
        <v>6</v>
      </c>
      <c r="F723" s="82">
        <v>2.4590000000000001</v>
      </c>
      <c r="G723" s="82">
        <v>0.88200000000000001</v>
      </c>
    </row>
    <row r="724" spans="1:14">
      <c r="A724" s="8">
        <v>15</v>
      </c>
      <c r="B724" s="74">
        <v>43617</v>
      </c>
      <c r="E724" s="12">
        <v>6</v>
      </c>
      <c r="F724" s="82">
        <v>2.0099999999999998</v>
      </c>
      <c r="G724" s="82">
        <v>0.53600000000000003</v>
      </c>
      <c r="I724" s="18">
        <f>AVERAGE(F722:F724)</f>
        <v>3.2246666666666663</v>
      </c>
      <c r="J724" s="18">
        <f>AVERAGE(G722:G724)</f>
        <v>0.82933333333333337</v>
      </c>
      <c r="L724">
        <f>+J724/I724</f>
        <v>0.25718420508579704</v>
      </c>
      <c r="M724">
        <f>+(L724-$L$927)/$L$928</f>
        <v>-0.20667816049002338</v>
      </c>
      <c r="N724">
        <f>+N721+M724</f>
        <v>23.596083513980922</v>
      </c>
    </row>
    <row r="725" spans="1:14">
      <c r="A725" s="8">
        <v>6</v>
      </c>
      <c r="B725" s="74">
        <v>43647</v>
      </c>
      <c r="E725" s="12">
        <v>7</v>
      </c>
    </row>
    <row r="726" spans="1:14">
      <c r="A726" s="8">
        <v>8</v>
      </c>
      <c r="B726" s="74">
        <v>43647</v>
      </c>
      <c r="E726" s="12">
        <v>7</v>
      </c>
      <c r="F726" s="82">
        <v>4.9550000000000001</v>
      </c>
      <c r="G726" s="82">
        <v>1.1930000000000001</v>
      </c>
    </row>
    <row r="727" spans="1:14">
      <c r="A727" s="8">
        <v>15</v>
      </c>
      <c r="B727" s="74">
        <v>43647</v>
      </c>
      <c r="E727" s="12">
        <v>7</v>
      </c>
      <c r="F727" s="82">
        <v>1.256</v>
      </c>
      <c r="G727" s="82">
        <v>0.191</v>
      </c>
      <c r="I727" s="18">
        <f>AVERAGE(F725:F727)</f>
        <v>3.1055000000000001</v>
      </c>
      <c r="J727" s="18">
        <f>AVERAGE(G725:G727)</f>
        <v>0.69200000000000006</v>
      </c>
      <c r="L727">
        <f>+J727/I727</f>
        <v>0.22283046208340043</v>
      </c>
      <c r="M727">
        <f>+(L727-$L$927)/$L$928</f>
        <v>-0.53253871601364533</v>
      </c>
      <c r="N727">
        <f>+N724+M727</f>
        <v>23.063544797967278</v>
      </c>
    </row>
    <row r="728" spans="1:14">
      <c r="A728" s="8">
        <v>6</v>
      </c>
      <c r="B728" s="74">
        <v>43678</v>
      </c>
      <c r="E728" s="12">
        <v>8</v>
      </c>
      <c r="F728" s="89">
        <v>3.0449999999999999</v>
      </c>
      <c r="G728" s="82">
        <v>0.379</v>
      </c>
    </row>
    <row r="729" spans="1:14">
      <c r="A729" s="8">
        <v>8</v>
      </c>
      <c r="B729" s="74">
        <v>43678</v>
      </c>
      <c r="E729" s="12">
        <v>8</v>
      </c>
    </row>
    <row r="730" spans="1:14">
      <c r="A730" s="8">
        <v>15</v>
      </c>
      <c r="B730" s="74">
        <v>43678</v>
      </c>
      <c r="E730" s="12">
        <v>8</v>
      </c>
      <c r="I730" s="18">
        <f>AVERAGE(F728:F730)</f>
        <v>3.0449999999999999</v>
      </c>
      <c r="J730" s="18">
        <f>AVERAGE(G728:G730)</f>
        <v>0.379</v>
      </c>
      <c r="L730">
        <f>+J730/I730</f>
        <v>0.12446633825944171</v>
      </c>
      <c r="M730">
        <f>+(L730-$L$927)/$L$928</f>
        <v>-1.4655662475589979</v>
      </c>
      <c r="N730">
        <f>+N727+M730</f>
        <v>21.597978550408282</v>
      </c>
    </row>
    <row r="731" spans="1:14">
      <c r="A731" s="8">
        <v>6</v>
      </c>
      <c r="B731" s="74">
        <v>43709</v>
      </c>
      <c r="E731" s="12">
        <v>9</v>
      </c>
      <c r="F731" s="82">
        <v>2.77</v>
      </c>
      <c r="G731" s="82">
        <v>0.61499999999999999</v>
      </c>
    </row>
    <row r="732" spans="1:14">
      <c r="A732" s="8">
        <v>8</v>
      </c>
      <c r="B732" s="74">
        <v>43709</v>
      </c>
      <c r="E732" s="12">
        <v>9</v>
      </c>
      <c r="F732" s="82">
        <v>1.7789999999999999</v>
      </c>
      <c r="G732" s="82">
        <v>0.372</v>
      </c>
    </row>
    <row r="733" spans="1:14">
      <c r="A733" s="8">
        <v>15</v>
      </c>
      <c r="B733" s="74">
        <v>43709</v>
      </c>
      <c r="E733" s="12">
        <v>9</v>
      </c>
      <c r="F733" s="82">
        <v>2.2629999999999999</v>
      </c>
      <c r="G733" s="82">
        <v>0.56399999999999995</v>
      </c>
      <c r="I733" s="18">
        <f>AVERAGE(F731:F733)</f>
        <v>2.2706666666666666</v>
      </c>
      <c r="J733" s="18">
        <f>AVERAGE(G731:G733)</f>
        <v>0.51700000000000002</v>
      </c>
      <c r="L733">
        <f>+J733/I733</f>
        <v>0.22768643570170288</v>
      </c>
      <c r="M733">
        <f>+(L733-$L$927)/$L$928</f>
        <v>-0.48647764311228203</v>
      </c>
      <c r="N733">
        <f>+N730+M733</f>
        <v>21.111500907296001</v>
      </c>
    </row>
    <row r="734" spans="1:14">
      <c r="A734" s="8">
        <v>6</v>
      </c>
      <c r="B734" s="74">
        <v>43739</v>
      </c>
      <c r="E734" s="12">
        <v>10</v>
      </c>
      <c r="F734" s="82">
        <v>1.4550000000000001</v>
      </c>
      <c r="G734" s="82">
        <v>0.26400000000000001</v>
      </c>
    </row>
    <row r="735" spans="1:14">
      <c r="A735" s="8">
        <v>8</v>
      </c>
      <c r="B735" s="74">
        <v>43739</v>
      </c>
      <c r="E735" s="12">
        <v>10</v>
      </c>
      <c r="F735" s="82">
        <v>1.024</v>
      </c>
      <c r="G735" s="82">
        <v>8.6999999999999994E-2</v>
      </c>
    </row>
    <row r="736" spans="1:14">
      <c r="A736" s="8">
        <v>15</v>
      </c>
      <c r="B736" s="74">
        <v>43739</v>
      </c>
      <c r="E736" s="12">
        <v>10</v>
      </c>
      <c r="F736" s="82">
        <v>1.47</v>
      </c>
      <c r="G736" s="82">
        <v>0.216</v>
      </c>
      <c r="I736" s="18">
        <f>AVERAGE(F734:F736)</f>
        <v>1.3163333333333334</v>
      </c>
      <c r="J736" s="18">
        <f>AVERAGE(G734:G736)</f>
        <v>0.18899999999999997</v>
      </c>
      <c r="L736">
        <f>+J736/I736</f>
        <v>0.14358065332995693</v>
      </c>
      <c r="M736">
        <f>+(L736-$L$927)/$L$928</f>
        <v>-1.2842584544926905</v>
      </c>
      <c r="N736">
        <f>+N733+M736</f>
        <v>19.827242452803311</v>
      </c>
    </row>
    <row r="737" spans="1:14">
      <c r="A737" s="8">
        <v>6</v>
      </c>
      <c r="B737" s="74">
        <v>43770</v>
      </c>
      <c r="E737" s="12">
        <v>11</v>
      </c>
      <c r="F737" s="82"/>
    </row>
    <row r="738" spans="1:14">
      <c r="A738" s="8">
        <v>8</v>
      </c>
      <c r="B738" s="74">
        <v>43770</v>
      </c>
      <c r="E738" s="12">
        <v>11</v>
      </c>
      <c r="F738" s="82"/>
    </row>
    <row r="739" spans="1:14">
      <c r="A739" s="8">
        <v>15</v>
      </c>
      <c r="B739" s="74">
        <v>43770</v>
      </c>
      <c r="E739" s="12">
        <v>11</v>
      </c>
      <c r="F739" s="82"/>
      <c r="I739" s="18"/>
      <c r="J739" s="18"/>
    </row>
    <row r="740" spans="1:14">
      <c r="A740" s="8">
        <v>6</v>
      </c>
      <c r="B740" s="75">
        <v>43800</v>
      </c>
      <c r="E740" s="12">
        <v>12</v>
      </c>
      <c r="F740" s="82">
        <v>0.65400000000000003</v>
      </c>
      <c r="G740" s="82">
        <v>0.17799999999999999</v>
      </c>
    </row>
    <row r="741" spans="1:14">
      <c r="A741" s="8">
        <v>8</v>
      </c>
      <c r="B741" s="74">
        <v>43800</v>
      </c>
      <c r="E741" s="12">
        <v>12</v>
      </c>
      <c r="F741" s="82">
        <v>2.3490000000000002</v>
      </c>
      <c r="G741" s="82">
        <v>0.66800000000000004</v>
      </c>
    </row>
    <row r="742" spans="1:14">
      <c r="A742" s="8">
        <v>15</v>
      </c>
      <c r="B742" s="74">
        <v>43800</v>
      </c>
      <c r="E742" s="12">
        <v>12</v>
      </c>
      <c r="F742" s="82">
        <v>0.68200000000000005</v>
      </c>
      <c r="G742" s="82">
        <v>0.187</v>
      </c>
      <c r="I742" s="18">
        <f>AVERAGE(F740:F742)</f>
        <v>1.2283333333333333</v>
      </c>
      <c r="J742" s="18">
        <f>AVERAGE(G740:G742)</f>
        <v>0.34433333333333338</v>
      </c>
      <c r="L742">
        <f>+J742/I742</f>
        <v>0.28032564450474906</v>
      </c>
      <c r="M742">
        <f>+(L742-$L$927)/$L$928</f>
        <v>1.2828700935524344E-2</v>
      </c>
      <c r="N742">
        <f>+N736+M742</f>
        <v>19.840071153738837</v>
      </c>
    </row>
    <row r="743" spans="1:14">
      <c r="A743" s="97">
        <v>6</v>
      </c>
      <c r="B743" s="93">
        <v>43840</v>
      </c>
      <c r="C743" s="94">
        <v>2020</v>
      </c>
      <c r="D743" s="95" t="s">
        <v>39</v>
      </c>
      <c r="E743" s="96">
        <v>1</v>
      </c>
    </row>
    <row r="744" spans="1:14">
      <c r="A744" s="8">
        <v>8</v>
      </c>
      <c r="B744" s="76">
        <v>43835</v>
      </c>
      <c r="C744">
        <v>2020</v>
      </c>
      <c r="D744" s="11" t="s">
        <v>39</v>
      </c>
      <c r="E744" s="15">
        <v>1</v>
      </c>
    </row>
    <row r="745" spans="1:14">
      <c r="A745" s="8">
        <v>15</v>
      </c>
      <c r="B745" s="76">
        <v>43835</v>
      </c>
      <c r="C745">
        <v>2020</v>
      </c>
      <c r="D745" s="11" t="s">
        <v>39</v>
      </c>
      <c r="E745" s="15">
        <v>1</v>
      </c>
    </row>
    <row r="746" spans="1:14">
      <c r="A746" s="8">
        <v>6</v>
      </c>
      <c r="B746" s="74">
        <v>43862</v>
      </c>
      <c r="C746">
        <v>2020</v>
      </c>
      <c r="D746" s="11" t="s">
        <v>28</v>
      </c>
      <c r="E746" s="15">
        <v>2</v>
      </c>
      <c r="F746" s="98">
        <v>1.083</v>
      </c>
      <c r="G746" s="98">
        <v>0.28799999999999998</v>
      </c>
    </row>
    <row r="747" spans="1:14">
      <c r="A747" s="8">
        <v>8</v>
      </c>
      <c r="B747" s="74">
        <v>43862</v>
      </c>
      <c r="C747">
        <v>2020</v>
      </c>
      <c r="D747" s="11" t="s">
        <v>28</v>
      </c>
      <c r="E747" s="15">
        <v>2</v>
      </c>
      <c r="F747" s="98">
        <v>0.52400000000000002</v>
      </c>
      <c r="G747" s="98">
        <v>0.125</v>
      </c>
    </row>
    <row r="748" spans="1:14">
      <c r="A748" s="8">
        <v>15</v>
      </c>
      <c r="B748" s="74">
        <v>43862</v>
      </c>
      <c r="C748">
        <v>2020</v>
      </c>
      <c r="D748" s="11" t="s">
        <v>28</v>
      </c>
      <c r="E748" s="15">
        <v>2</v>
      </c>
      <c r="F748" s="98">
        <v>0.94799999999999995</v>
      </c>
      <c r="G748" s="98">
        <v>0.183</v>
      </c>
      <c r="I748" s="18">
        <f>AVERAGE(F746:F748)</f>
        <v>0.85166666666666657</v>
      </c>
      <c r="J748" s="18">
        <f>AVERAGE(G746:G748)</f>
        <v>0.19866666666666666</v>
      </c>
      <c r="L748">
        <f>+J748/I748</f>
        <v>0.23326810176125246</v>
      </c>
      <c r="M748">
        <f>+(L748-$L$927)/$L$928</f>
        <v>-0.43353305414026572</v>
      </c>
      <c r="N748">
        <f>+N742+M748</f>
        <v>19.406538099598571</v>
      </c>
    </row>
    <row r="749" spans="1:14">
      <c r="A749" s="8">
        <v>6</v>
      </c>
      <c r="B749" s="74">
        <v>43891</v>
      </c>
      <c r="C749">
        <v>2020</v>
      </c>
      <c r="D749" s="11" t="s">
        <v>29</v>
      </c>
      <c r="E749" s="15">
        <v>3</v>
      </c>
    </row>
    <row r="750" spans="1:14">
      <c r="A750" s="8">
        <v>8</v>
      </c>
      <c r="B750" s="74">
        <v>43891</v>
      </c>
      <c r="C750">
        <v>2020</v>
      </c>
      <c r="D750" s="11" t="s">
        <v>29</v>
      </c>
      <c r="E750" s="15">
        <v>3</v>
      </c>
    </row>
    <row r="751" spans="1:14">
      <c r="A751" s="8">
        <v>15</v>
      </c>
      <c r="B751" s="74">
        <v>43891</v>
      </c>
      <c r="C751">
        <v>2020</v>
      </c>
      <c r="D751" s="11" t="s">
        <v>29</v>
      </c>
      <c r="E751" s="15">
        <v>3</v>
      </c>
    </row>
    <row r="752" spans="1:14">
      <c r="A752" s="8">
        <v>6</v>
      </c>
      <c r="B752" s="74">
        <v>43922</v>
      </c>
      <c r="C752">
        <v>2020</v>
      </c>
      <c r="D752" s="11" t="s">
        <v>30</v>
      </c>
      <c r="E752" s="15">
        <v>4</v>
      </c>
    </row>
    <row r="753" spans="1:14">
      <c r="A753" s="8">
        <v>8</v>
      </c>
      <c r="B753" s="74">
        <v>43922</v>
      </c>
      <c r="C753">
        <v>2020</v>
      </c>
      <c r="D753" s="11" t="s">
        <v>30</v>
      </c>
      <c r="E753" s="15">
        <v>4</v>
      </c>
    </row>
    <row r="754" spans="1:14">
      <c r="A754" s="8">
        <v>15</v>
      </c>
      <c r="B754" s="74">
        <v>43922</v>
      </c>
      <c r="C754">
        <v>2020</v>
      </c>
      <c r="D754" s="11" t="s">
        <v>30</v>
      </c>
      <c r="E754" s="15">
        <v>4</v>
      </c>
    </row>
    <row r="755" spans="1:14">
      <c r="A755" s="8">
        <v>6</v>
      </c>
      <c r="B755" s="74">
        <v>43952</v>
      </c>
      <c r="C755">
        <v>2020</v>
      </c>
      <c r="D755" s="11" t="s">
        <v>31</v>
      </c>
      <c r="E755" s="15">
        <v>5</v>
      </c>
    </row>
    <row r="756" spans="1:14">
      <c r="A756" s="8">
        <v>8</v>
      </c>
      <c r="B756" s="74">
        <v>43952</v>
      </c>
      <c r="C756">
        <v>2020</v>
      </c>
      <c r="D756" s="11" t="s">
        <v>31</v>
      </c>
      <c r="E756" s="15">
        <v>5</v>
      </c>
    </row>
    <row r="757" spans="1:14">
      <c r="A757" s="8">
        <v>15</v>
      </c>
      <c r="B757" s="74">
        <v>43952</v>
      </c>
      <c r="C757">
        <v>2020</v>
      </c>
      <c r="D757" s="11" t="s">
        <v>31</v>
      </c>
      <c r="E757" s="15">
        <v>5</v>
      </c>
    </row>
    <row r="758" spans="1:14">
      <c r="A758" s="8">
        <v>6</v>
      </c>
      <c r="B758" s="74">
        <v>43983</v>
      </c>
      <c r="C758">
        <v>2020</v>
      </c>
      <c r="D758" s="11" t="s">
        <v>32</v>
      </c>
      <c r="E758" s="15">
        <v>6</v>
      </c>
      <c r="F758" s="98">
        <v>1.4039999999999999</v>
      </c>
      <c r="G758" s="98">
        <v>0.28399999999999997</v>
      </c>
    </row>
    <row r="759" spans="1:14">
      <c r="A759" s="8">
        <v>8</v>
      </c>
      <c r="B759" s="74">
        <v>43983</v>
      </c>
      <c r="C759">
        <v>2020</v>
      </c>
      <c r="D759" s="11" t="s">
        <v>32</v>
      </c>
      <c r="E759" s="15">
        <v>6</v>
      </c>
      <c r="F759" s="98">
        <v>1.3180000000000001</v>
      </c>
      <c r="G759" s="98">
        <v>0.17599999999999999</v>
      </c>
    </row>
    <row r="760" spans="1:14">
      <c r="A760" s="8">
        <v>15</v>
      </c>
      <c r="B760" s="74">
        <v>43983</v>
      </c>
      <c r="C760">
        <v>2020</v>
      </c>
      <c r="D760" s="11" t="s">
        <v>32</v>
      </c>
      <c r="E760" s="15">
        <v>6</v>
      </c>
      <c r="F760" s="98">
        <v>1.875</v>
      </c>
      <c r="G760" s="98">
        <v>0.46700000000000003</v>
      </c>
      <c r="I760" s="18">
        <f>AVERAGE(F758:F760)</f>
        <v>1.5323333333333331</v>
      </c>
      <c r="J760" s="18">
        <f>AVERAGE(G758:G760)</f>
        <v>0.309</v>
      </c>
      <c r="L760">
        <f>+J760/I760</f>
        <v>0.20165325212094848</v>
      </c>
      <c r="M760">
        <f>+(L760-$L$927)/$L$928</f>
        <v>-0.73341398606277963</v>
      </c>
      <c r="N760">
        <f>+N748+M760</f>
        <v>18.673124113535792</v>
      </c>
    </row>
    <row r="761" spans="1:14">
      <c r="A761" s="8">
        <v>6</v>
      </c>
      <c r="B761" s="74">
        <v>44013</v>
      </c>
      <c r="C761">
        <v>2020</v>
      </c>
      <c r="D761" s="11" t="s">
        <v>33</v>
      </c>
      <c r="E761" s="15">
        <v>7</v>
      </c>
      <c r="F761" s="98">
        <v>2.8940000000000001</v>
      </c>
      <c r="G761" s="98">
        <v>0.81699999999999995</v>
      </c>
    </row>
    <row r="762" spans="1:14">
      <c r="A762" s="8">
        <v>8</v>
      </c>
      <c r="B762" s="74">
        <v>44013</v>
      </c>
      <c r="C762">
        <v>2020</v>
      </c>
      <c r="D762" s="11" t="s">
        <v>33</v>
      </c>
      <c r="E762" s="15">
        <v>7</v>
      </c>
      <c r="F762" s="98">
        <v>1.2949999999999999</v>
      </c>
      <c r="G762" s="98">
        <v>0.33100000000000002</v>
      </c>
    </row>
    <row r="763" spans="1:14">
      <c r="A763" s="8">
        <v>15</v>
      </c>
      <c r="B763" s="74">
        <v>44013</v>
      </c>
      <c r="C763">
        <v>2020</v>
      </c>
      <c r="D763" s="11" t="s">
        <v>33</v>
      </c>
      <c r="E763" s="15">
        <v>7</v>
      </c>
      <c r="F763" s="98">
        <v>1.96</v>
      </c>
      <c r="G763" s="98">
        <v>0.48799999999999999</v>
      </c>
      <c r="I763" s="18">
        <f t="shared" ref="I763:J763" si="0">AVERAGE(F761:F763)</f>
        <v>2.0496666666666665</v>
      </c>
      <c r="J763" s="18">
        <f t="shared" si="0"/>
        <v>0.54533333333333334</v>
      </c>
      <c r="L763">
        <f t="shared" ref="L763" si="1">+J763/I763</f>
        <v>0.26605952187347537</v>
      </c>
      <c r="M763">
        <f t="shared" ref="M763" si="2">+(L763-$L$927)/$L$928</f>
        <v>-0.12249182717900021</v>
      </c>
      <c r="N763">
        <f>+N760+M763</f>
        <v>18.550632286356791</v>
      </c>
    </row>
    <row r="764" spans="1:14">
      <c r="A764" s="8">
        <v>6</v>
      </c>
      <c r="B764" s="74">
        <v>44044</v>
      </c>
      <c r="C764">
        <v>2020</v>
      </c>
      <c r="D764" s="11" t="s">
        <v>34</v>
      </c>
      <c r="E764" s="15">
        <v>8</v>
      </c>
      <c r="F764" s="98">
        <v>3.5720000000000001</v>
      </c>
      <c r="G764" s="98">
        <v>0.66</v>
      </c>
    </row>
    <row r="765" spans="1:14">
      <c r="A765" s="8">
        <v>8</v>
      </c>
      <c r="B765" s="74">
        <v>44044</v>
      </c>
      <c r="C765">
        <v>2020</v>
      </c>
      <c r="D765" s="11" t="s">
        <v>34</v>
      </c>
      <c r="E765" s="15">
        <v>8</v>
      </c>
      <c r="F765" s="98">
        <v>3.8380000000000001</v>
      </c>
      <c r="G765" s="98">
        <v>1.468</v>
      </c>
    </row>
    <row r="766" spans="1:14">
      <c r="A766" s="8">
        <v>15</v>
      </c>
      <c r="B766" s="74">
        <v>44044</v>
      </c>
      <c r="C766">
        <v>2020</v>
      </c>
      <c r="D766" s="11" t="s">
        <v>34</v>
      </c>
      <c r="E766" s="15">
        <v>8</v>
      </c>
      <c r="F766" s="98">
        <v>5.1539999999999999</v>
      </c>
      <c r="G766" s="98">
        <v>1.405</v>
      </c>
      <c r="I766" s="18">
        <f t="shared" ref="I766:J766" si="3">AVERAGE(F764:F766)</f>
        <v>4.1879999999999997</v>
      </c>
      <c r="J766" s="18">
        <f t="shared" si="3"/>
        <v>1.1776666666666669</v>
      </c>
      <c r="L766">
        <f t="shared" ref="L766" si="4">+J766/I766</f>
        <v>0.28120025469595678</v>
      </c>
      <c r="M766">
        <f t="shared" ref="M766" si="5">+(L766-$L$927)/$L$928</f>
        <v>2.1124768201140339E-2</v>
      </c>
      <c r="N766">
        <f t="shared" ref="N766" si="6">+N763+M766</f>
        <v>18.571757054557931</v>
      </c>
    </row>
    <row r="767" spans="1:14">
      <c r="A767" s="8">
        <v>6</v>
      </c>
      <c r="B767" s="74">
        <v>44075</v>
      </c>
      <c r="C767">
        <v>2020</v>
      </c>
      <c r="D767" s="11" t="s">
        <v>40</v>
      </c>
      <c r="E767" s="15">
        <v>9</v>
      </c>
      <c r="F767" s="98">
        <v>4.6669999999999998</v>
      </c>
      <c r="G767" s="98">
        <v>1.228</v>
      </c>
    </row>
    <row r="768" spans="1:14">
      <c r="A768" s="8">
        <v>8</v>
      </c>
      <c r="B768" s="74">
        <v>44075</v>
      </c>
      <c r="C768">
        <v>2020</v>
      </c>
      <c r="D768" s="11" t="s">
        <v>40</v>
      </c>
      <c r="E768" s="15">
        <v>9</v>
      </c>
      <c r="F768" s="98">
        <v>0.877</v>
      </c>
      <c r="G768" s="98">
        <v>0.11</v>
      </c>
    </row>
    <row r="769" spans="1:14">
      <c r="A769" s="8">
        <v>15</v>
      </c>
      <c r="B769" s="74">
        <v>44075</v>
      </c>
      <c r="C769">
        <v>2020</v>
      </c>
      <c r="D769" s="11" t="s">
        <v>40</v>
      </c>
      <c r="E769" s="15">
        <v>9</v>
      </c>
      <c r="F769" s="98">
        <v>1.0820000000000001</v>
      </c>
      <c r="G769" s="98">
        <v>0.18</v>
      </c>
      <c r="I769" s="18">
        <f t="shared" ref="I769:J769" si="7">AVERAGE(F767:F769)</f>
        <v>2.2086666666666663</v>
      </c>
      <c r="J769" s="18">
        <f t="shared" si="7"/>
        <v>0.50600000000000001</v>
      </c>
      <c r="L769">
        <f t="shared" ref="L769" si="8">+J769/I769</f>
        <v>0.22909749471777849</v>
      </c>
      <c r="M769">
        <f t="shared" ref="M769" si="9">+(L769-$L$927)/$L$928</f>
        <v>-0.47309311977743218</v>
      </c>
      <c r="N769">
        <f t="shared" ref="N769" si="10">+N766+M769</f>
        <v>18.0986639347805</v>
      </c>
    </row>
    <row r="770" spans="1:14">
      <c r="A770" s="8">
        <v>6</v>
      </c>
      <c r="B770" s="74">
        <v>44105</v>
      </c>
      <c r="C770">
        <v>2020</v>
      </c>
      <c r="D770" s="11" t="s">
        <v>36</v>
      </c>
      <c r="E770" s="15">
        <v>10</v>
      </c>
      <c r="F770" s="98">
        <v>1.3939999999999999</v>
      </c>
      <c r="G770" s="98">
        <v>0.151</v>
      </c>
    </row>
    <row r="771" spans="1:14">
      <c r="A771" s="8">
        <v>8</v>
      </c>
      <c r="B771" s="74">
        <v>44105</v>
      </c>
      <c r="C771">
        <v>2020</v>
      </c>
      <c r="D771" s="11" t="s">
        <v>36</v>
      </c>
      <c r="E771" s="15">
        <v>10</v>
      </c>
      <c r="F771" s="98">
        <v>0.89</v>
      </c>
      <c r="G771" s="98">
        <v>0.124</v>
      </c>
    </row>
    <row r="772" spans="1:14">
      <c r="A772" s="8">
        <v>15</v>
      </c>
      <c r="B772" s="74">
        <v>44105</v>
      </c>
      <c r="C772">
        <v>2020</v>
      </c>
      <c r="D772" s="11" t="s">
        <v>36</v>
      </c>
      <c r="E772" s="15">
        <v>10</v>
      </c>
      <c r="F772" s="98">
        <v>1.417</v>
      </c>
      <c r="G772" s="98">
        <v>0.13500000000000001</v>
      </c>
      <c r="I772" s="18">
        <f t="shared" ref="I772:J772" si="11">AVERAGE(F770:F772)</f>
        <v>1.2336666666666665</v>
      </c>
      <c r="J772" s="18">
        <f t="shared" si="11"/>
        <v>0.13666666666666669</v>
      </c>
      <c r="L772">
        <f t="shared" ref="L772" si="12">+J772/I772</f>
        <v>0.11078087003512567</v>
      </c>
      <c r="M772">
        <f t="shared" ref="M772" si="13">+(L772-$L$927)/$L$928</f>
        <v>-1.5953790099664418</v>
      </c>
      <c r="N772">
        <f t="shared" ref="N772" si="14">+N769+M772</f>
        <v>16.503284924814057</v>
      </c>
    </row>
    <row r="773" spans="1:14">
      <c r="A773" s="8">
        <v>6</v>
      </c>
      <c r="B773" s="74">
        <v>44136</v>
      </c>
      <c r="C773">
        <v>2020</v>
      </c>
      <c r="D773" s="11" t="s">
        <v>37</v>
      </c>
      <c r="E773" s="15">
        <v>11</v>
      </c>
      <c r="F773" s="98">
        <v>1.1379999999999999</v>
      </c>
      <c r="G773" s="98">
        <v>0.14699999999999999</v>
      </c>
    </row>
    <row r="774" spans="1:14">
      <c r="A774" s="8">
        <v>8</v>
      </c>
      <c r="B774" s="74">
        <v>44136</v>
      </c>
      <c r="C774">
        <v>2020</v>
      </c>
      <c r="D774" s="11" t="s">
        <v>37</v>
      </c>
      <c r="E774" s="15">
        <v>11</v>
      </c>
      <c r="F774" s="98">
        <v>0.64400000000000002</v>
      </c>
      <c r="G774" s="98">
        <v>0.127</v>
      </c>
    </row>
    <row r="775" spans="1:14">
      <c r="A775" s="8">
        <v>15</v>
      </c>
      <c r="B775" s="74">
        <v>44136</v>
      </c>
      <c r="C775">
        <v>2020</v>
      </c>
      <c r="D775" s="11" t="s">
        <v>37</v>
      </c>
      <c r="E775" s="15">
        <v>11</v>
      </c>
      <c r="F775" s="98">
        <v>1.998</v>
      </c>
      <c r="G775" s="98">
        <v>0.41499999999999998</v>
      </c>
      <c r="I775" s="18">
        <f t="shared" ref="I775:J775" si="15">AVERAGE(F773:F775)</f>
        <v>1.26</v>
      </c>
      <c r="J775" s="18">
        <f t="shared" si="15"/>
        <v>0.22966666666666669</v>
      </c>
      <c r="L775">
        <f t="shared" ref="L775" si="16">+J775/I775</f>
        <v>0.18227513227513228</v>
      </c>
      <c r="M775">
        <f t="shared" ref="M775" si="17">+(L775-$L$927)/$L$928</f>
        <v>-0.91722408493673546</v>
      </c>
      <c r="N775">
        <f t="shared" ref="N775" si="18">+N772+M775</f>
        <v>15.586060839877321</v>
      </c>
    </row>
    <row r="776" spans="1:14">
      <c r="A776" s="8">
        <v>6</v>
      </c>
      <c r="B776" s="75">
        <v>44166</v>
      </c>
      <c r="C776">
        <v>2020</v>
      </c>
      <c r="D776" s="11" t="s">
        <v>38</v>
      </c>
      <c r="E776" s="15">
        <v>12</v>
      </c>
    </row>
    <row r="777" spans="1:14">
      <c r="A777" s="8">
        <v>8</v>
      </c>
      <c r="B777" s="74">
        <v>44166</v>
      </c>
      <c r="C777">
        <v>2020</v>
      </c>
      <c r="D777" s="11" t="s">
        <v>38</v>
      </c>
      <c r="E777" s="15">
        <v>12</v>
      </c>
    </row>
    <row r="778" spans="1:14">
      <c r="A778" s="8">
        <v>15</v>
      </c>
      <c r="B778" s="74">
        <v>44166</v>
      </c>
      <c r="C778">
        <v>2020</v>
      </c>
      <c r="D778" s="11" t="s">
        <v>38</v>
      </c>
      <c r="E778" s="15">
        <v>12</v>
      </c>
    </row>
    <row r="779" spans="1:14">
      <c r="A779" s="97">
        <v>6</v>
      </c>
      <c r="B779" s="93">
        <v>44206</v>
      </c>
      <c r="C779" s="94">
        <v>2021</v>
      </c>
      <c r="D779" s="95" t="s">
        <v>39</v>
      </c>
      <c r="E779" s="96">
        <v>1</v>
      </c>
    </row>
    <row r="780" spans="1:14">
      <c r="A780" s="8">
        <v>8</v>
      </c>
      <c r="B780" s="76">
        <v>44201</v>
      </c>
      <c r="C780">
        <v>2021</v>
      </c>
      <c r="D780" s="11" t="s">
        <v>39</v>
      </c>
      <c r="E780" s="15">
        <v>1</v>
      </c>
    </row>
    <row r="781" spans="1:14">
      <c r="A781" s="8">
        <v>15</v>
      </c>
      <c r="B781" s="76">
        <v>44201</v>
      </c>
      <c r="C781">
        <v>2021</v>
      </c>
      <c r="D781" s="11" t="s">
        <v>39</v>
      </c>
      <c r="E781" s="15">
        <v>1</v>
      </c>
    </row>
    <row r="782" spans="1:14">
      <c r="A782" s="8">
        <v>6</v>
      </c>
      <c r="B782" s="74">
        <v>44228</v>
      </c>
      <c r="C782">
        <v>2021</v>
      </c>
      <c r="D782" s="11" t="s">
        <v>28</v>
      </c>
      <c r="E782" s="15">
        <v>2</v>
      </c>
      <c r="F782" s="98">
        <v>2.1869999999999998</v>
      </c>
      <c r="G782" s="98">
        <v>0.57299999999999995</v>
      </c>
    </row>
    <row r="783" spans="1:14">
      <c r="A783" s="8">
        <v>8</v>
      </c>
      <c r="B783" s="74">
        <v>44228</v>
      </c>
      <c r="C783">
        <v>2021</v>
      </c>
      <c r="D783" s="11" t="s">
        <v>28</v>
      </c>
      <c r="E783" s="15">
        <v>2</v>
      </c>
      <c r="F783" s="98">
        <v>4.0350000000000001</v>
      </c>
      <c r="G783" s="98">
        <v>1.0940000000000001</v>
      </c>
    </row>
    <row r="784" spans="1:14">
      <c r="A784" s="8">
        <v>15</v>
      </c>
      <c r="B784" s="74">
        <v>44228</v>
      </c>
      <c r="C784">
        <v>2021</v>
      </c>
      <c r="D784" s="11" t="s">
        <v>28</v>
      </c>
      <c r="E784" s="15">
        <v>2</v>
      </c>
      <c r="F784" s="98">
        <v>4.0049999999999999</v>
      </c>
      <c r="G784" s="98">
        <v>0.89600000000000002</v>
      </c>
      <c r="I784" s="18">
        <f>AVERAGE(F782:F784)</f>
        <v>3.4090000000000003</v>
      </c>
      <c r="J784" s="18">
        <f>AVERAGE(G782:G784)</f>
        <v>0.85433333333333339</v>
      </c>
      <c r="L784">
        <f>+J784/I784</f>
        <v>0.25061112740784197</v>
      </c>
      <c r="M784">
        <f>+(L784-$L$927)/$L$928</f>
        <v>-0.26902673029474394</v>
      </c>
      <c r="N784">
        <f>+N775+M784</f>
        <v>15.317034109582577</v>
      </c>
    </row>
    <row r="785" spans="1:14">
      <c r="A785" s="8">
        <v>6</v>
      </c>
      <c r="B785" s="74">
        <v>44256</v>
      </c>
      <c r="C785">
        <v>2021</v>
      </c>
      <c r="D785" s="11" t="s">
        <v>29</v>
      </c>
      <c r="E785" s="15">
        <v>3</v>
      </c>
      <c r="F785" s="98">
        <v>1.544</v>
      </c>
      <c r="G785" s="98">
        <v>0.51200000000000001</v>
      </c>
    </row>
    <row r="786" spans="1:14">
      <c r="A786" s="8">
        <v>8</v>
      </c>
      <c r="B786" s="74">
        <v>44256</v>
      </c>
      <c r="C786">
        <v>2021</v>
      </c>
      <c r="D786" s="11" t="s">
        <v>29</v>
      </c>
      <c r="E786" s="15">
        <v>3</v>
      </c>
      <c r="F786" s="98">
        <v>1.1639999999999999</v>
      </c>
      <c r="G786" s="98">
        <v>0.20200000000000001</v>
      </c>
    </row>
    <row r="787" spans="1:14">
      <c r="A787" s="8">
        <v>15</v>
      </c>
      <c r="B787" s="74">
        <v>44256</v>
      </c>
      <c r="C787">
        <v>2021</v>
      </c>
      <c r="D787" s="11" t="s">
        <v>29</v>
      </c>
      <c r="E787" s="15">
        <v>3</v>
      </c>
      <c r="F787" s="98">
        <v>1.7290000000000001</v>
      </c>
      <c r="G787" s="98">
        <v>0.57599999999999996</v>
      </c>
      <c r="I787" s="18">
        <f t="shared" ref="I787:J787" si="19">AVERAGE(F785:F787)</f>
        <v>1.4790000000000001</v>
      </c>
      <c r="J787" s="18">
        <f t="shared" si="19"/>
        <v>0.43</v>
      </c>
      <c r="L787">
        <f t="shared" ref="L787" si="20">+J787/I787</f>
        <v>0.29073698444895196</v>
      </c>
      <c r="M787">
        <f t="shared" ref="M787" si="21">+(L787-$L$927)/$L$928</f>
        <v>0.11158489811981817</v>
      </c>
      <c r="N787">
        <f>+N784+M787</f>
        <v>15.428619007702395</v>
      </c>
    </row>
    <row r="788" spans="1:14">
      <c r="A788" s="8">
        <v>6</v>
      </c>
      <c r="B788" s="74">
        <v>44287</v>
      </c>
      <c r="C788">
        <v>2021</v>
      </c>
      <c r="D788" s="11" t="s">
        <v>30</v>
      </c>
      <c r="E788" s="15">
        <v>4</v>
      </c>
      <c r="F788" s="98">
        <v>0.67800000000000005</v>
      </c>
      <c r="G788" s="98">
        <v>6.7000000000000004E-2</v>
      </c>
    </row>
    <row r="789" spans="1:14">
      <c r="A789" s="8">
        <v>8</v>
      </c>
      <c r="B789" s="74">
        <v>44287</v>
      </c>
      <c r="C789">
        <v>2021</v>
      </c>
      <c r="D789" s="11" t="s">
        <v>30</v>
      </c>
      <c r="E789" s="15">
        <v>4</v>
      </c>
      <c r="F789" s="98">
        <v>0.56000000000000005</v>
      </c>
      <c r="G789" s="98">
        <v>4.4999999999999998E-2</v>
      </c>
    </row>
    <row r="790" spans="1:14">
      <c r="A790" s="8">
        <v>15</v>
      </c>
      <c r="B790" s="74">
        <v>44287</v>
      </c>
      <c r="C790">
        <v>2021</v>
      </c>
      <c r="D790" s="11" t="s">
        <v>30</v>
      </c>
      <c r="E790" s="15">
        <v>4</v>
      </c>
      <c r="F790" s="98">
        <v>1.1479999999999999</v>
      </c>
      <c r="G790" s="98">
        <v>9.4E-2</v>
      </c>
      <c r="I790" s="18">
        <f t="shared" ref="I790:J790" si="22">AVERAGE(F788:F790)</f>
        <v>0.79533333333333334</v>
      </c>
      <c r="J790" s="18">
        <f t="shared" si="22"/>
        <v>6.8666666666666668E-2</v>
      </c>
      <c r="L790">
        <f t="shared" ref="L790" si="23">+J790/I790</f>
        <v>8.6336965632858337E-2</v>
      </c>
      <c r="M790">
        <f t="shared" ref="M790" si="24">+(L790-$L$927)/$L$928</f>
        <v>-1.8272403319520392</v>
      </c>
      <c r="N790">
        <f t="shared" ref="N790" si="25">+N787+M790</f>
        <v>13.601378675750356</v>
      </c>
    </row>
    <row r="791" spans="1:14">
      <c r="A791" s="8">
        <v>6</v>
      </c>
      <c r="B791" s="74">
        <v>44317</v>
      </c>
      <c r="C791">
        <v>2021</v>
      </c>
      <c r="D791" s="11" t="s">
        <v>31</v>
      </c>
      <c r="E791" s="15">
        <v>5</v>
      </c>
      <c r="F791" s="98">
        <v>1.7669999999999999</v>
      </c>
      <c r="G791" s="98">
        <v>0.44800000000000001</v>
      </c>
    </row>
    <row r="792" spans="1:14">
      <c r="A792" s="8">
        <v>8</v>
      </c>
      <c r="B792" s="74">
        <v>44317</v>
      </c>
      <c r="C792">
        <v>2021</v>
      </c>
      <c r="D792" s="11" t="s">
        <v>31</v>
      </c>
      <c r="E792" s="15">
        <v>5</v>
      </c>
      <c r="F792" s="98">
        <v>1.22</v>
      </c>
      <c r="G792" s="98">
        <v>0.16800000000000001</v>
      </c>
    </row>
    <row r="793" spans="1:14">
      <c r="A793" s="8">
        <v>15</v>
      </c>
      <c r="B793" s="74">
        <v>44317</v>
      </c>
      <c r="C793">
        <v>2021</v>
      </c>
      <c r="D793" s="11" t="s">
        <v>31</v>
      </c>
      <c r="E793" s="15">
        <v>5</v>
      </c>
      <c r="F793" s="98">
        <v>1.2649999999999999</v>
      </c>
      <c r="G793" s="98">
        <v>0.23899999999999999</v>
      </c>
      <c r="I793" s="18">
        <f t="shared" ref="I793:J793" si="26">AVERAGE(F791:F793)</f>
        <v>1.4173333333333333</v>
      </c>
      <c r="J793" s="18">
        <f t="shared" si="26"/>
        <v>0.28499999999999998</v>
      </c>
      <c r="L793">
        <f t="shared" ref="L793" si="27">+J793/I793</f>
        <v>0.20108184383819377</v>
      </c>
      <c r="M793">
        <f t="shared" ref="M793" si="28">+(L793-$L$927)/$L$928</f>
        <v>-0.73883404816303622</v>
      </c>
      <c r="N793">
        <f t="shared" ref="N793" si="29">+N790+M793</f>
        <v>12.862544627587319</v>
      </c>
    </row>
    <row r="794" spans="1:14">
      <c r="A794" s="8">
        <v>6</v>
      </c>
      <c r="B794" s="74">
        <v>44348</v>
      </c>
      <c r="C794">
        <v>2021</v>
      </c>
      <c r="D794" s="11" t="s">
        <v>32</v>
      </c>
      <c r="E794" s="15">
        <v>6</v>
      </c>
      <c r="F794" s="98">
        <v>2.4929999999999999</v>
      </c>
      <c r="G794" s="98">
        <v>0.42399999999999999</v>
      </c>
    </row>
    <row r="795" spans="1:14">
      <c r="A795" s="8">
        <v>8</v>
      </c>
      <c r="B795" s="74">
        <v>44348</v>
      </c>
      <c r="C795">
        <v>2021</v>
      </c>
      <c r="D795" s="11" t="s">
        <v>32</v>
      </c>
      <c r="E795" s="15">
        <v>6</v>
      </c>
      <c r="F795" s="98">
        <v>2.9580000000000002</v>
      </c>
      <c r="G795" s="98">
        <v>0.63200000000000001</v>
      </c>
    </row>
    <row r="796" spans="1:14">
      <c r="A796" s="8">
        <v>15</v>
      </c>
      <c r="B796" s="74">
        <v>44348</v>
      </c>
      <c r="C796">
        <v>2021</v>
      </c>
      <c r="D796" s="11" t="s">
        <v>32</v>
      </c>
      <c r="E796" s="15">
        <v>6</v>
      </c>
      <c r="F796" s="98">
        <v>3.5</v>
      </c>
      <c r="G796" s="98">
        <v>0.90400000000000003</v>
      </c>
      <c r="I796" s="18">
        <f t="shared" ref="I796:J796" si="30">AVERAGE(F794:F796)</f>
        <v>2.9836666666666667</v>
      </c>
      <c r="J796" s="18">
        <f t="shared" si="30"/>
        <v>0.65333333333333332</v>
      </c>
      <c r="L796">
        <f t="shared" ref="L796" si="31">+J796/I796</f>
        <v>0.21896994749190035</v>
      </c>
      <c r="M796">
        <f t="shared" ref="M796" si="32">+(L796-$L$927)/$L$928</f>
        <v>-0.56915741661070995</v>
      </c>
      <c r="N796">
        <f t="shared" ref="N796" si="33">+N793+M796</f>
        <v>12.29338721097661</v>
      </c>
    </row>
    <row r="797" spans="1:14">
      <c r="A797" s="8">
        <v>6</v>
      </c>
      <c r="B797" s="74">
        <v>44378</v>
      </c>
      <c r="C797">
        <v>2021</v>
      </c>
      <c r="D797" s="11" t="s">
        <v>33</v>
      </c>
      <c r="E797" s="15">
        <v>7</v>
      </c>
      <c r="H797" s="101" t="s">
        <v>91</v>
      </c>
    </row>
    <row r="798" spans="1:14">
      <c r="A798" s="8">
        <v>8</v>
      </c>
      <c r="B798" s="74">
        <v>44378</v>
      </c>
      <c r="C798">
        <v>2021</v>
      </c>
      <c r="D798" s="11" t="s">
        <v>33</v>
      </c>
      <c r="E798" s="15">
        <v>7</v>
      </c>
      <c r="H798" s="101" t="s">
        <v>92</v>
      </c>
    </row>
    <row r="799" spans="1:14">
      <c r="A799" s="8">
        <v>15</v>
      </c>
      <c r="B799" s="74">
        <v>44378</v>
      </c>
      <c r="C799">
        <v>2021</v>
      </c>
      <c r="D799" s="11" t="s">
        <v>33</v>
      </c>
      <c r="E799" s="15">
        <v>7</v>
      </c>
      <c r="I799" s="18"/>
      <c r="J799" s="18"/>
    </row>
    <row r="800" spans="1:14">
      <c r="A800" s="8">
        <v>6</v>
      </c>
      <c r="B800" s="74">
        <v>44409</v>
      </c>
      <c r="C800">
        <v>2021</v>
      </c>
      <c r="D800" s="11" t="s">
        <v>34</v>
      </c>
      <c r="E800" s="15">
        <v>8</v>
      </c>
      <c r="F800" s="98">
        <v>3.915</v>
      </c>
      <c r="G800" s="98">
        <v>0.254</v>
      </c>
    </row>
    <row r="801" spans="1:14">
      <c r="A801" s="8">
        <v>8</v>
      </c>
      <c r="B801" s="74">
        <v>44409</v>
      </c>
      <c r="C801">
        <v>2021</v>
      </c>
      <c r="D801" s="11" t="s">
        <v>34</v>
      </c>
      <c r="E801" s="15">
        <v>8</v>
      </c>
      <c r="F801" s="98">
        <v>1.6639999999999999</v>
      </c>
      <c r="G801" s="98">
        <v>0.29499999999999998</v>
      </c>
    </row>
    <row r="802" spans="1:14">
      <c r="A802" s="8">
        <v>15</v>
      </c>
      <c r="B802" s="74">
        <v>44409</v>
      </c>
      <c r="C802">
        <v>2021</v>
      </c>
      <c r="D802" s="11" t="s">
        <v>34</v>
      </c>
      <c r="E802" s="15">
        <v>8</v>
      </c>
      <c r="F802" s="98">
        <v>1.4710000000000001</v>
      </c>
      <c r="G802" s="98">
        <v>0.24399999999999999</v>
      </c>
      <c r="I802" s="18">
        <f t="shared" ref="I802:J802" si="34">AVERAGE(F800:F802)</f>
        <v>2.35</v>
      </c>
      <c r="J802" s="18">
        <f t="shared" si="34"/>
        <v>0.26433333333333331</v>
      </c>
      <c r="L802">
        <f t="shared" ref="L802" si="35">+J802/I802</f>
        <v>0.11248226950354609</v>
      </c>
      <c r="M802">
        <f t="shared" ref="M802" si="36">+(L802-$L$927)/$L$928</f>
        <v>-1.5792404781066558</v>
      </c>
      <c r="N802">
        <f>+N796+M802</f>
        <v>10.714146732869954</v>
      </c>
    </row>
    <row r="803" spans="1:14">
      <c r="A803" s="8">
        <v>6</v>
      </c>
      <c r="B803" s="74">
        <v>44440</v>
      </c>
      <c r="C803">
        <v>2021</v>
      </c>
      <c r="D803" s="11" t="s">
        <v>40</v>
      </c>
      <c r="E803" s="15">
        <v>9</v>
      </c>
      <c r="F803" s="98">
        <v>1.972</v>
      </c>
      <c r="G803" s="98">
        <v>0.64600000000000002</v>
      </c>
    </row>
    <row r="804" spans="1:14">
      <c r="A804" s="8">
        <v>8</v>
      </c>
      <c r="B804" s="74">
        <v>44440</v>
      </c>
      <c r="C804">
        <v>2021</v>
      </c>
      <c r="D804" s="11" t="s">
        <v>40</v>
      </c>
      <c r="E804" s="15">
        <v>9</v>
      </c>
      <c r="F804" s="98">
        <v>0.97699999999999998</v>
      </c>
      <c r="G804" s="98">
        <v>0.155</v>
      </c>
    </row>
    <row r="805" spans="1:14">
      <c r="A805" s="8">
        <v>15</v>
      </c>
      <c r="B805" s="74">
        <v>44440</v>
      </c>
      <c r="C805">
        <v>2021</v>
      </c>
      <c r="D805" s="11" t="s">
        <v>40</v>
      </c>
      <c r="E805" s="15">
        <v>9</v>
      </c>
      <c r="F805" s="98">
        <v>2.64</v>
      </c>
      <c r="G805" s="98">
        <v>0.80700000000000005</v>
      </c>
      <c r="I805" s="18">
        <f t="shared" ref="I805:J805" si="37">AVERAGE(F803:F805)</f>
        <v>1.8630000000000002</v>
      </c>
      <c r="J805" s="18">
        <f t="shared" si="37"/>
        <v>0.53600000000000003</v>
      </c>
      <c r="L805">
        <f t="shared" ref="L805" si="38">+J805/I805</f>
        <v>0.28770799785292539</v>
      </c>
      <c r="M805">
        <f t="shared" ref="M805" si="39">+(L805-$L$927)/$L$928</f>
        <v>8.285361097052657E-2</v>
      </c>
      <c r="N805">
        <f t="shared" ref="N805" si="40">+N802+M805</f>
        <v>10.79700034384048</v>
      </c>
    </row>
    <row r="806" spans="1:14">
      <c r="A806" s="8">
        <v>6</v>
      </c>
      <c r="B806" s="74">
        <v>44470</v>
      </c>
      <c r="C806">
        <v>2021</v>
      </c>
      <c r="D806" s="11" t="s">
        <v>36</v>
      </c>
      <c r="E806" s="15">
        <v>10</v>
      </c>
      <c r="F806" s="98">
        <v>2.2690000000000001</v>
      </c>
      <c r="G806" s="98">
        <v>0.59599999999999997</v>
      </c>
    </row>
    <row r="807" spans="1:14">
      <c r="A807" s="8">
        <v>8</v>
      </c>
      <c r="B807" s="74">
        <v>44470</v>
      </c>
      <c r="C807">
        <v>2021</v>
      </c>
      <c r="D807" s="11" t="s">
        <v>36</v>
      </c>
      <c r="E807" s="15">
        <v>10</v>
      </c>
      <c r="F807" s="98">
        <v>1.655</v>
      </c>
      <c r="G807" s="98">
        <v>0.27500000000000002</v>
      </c>
    </row>
    <row r="808" spans="1:14">
      <c r="A808" s="8">
        <v>15</v>
      </c>
      <c r="B808" s="74">
        <v>44470</v>
      </c>
      <c r="C808">
        <v>2021</v>
      </c>
      <c r="D808" s="11" t="s">
        <v>36</v>
      </c>
      <c r="E808" s="15">
        <v>10</v>
      </c>
      <c r="F808" s="98">
        <v>2.1030000000000002</v>
      </c>
      <c r="G808" s="98">
        <v>0.52800000000000002</v>
      </c>
      <c r="I808" s="18">
        <f t="shared" ref="I808:J808" si="41">AVERAGE(F806:F808)</f>
        <v>2.0090000000000003</v>
      </c>
      <c r="J808" s="18">
        <f t="shared" si="41"/>
        <v>0.46633333333333332</v>
      </c>
      <c r="L808">
        <f t="shared" ref="L808" si="42">+J808/I808</f>
        <v>0.2321221171395387</v>
      </c>
      <c r="M808">
        <f t="shared" ref="M808" si="43">+(L808-$L$927)/$L$928</f>
        <v>-0.44440322876511285</v>
      </c>
      <c r="N808">
        <f t="shared" ref="N808" si="44">+N805+M808</f>
        <v>10.352597115075367</v>
      </c>
    </row>
    <row r="809" spans="1:14">
      <c r="A809" s="8">
        <v>6</v>
      </c>
      <c r="B809" s="74">
        <v>44501</v>
      </c>
      <c r="C809">
        <v>2021</v>
      </c>
      <c r="D809" s="11" t="s">
        <v>37</v>
      </c>
      <c r="E809" s="15">
        <v>11</v>
      </c>
      <c r="F809" s="98">
        <v>0.873</v>
      </c>
      <c r="G809" s="98">
        <v>0.17799999999999999</v>
      </c>
    </row>
    <row r="810" spans="1:14">
      <c r="A810" s="8">
        <v>8</v>
      </c>
      <c r="B810" s="74">
        <v>44501</v>
      </c>
      <c r="C810">
        <v>2021</v>
      </c>
      <c r="D810" s="11" t="s">
        <v>37</v>
      </c>
      <c r="E810" s="15">
        <v>11</v>
      </c>
      <c r="F810" s="98">
        <v>0.90500000000000003</v>
      </c>
      <c r="G810" s="98">
        <v>0.184</v>
      </c>
    </row>
    <row r="811" spans="1:14">
      <c r="A811" s="8">
        <v>15</v>
      </c>
      <c r="B811" s="74">
        <v>44501</v>
      </c>
      <c r="C811">
        <v>2021</v>
      </c>
      <c r="D811" s="11" t="s">
        <v>37</v>
      </c>
      <c r="E811" s="15">
        <v>11</v>
      </c>
      <c r="F811" s="98">
        <v>0.92</v>
      </c>
      <c r="G811" s="98">
        <v>0.21099999999999999</v>
      </c>
      <c r="I811" s="18">
        <f t="shared" ref="I811:J811" si="45">AVERAGE(F809:F811)</f>
        <v>0.89933333333333332</v>
      </c>
      <c r="J811" s="18">
        <f t="shared" si="45"/>
        <v>0.19099999999999998</v>
      </c>
      <c r="L811">
        <f t="shared" ref="L811" si="46">+J811/I811</f>
        <v>0.2123795404002965</v>
      </c>
      <c r="M811">
        <f t="shared" ref="M811" si="47">+(L811-$L$927)/$L$928</f>
        <v>-0.63167036362341333</v>
      </c>
      <c r="N811">
        <f t="shared" ref="N811" si="48">+N808+M811</f>
        <v>9.7209267514519535</v>
      </c>
    </row>
    <row r="812" spans="1:14">
      <c r="A812" s="8">
        <v>6</v>
      </c>
      <c r="B812" s="75">
        <v>44531</v>
      </c>
      <c r="C812">
        <v>2021</v>
      </c>
      <c r="D812" s="11" t="s">
        <v>38</v>
      </c>
      <c r="E812" s="15">
        <v>12</v>
      </c>
      <c r="F812" s="98">
        <v>0.75</v>
      </c>
      <c r="G812" s="98">
        <v>0.214</v>
      </c>
    </row>
    <row r="813" spans="1:14">
      <c r="A813" s="8">
        <v>8</v>
      </c>
      <c r="B813" s="74">
        <v>44531</v>
      </c>
      <c r="C813">
        <v>2021</v>
      </c>
      <c r="D813" s="11" t="s">
        <v>38</v>
      </c>
      <c r="E813" s="15">
        <v>12</v>
      </c>
      <c r="F813" s="98">
        <v>13.305</v>
      </c>
      <c r="G813" s="98">
        <v>3.7160000000000002</v>
      </c>
    </row>
    <row r="814" spans="1:14">
      <c r="A814" s="8">
        <v>15</v>
      </c>
      <c r="B814" s="74">
        <v>44531</v>
      </c>
      <c r="C814">
        <v>2021</v>
      </c>
      <c r="D814" s="11" t="s">
        <v>38</v>
      </c>
      <c r="E814" s="15">
        <v>12</v>
      </c>
      <c r="F814" s="98">
        <v>0.76</v>
      </c>
      <c r="G814" s="98">
        <v>0.215</v>
      </c>
      <c r="I814" s="18">
        <f t="shared" ref="I814:J814" si="49">AVERAGE(F812:F814)</f>
        <v>4.9383333333333335</v>
      </c>
      <c r="J814" s="18">
        <f t="shared" si="49"/>
        <v>1.3816666666666668</v>
      </c>
      <c r="L814">
        <f t="shared" ref="L814" si="50">+J814/I814</f>
        <v>0.27978400269996628</v>
      </c>
      <c r="M814">
        <f t="shared" ref="M814" si="51">+(L814-$L$927)/$L$928</f>
        <v>7.6909871385439088E-3</v>
      </c>
      <c r="N814">
        <f t="shared" ref="N814" si="52">+N811+M814</f>
        <v>9.7286177385904971</v>
      </c>
    </row>
    <row r="815" spans="1:14">
      <c r="A815" s="97">
        <v>6</v>
      </c>
      <c r="B815" s="93">
        <v>44571</v>
      </c>
      <c r="C815" s="94">
        <v>2022</v>
      </c>
      <c r="D815" s="95" t="s">
        <v>39</v>
      </c>
      <c r="E815" s="96">
        <v>1</v>
      </c>
      <c r="H815" s="101" t="s">
        <v>93</v>
      </c>
    </row>
    <row r="816" spans="1:14">
      <c r="A816" s="8">
        <v>8</v>
      </c>
      <c r="B816" s="76">
        <v>44566</v>
      </c>
      <c r="C816">
        <v>2022</v>
      </c>
      <c r="D816" s="11" t="s">
        <v>39</v>
      </c>
      <c r="E816" s="15">
        <v>1</v>
      </c>
      <c r="H816" s="101" t="s">
        <v>94</v>
      </c>
    </row>
    <row r="817" spans="1:8">
      <c r="A817" s="8">
        <v>15</v>
      </c>
      <c r="B817" s="76">
        <v>44566</v>
      </c>
      <c r="C817">
        <v>2022</v>
      </c>
      <c r="D817" s="11" t="s">
        <v>39</v>
      </c>
      <c r="E817" s="15">
        <v>1</v>
      </c>
      <c r="H817" s="101" t="s">
        <v>95</v>
      </c>
    </row>
    <row r="818" spans="1:8">
      <c r="A818" s="8">
        <v>6</v>
      </c>
      <c r="B818" s="74">
        <v>44593</v>
      </c>
      <c r="C818">
        <v>2022</v>
      </c>
      <c r="D818" s="11" t="s">
        <v>28</v>
      </c>
      <c r="E818" s="15">
        <v>2</v>
      </c>
    </row>
    <row r="819" spans="1:8">
      <c r="A819" s="8">
        <v>8</v>
      </c>
      <c r="B819" s="74">
        <v>44593</v>
      </c>
      <c r="C819">
        <v>2022</v>
      </c>
      <c r="D819" s="11" t="s">
        <v>28</v>
      </c>
      <c r="E819" s="15">
        <v>2</v>
      </c>
    </row>
    <row r="820" spans="1:8">
      <c r="A820" s="8">
        <v>15</v>
      </c>
      <c r="B820" s="74">
        <v>44593</v>
      </c>
      <c r="C820">
        <v>2022</v>
      </c>
      <c r="D820" s="11" t="s">
        <v>28</v>
      </c>
      <c r="E820" s="15">
        <v>2</v>
      </c>
    </row>
    <row r="821" spans="1:8">
      <c r="A821" s="8">
        <v>6</v>
      </c>
      <c r="B821" s="74">
        <v>44621</v>
      </c>
      <c r="C821">
        <v>2022</v>
      </c>
      <c r="D821" s="11" t="s">
        <v>29</v>
      </c>
      <c r="E821" s="15">
        <v>3</v>
      </c>
    </row>
    <row r="822" spans="1:8">
      <c r="A822" s="8">
        <v>8</v>
      </c>
      <c r="B822" s="74">
        <v>44621</v>
      </c>
      <c r="C822">
        <v>2022</v>
      </c>
      <c r="D822" s="11" t="s">
        <v>29</v>
      </c>
      <c r="E822" s="15">
        <v>3</v>
      </c>
    </row>
    <row r="823" spans="1:8">
      <c r="A823" s="8">
        <v>15</v>
      </c>
      <c r="B823" s="74">
        <v>44621</v>
      </c>
      <c r="C823">
        <v>2022</v>
      </c>
      <c r="D823" s="11" t="s">
        <v>29</v>
      </c>
      <c r="E823" s="15">
        <v>3</v>
      </c>
    </row>
    <row r="824" spans="1:8">
      <c r="A824" s="8">
        <v>6</v>
      </c>
      <c r="B824" s="74">
        <v>44652</v>
      </c>
      <c r="C824">
        <v>2022</v>
      </c>
      <c r="D824" s="11" t="s">
        <v>30</v>
      </c>
      <c r="E824" s="15">
        <v>4</v>
      </c>
    </row>
    <row r="825" spans="1:8">
      <c r="A825" s="8">
        <v>8</v>
      </c>
      <c r="B825" s="74">
        <v>44652</v>
      </c>
      <c r="C825">
        <v>2022</v>
      </c>
      <c r="D825" s="11" t="s">
        <v>30</v>
      </c>
      <c r="E825" s="15">
        <v>4</v>
      </c>
    </row>
    <row r="826" spans="1:8">
      <c r="A826" s="8">
        <v>15</v>
      </c>
      <c r="B826" s="74">
        <v>44652</v>
      </c>
      <c r="C826">
        <v>2022</v>
      </c>
      <c r="D826" s="11" t="s">
        <v>30</v>
      </c>
      <c r="E826" s="15">
        <v>4</v>
      </c>
    </row>
    <row r="827" spans="1:8">
      <c r="A827" s="8">
        <v>6</v>
      </c>
      <c r="B827" s="74">
        <v>44682</v>
      </c>
      <c r="C827">
        <v>2022</v>
      </c>
      <c r="D827" s="11" t="s">
        <v>31</v>
      </c>
      <c r="E827" s="15">
        <v>5</v>
      </c>
    </row>
    <row r="828" spans="1:8">
      <c r="A828" s="8">
        <v>8</v>
      </c>
      <c r="B828" s="74">
        <v>44682</v>
      </c>
      <c r="C828">
        <v>2022</v>
      </c>
      <c r="D828" s="11" t="s">
        <v>31</v>
      </c>
      <c r="E828" s="15">
        <v>5</v>
      </c>
    </row>
    <row r="829" spans="1:8">
      <c r="A829" s="8">
        <v>15</v>
      </c>
      <c r="B829" s="74">
        <v>44682</v>
      </c>
      <c r="C829">
        <v>2022</v>
      </c>
      <c r="D829" s="11" t="s">
        <v>31</v>
      </c>
      <c r="E829" s="15">
        <v>5</v>
      </c>
    </row>
    <row r="830" spans="1:8">
      <c r="A830" s="8">
        <v>6</v>
      </c>
      <c r="B830" s="74">
        <v>44713</v>
      </c>
      <c r="C830">
        <v>2022</v>
      </c>
      <c r="D830" s="11" t="s">
        <v>32</v>
      </c>
      <c r="E830" s="15">
        <v>6</v>
      </c>
    </row>
    <row r="831" spans="1:8">
      <c r="A831" s="8">
        <v>8</v>
      </c>
      <c r="B831" s="74">
        <v>44713</v>
      </c>
      <c r="C831">
        <v>2022</v>
      </c>
      <c r="D831" s="11" t="s">
        <v>32</v>
      </c>
      <c r="E831" s="15">
        <v>6</v>
      </c>
    </row>
    <row r="832" spans="1:8">
      <c r="A832" s="8">
        <v>15</v>
      </c>
      <c r="B832" s="74">
        <v>44713</v>
      </c>
      <c r="C832">
        <v>2022</v>
      </c>
      <c r="D832" s="11" t="s">
        <v>32</v>
      </c>
      <c r="E832" s="15">
        <v>6</v>
      </c>
    </row>
    <row r="833" spans="1:5">
      <c r="A833" s="8">
        <v>6</v>
      </c>
      <c r="B833" s="74">
        <v>44743</v>
      </c>
      <c r="C833">
        <v>2022</v>
      </c>
      <c r="D833" s="11" t="s">
        <v>33</v>
      </c>
      <c r="E833" s="15">
        <v>7</v>
      </c>
    </row>
    <row r="834" spans="1:5">
      <c r="A834" s="8">
        <v>8</v>
      </c>
      <c r="B834" s="74">
        <v>44743</v>
      </c>
      <c r="C834">
        <v>2022</v>
      </c>
      <c r="D834" s="11" t="s">
        <v>33</v>
      </c>
      <c r="E834" s="15">
        <v>7</v>
      </c>
    </row>
    <row r="835" spans="1:5">
      <c r="A835" s="8">
        <v>15</v>
      </c>
      <c r="B835" s="74">
        <v>44743</v>
      </c>
      <c r="C835">
        <v>2022</v>
      </c>
      <c r="D835" s="11" t="s">
        <v>33</v>
      </c>
      <c r="E835" s="15">
        <v>7</v>
      </c>
    </row>
    <row r="836" spans="1:5">
      <c r="A836" s="8">
        <v>6</v>
      </c>
      <c r="B836" s="74">
        <v>44774</v>
      </c>
      <c r="C836">
        <v>2022</v>
      </c>
      <c r="D836" s="11" t="s">
        <v>34</v>
      </c>
      <c r="E836" s="15">
        <v>8</v>
      </c>
    </row>
    <row r="837" spans="1:5">
      <c r="A837" s="8">
        <v>8</v>
      </c>
      <c r="B837" s="74">
        <v>44774</v>
      </c>
      <c r="C837">
        <v>2022</v>
      </c>
      <c r="D837" s="11" t="s">
        <v>34</v>
      </c>
      <c r="E837" s="15">
        <v>8</v>
      </c>
    </row>
    <row r="838" spans="1:5">
      <c r="A838" s="8">
        <v>15</v>
      </c>
      <c r="B838" s="74">
        <v>44774</v>
      </c>
      <c r="C838">
        <v>2022</v>
      </c>
      <c r="D838" s="11" t="s">
        <v>34</v>
      </c>
      <c r="E838" s="15">
        <v>8</v>
      </c>
    </row>
    <row r="839" spans="1:5">
      <c r="A839" s="8">
        <v>6</v>
      </c>
      <c r="B839" s="74">
        <v>44805</v>
      </c>
      <c r="C839">
        <v>2022</v>
      </c>
      <c r="D839" s="11" t="s">
        <v>40</v>
      </c>
      <c r="E839" s="15">
        <v>9</v>
      </c>
    </row>
    <row r="840" spans="1:5">
      <c r="A840" s="8">
        <v>8</v>
      </c>
      <c r="B840" s="74">
        <v>44805</v>
      </c>
      <c r="C840">
        <v>2022</v>
      </c>
      <c r="D840" s="11" t="s">
        <v>40</v>
      </c>
      <c r="E840" s="15">
        <v>9</v>
      </c>
    </row>
    <row r="841" spans="1:5">
      <c r="A841" s="8">
        <v>15</v>
      </c>
      <c r="B841" s="74">
        <v>44805</v>
      </c>
      <c r="C841">
        <v>2022</v>
      </c>
      <c r="D841" s="11" t="s">
        <v>40</v>
      </c>
      <c r="E841" s="15">
        <v>9</v>
      </c>
    </row>
    <row r="842" spans="1:5">
      <c r="A842" s="8">
        <v>6</v>
      </c>
      <c r="B842" s="74">
        <v>44835</v>
      </c>
      <c r="C842">
        <v>2022</v>
      </c>
      <c r="D842" s="11" t="s">
        <v>36</v>
      </c>
      <c r="E842" s="15">
        <v>10</v>
      </c>
    </row>
    <row r="843" spans="1:5">
      <c r="A843" s="8">
        <v>8</v>
      </c>
      <c r="B843" s="74">
        <v>44835</v>
      </c>
      <c r="C843">
        <v>2022</v>
      </c>
      <c r="D843" s="11" t="s">
        <v>36</v>
      </c>
      <c r="E843" s="15">
        <v>10</v>
      </c>
    </row>
    <row r="844" spans="1:5">
      <c r="A844" s="8">
        <v>15</v>
      </c>
      <c r="B844" s="74">
        <v>44835</v>
      </c>
      <c r="C844">
        <v>2022</v>
      </c>
      <c r="D844" s="11" t="s">
        <v>36</v>
      </c>
      <c r="E844" s="15">
        <v>10</v>
      </c>
    </row>
    <row r="845" spans="1:5">
      <c r="A845" s="8">
        <v>6</v>
      </c>
      <c r="B845" s="74">
        <v>44866</v>
      </c>
      <c r="C845">
        <v>2022</v>
      </c>
      <c r="D845" s="11" t="s">
        <v>37</v>
      </c>
      <c r="E845" s="15">
        <v>11</v>
      </c>
    </row>
    <row r="846" spans="1:5">
      <c r="A846" s="8">
        <v>8</v>
      </c>
      <c r="B846" s="74">
        <v>44866</v>
      </c>
      <c r="C846">
        <v>2022</v>
      </c>
      <c r="D846" s="11" t="s">
        <v>37</v>
      </c>
      <c r="E846" s="15">
        <v>11</v>
      </c>
    </row>
    <row r="847" spans="1:5">
      <c r="A847" s="8">
        <v>15</v>
      </c>
      <c r="B847" s="74">
        <v>44866</v>
      </c>
      <c r="C847">
        <v>2022</v>
      </c>
      <c r="D847" s="11" t="s">
        <v>37</v>
      </c>
      <c r="E847" s="15">
        <v>11</v>
      </c>
    </row>
    <row r="848" spans="1:5">
      <c r="A848" s="8">
        <v>6</v>
      </c>
      <c r="B848" s="75">
        <v>44896</v>
      </c>
      <c r="C848">
        <v>2022</v>
      </c>
      <c r="D848" s="11" t="s">
        <v>38</v>
      </c>
      <c r="E848" s="15">
        <v>12</v>
      </c>
    </row>
    <row r="849" spans="1:14">
      <c r="A849" s="8">
        <v>8</v>
      </c>
      <c r="B849" s="74">
        <v>44896</v>
      </c>
      <c r="C849">
        <v>2022</v>
      </c>
      <c r="D849" s="11" t="s">
        <v>38</v>
      </c>
      <c r="E849" s="15">
        <v>12</v>
      </c>
    </row>
    <row r="850" spans="1:14">
      <c r="A850" s="8">
        <v>15</v>
      </c>
      <c r="B850" s="74">
        <v>44896</v>
      </c>
      <c r="C850">
        <v>2022</v>
      </c>
      <c r="D850" s="11" t="s">
        <v>38</v>
      </c>
      <c r="E850" s="15">
        <v>12</v>
      </c>
    </row>
    <row r="851" spans="1:14">
      <c r="A851" s="97">
        <v>6</v>
      </c>
      <c r="B851" s="93">
        <v>44936</v>
      </c>
      <c r="C851" s="94">
        <v>2023</v>
      </c>
      <c r="D851" s="95" t="s">
        <v>39</v>
      </c>
      <c r="E851" s="96">
        <v>1</v>
      </c>
      <c r="F851" s="99">
        <v>7.2089999999999996</v>
      </c>
      <c r="G851" s="98">
        <v>0.39600000000000002</v>
      </c>
    </row>
    <row r="852" spans="1:14">
      <c r="A852" s="8">
        <v>8</v>
      </c>
      <c r="B852" s="76">
        <v>44931</v>
      </c>
      <c r="C852">
        <v>2023</v>
      </c>
      <c r="D852" s="11" t="s">
        <v>39</v>
      </c>
      <c r="E852" s="15">
        <v>1</v>
      </c>
      <c r="F852" s="99">
        <v>2.8679999999999999</v>
      </c>
      <c r="G852" s="98">
        <v>0.77100000000000002</v>
      </c>
    </row>
    <row r="853" spans="1:14">
      <c r="A853" s="8">
        <v>15</v>
      </c>
      <c r="B853" s="76">
        <v>44931</v>
      </c>
      <c r="C853">
        <v>2023</v>
      </c>
      <c r="D853" s="11" t="s">
        <v>39</v>
      </c>
      <c r="E853" s="15">
        <v>1</v>
      </c>
      <c r="I853" s="18">
        <f>AVERAGE(F851:F853)</f>
        <v>5.0385</v>
      </c>
      <c r="J853" s="18">
        <f>AVERAGE(G851:G853)</f>
        <v>0.58350000000000002</v>
      </c>
      <c r="L853">
        <f>+J853/I853</f>
        <v>0.11580827627270021</v>
      </c>
      <c r="M853">
        <f>+(L853-$L$927)/$L$928</f>
        <v>-1.5476918223052698</v>
      </c>
      <c r="N853">
        <f>+N814+M853</f>
        <v>8.1809259162852275</v>
      </c>
    </row>
    <row r="854" spans="1:14">
      <c r="A854" s="8">
        <v>6</v>
      </c>
      <c r="B854" s="74">
        <v>44958</v>
      </c>
      <c r="C854">
        <v>2023</v>
      </c>
      <c r="D854" s="11" t="s">
        <v>28</v>
      </c>
      <c r="E854" s="15">
        <v>2</v>
      </c>
      <c r="F854" s="82">
        <v>1.2170000000000001</v>
      </c>
      <c r="G854" s="82">
        <v>0.40200000000000002</v>
      </c>
    </row>
    <row r="855" spans="1:14">
      <c r="A855" s="8">
        <v>8</v>
      </c>
      <c r="B855" s="74">
        <v>44958</v>
      </c>
      <c r="C855">
        <v>2023</v>
      </c>
      <c r="D855" s="11" t="s">
        <v>28</v>
      </c>
      <c r="E855" s="15">
        <v>2</v>
      </c>
      <c r="F855" s="82">
        <v>3.633</v>
      </c>
      <c r="G855" s="82">
        <v>1.153</v>
      </c>
    </row>
    <row r="856" spans="1:14">
      <c r="A856" s="8">
        <v>15</v>
      </c>
      <c r="B856" s="74">
        <v>44958</v>
      </c>
      <c r="C856">
        <v>2023</v>
      </c>
      <c r="D856" s="11" t="s">
        <v>28</v>
      </c>
      <c r="E856" s="15">
        <v>2</v>
      </c>
      <c r="F856" s="82">
        <v>1.1779999999999999</v>
      </c>
      <c r="G856" s="82">
        <v>0.25600000000000001</v>
      </c>
      <c r="I856" s="18">
        <f t="shared" ref="I856:J856" si="53">AVERAGE(F854:F856)</f>
        <v>2.0093333333333332</v>
      </c>
      <c r="J856" s="18">
        <f t="shared" si="53"/>
        <v>0.60366666666666668</v>
      </c>
      <c r="L856">
        <f t="shared" ref="L856" si="54">+J856/I856</f>
        <v>0.30043132050431326</v>
      </c>
      <c r="M856">
        <f t="shared" ref="M856" si="55">+(L856-$L$927)/$L$928</f>
        <v>0.20353999402340953</v>
      </c>
      <c r="N856">
        <f>+N853+M856</f>
        <v>8.3844659103086379</v>
      </c>
    </row>
    <row r="857" spans="1:14">
      <c r="A857" s="8">
        <v>6</v>
      </c>
      <c r="B857" s="74">
        <v>44986</v>
      </c>
      <c r="C857">
        <v>2023</v>
      </c>
      <c r="D857" s="11" t="s">
        <v>29</v>
      </c>
      <c r="E857" s="15">
        <v>3</v>
      </c>
      <c r="F857" s="82">
        <v>1.413</v>
      </c>
      <c r="G857" s="82">
        <v>0.247</v>
      </c>
    </row>
    <row r="858" spans="1:14">
      <c r="A858" s="8">
        <v>8</v>
      </c>
      <c r="B858" s="74">
        <v>44986</v>
      </c>
      <c r="C858">
        <v>2023</v>
      </c>
      <c r="D858" s="11" t="s">
        <v>29</v>
      </c>
      <c r="E858" s="15">
        <v>3</v>
      </c>
      <c r="F858" s="82">
        <v>2.8460000000000001</v>
      </c>
      <c r="G858" s="82">
        <v>1.0349999999999999</v>
      </c>
    </row>
    <row r="859" spans="1:14">
      <c r="A859" s="8">
        <v>15</v>
      </c>
      <c r="B859" s="74">
        <v>44986</v>
      </c>
      <c r="C859">
        <v>2023</v>
      </c>
      <c r="D859" s="11" t="s">
        <v>29</v>
      </c>
      <c r="E859" s="15">
        <v>3</v>
      </c>
      <c r="F859" s="82">
        <v>1.7729999999999999</v>
      </c>
      <c r="G859" s="82">
        <v>0.51700000000000002</v>
      </c>
      <c r="I859" s="18">
        <f t="shared" ref="I859:J859" si="56">AVERAGE(F857:F859)</f>
        <v>2.0106666666666668</v>
      </c>
      <c r="J859" s="18">
        <f t="shared" si="56"/>
        <v>0.59966666666666668</v>
      </c>
      <c r="L859">
        <f t="shared" ref="L859" si="57">+J859/I859</f>
        <v>0.29824270557029176</v>
      </c>
      <c r="M859">
        <f t="shared" ref="M859" si="58">+(L859-$L$927)/$L$928</f>
        <v>0.18278000643842382</v>
      </c>
      <c r="N859">
        <f t="shared" ref="N859" si="59">+N856+M859</f>
        <v>8.567245916747062</v>
      </c>
    </row>
    <row r="860" spans="1:14">
      <c r="A860" s="8">
        <v>6</v>
      </c>
      <c r="B860" s="74">
        <v>45017</v>
      </c>
      <c r="C860">
        <v>2023</v>
      </c>
      <c r="D860" s="11" t="s">
        <v>30</v>
      </c>
      <c r="E860" s="15">
        <v>4</v>
      </c>
      <c r="F860" s="82">
        <v>1.28</v>
      </c>
      <c r="G860" s="82">
        <v>0.23400000000000001</v>
      </c>
    </row>
    <row r="861" spans="1:14">
      <c r="A861" s="8">
        <v>8</v>
      </c>
      <c r="B861" s="74">
        <v>45017</v>
      </c>
      <c r="C861">
        <v>2023</v>
      </c>
      <c r="D861" s="11" t="s">
        <v>30</v>
      </c>
      <c r="E861" s="15">
        <v>4</v>
      </c>
      <c r="F861" s="82">
        <v>8.6859999999999999</v>
      </c>
      <c r="G861" s="82">
        <v>2.976</v>
      </c>
    </row>
    <row r="862" spans="1:14">
      <c r="A862" s="8">
        <v>15</v>
      </c>
      <c r="B862" s="74">
        <v>45017</v>
      </c>
      <c r="C862">
        <v>2023</v>
      </c>
      <c r="D862" s="11" t="s">
        <v>30</v>
      </c>
      <c r="E862" s="15">
        <v>4</v>
      </c>
      <c r="F862" s="82">
        <v>1.6379999999999999</v>
      </c>
      <c r="G862" s="82">
        <v>0.45500000000000002</v>
      </c>
      <c r="I862" s="18">
        <f t="shared" ref="I862:J862" si="60">AVERAGE(F860:F862)</f>
        <v>3.8679999999999999</v>
      </c>
      <c r="J862" s="18">
        <f t="shared" si="60"/>
        <v>1.2216666666666667</v>
      </c>
      <c r="L862">
        <f t="shared" ref="L862" si="61">+J862/I862</f>
        <v>0.31583936573595311</v>
      </c>
      <c r="M862">
        <f t="shared" ref="M862" si="62">+(L862-$L$927)/$L$928</f>
        <v>0.34969216668083986</v>
      </c>
      <c r="N862">
        <f t="shared" ref="N862" si="63">+N859+M862</f>
        <v>8.9169380834279011</v>
      </c>
    </row>
    <row r="863" spans="1:14">
      <c r="A863" s="8">
        <v>6</v>
      </c>
      <c r="B863" s="74">
        <v>45047</v>
      </c>
      <c r="C863">
        <v>2023</v>
      </c>
      <c r="D863" s="11" t="s">
        <v>31</v>
      </c>
      <c r="E863" s="15">
        <v>5</v>
      </c>
      <c r="F863" s="82">
        <v>2.9079999999999999</v>
      </c>
      <c r="G863" s="82">
        <v>0.501</v>
      </c>
    </row>
    <row r="864" spans="1:14">
      <c r="A864" s="8">
        <v>8</v>
      </c>
      <c r="B864" s="74">
        <v>45047</v>
      </c>
      <c r="C864">
        <v>2023</v>
      </c>
      <c r="D864" s="11" t="s">
        <v>31</v>
      </c>
      <c r="E864" s="15">
        <v>5</v>
      </c>
      <c r="F864" s="82">
        <v>6.0209999999999999</v>
      </c>
      <c r="G864" s="82">
        <v>2.1960000000000002</v>
      </c>
    </row>
    <row r="865" spans="1:14">
      <c r="A865" s="8">
        <v>15</v>
      </c>
      <c r="B865" s="74">
        <v>45047</v>
      </c>
      <c r="C865">
        <v>2023</v>
      </c>
      <c r="D865" s="11" t="s">
        <v>31</v>
      </c>
      <c r="E865" s="15">
        <v>5</v>
      </c>
      <c r="F865" s="82">
        <v>5.5359999999999996</v>
      </c>
      <c r="G865" s="82">
        <v>1.9410000000000001</v>
      </c>
      <c r="I865" s="18">
        <f t="shared" ref="I865:J865" si="64">AVERAGE(F863:F865)</f>
        <v>4.8216666666666663</v>
      </c>
      <c r="J865" s="18">
        <f t="shared" si="64"/>
        <v>1.546</v>
      </c>
      <c r="L865">
        <f t="shared" ref="L865" si="65">+J865/I865</f>
        <v>0.32063601797442104</v>
      </c>
      <c r="M865">
        <f t="shared" ref="M865" si="66">+(L865-$L$927)/$L$928</f>
        <v>0.39519054986929597</v>
      </c>
      <c r="N865">
        <f t="shared" ref="N865" si="67">+N862+M865</f>
        <v>9.3121286332971973</v>
      </c>
    </row>
    <row r="866" spans="1:14">
      <c r="A866" s="8">
        <v>6</v>
      </c>
      <c r="B866" s="74">
        <v>45078</v>
      </c>
      <c r="C866">
        <v>2023</v>
      </c>
      <c r="D866" s="11" t="s">
        <v>32</v>
      </c>
      <c r="E866" s="15">
        <v>6</v>
      </c>
      <c r="F866" s="82">
        <v>2.2200000000000002</v>
      </c>
      <c r="G866" s="82">
        <v>0.41599999999999998</v>
      </c>
    </row>
    <row r="867" spans="1:14">
      <c r="A867" s="8">
        <v>8</v>
      </c>
      <c r="B867" s="74">
        <v>45078</v>
      </c>
      <c r="C867">
        <v>2023</v>
      </c>
      <c r="D867" s="11" t="s">
        <v>32</v>
      </c>
      <c r="E867" s="15">
        <v>6</v>
      </c>
      <c r="F867" s="82">
        <v>1.5409999999999999</v>
      </c>
      <c r="G867" s="82">
        <v>0.161</v>
      </c>
    </row>
    <row r="868" spans="1:14">
      <c r="A868" s="8">
        <v>15</v>
      </c>
      <c r="B868" s="74">
        <v>45078</v>
      </c>
      <c r="C868">
        <v>2023</v>
      </c>
      <c r="D868" s="11" t="s">
        <v>32</v>
      </c>
      <c r="E868" s="15">
        <v>6</v>
      </c>
      <c r="F868" s="82">
        <v>1.954</v>
      </c>
      <c r="G868" s="82">
        <v>0.186</v>
      </c>
      <c r="I868" s="18">
        <f t="shared" ref="I868:J868" si="68">AVERAGE(F866:F868)</f>
        <v>1.905</v>
      </c>
      <c r="J868" s="18">
        <f t="shared" si="68"/>
        <v>0.2543333333333333</v>
      </c>
      <c r="L868">
        <f t="shared" ref="L868" si="69">+J868/I868</f>
        <v>0.13350831146106734</v>
      </c>
      <c r="M868">
        <f t="shared" ref="M868" si="70">+(L868-$L$927)/$L$928</f>
        <v>-1.37979910392327</v>
      </c>
      <c r="N868">
        <f t="shared" ref="N868" si="71">+N865+M868</f>
        <v>7.9323295293739271</v>
      </c>
    </row>
    <row r="869" spans="1:14">
      <c r="A869" s="8">
        <v>6</v>
      </c>
      <c r="B869" s="74">
        <v>45108</v>
      </c>
      <c r="C869">
        <v>2023</v>
      </c>
      <c r="D869" s="11" t="s">
        <v>33</v>
      </c>
      <c r="E869" s="15">
        <v>7</v>
      </c>
      <c r="F869" s="82">
        <v>2.0750000000000002</v>
      </c>
      <c r="G869" s="82">
        <v>0.47099999999999997</v>
      </c>
    </row>
    <row r="870" spans="1:14">
      <c r="A870" s="8">
        <v>8</v>
      </c>
      <c r="B870" s="74">
        <v>45108</v>
      </c>
      <c r="C870">
        <v>2023</v>
      </c>
      <c r="D870" s="11" t="s">
        <v>33</v>
      </c>
      <c r="E870" s="15">
        <v>7</v>
      </c>
      <c r="F870" s="82">
        <v>3.8210000000000002</v>
      </c>
      <c r="G870" s="82">
        <v>0.67600000000000005</v>
      </c>
    </row>
    <row r="871" spans="1:14">
      <c r="A871" s="8">
        <v>15</v>
      </c>
      <c r="B871" s="74">
        <v>45108</v>
      </c>
      <c r="C871">
        <v>2023</v>
      </c>
      <c r="D871" s="11" t="s">
        <v>33</v>
      </c>
      <c r="E871" s="15">
        <v>7</v>
      </c>
      <c r="F871" s="82">
        <v>2.8319999999999999</v>
      </c>
      <c r="G871" s="82">
        <v>0.48</v>
      </c>
      <c r="I871" s="18">
        <f t="shared" ref="I871:J871" si="72">AVERAGE(F869:F871)</f>
        <v>2.909333333333334</v>
      </c>
      <c r="J871" s="18">
        <f t="shared" si="72"/>
        <v>0.54233333333333333</v>
      </c>
      <c r="L871">
        <f t="shared" ref="L871" si="73">+J871/I871</f>
        <v>0.18641154903758017</v>
      </c>
      <c r="M871">
        <f t="shared" ref="M871" si="74">+(L871-$L$927)/$L$928</f>
        <v>-0.87798832934543181</v>
      </c>
      <c r="N871">
        <f t="shared" ref="N871" si="75">+N868+M871</f>
        <v>7.0543412000284951</v>
      </c>
    </row>
    <row r="872" spans="1:14">
      <c r="A872" s="8">
        <v>6</v>
      </c>
      <c r="B872" s="74">
        <v>45139</v>
      </c>
      <c r="C872">
        <v>2023</v>
      </c>
      <c r="D872" s="11" t="s">
        <v>34</v>
      </c>
      <c r="E872" s="15">
        <v>8</v>
      </c>
      <c r="F872" s="82">
        <v>2.1749999999999998</v>
      </c>
      <c r="G872" s="82">
        <v>0.442</v>
      </c>
    </row>
    <row r="873" spans="1:14">
      <c r="A873" s="8">
        <v>8</v>
      </c>
      <c r="B873" s="74">
        <v>45139</v>
      </c>
      <c r="C873">
        <v>2023</v>
      </c>
      <c r="D873" s="11" t="s">
        <v>34</v>
      </c>
      <c r="E873" s="15">
        <v>8</v>
      </c>
      <c r="F873" s="82">
        <v>4.1269999999999998</v>
      </c>
      <c r="G873" s="82">
        <v>1.1319999999999999</v>
      </c>
    </row>
    <row r="874" spans="1:14">
      <c r="A874" s="8">
        <v>15</v>
      </c>
      <c r="B874" s="74">
        <v>45139</v>
      </c>
      <c r="C874">
        <v>2023</v>
      </c>
      <c r="D874" s="11" t="s">
        <v>34</v>
      </c>
      <c r="E874" s="15">
        <v>8</v>
      </c>
      <c r="F874" s="82">
        <v>1.47</v>
      </c>
      <c r="G874" s="82">
        <v>0.44800000000000001</v>
      </c>
      <c r="I874" s="18">
        <f t="shared" ref="I874:J874" si="76">AVERAGE(F872:F874)</f>
        <v>2.5906666666666665</v>
      </c>
      <c r="J874" s="18">
        <f t="shared" si="76"/>
        <v>0.67399999999999993</v>
      </c>
      <c r="L874">
        <f t="shared" ref="L874" si="77">+J874/I874</f>
        <v>0.26016469377251672</v>
      </c>
      <c r="M874">
        <f t="shared" ref="M874" si="78">+(L874-$L$927)/$L$928</f>
        <v>-0.17840689761428399</v>
      </c>
      <c r="N874">
        <f t="shared" ref="N874" si="79">+N871+M874</f>
        <v>6.875934302414211</v>
      </c>
    </row>
    <row r="875" spans="1:14">
      <c r="A875" s="8">
        <v>6</v>
      </c>
      <c r="B875" s="74">
        <v>45170</v>
      </c>
      <c r="C875">
        <v>2023</v>
      </c>
      <c r="D875" s="11" t="s">
        <v>40</v>
      </c>
      <c r="E875" s="15">
        <v>9</v>
      </c>
      <c r="F875" s="82">
        <v>3.113</v>
      </c>
      <c r="G875" s="82">
        <v>0.246</v>
      </c>
    </row>
    <row r="876" spans="1:14">
      <c r="A876" s="8">
        <v>8</v>
      </c>
      <c r="B876" s="74">
        <v>45170</v>
      </c>
      <c r="C876">
        <v>2023</v>
      </c>
      <c r="D876" s="11" t="s">
        <v>40</v>
      </c>
      <c r="E876" s="15">
        <v>9</v>
      </c>
      <c r="F876" s="82">
        <v>1.782</v>
      </c>
      <c r="G876" s="82">
        <v>0.155</v>
      </c>
    </row>
    <row r="877" spans="1:14">
      <c r="A877" s="8">
        <v>15</v>
      </c>
      <c r="B877" s="74">
        <v>45170</v>
      </c>
      <c r="C877">
        <v>2023</v>
      </c>
      <c r="D877" s="11" t="s">
        <v>40</v>
      </c>
      <c r="E877" s="15">
        <v>9</v>
      </c>
      <c r="F877" s="82">
        <v>2.3119999999999998</v>
      </c>
      <c r="G877" s="82">
        <v>0.20499999999999999</v>
      </c>
      <c r="I877" s="18">
        <f t="shared" ref="I877:J877" si="80">AVERAGE(F875:F877)</f>
        <v>2.402333333333333</v>
      </c>
      <c r="J877" s="18">
        <f t="shared" si="80"/>
        <v>0.20199999999999999</v>
      </c>
      <c r="L877">
        <f t="shared" ref="L877" si="81">+J877/I877</f>
        <v>8.4084917441376444E-2</v>
      </c>
      <c r="M877">
        <f t="shared" ref="M877" si="82">+(L877-$L$927)/$L$928</f>
        <v>-1.8486020122408817</v>
      </c>
      <c r="N877">
        <f t="shared" ref="N877" si="83">+N874+M877</f>
        <v>5.0273322901733293</v>
      </c>
    </row>
    <row r="878" spans="1:14">
      <c r="A878" s="8">
        <v>6</v>
      </c>
      <c r="B878" s="74">
        <v>45200</v>
      </c>
      <c r="C878">
        <v>2023</v>
      </c>
      <c r="D878" s="11" t="s">
        <v>36</v>
      </c>
      <c r="E878" s="15">
        <v>10</v>
      </c>
      <c r="F878" s="100">
        <v>1.2150000000000001</v>
      </c>
      <c r="G878" s="82">
        <v>0.27</v>
      </c>
    </row>
    <row r="879" spans="1:14">
      <c r="A879" s="8">
        <v>8</v>
      </c>
      <c r="B879" s="74">
        <v>45200</v>
      </c>
      <c r="C879">
        <v>2023</v>
      </c>
      <c r="D879" s="11" t="s">
        <v>36</v>
      </c>
      <c r="E879" s="15">
        <v>10</v>
      </c>
      <c r="F879" s="82">
        <v>0.91900000000000004</v>
      </c>
      <c r="G879" s="82">
        <v>0.188</v>
      </c>
    </row>
    <row r="880" spans="1:14">
      <c r="A880" s="8">
        <v>15</v>
      </c>
      <c r="B880" s="74">
        <v>45200</v>
      </c>
      <c r="C880">
        <v>2023</v>
      </c>
      <c r="D880" s="11" t="s">
        <v>36</v>
      </c>
      <c r="E880" s="15">
        <v>10</v>
      </c>
      <c r="F880" s="82">
        <v>1.343</v>
      </c>
      <c r="G880" s="82">
        <v>0.39700000000000002</v>
      </c>
      <c r="I880" s="18">
        <f t="shared" ref="I880:J880" si="84">AVERAGE(F878:F880)</f>
        <v>1.159</v>
      </c>
      <c r="J880" s="18">
        <f t="shared" si="84"/>
        <v>0.28499999999999998</v>
      </c>
      <c r="L880">
        <f t="shared" ref="L880" si="85">+J880/I880</f>
        <v>0.24590163934426226</v>
      </c>
      <c r="M880">
        <f t="shared" ref="M880" si="86">+(L880-$L$927)/$L$928</f>
        <v>-0.31369832245641582</v>
      </c>
      <c r="N880">
        <f t="shared" ref="N880" si="87">+N877+M880</f>
        <v>4.7136339677169135</v>
      </c>
    </row>
    <row r="881" spans="1:14">
      <c r="A881" s="8">
        <v>6</v>
      </c>
      <c r="B881" s="74">
        <v>45231</v>
      </c>
      <c r="C881">
        <v>2023</v>
      </c>
      <c r="D881" s="11" t="s">
        <v>37</v>
      </c>
      <c r="E881" s="15">
        <v>11</v>
      </c>
      <c r="F881" s="82">
        <v>0.46800000000000003</v>
      </c>
      <c r="G881" s="82">
        <v>0.128</v>
      </c>
    </row>
    <row r="882" spans="1:14">
      <c r="A882" s="8">
        <v>8</v>
      </c>
      <c r="B882" s="74">
        <v>45231</v>
      </c>
      <c r="C882">
        <v>2023</v>
      </c>
      <c r="D882" s="11" t="s">
        <v>37</v>
      </c>
      <c r="E882" s="15">
        <v>11</v>
      </c>
      <c r="F882" s="82">
        <v>1.262</v>
      </c>
      <c r="G882" s="82">
        <v>0.159</v>
      </c>
    </row>
    <row r="883" spans="1:14">
      <c r="A883" s="8">
        <v>15</v>
      </c>
      <c r="B883" s="74">
        <v>45231</v>
      </c>
      <c r="C883">
        <v>2023</v>
      </c>
      <c r="D883" s="11" t="s">
        <v>37</v>
      </c>
      <c r="E883" s="15">
        <v>11</v>
      </c>
      <c r="F883" s="82">
        <v>0.68700000000000006</v>
      </c>
      <c r="G883" s="82">
        <v>0.10299999999999999</v>
      </c>
      <c r="I883" s="18">
        <f t="shared" ref="I883:J883" si="88">AVERAGE(F881:F883)</f>
        <v>0.80566666666666664</v>
      </c>
      <c r="J883" s="18">
        <f t="shared" si="88"/>
        <v>0.13</v>
      </c>
      <c r="L883">
        <f t="shared" ref="L883" si="89">+J883/I883</f>
        <v>0.16135705419942079</v>
      </c>
      <c r="M883">
        <f t="shared" ref="M883" si="90">+(L883-$L$927)/$L$928</f>
        <v>-1.1156413736077928</v>
      </c>
      <c r="N883">
        <f t="shared" ref="N883" si="91">+N880+M883</f>
        <v>3.5979925941091206</v>
      </c>
    </row>
    <row r="884" spans="1:14">
      <c r="A884" s="8">
        <v>6</v>
      </c>
      <c r="B884" s="75">
        <v>45261</v>
      </c>
      <c r="C884">
        <v>2023</v>
      </c>
      <c r="D884" s="11" t="s">
        <v>38</v>
      </c>
      <c r="E884" s="15">
        <v>12</v>
      </c>
      <c r="F884" s="82">
        <v>1.716</v>
      </c>
      <c r="G884" s="82">
        <v>0.39500000000000002</v>
      </c>
    </row>
    <row r="885" spans="1:14">
      <c r="A885" s="8">
        <v>8</v>
      </c>
      <c r="B885" s="74">
        <v>45261</v>
      </c>
      <c r="C885">
        <v>2023</v>
      </c>
      <c r="D885" s="11" t="s">
        <v>38</v>
      </c>
      <c r="E885" s="15">
        <v>12</v>
      </c>
      <c r="F885" s="82">
        <v>0.36099999999999999</v>
      </c>
      <c r="G885" s="82">
        <v>0.107</v>
      </c>
    </row>
    <row r="886" spans="1:14">
      <c r="A886" s="8">
        <v>15</v>
      </c>
      <c r="B886" s="74">
        <v>45261</v>
      </c>
      <c r="C886">
        <v>2023</v>
      </c>
      <c r="D886" s="11" t="s">
        <v>38</v>
      </c>
      <c r="E886" s="15">
        <v>12</v>
      </c>
      <c r="F886" s="82">
        <v>1.167</v>
      </c>
      <c r="G886" s="82">
        <v>0.318</v>
      </c>
      <c r="I886" s="18">
        <f t="shared" ref="I886:J886" si="92">AVERAGE(F884:F886)</f>
        <v>1.0813333333333333</v>
      </c>
      <c r="J886" s="18">
        <f t="shared" si="92"/>
        <v>0.27333333333333337</v>
      </c>
      <c r="L886">
        <f t="shared" ref="L886" si="93">+J886/I886</f>
        <v>0.25277435265104814</v>
      </c>
      <c r="M886">
        <f t="shared" ref="M886" si="94">+(L886-$L$927)/$L$928</f>
        <v>-0.24850757523717984</v>
      </c>
      <c r="N886">
        <f t="shared" ref="N886" si="95">+N883+M886</f>
        <v>3.3494850188719409</v>
      </c>
    </row>
    <row r="887" spans="1:14">
      <c r="A887" s="97">
        <v>6</v>
      </c>
      <c r="B887" s="93">
        <v>45292</v>
      </c>
      <c r="C887" s="94">
        <v>2024</v>
      </c>
      <c r="D887" s="95" t="s">
        <v>39</v>
      </c>
      <c r="E887" s="96">
        <v>1</v>
      </c>
      <c r="F887" s="82">
        <v>1.3340000000000001</v>
      </c>
      <c r="G887" s="82">
        <v>0.25600000000000001</v>
      </c>
    </row>
    <row r="888" spans="1:14">
      <c r="A888" s="8">
        <v>8</v>
      </c>
      <c r="B888" s="76">
        <v>45292</v>
      </c>
      <c r="C888">
        <v>2024</v>
      </c>
      <c r="D888" s="11" t="s">
        <v>39</v>
      </c>
      <c r="E888" s="15">
        <v>1</v>
      </c>
      <c r="F888" s="82">
        <v>1.147</v>
      </c>
      <c r="G888" s="82">
        <v>0.28699999999999998</v>
      </c>
    </row>
    <row r="889" spans="1:14">
      <c r="A889" s="8">
        <v>15</v>
      </c>
      <c r="B889" s="76">
        <v>45292</v>
      </c>
      <c r="C889">
        <v>2024</v>
      </c>
      <c r="D889" s="11" t="s">
        <v>39</v>
      </c>
      <c r="E889" s="15">
        <v>1</v>
      </c>
      <c r="F889" s="82">
        <v>0.875</v>
      </c>
      <c r="G889" s="82">
        <v>0.157</v>
      </c>
      <c r="I889" s="18">
        <f t="shared" ref="I889:J889" si="96">AVERAGE(F887:F889)</f>
        <v>1.1186666666666667</v>
      </c>
      <c r="J889" s="18">
        <f t="shared" si="96"/>
        <v>0.23333333333333331</v>
      </c>
      <c r="L889">
        <f t="shared" ref="L889" si="97">+J889/I889</f>
        <v>0.20858164481525623</v>
      </c>
      <c r="M889">
        <f t="shared" ref="M889" si="98">+(L889-$L$927)/$L$928</f>
        <v>-0.66769509505007607</v>
      </c>
      <c r="N889">
        <f t="shared" ref="N889" si="99">+N886+M889</f>
        <v>2.681789923821865</v>
      </c>
    </row>
    <row r="890" spans="1:14">
      <c r="A890" s="8">
        <v>6</v>
      </c>
      <c r="B890" s="74">
        <v>45323</v>
      </c>
      <c r="C890">
        <v>2024</v>
      </c>
      <c r="D890" s="11" t="s">
        <v>28</v>
      </c>
      <c r="E890" s="15">
        <v>2</v>
      </c>
    </row>
    <row r="891" spans="1:14">
      <c r="A891" s="8">
        <v>8</v>
      </c>
      <c r="B891" s="74">
        <v>45323</v>
      </c>
      <c r="C891">
        <v>2024</v>
      </c>
      <c r="D891" s="11" t="s">
        <v>28</v>
      </c>
      <c r="E891" s="15">
        <v>2</v>
      </c>
    </row>
    <row r="892" spans="1:14">
      <c r="A892" s="8">
        <v>15</v>
      </c>
      <c r="B892" s="74">
        <v>45323</v>
      </c>
      <c r="C892">
        <v>2024</v>
      </c>
      <c r="D892" s="11" t="s">
        <v>28</v>
      </c>
      <c r="E892" s="15">
        <v>2</v>
      </c>
      <c r="I892" s="18"/>
      <c r="J892" s="18"/>
    </row>
    <row r="893" spans="1:14">
      <c r="A893" s="8">
        <v>6</v>
      </c>
      <c r="B893" s="74">
        <v>45352</v>
      </c>
      <c r="C893">
        <v>2024</v>
      </c>
      <c r="D893" s="11" t="s">
        <v>29</v>
      </c>
      <c r="E893" s="15">
        <v>3</v>
      </c>
    </row>
    <row r="894" spans="1:14">
      <c r="A894" s="8">
        <v>8</v>
      </c>
      <c r="B894" s="74">
        <v>45352</v>
      </c>
      <c r="C894">
        <v>2024</v>
      </c>
      <c r="D894" s="11" t="s">
        <v>29</v>
      </c>
      <c r="E894" s="15">
        <v>3</v>
      </c>
      <c r="F894" s="82">
        <v>0.51300000000000001</v>
      </c>
      <c r="G894" s="82">
        <v>7.3999999999999996E-2</v>
      </c>
    </row>
    <row r="895" spans="1:14">
      <c r="A895" s="8">
        <v>15</v>
      </c>
      <c r="B895" s="74">
        <v>45352</v>
      </c>
      <c r="C895">
        <v>2024</v>
      </c>
      <c r="D895" s="11" t="s">
        <v>29</v>
      </c>
      <c r="E895" s="15">
        <v>3</v>
      </c>
      <c r="I895" s="18">
        <f t="shared" ref="I895:J895" si="100">AVERAGE(F893:F895)</f>
        <v>0.51300000000000001</v>
      </c>
      <c r="J895" s="18">
        <f t="shared" si="100"/>
        <v>7.3999999999999996E-2</v>
      </c>
      <c r="L895">
        <f t="shared" ref="L895" si="101">+J895/I895</f>
        <v>0.14424951267056529</v>
      </c>
      <c r="M895">
        <f t="shared" ref="M895" si="102">+(L895-$L$927)/$L$928</f>
        <v>-1.2779140256983492</v>
      </c>
      <c r="N895">
        <f>+N889+M895</f>
        <v>1.4038758981235158</v>
      </c>
    </row>
    <row r="896" spans="1:14">
      <c r="A896" s="8">
        <v>6</v>
      </c>
      <c r="B896" s="74">
        <v>45383</v>
      </c>
      <c r="C896">
        <v>2024</v>
      </c>
      <c r="D896" s="11" t="s">
        <v>30</v>
      </c>
      <c r="E896" s="15">
        <v>4</v>
      </c>
      <c r="F896" s="82">
        <v>0.79700000000000004</v>
      </c>
      <c r="G896" s="82">
        <v>0.16700000000000001</v>
      </c>
    </row>
    <row r="897" spans="1:14">
      <c r="A897" s="8">
        <v>8</v>
      </c>
      <c r="B897" s="74">
        <v>45383</v>
      </c>
      <c r="C897">
        <v>2024</v>
      </c>
      <c r="D897" s="11" t="s">
        <v>30</v>
      </c>
      <c r="E897" s="15">
        <v>4</v>
      </c>
      <c r="F897" s="82">
        <v>0.436</v>
      </c>
      <c r="G897" s="82">
        <v>5.6000000000000001E-2</v>
      </c>
    </row>
    <row r="898" spans="1:14">
      <c r="A898" s="8">
        <v>15</v>
      </c>
      <c r="B898" s="74">
        <v>45383</v>
      </c>
      <c r="C898">
        <v>2024</v>
      </c>
      <c r="D898" s="11" t="s">
        <v>30</v>
      </c>
      <c r="E898" s="15">
        <v>4</v>
      </c>
      <c r="F898" s="82">
        <v>0.55400000000000005</v>
      </c>
      <c r="G898" s="82">
        <v>0.11799999999999999</v>
      </c>
      <c r="I898" s="18">
        <f t="shared" ref="I898:J898" si="103">AVERAGE(F896:F898)</f>
        <v>0.59566666666666668</v>
      </c>
      <c r="J898" s="18">
        <f t="shared" si="103"/>
        <v>0.11366666666666665</v>
      </c>
      <c r="L898">
        <f t="shared" ref="L898" si="104">+J898/I898</f>
        <v>0.19082260772243981</v>
      </c>
      <c r="M898">
        <f t="shared" ref="M898" si="105">+(L898-$L$927)/$L$928</f>
        <v>-0.83614747277864132</v>
      </c>
      <c r="N898">
        <f t="shared" ref="N898" si="106">+N895+M898</f>
        <v>0.56772842534487444</v>
      </c>
    </row>
    <row r="899" spans="1:14">
      <c r="A899" s="8">
        <v>6</v>
      </c>
      <c r="B899" s="74">
        <v>45413</v>
      </c>
      <c r="C899">
        <v>2024</v>
      </c>
      <c r="D899" s="11" t="s">
        <v>31</v>
      </c>
      <c r="E899" s="15">
        <v>5</v>
      </c>
      <c r="F899" s="82">
        <v>2.819</v>
      </c>
      <c r="G899" s="82">
        <v>0.91100000000000003</v>
      </c>
    </row>
    <row r="900" spans="1:14">
      <c r="A900" s="8">
        <v>8</v>
      </c>
      <c r="B900" s="74">
        <v>45413</v>
      </c>
      <c r="C900">
        <v>2024</v>
      </c>
      <c r="D900" s="11" t="s">
        <v>31</v>
      </c>
      <c r="E900" s="15">
        <v>5</v>
      </c>
      <c r="F900" s="82">
        <v>4.9580000000000002</v>
      </c>
      <c r="G900" s="82">
        <v>0.495</v>
      </c>
    </row>
    <row r="901" spans="1:14">
      <c r="A901" s="8">
        <v>15</v>
      </c>
      <c r="B901" s="74">
        <v>45413</v>
      </c>
      <c r="C901">
        <v>2024</v>
      </c>
      <c r="D901" s="11" t="s">
        <v>31</v>
      </c>
      <c r="E901" s="15">
        <v>5</v>
      </c>
      <c r="F901" s="82">
        <v>3.1850000000000001</v>
      </c>
      <c r="G901" s="82">
        <v>0.996</v>
      </c>
      <c r="I901" s="18">
        <f t="shared" ref="I901:J901" si="107">AVERAGE(F899:F901)</f>
        <v>3.6539999999999999</v>
      </c>
      <c r="J901" s="18">
        <f t="shared" si="107"/>
        <v>0.80066666666666675</v>
      </c>
      <c r="L901">
        <f t="shared" ref="L901" si="108">+J901/I901</f>
        <v>0.21912059843094328</v>
      </c>
      <c r="M901">
        <f t="shared" ref="M901" si="109">+(L901-$L$927)/$L$928</f>
        <v>-0.56772842534523826</v>
      </c>
      <c r="N901">
        <f t="shared" ref="N901" si="110">+N898+M901</f>
        <v>-3.638200851696638E-13</v>
      </c>
    </row>
    <row r="902" spans="1:14">
      <c r="A902" s="8">
        <v>6</v>
      </c>
      <c r="B902" s="74">
        <v>45444</v>
      </c>
      <c r="C902">
        <v>2024</v>
      </c>
      <c r="D902" s="11" t="s">
        <v>32</v>
      </c>
      <c r="E902" s="15">
        <v>6</v>
      </c>
      <c r="H902" s="101" t="s">
        <v>96</v>
      </c>
    </row>
    <row r="903" spans="1:14">
      <c r="A903" s="8">
        <v>8</v>
      </c>
      <c r="B903" s="74">
        <v>45444</v>
      </c>
      <c r="C903">
        <v>2024</v>
      </c>
      <c r="D903" s="11" t="s">
        <v>32</v>
      </c>
      <c r="E903" s="15">
        <v>6</v>
      </c>
      <c r="H903" s="101" t="s">
        <v>97</v>
      </c>
    </row>
    <row r="904" spans="1:14">
      <c r="A904" s="8">
        <v>15</v>
      </c>
      <c r="B904" s="74">
        <v>45444</v>
      </c>
      <c r="C904">
        <v>2024</v>
      </c>
      <c r="D904" s="11" t="s">
        <v>32</v>
      </c>
      <c r="E904" s="15">
        <v>6</v>
      </c>
    </row>
    <row r="905" spans="1:14">
      <c r="A905" s="8">
        <v>6</v>
      </c>
      <c r="B905" s="74">
        <v>45474</v>
      </c>
      <c r="C905">
        <v>2024</v>
      </c>
      <c r="D905" s="11" t="s">
        <v>33</v>
      </c>
      <c r="E905" s="15">
        <v>7</v>
      </c>
    </row>
    <row r="906" spans="1:14">
      <c r="A906" s="8">
        <v>8</v>
      </c>
      <c r="B906" s="74">
        <v>45474</v>
      </c>
      <c r="C906">
        <v>2024</v>
      </c>
      <c r="D906" s="11" t="s">
        <v>33</v>
      </c>
      <c r="E906" s="15">
        <v>7</v>
      </c>
    </row>
    <row r="907" spans="1:14">
      <c r="A907" s="8">
        <v>15</v>
      </c>
      <c r="B907" s="74">
        <v>45474</v>
      </c>
      <c r="C907">
        <v>2024</v>
      </c>
      <c r="D907" s="11" t="s">
        <v>33</v>
      </c>
      <c r="E907" s="15">
        <v>7</v>
      </c>
    </row>
    <row r="908" spans="1:14">
      <c r="A908" s="8">
        <v>6</v>
      </c>
      <c r="B908" s="74">
        <v>45505</v>
      </c>
      <c r="C908">
        <v>2024</v>
      </c>
      <c r="D908" s="11" t="s">
        <v>34</v>
      </c>
      <c r="E908" s="15">
        <v>8</v>
      </c>
    </row>
    <row r="909" spans="1:14">
      <c r="A909" s="8">
        <v>8</v>
      </c>
      <c r="B909" s="74">
        <v>45505</v>
      </c>
      <c r="C909">
        <v>2024</v>
      </c>
      <c r="D909" s="11" t="s">
        <v>34</v>
      </c>
      <c r="E909" s="15">
        <v>8</v>
      </c>
    </row>
    <row r="910" spans="1:14">
      <c r="A910" s="8">
        <v>15</v>
      </c>
      <c r="B910" s="74">
        <v>45505</v>
      </c>
      <c r="C910">
        <v>2024</v>
      </c>
      <c r="D910" s="11" t="s">
        <v>34</v>
      </c>
      <c r="E910" s="15">
        <v>8</v>
      </c>
    </row>
    <row r="911" spans="1:14">
      <c r="A911" s="8">
        <v>6</v>
      </c>
      <c r="B911" s="74">
        <v>45536</v>
      </c>
      <c r="C911">
        <v>2024</v>
      </c>
      <c r="D911" s="11" t="s">
        <v>40</v>
      </c>
      <c r="E911" s="15">
        <v>9</v>
      </c>
    </row>
    <row r="912" spans="1:14">
      <c r="A912" s="8">
        <v>8</v>
      </c>
      <c r="B912" s="74">
        <v>45536</v>
      </c>
      <c r="C912">
        <v>2024</v>
      </c>
      <c r="D912" s="11" t="s">
        <v>40</v>
      </c>
      <c r="E912" s="15">
        <v>9</v>
      </c>
    </row>
    <row r="913" spans="1:12">
      <c r="A913" s="8">
        <v>15</v>
      </c>
      <c r="B913" s="74">
        <v>45536</v>
      </c>
      <c r="C913">
        <v>2024</v>
      </c>
      <c r="D913" s="11" t="s">
        <v>40</v>
      </c>
      <c r="E913" s="15">
        <v>9</v>
      </c>
    </row>
    <row r="914" spans="1:12">
      <c r="A914" s="8">
        <v>6</v>
      </c>
      <c r="B914" s="74">
        <v>45566</v>
      </c>
      <c r="C914">
        <v>2024</v>
      </c>
      <c r="D914" s="11" t="s">
        <v>36</v>
      </c>
      <c r="E914" s="15">
        <v>10</v>
      </c>
    </row>
    <row r="915" spans="1:12">
      <c r="A915" s="8">
        <v>8</v>
      </c>
      <c r="B915" s="74">
        <v>45566</v>
      </c>
      <c r="C915">
        <v>2024</v>
      </c>
      <c r="D915" s="11" t="s">
        <v>36</v>
      </c>
      <c r="E915" s="15">
        <v>10</v>
      </c>
    </row>
    <row r="916" spans="1:12">
      <c r="A916" s="8">
        <v>15</v>
      </c>
      <c r="B916" s="74">
        <v>45566</v>
      </c>
      <c r="C916">
        <v>2024</v>
      </c>
      <c r="D916" s="11" t="s">
        <v>36</v>
      </c>
      <c r="E916" s="15">
        <v>10</v>
      </c>
    </row>
    <row r="917" spans="1:12">
      <c r="A917" s="8">
        <v>6</v>
      </c>
      <c r="B917" s="74">
        <v>45597</v>
      </c>
      <c r="C917">
        <v>2024</v>
      </c>
      <c r="D917" s="11" t="s">
        <v>37</v>
      </c>
      <c r="E917" s="15">
        <v>11</v>
      </c>
    </row>
    <row r="918" spans="1:12">
      <c r="A918" s="8">
        <v>8</v>
      </c>
      <c r="B918" s="74">
        <v>45597</v>
      </c>
      <c r="C918">
        <v>2024</v>
      </c>
      <c r="D918" s="11" t="s">
        <v>37</v>
      </c>
      <c r="E918" s="15">
        <v>11</v>
      </c>
    </row>
    <row r="919" spans="1:12">
      <c r="A919" s="8">
        <v>15</v>
      </c>
      <c r="B919" s="74">
        <v>45597</v>
      </c>
      <c r="C919">
        <v>2024</v>
      </c>
      <c r="D919" s="11" t="s">
        <v>37</v>
      </c>
      <c r="E919" s="15">
        <v>11</v>
      </c>
    </row>
    <row r="920" spans="1:12">
      <c r="A920" s="8">
        <v>6</v>
      </c>
      <c r="B920" s="75">
        <v>45627</v>
      </c>
      <c r="C920">
        <v>2024</v>
      </c>
      <c r="D920" s="11" t="s">
        <v>38</v>
      </c>
      <c r="E920" s="15">
        <v>12</v>
      </c>
    </row>
    <row r="921" spans="1:12">
      <c r="A921" s="8">
        <v>8</v>
      </c>
      <c r="B921" s="74">
        <v>45627</v>
      </c>
      <c r="C921">
        <v>2024</v>
      </c>
      <c r="D921" s="11" t="s">
        <v>38</v>
      </c>
      <c r="E921" s="15">
        <v>12</v>
      </c>
    </row>
    <row r="922" spans="1:12">
      <c r="A922" s="8">
        <v>15</v>
      </c>
      <c r="B922" s="74">
        <v>45627</v>
      </c>
      <c r="C922">
        <v>2024</v>
      </c>
      <c r="D922" s="11" t="s">
        <v>38</v>
      </c>
      <c r="E922" s="15">
        <v>12</v>
      </c>
    </row>
    <row r="927" spans="1:12">
      <c r="K927" s="92" t="s">
        <v>86</v>
      </c>
      <c r="L927" s="92">
        <f>AVERAGE(L4:L922)</f>
        <v>0.27897318288420886</v>
      </c>
    </row>
    <row r="928" spans="1:12">
      <c r="K928" s="92" t="s">
        <v>87</v>
      </c>
      <c r="L928" s="92">
        <f>STDEV(L4:L922)</f>
        <v>0.10542467451205909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F50F-4B6C-244D-B162-D2BE8D5D2CB4}">
  <sheetPr>
    <tabColor theme="9" tint="0.39997558519241921"/>
  </sheetPr>
  <dimension ref="A1:Q928"/>
  <sheetViews>
    <sheetView workbookViewId="0">
      <pane ySplit="2" topLeftCell="A735" activePane="bottomLeft" state="frozen"/>
      <selection pane="bottomLeft" activeCell="O744" sqref="O744"/>
    </sheetView>
  </sheetViews>
  <sheetFormatPr defaultColWidth="11.42578125" defaultRowHeight="15"/>
  <cols>
    <col min="2" max="2" width="10.85546875" style="73"/>
    <col min="14" max="14" width="12.28515625" bestFit="1" customWidth="1"/>
  </cols>
  <sheetData>
    <row r="1" spans="1:17" ht="18">
      <c r="F1" s="1" t="s">
        <v>0</v>
      </c>
      <c r="G1" s="1" t="s">
        <v>1</v>
      </c>
      <c r="I1" s="72" t="s">
        <v>79</v>
      </c>
    </row>
    <row r="2" spans="1:17">
      <c r="A2" s="2" t="s">
        <v>2</v>
      </c>
      <c r="B2" s="76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9</v>
      </c>
      <c r="I2" s="6" t="s">
        <v>7</v>
      </c>
      <c r="J2" s="6" t="s">
        <v>9</v>
      </c>
      <c r="L2" s="70" t="s">
        <v>83</v>
      </c>
      <c r="M2" s="71" t="s">
        <v>88</v>
      </c>
      <c r="N2" s="71" t="s">
        <v>82</v>
      </c>
    </row>
    <row r="3" spans="1:17">
      <c r="A3" s="8">
        <v>6</v>
      </c>
      <c r="B3" s="77">
        <v>36445</v>
      </c>
      <c r="C3" s="10">
        <v>1999</v>
      </c>
      <c r="D3" s="11" t="s">
        <v>14</v>
      </c>
      <c r="E3" s="12">
        <v>10</v>
      </c>
      <c r="F3" s="13">
        <v>3.5698365161440249</v>
      </c>
      <c r="G3" s="13">
        <v>1.5403266500000002E-2</v>
      </c>
    </row>
    <row r="4" spans="1:17">
      <c r="A4" s="8">
        <v>8</v>
      </c>
      <c r="B4" s="77">
        <v>36446</v>
      </c>
      <c r="C4" s="10">
        <v>1999</v>
      </c>
      <c r="D4" s="11" t="s">
        <v>14</v>
      </c>
      <c r="E4" s="12">
        <v>10</v>
      </c>
      <c r="F4" s="13">
        <v>0.68411831495979114</v>
      </c>
      <c r="G4" s="13">
        <v>0</v>
      </c>
    </row>
    <row r="5" spans="1:17">
      <c r="A5" s="8">
        <v>15</v>
      </c>
      <c r="B5" s="77">
        <v>36445</v>
      </c>
      <c r="C5" s="10">
        <v>1999</v>
      </c>
      <c r="D5" s="11" t="s">
        <v>14</v>
      </c>
      <c r="E5" s="12">
        <v>10</v>
      </c>
      <c r="F5" s="13">
        <v>2.1260596804117222</v>
      </c>
      <c r="G5" s="13">
        <v>0</v>
      </c>
      <c r="I5" s="18">
        <f>AVERAGE(F3:F5)</f>
        <v>2.1266715038385127</v>
      </c>
      <c r="J5" s="18">
        <f>AVERAGE(G3:G5)</f>
        <v>5.134422166666667E-3</v>
      </c>
      <c r="L5">
        <f>+J5/I5</f>
        <v>2.4142996026416622E-3</v>
      </c>
      <c r="M5">
        <f>+(L5-$L$927)/$L$928</f>
        <v>-0.38367646745369038</v>
      </c>
      <c r="N5">
        <f>+M5</f>
        <v>-0.38367646745369038</v>
      </c>
    </row>
    <row r="6" spans="1:17">
      <c r="A6" s="8">
        <v>6</v>
      </c>
      <c r="B6" s="77">
        <v>36472</v>
      </c>
      <c r="C6" s="10">
        <v>1999</v>
      </c>
      <c r="D6" s="11" t="s">
        <v>16</v>
      </c>
      <c r="E6" s="10">
        <v>11</v>
      </c>
      <c r="F6" s="13">
        <v>2.4054250359482343</v>
      </c>
      <c r="G6" s="13">
        <v>2.8152886833333331E-2</v>
      </c>
      <c r="Q6" t="s">
        <v>90</v>
      </c>
    </row>
    <row r="7" spans="1:17">
      <c r="A7" s="8">
        <v>8</v>
      </c>
      <c r="B7" s="77">
        <v>36473</v>
      </c>
      <c r="C7" s="10">
        <v>1999</v>
      </c>
      <c r="D7" s="11" t="s">
        <v>16</v>
      </c>
      <c r="E7" s="10">
        <v>11</v>
      </c>
      <c r="F7" s="13">
        <v>0.3110645838477441</v>
      </c>
      <c r="G7" s="13">
        <v>0</v>
      </c>
    </row>
    <row r="8" spans="1:17">
      <c r="A8" s="8">
        <v>15</v>
      </c>
      <c r="B8" s="77">
        <v>36472</v>
      </c>
      <c r="C8" s="10">
        <v>1999</v>
      </c>
      <c r="D8" s="11" t="s">
        <v>16</v>
      </c>
      <c r="E8" s="10">
        <v>11</v>
      </c>
      <c r="F8" s="13">
        <v>1.3858617673943463</v>
      </c>
      <c r="G8" s="13">
        <v>0</v>
      </c>
      <c r="I8" s="18">
        <f>AVERAGE(F6:F8)</f>
        <v>1.3674504623967749</v>
      </c>
      <c r="J8" s="18">
        <f>AVERAGE(G6:G8)</f>
        <v>9.3842956111111105E-3</v>
      </c>
      <c r="L8">
        <f>+J8/I8</f>
        <v>6.8626219882678237E-3</v>
      </c>
      <c r="M8">
        <f>+(L8-$L$927)/$L$928</f>
        <v>-0.28047767313438049</v>
      </c>
      <c r="N8">
        <f>+N5+M8</f>
        <v>-0.66415414058807087</v>
      </c>
    </row>
    <row r="9" spans="1:17">
      <c r="A9" s="8">
        <v>6</v>
      </c>
      <c r="B9" s="77">
        <v>36501</v>
      </c>
      <c r="C9" s="10">
        <v>1999</v>
      </c>
      <c r="D9" s="11" t="s">
        <v>17</v>
      </c>
      <c r="E9" s="10">
        <v>12</v>
      </c>
      <c r="F9" s="13">
        <v>4.7679182065098988</v>
      </c>
      <c r="G9" s="13">
        <v>4.3322807666666671E-2</v>
      </c>
    </row>
    <row r="10" spans="1:17">
      <c r="A10" s="8">
        <v>8</v>
      </c>
      <c r="B10" s="77">
        <v>36502</v>
      </c>
      <c r="C10" s="10">
        <v>1999</v>
      </c>
      <c r="D10" s="11" t="s">
        <v>17</v>
      </c>
      <c r="E10" s="10">
        <v>12</v>
      </c>
      <c r="F10" s="13">
        <v>0.21161475257447457</v>
      </c>
      <c r="G10" s="13">
        <v>0</v>
      </c>
    </row>
    <row r="11" spans="1:17">
      <c r="A11" s="8">
        <v>15</v>
      </c>
      <c r="B11" s="77">
        <v>36501</v>
      </c>
      <c r="C11" s="10">
        <v>1999</v>
      </c>
      <c r="D11" s="11" t="s">
        <v>17</v>
      </c>
      <c r="E11" s="10">
        <v>12</v>
      </c>
      <c r="F11" s="13">
        <v>3.2797970689479876</v>
      </c>
      <c r="G11" s="13">
        <v>1.1595195666666667E-2</v>
      </c>
      <c r="I11" s="18">
        <f>AVERAGE(F9:F11)</f>
        <v>2.7531100093441201</v>
      </c>
      <c r="J11" s="18">
        <f>AVERAGE(G9:G11)</f>
        <v>1.8306001111111112E-2</v>
      </c>
      <c r="L11">
        <f>+J11/I11</f>
        <v>6.6492080043950713E-3</v>
      </c>
      <c r="M11">
        <f>+(L11-$L$927)/$L$928</f>
        <v>-0.28542876793311067</v>
      </c>
      <c r="N11">
        <f>+N8+M11</f>
        <v>-0.94958290852118155</v>
      </c>
    </row>
    <row r="12" spans="1:17">
      <c r="A12" s="8">
        <v>6</v>
      </c>
      <c r="B12" s="77">
        <v>36530</v>
      </c>
      <c r="C12" s="12">
        <v>2000</v>
      </c>
      <c r="D12" s="11" t="s">
        <v>18</v>
      </c>
      <c r="E12" s="10">
        <v>1</v>
      </c>
      <c r="F12" s="13">
        <v>3.2113695330360645</v>
      </c>
      <c r="G12" s="13">
        <v>0</v>
      </c>
    </row>
    <row r="13" spans="1:17">
      <c r="A13" s="8">
        <v>8</v>
      </c>
      <c r="B13" s="77">
        <v>36531</v>
      </c>
      <c r="C13" s="12">
        <v>2000</v>
      </c>
      <c r="D13" s="11" t="s">
        <v>18</v>
      </c>
      <c r="E13" s="10">
        <v>1</v>
      </c>
      <c r="F13" s="13">
        <v>0.42222455228107891</v>
      </c>
      <c r="G13" s="13">
        <v>0</v>
      </c>
    </row>
    <row r="14" spans="1:17">
      <c r="A14" s="8">
        <v>15</v>
      </c>
      <c r="B14" s="77">
        <v>36530</v>
      </c>
      <c r="C14" s="12">
        <v>2000</v>
      </c>
      <c r="D14" s="11" t="s">
        <v>18</v>
      </c>
      <c r="E14" s="10">
        <v>1</v>
      </c>
      <c r="F14" s="13">
        <v>2.4582124693169112</v>
      </c>
      <c r="G14" s="13">
        <v>4.6086515500000001E-2</v>
      </c>
      <c r="I14" s="18">
        <f>AVERAGE(F12:F14)</f>
        <v>2.0306021848780182</v>
      </c>
      <c r="J14" s="18">
        <f>AVERAGE(G12:G14)</f>
        <v>1.5362171833333334E-2</v>
      </c>
      <c r="L14">
        <f>+J14/I14</f>
        <v>7.5653281315937156E-3</v>
      </c>
      <c r="M14">
        <f>+(L14-$L$927)/$L$928</f>
        <v>-0.26417525157736105</v>
      </c>
      <c r="N14">
        <f>+N11+M14</f>
        <v>-1.2137581600985425</v>
      </c>
    </row>
    <row r="15" spans="1:17">
      <c r="A15" s="8">
        <v>6</v>
      </c>
      <c r="B15" s="77">
        <v>36579</v>
      </c>
      <c r="C15" s="12">
        <v>2000</v>
      </c>
      <c r="D15" s="11" t="s">
        <v>19</v>
      </c>
      <c r="E15" s="12">
        <v>2</v>
      </c>
      <c r="F15" s="13">
        <v>2.0140819848751135</v>
      </c>
      <c r="G15" s="13">
        <v>0</v>
      </c>
    </row>
    <row r="16" spans="1:17">
      <c r="A16" s="8">
        <v>8</v>
      </c>
      <c r="B16" s="77">
        <v>36578</v>
      </c>
      <c r="C16" s="12">
        <v>2000</v>
      </c>
      <c r="D16" s="11" t="s">
        <v>19</v>
      </c>
      <c r="E16" s="12">
        <v>2</v>
      </c>
      <c r="F16" s="13">
        <v>2.3171913009145619</v>
      </c>
      <c r="G16" s="13">
        <v>0</v>
      </c>
    </row>
    <row r="17" spans="1:14">
      <c r="A17" s="8">
        <v>15</v>
      </c>
      <c r="B17" s="77">
        <v>36579</v>
      </c>
      <c r="C17" s="12">
        <v>2000</v>
      </c>
      <c r="D17" s="11" t="s">
        <v>19</v>
      </c>
      <c r="E17" s="12">
        <v>2</v>
      </c>
      <c r="F17" s="13">
        <v>2.1126904269730375</v>
      </c>
      <c r="G17" s="13">
        <v>0</v>
      </c>
      <c r="I17" s="18">
        <f>AVERAGE(F15:F17)</f>
        <v>2.1479879042542378</v>
      </c>
      <c r="J17" s="18">
        <f>AVERAGE(G15:G17)</f>
        <v>0</v>
      </c>
      <c r="L17">
        <f>+J17/I17</f>
        <v>0</v>
      </c>
      <c r="M17">
        <f>+(L17-$L$927)/$L$928</f>
        <v>-0.43968697805051538</v>
      </c>
      <c r="N17">
        <f>+N14+M17</f>
        <v>-1.653445138149058</v>
      </c>
    </row>
    <row r="18" spans="1:14">
      <c r="A18" s="8">
        <v>6</v>
      </c>
      <c r="B18" s="77">
        <v>36598</v>
      </c>
      <c r="C18" s="12">
        <v>2000</v>
      </c>
      <c r="D18" s="11" t="s">
        <v>20</v>
      </c>
      <c r="E18" s="12">
        <v>3</v>
      </c>
      <c r="F18" s="13">
        <v>2.4864958323771345</v>
      </c>
      <c r="G18" s="13">
        <v>3.4807287500000006E-2</v>
      </c>
    </row>
    <row r="19" spans="1:14">
      <c r="A19" s="8">
        <v>8</v>
      </c>
      <c r="B19" s="77">
        <v>36599</v>
      </c>
      <c r="C19" s="12">
        <v>2000</v>
      </c>
      <c r="D19" s="11" t="s">
        <v>20</v>
      </c>
      <c r="E19" s="12">
        <v>3</v>
      </c>
      <c r="F19" s="13">
        <v>0.61220145148561822</v>
      </c>
      <c r="G19" s="13">
        <v>0</v>
      </c>
    </row>
    <row r="20" spans="1:14">
      <c r="A20" s="8">
        <v>15</v>
      </c>
      <c r="B20" s="77">
        <v>36598</v>
      </c>
      <c r="C20" s="12">
        <v>2000</v>
      </c>
      <c r="D20" s="11" t="s">
        <v>20</v>
      </c>
      <c r="E20" s="12">
        <v>3</v>
      </c>
      <c r="F20" s="13">
        <v>1.8999130352897891</v>
      </c>
      <c r="G20" s="13">
        <v>0</v>
      </c>
      <c r="I20" s="18">
        <f>AVERAGE(F18:F20)</f>
        <v>1.6662034397175141</v>
      </c>
      <c r="J20" s="18">
        <f>AVERAGE(G18:G20)</f>
        <v>1.1602429166666669E-2</v>
      </c>
      <c r="L20">
        <f>+J20/I20</f>
        <v>6.9633928787433842E-3</v>
      </c>
      <c r="M20">
        <f>+(L20-$L$927)/$L$928</f>
        <v>-0.2781398402396324</v>
      </c>
      <c r="N20">
        <f>+N17+M20</f>
        <v>-1.9315849783886905</v>
      </c>
    </row>
    <row r="21" spans="1:14">
      <c r="A21" s="8">
        <v>6</v>
      </c>
      <c r="B21" s="77">
        <v>36627</v>
      </c>
      <c r="C21" s="12">
        <v>2000</v>
      </c>
      <c r="D21" s="15" t="s">
        <v>21</v>
      </c>
      <c r="E21" s="12">
        <v>4</v>
      </c>
      <c r="F21" s="13">
        <v>5.022326198879675</v>
      </c>
      <c r="G21" s="13">
        <v>0</v>
      </c>
    </row>
    <row r="22" spans="1:14">
      <c r="A22" s="8">
        <v>8</v>
      </c>
      <c r="B22" s="77">
        <v>36626</v>
      </c>
      <c r="C22" s="12">
        <v>2000</v>
      </c>
      <c r="D22" s="15" t="s">
        <v>21</v>
      </c>
      <c r="E22" s="12">
        <v>4</v>
      </c>
      <c r="F22" s="13">
        <v>1.2058709934784821</v>
      </c>
      <c r="G22" s="13">
        <v>0</v>
      </c>
    </row>
    <row r="23" spans="1:14">
      <c r="A23" s="8">
        <v>15</v>
      </c>
      <c r="B23" s="77">
        <v>36627</v>
      </c>
      <c r="C23" s="12">
        <v>2000</v>
      </c>
      <c r="D23" s="15" t="s">
        <v>21</v>
      </c>
      <c r="E23" s="12">
        <v>4</v>
      </c>
      <c r="F23" s="13">
        <v>1.4114651038746628</v>
      </c>
      <c r="G23" s="13">
        <v>0</v>
      </c>
      <c r="I23" s="18">
        <f>AVERAGE(F21:F23)</f>
        <v>2.5465540987442736</v>
      </c>
      <c r="J23" s="18">
        <f>AVERAGE(G21:G23)</f>
        <v>0</v>
      </c>
      <c r="L23">
        <f>+J23/I23</f>
        <v>0</v>
      </c>
      <c r="M23">
        <f>+(L23-$L$927)/$L$928</f>
        <v>-0.43968697805051538</v>
      </c>
      <c r="N23">
        <f>+N20+M23</f>
        <v>-2.3712719564392057</v>
      </c>
    </row>
    <row r="24" spans="1:14">
      <c r="A24" s="8">
        <v>6</v>
      </c>
      <c r="B24" s="77">
        <v>36662</v>
      </c>
      <c r="C24" s="12">
        <v>2000</v>
      </c>
      <c r="D24" s="15" t="s">
        <v>22</v>
      </c>
      <c r="E24" s="12">
        <v>5</v>
      </c>
      <c r="F24" s="13">
        <v>11.531826484625775</v>
      </c>
      <c r="G24" s="13">
        <v>2.5866577715000001</v>
      </c>
    </row>
    <row r="25" spans="1:14">
      <c r="A25" s="8">
        <v>8</v>
      </c>
      <c r="B25" s="77">
        <v>36663</v>
      </c>
      <c r="C25" s="12">
        <v>2000</v>
      </c>
      <c r="D25" s="15" t="s">
        <v>22</v>
      </c>
      <c r="E25" s="12">
        <v>5</v>
      </c>
      <c r="F25" s="13">
        <v>1.1071352573506272</v>
      </c>
      <c r="G25" s="13">
        <v>0</v>
      </c>
    </row>
    <row r="26" spans="1:14">
      <c r="A26" s="8">
        <v>15</v>
      </c>
      <c r="B26" s="77">
        <v>36662</v>
      </c>
      <c r="C26" s="12">
        <v>2000</v>
      </c>
      <c r="D26" s="15" t="s">
        <v>22</v>
      </c>
      <c r="E26" s="12">
        <v>5</v>
      </c>
      <c r="F26" s="13">
        <v>8.2380986981171329</v>
      </c>
      <c r="G26" s="13">
        <v>1.3921867714999998</v>
      </c>
      <c r="I26" s="18">
        <f>AVERAGE(F24:F26)</f>
        <v>6.9590201466978456</v>
      </c>
      <c r="J26" s="18">
        <f>AVERAGE(G24:G26)</f>
        <v>1.3262815143333333</v>
      </c>
      <c r="L26">
        <f>+J26/I26</f>
        <v>0.19058452000066026</v>
      </c>
      <c r="M26">
        <f>+(L26-$L$927)/$L$928</f>
        <v>3.981775985952706</v>
      </c>
      <c r="N26">
        <f>+N23+M26</f>
        <v>1.6105040295135002</v>
      </c>
    </row>
    <row r="27" spans="1:14">
      <c r="A27" s="8">
        <v>6</v>
      </c>
      <c r="B27" s="77">
        <v>36690</v>
      </c>
      <c r="C27" s="12">
        <v>2000</v>
      </c>
      <c r="D27" s="15" t="s">
        <v>23</v>
      </c>
      <c r="E27" s="12">
        <v>6</v>
      </c>
      <c r="F27" s="13">
        <v>13.424318765220505</v>
      </c>
      <c r="G27" s="13">
        <v>1.8143357185</v>
      </c>
    </row>
    <row r="28" spans="1:14">
      <c r="A28" s="8">
        <v>8</v>
      </c>
      <c r="B28" s="77">
        <v>36692</v>
      </c>
      <c r="C28" s="12">
        <v>2000</v>
      </c>
      <c r="D28" s="15" t="s">
        <v>23</v>
      </c>
      <c r="E28" s="12">
        <v>6</v>
      </c>
      <c r="F28" s="13">
        <v>1.1666711014926385</v>
      </c>
      <c r="G28" s="13">
        <v>0</v>
      </c>
    </row>
    <row r="29" spans="1:14">
      <c r="A29" s="8">
        <v>15</v>
      </c>
      <c r="B29" s="77">
        <v>36690</v>
      </c>
      <c r="C29" s="12">
        <v>2000</v>
      </c>
      <c r="D29" s="15" t="s">
        <v>23</v>
      </c>
      <c r="E29" s="12">
        <v>6</v>
      </c>
      <c r="F29" s="13">
        <v>11.750560627847415</v>
      </c>
      <c r="G29" s="13">
        <v>1.8980156769999998</v>
      </c>
      <c r="I29" s="18">
        <f>AVERAGE(F27:F29)</f>
        <v>8.7805168315201865</v>
      </c>
      <c r="J29" s="18">
        <f>AVERAGE(G27:G29)</f>
        <v>1.2374504651666667</v>
      </c>
      <c r="L29">
        <f>+J29/I29</f>
        <v>0.1409313926401784</v>
      </c>
      <c r="M29">
        <f>+(L29-$L$927)/$L$928</f>
        <v>2.8298489371528088</v>
      </c>
      <c r="N29">
        <f>+N26+M29</f>
        <v>4.4403529666663086</v>
      </c>
    </row>
    <row r="30" spans="1:14">
      <c r="A30" s="8">
        <v>6</v>
      </c>
      <c r="B30" s="77">
        <v>36718</v>
      </c>
      <c r="C30" s="12">
        <v>2000</v>
      </c>
      <c r="D30" s="15" t="s">
        <v>24</v>
      </c>
      <c r="E30" s="12">
        <v>7</v>
      </c>
      <c r="F30" s="13">
        <v>7.6221527313395994</v>
      </c>
      <c r="G30" s="13">
        <v>5.9741162000000007E-2</v>
      </c>
    </row>
    <row r="31" spans="1:14">
      <c r="A31" s="8">
        <v>8</v>
      </c>
      <c r="B31" s="77">
        <v>36719</v>
      </c>
      <c r="C31" s="12">
        <v>2000</v>
      </c>
      <c r="D31" s="15" t="s">
        <v>24</v>
      </c>
      <c r="E31" s="12">
        <v>7</v>
      </c>
      <c r="F31" s="13">
        <v>1.0363606903029337</v>
      </c>
      <c r="G31" s="13">
        <v>0</v>
      </c>
    </row>
    <row r="32" spans="1:14">
      <c r="A32" s="8">
        <v>15</v>
      </c>
      <c r="B32" s="77">
        <v>36718</v>
      </c>
      <c r="C32" s="12">
        <v>2000</v>
      </c>
      <c r="D32" s="15" t="s">
        <v>24</v>
      </c>
      <c r="E32" s="12">
        <v>7</v>
      </c>
      <c r="F32" s="13">
        <v>7.445195757866248</v>
      </c>
      <c r="G32" s="13">
        <v>7.7695966999999991E-2</v>
      </c>
      <c r="I32" s="18">
        <f>AVERAGE(F30:F32)</f>
        <v>5.3679030598362614</v>
      </c>
      <c r="J32" s="18">
        <f>AVERAGE(G30:G32)</f>
        <v>4.5812376333333328E-2</v>
      </c>
      <c r="L32">
        <f>+J32/I32</f>
        <v>8.5345014287070142E-3</v>
      </c>
      <c r="M32">
        <f>+(L32-$L$927)/$L$928</f>
        <v>-0.24169092893209845</v>
      </c>
      <c r="N32">
        <f>+N29+M32</f>
        <v>4.1986620377342101</v>
      </c>
    </row>
    <row r="33" spans="1:14">
      <c r="A33" s="8">
        <v>6</v>
      </c>
      <c r="B33" s="77">
        <v>36753</v>
      </c>
      <c r="C33" s="12">
        <v>2000</v>
      </c>
      <c r="D33" s="15" t="s">
        <v>25</v>
      </c>
      <c r="E33" s="12">
        <v>8</v>
      </c>
      <c r="F33" s="13">
        <v>12.145540664255593</v>
      </c>
      <c r="G33" s="13">
        <v>2.8212222499999998E-2</v>
      </c>
    </row>
    <row r="34" spans="1:14">
      <c r="A34" s="8">
        <v>8</v>
      </c>
      <c r="B34" s="77">
        <v>36755</v>
      </c>
      <c r="C34" s="12">
        <v>2000</v>
      </c>
      <c r="D34" s="15" t="s">
        <v>25</v>
      </c>
      <c r="E34" s="12">
        <v>8</v>
      </c>
      <c r="F34" s="13">
        <v>1.4275565005543536</v>
      </c>
      <c r="G34" s="13">
        <v>0</v>
      </c>
    </row>
    <row r="35" spans="1:14">
      <c r="A35" s="8">
        <v>15</v>
      </c>
      <c r="B35" s="77">
        <v>36753</v>
      </c>
      <c r="C35" s="12">
        <v>2000</v>
      </c>
      <c r="D35" s="15" t="s">
        <v>25</v>
      </c>
      <c r="E35" s="12">
        <v>8</v>
      </c>
      <c r="F35" s="13">
        <v>16.704231616920122</v>
      </c>
      <c r="G35" s="13">
        <v>0</v>
      </c>
      <c r="I35" s="18">
        <f>AVERAGE(F33:F35)</f>
        <v>10.092442927243356</v>
      </c>
      <c r="J35" s="18">
        <f>AVERAGE(G33:G35)</f>
        <v>9.4040741666666667E-3</v>
      </c>
      <c r="L35">
        <f>+J35/I35</f>
        <v>9.3179364346777536E-4</v>
      </c>
      <c r="M35">
        <f>+(L35-$L$927)/$L$928</f>
        <v>-0.41806984416853948</v>
      </c>
      <c r="N35">
        <f>+N32+M35</f>
        <v>3.7805921935656706</v>
      </c>
    </row>
    <row r="36" spans="1:14">
      <c r="A36" s="8">
        <v>6</v>
      </c>
      <c r="B36" s="77">
        <v>36781</v>
      </c>
      <c r="C36" s="12">
        <v>2000</v>
      </c>
      <c r="D36" s="15" t="s">
        <v>26</v>
      </c>
      <c r="E36" s="12">
        <v>9</v>
      </c>
      <c r="F36" s="13">
        <v>5.2565427098916953</v>
      </c>
      <c r="G36" s="13">
        <v>2.5369142500000001E-2</v>
      </c>
    </row>
    <row r="37" spans="1:14">
      <c r="A37" s="8">
        <v>8</v>
      </c>
      <c r="B37" s="77">
        <v>36783</v>
      </c>
      <c r="C37" s="12">
        <v>2000</v>
      </c>
      <c r="D37" s="15" t="s">
        <v>26</v>
      </c>
      <c r="E37" s="12">
        <v>9</v>
      </c>
      <c r="F37" s="13">
        <v>1.9202883328733895</v>
      </c>
      <c r="G37" s="13">
        <v>0</v>
      </c>
    </row>
    <row r="38" spans="1:14">
      <c r="A38" s="8">
        <v>15</v>
      </c>
      <c r="B38" s="77">
        <v>36781</v>
      </c>
      <c r="C38" s="12">
        <v>2000</v>
      </c>
      <c r="D38" s="15" t="s">
        <v>26</v>
      </c>
      <c r="E38" s="12">
        <v>9</v>
      </c>
      <c r="F38" s="13">
        <v>3.4888421874924349</v>
      </c>
      <c r="G38" s="13">
        <v>0</v>
      </c>
      <c r="I38" s="18">
        <f>AVERAGE(F36:F38)</f>
        <v>3.5552244100858399</v>
      </c>
      <c r="J38" s="18">
        <f>AVERAGE(G36:G38)</f>
        <v>8.4563808333333341E-3</v>
      </c>
      <c r="L38">
        <f>+J38/I38</f>
        <v>2.3785786374956727E-3</v>
      </c>
      <c r="M38">
        <f>+(L38-$L$927)/$L$928</f>
        <v>-0.38450517549582769</v>
      </c>
      <c r="N38">
        <f>+N35+M38</f>
        <v>3.396087018069843</v>
      </c>
    </row>
    <row r="39" spans="1:14">
      <c r="A39" s="8">
        <v>6</v>
      </c>
      <c r="B39" s="77">
        <v>36817</v>
      </c>
      <c r="C39" s="12">
        <v>2000</v>
      </c>
      <c r="D39" s="15" t="s">
        <v>14</v>
      </c>
      <c r="E39" s="12">
        <v>10</v>
      </c>
      <c r="F39" s="14">
        <v>3.4158372305855664</v>
      </c>
      <c r="G39" s="14">
        <v>0</v>
      </c>
    </row>
    <row r="40" spans="1:14">
      <c r="A40" s="8">
        <v>8</v>
      </c>
      <c r="B40" s="77">
        <v>36815</v>
      </c>
      <c r="C40" s="12">
        <v>2000</v>
      </c>
      <c r="D40" s="15" t="s">
        <v>14</v>
      </c>
      <c r="E40" s="12">
        <v>10</v>
      </c>
      <c r="F40" s="14">
        <v>0.74574838611404204</v>
      </c>
      <c r="G40" s="14">
        <v>0</v>
      </c>
    </row>
    <row r="41" spans="1:14">
      <c r="A41" s="8">
        <v>15</v>
      </c>
      <c r="B41" s="77">
        <v>36817</v>
      </c>
      <c r="C41" s="12">
        <v>2000</v>
      </c>
      <c r="D41" s="15" t="s">
        <v>14</v>
      </c>
      <c r="E41" s="12">
        <v>10</v>
      </c>
      <c r="F41" s="14">
        <v>1.4058698228589261</v>
      </c>
      <c r="G41" s="14">
        <v>0</v>
      </c>
      <c r="I41" s="18">
        <f>AVERAGE(F39:F41)</f>
        <v>1.8558184798528448</v>
      </c>
      <c r="J41" s="18">
        <f>AVERAGE(G39:G41)</f>
        <v>0</v>
      </c>
      <c r="L41">
        <f>+J41/I41</f>
        <v>0</v>
      </c>
      <c r="M41">
        <f>+(L41-$L$927)/$L$928</f>
        <v>-0.43968697805051538</v>
      </c>
      <c r="N41">
        <f>+N38+M41</f>
        <v>2.9564000400193278</v>
      </c>
    </row>
    <row r="42" spans="1:14">
      <c r="A42" s="8">
        <v>6</v>
      </c>
      <c r="B42" s="77">
        <v>36845</v>
      </c>
      <c r="C42" s="12">
        <v>2000</v>
      </c>
      <c r="D42" s="15" t="s">
        <v>16</v>
      </c>
      <c r="E42" s="12">
        <v>11</v>
      </c>
      <c r="F42" s="14">
        <v>3.0933376734382509</v>
      </c>
      <c r="G42" s="14">
        <v>0</v>
      </c>
    </row>
    <row r="43" spans="1:14">
      <c r="A43" s="8">
        <v>8</v>
      </c>
      <c r="B43" s="77">
        <v>36846</v>
      </c>
      <c r="C43" s="12">
        <v>2000</v>
      </c>
      <c r="D43" s="15" t="s">
        <v>16</v>
      </c>
      <c r="E43" s="12">
        <v>11</v>
      </c>
      <c r="F43" s="14">
        <v>0.53539094207744464</v>
      </c>
      <c r="G43" s="14">
        <v>0</v>
      </c>
    </row>
    <row r="44" spans="1:14">
      <c r="A44" s="8">
        <v>15</v>
      </c>
      <c r="B44" s="77">
        <v>36845</v>
      </c>
      <c r="C44" s="12">
        <v>2000</v>
      </c>
      <c r="D44" s="15" t="s">
        <v>16</v>
      </c>
      <c r="E44" s="12">
        <v>11</v>
      </c>
      <c r="F44" s="14">
        <v>1.4195202317793862</v>
      </c>
      <c r="G44" s="14">
        <v>0</v>
      </c>
      <c r="I44" s="18">
        <f>AVERAGE(F42:F44)</f>
        <v>1.682749615765027</v>
      </c>
      <c r="J44" s="18">
        <f>AVERAGE(G42:G44)</f>
        <v>0</v>
      </c>
      <c r="L44">
        <f>+J44/I44</f>
        <v>0</v>
      </c>
      <c r="M44">
        <f>+(L44-$L$927)/$L$928</f>
        <v>-0.43968697805051538</v>
      </c>
      <c r="N44">
        <f>+N41+M44</f>
        <v>2.5167130619688125</v>
      </c>
    </row>
    <row r="45" spans="1:14">
      <c r="A45" s="8">
        <v>6</v>
      </c>
      <c r="B45" s="77">
        <v>36871</v>
      </c>
      <c r="C45" s="12">
        <v>2000</v>
      </c>
      <c r="D45" s="15" t="s">
        <v>17</v>
      </c>
      <c r="E45" s="12">
        <v>12</v>
      </c>
      <c r="F45" s="14">
        <v>2.1850567255155466</v>
      </c>
      <c r="G45" s="14">
        <v>0</v>
      </c>
    </row>
    <row r="46" spans="1:14">
      <c r="A46" s="8">
        <v>8</v>
      </c>
      <c r="B46" s="77">
        <v>36873</v>
      </c>
      <c r="C46" s="12">
        <v>2000</v>
      </c>
      <c r="D46" s="15" t="s">
        <v>17</v>
      </c>
      <c r="E46" s="12">
        <v>12</v>
      </c>
      <c r="F46" s="14">
        <v>2.077736344384836</v>
      </c>
      <c r="G46" s="14">
        <v>0</v>
      </c>
    </row>
    <row r="47" spans="1:14">
      <c r="A47" s="8">
        <v>15</v>
      </c>
      <c r="B47" s="77">
        <v>36871</v>
      </c>
      <c r="C47" s="12">
        <v>2000</v>
      </c>
      <c r="D47" s="15" t="s">
        <v>17</v>
      </c>
      <c r="E47" s="12">
        <v>12</v>
      </c>
      <c r="F47" s="16">
        <v>4.0582539529803396</v>
      </c>
      <c r="I47" s="18">
        <f>AVERAGE(F45:F47)</f>
        <v>2.7736823409602409</v>
      </c>
      <c r="J47" s="18">
        <f>AVERAGE(G45:G47)</f>
        <v>0</v>
      </c>
      <c r="L47">
        <f>+J47/I47</f>
        <v>0</v>
      </c>
      <c r="M47">
        <f>+(L47-$L$927)/$L$928</f>
        <v>-0.43968697805051538</v>
      </c>
      <c r="N47">
        <f>+N44+M47</f>
        <v>2.0770260839182972</v>
      </c>
    </row>
    <row r="48" spans="1:14">
      <c r="A48" s="8">
        <v>6</v>
      </c>
      <c r="B48" s="77">
        <v>36901</v>
      </c>
      <c r="C48" s="12">
        <v>2001</v>
      </c>
      <c r="D48" s="15" t="s">
        <v>18</v>
      </c>
      <c r="E48" s="12">
        <v>1</v>
      </c>
      <c r="F48" s="14">
        <v>2.7547221587334612</v>
      </c>
      <c r="G48" s="14">
        <v>0</v>
      </c>
    </row>
    <row r="49" spans="1:14">
      <c r="A49" s="8">
        <v>8</v>
      </c>
      <c r="B49" s="77">
        <v>36902</v>
      </c>
      <c r="C49" s="12">
        <v>2001</v>
      </c>
      <c r="D49" s="15" t="s">
        <v>18</v>
      </c>
      <c r="E49" s="12">
        <v>1</v>
      </c>
      <c r="F49" s="14">
        <v>2.4730812884833537</v>
      </c>
      <c r="G49" s="14">
        <v>0</v>
      </c>
    </row>
    <row r="50" spans="1:14">
      <c r="A50" s="8">
        <v>15</v>
      </c>
      <c r="B50" s="77">
        <v>36901</v>
      </c>
      <c r="C50" s="12">
        <v>2001</v>
      </c>
      <c r="D50" s="15" t="s">
        <v>18</v>
      </c>
      <c r="E50" s="12">
        <v>1</v>
      </c>
      <c r="F50" s="14">
        <v>3.6258114287200369</v>
      </c>
      <c r="G50" s="14">
        <v>3.55998275E-2</v>
      </c>
      <c r="I50" s="18">
        <f>AVERAGE(F48:F50)</f>
        <v>2.9512049586456173</v>
      </c>
      <c r="J50" s="18">
        <f>AVERAGE(G48:G50)</f>
        <v>1.1866609166666667E-2</v>
      </c>
      <c r="L50">
        <f>+J50/I50</f>
        <v>4.0209369843674141E-3</v>
      </c>
      <c r="M50">
        <f>+(L50-$L$927)/$L$928</f>
        <v>-0.34640330549982906</v>
      </c>
      <c r="N50">
        <f>+N47+M50</f>
        <v>1.7306227784184682</v>
      </c>
    </row>
    <row r="51" spans="1:14">
      <c r="A51" s="12">
        <v>6</v>
      </c>
      <c r="B51" s="77">
        <v>36928</v>
      </c>
      <c r="C51" s="12">
        <v>2001</v>
      </c>
      <c r="D51" s="11" t="s">
        <v>19</v>
      </c>
      <c r="E51" s="12">
        <v>2</v>
      </c>
      <c r="F51" s="14">
        <v>2.3890516644127744</v>
      </c>
      <c r="G51" s="14">
        <v>2.4353726833333332E-2</v>
      </c>
    </row>
    <row r="52" spans="1:14">
      <c r="A52" s="12">
        <v>8</v>
      </c>
      <c r="B52" s="77">
        <v>36929</v>
      </c>
      <c r="C52" s="12">
        <v>2001</v>
      </c>
      <c r="D52" s="11" t="s">
        <v>19</v>
      </c>
      <c r="E52" s="12">
        <v>2</v>
      </c>
      <c r="F52" s="14">
        <v>1.3636171179404875</v>
      </c>
      <c r="G52" s="14">
        <v>0</v>
      </c>
    </row>
    <row r="53" spans="1:14">
      <c r="A53" s="12">
        <v>15</v>
      </c>
      <c r="B53" s="77">
        <v>36928</v>
      </c>
      <c r="C53" s="12">
        <v>2001</v>
      </c>
      <c r="D53" s="11" t="s">
        <v>19</v>
      </c>
      <c r="E53" s="12">
        <v>2</v>
      </c>
      <c r="F53" s="14">
        <v>2.701629826425525</v>
      </c>
      <c r="G53" s="14">
        <v>2.0205576666666666E-2</v>
      </c>
      <c r="I53" s="18">
        <f>AVERAGE(F51:F53)</f>
        <v>2.151432869592929</v>
      </c>
      <c r="J53" s="18">
        <f>AVERAGE(G51:G53)</f>
        <v>1.4853101166666665E-2</v>
      </c>
      <c r="L53">
        <f>+J53/I53</f>
        <v>6.903818090999516E-3</v>
      </c>
      <c r="M53">
        <f>+(L53-$L$927)/$L$928</f>
        <v>-0.27952194471273945</v>
      </c>
      <c r="N53">
        <f>+N50+M53</f>
        <v>1.4511008337057287</v>
      </c>
    </row>
    <row r="54" spans="1:14">
      <c r="A54" s="8">
        <v>6</v>
      </c>
      <c r="B54" s="77">
        <v>36965</v>
      </c>
      <c r="C54" s="12">
        <v>2001</v>
      </c>
      <c r="D54" s="11" t="s">
        <v>20</v>
      </c>
      <c r="E54" s="12">
        <v>3</v>
      </c>
      <c r="F54" s="14">
        <v>2.9077453926478527</v>
      </c>
      <c r="G54" s="14">
        <v>2.6463078333333331E-2</v>
      </c>
    </row>
    <row r="55" spans="1:14">
      <c r="A55" s="8">
        <v>8</v>
      </c>
      <c r="B55" s="77">
        <v>36962</v>
      </c>
      <c r="C55" s="12">
        <v>2001</v>
      </c>
      <c r="D55" s="11" t="s">
        <v>20</v>
      </c>
      <c r="E55" s="12">
        <v>3</v>
      </c>
      <c r="F55" s="14">
        <v>2.191786585873297</v>
      </c>
      <c r="G55" s="14">
        <v>3.6429059166666666E-2</v>
      </c>
    </row>
    <row r="56" spans="1:14">
      <c r="A56" s="8">
        <v>15</v>
      </c>
      <c r="B56" s="77">
        <v>36964</v>
      </c>
      <c r="C56" s="12">
        <v>2001</v>
      </c>
      <c r="D56" s="11" t="s">
        <v>20</v>
      </c>
      <c r="E56" s="12">
        <v>3</v>
      </c>
      <c r="F56" s="14">
        <v>2.4905588595304975</v>
      </c>
      <c r="G56" s="14">
        <v>3.2383331166666661E-2</v>
      </c>
      <c r="I56" s="18">
        <f>AVERAGE(F54:F56)</f>
        <v>2.5300302793505489</v>
      </c>
      <c r="J56" s="18">
        <f>AVERAGE(G54:G56)</f>
        <v>3.1758489555555554E-2</v>
      </c>
      <c r="L56">
        <f>+J56/I56</f>
        <v>1.25526124389736E-2</v>
      </c>
      <c r="M56">
        <f>+(L56-$L$927)/$L$928</f>
        <v>-0.14847281752889674</v>
      </c>
      <c r="N56">
        <f>+N53+M56</f>
        <v>1.302628016176832</v>
      </c>
    </row>
    <row r="57" spans="1:14">
      <c r="A57" s="8">
        <v>6</v>
      </c>
      <c r="B57" s="77">
        <v>37000</v>
      </c>
      <c r="C57" s="12">
        <v>2001</v>
      </c>
      <c r="D57" s="15" t="s">
        <v>21</v>
      </c>
      <c r="E57" s="12">
        <v>4</v>
      </c>
      <c r="F57" s="14">
        <v>4.814884497431553</v>
      </c>
      <c r="G57" s="14">
        <v>0</v>
      </c>
    </row>
    <row r="58" spans="1:14">
      <c r="A58" s="8">
        <v>8</v>
      </c>
      <c r="B58" s="77">
        <v>36998</v>
      </c>
      <c r="C58" s="12">
        <v>2001</v>
      </c>
      <c r="D58" s="15" t="s">
        <v>21</v>
      </c>
      <c r="E58" s="12">
        <v>4</v>
      </c>
      <c r="F58" s="14">
        <v>0.60571313771529633</v>
      </c>
      <c r="G58" s="14">
        <v>0</v>
      </c>
    </row>
    <row r="59" spans="1:14">
      <c r="A59" s="8">
        <v>15</v>
      </c>
      <c r="B59" s="77">
        <v>36997</v>
      </c>
      <c r="C59" s="12">
        <v>2001</v>
      </c>
      <c r="D59" s="15" t="s">
        <v>21</v>
      </c>
      <c r="E59" s="12">
        <v>4</v>
      </c>
      <c r="F59" s="14">
        <v>3.859447166535396</v>
      </c>
      <c r="G59" s="14">
        <v>2.4801679666666666E-2</v>
      </c>
      <c r="I59" s="18">
        <f>AVERAGE(F57:F59)</f>
        <v>3.0933482672274155</v>
      </c>
      <c r="J59" s="18">
        <f>AVERAGE(G57:G59)</f>
        <v>8.2672265555555555E-3</v>
      </c>
      <c r="L59">
        <f>+J59/I59</f>
        <v>2.6725818890627256E-3</v>
      </c>
      <c r="M59">
        <f>+(L59-$L$927)/$L$928</f>
        <v>-0.37768445108391985</v>
      </c>
      <c r="N59">
        <f>+N56+M59</f>
        <v>0.92494356509291209</v>
      </c>
    </row>
    <row r="60" spans="1:14">
      <c r="A60" s="8">
        <v>6</v>
      </c>
      <c r="B60" s="77">
        <v>37026</v>
      </c>
      <c r="C60" s="12">
        <v>2001</v>
      </c>
      <c r="D60" s="15" t="s">
        <v>22</v>
      </c>
      <c r="E60" s="12">
        <v>5</v>
      </c>
      <c r="F60" s="14">
        <v>6.205030488723108</v>
      </c>
      <c r="G60" s="14">
        <v>1.0673403505000001</v>
      </c>
    </row>
    <row r="61" spans="1:14">
      <c r="A61" s="8">
        <v>8</v>
      </c>
      <c r="B61" s="77">
        <v>37025</v>
      </c>
      <c r="C61" s="12">
        <v>2001</v>
      </c>
      <c r="D61" s="15" t="s">
        <v>22</v>
      </c>
      <c r="E61" s="12">
        <v>5</v>
      </c>
      <c r="F61" s="14">
        <v>0.86197970184224748</v>
      </c>
      <c r="G61" s="14">
        <v>1.8322350666666664E-2</v>
      </c>
    </row>
    <row r="62" spans="1:14">
      <c r="A62" s="8">
        <v>15</v>
      </c>
      <c r="B62" s="77">
        <v>37026</v>
      </c>
      <c r="C62" s="12">
        <v>2001</v>
      </c>
      <c r="D62" s="15" t="s">
        <v>22</v>
      </c>
      <c r="E62" s="12">
        <v>5</v>
      </c>
      <c r="F62" s="14">
        <v>3.5794526957542616</v>
      </c>
      <c r="G62" s="14">
        <v>0.67914283166666667</v>
      </c>
      <c r="I62" s="18">
        <f>AVERAGE(F60:F62)</f>
        <v>3.548820962106539</v>
      </c>
      <c r="J62" s="18">
        <f>AVERAGE(G60:G62)</f>
        <v>0.58826851094444443</v>
      </c>
      <c r="L62">
        <f>+J62/I62</f>
        <v>0.16576449396175091</v>
      </c>
      <c r="M62">
        <f>+(L62-$L$927)/$L$928</f>
        <v>3.4059641314733757</v>
      </c>
      <c r="N62">
        <f>+N59+M62</f>
        <v>4.330907696566288</v>
      </c>
    </row>
    <row r="63" spans="1:14">
      <c r="A63" s="8">
        <v>6</v>
      </c>
      <c r="B63" s="77">
        <v>37055</v>
      </c>
      <c r="C63" s="12">
        <v>2001</v>
      </c>
      <c r="D63" s="15" t="s">
        <v>23</v>
      </c>
      <c r="E63" s="12">
        <v>6</v>
      </c>
      <c r="F63" s="14">
        <v>8.4036698540666652</v>
      </c>
      <c r="G63" s="14">
        <v>2.0982673668333329</v>
      </c>
    </row>
    <row r="64" spans="1:14">
      <c r="A64" s="8">
        <v>8</v>
      </c>
      <c r="B64" s="77">
        <v>37054</v>
      </c>
      <c r="C64" s="12">
        <v>2001</v>
      </c>
      <c r="D64" s="15" t="s">
        <v>23</v>
      </c>
      <c r="E64" s="12">
        <v>6</v>
      </c>
      <c r="F64" s="14">
        <v>1.188037214238655</v>
      </c>
      <c r="G64" s="14">
        <v>0</v>
      </c>
    </row>
    <row r="65" spans="1:14">
      <c r="A65" s="8">
        <v>15</v>
      </c>
      <c r="B65" s="77">
        <v>37055</v>
      </c>
      <c r="C65" s="12">
        <v>2001</v>
      </c>
      <c r="D65" s="15" t="s">
        <v>23</v>
      </c>
      <c r="E65" s="12">
        <v>6</v>
      </c>
      <c r="F65" s="14">
        <v>8.4755321996998116</v>
      </c>
      <c r="G65" s="14">
        <v>2.1621143263333331</v>
      </c>
      <c r="I65" s="18">
        <f>AVERAGE(F63:F65)</f>
        <v>6.0224130893350436</v>
      </c>
      <c r="J65" s="18">
        <f>AVERAGE(G63:G65)</f>
        <v>1.4201272310555553</v>
      </c>
      <c r="L65">
        <f>+J65/I65</f>
        <v>0.23580701124112971</v>
      </c>
      <c r="M65">
        <f>+(L65-$L$927)/$L$928</f>
        <v>5.0309145527104002</v>
      </c>
      <c r="N65">
        <f>+N62+M65</f>
        <v>9.3618222492766883</v>
      </c>
    </row>
    <row r="66" spans="1:14">
      <c r="A66" s="8">
        <v>6</v>
      </c>
      <c r="B66" s="77">
        <v>37092</v>
      </c>
      <c r="C66" s="12">
        <v>2001</v>
      </c>
      <c r="D66" s="15" t="s">
        <v>24</v>
      </c>
      <c r="E66" s="12">
        <v>7</v>
      </c>
      <c r="F66" s="14">
        <v>7.6810494233998599</v>
      </c>
      <c r="G66" s="14">
        <v>3.9213432499999999E-2</v>
      </c>
    </row>
    <row r="67" spans="1:14">
      <c r="A67" s="8">
        <v>8</v>
      </c>
      <c r="B67" s="77">
        <v>37090</v>
      </c>
      <c r="C67" s="12">
        <v>2001</v>
      </c>
      <c r="D67" s="15" t="s">
        <v>24</v>
      </c>
      <c r="E67" s="12">
        <v>7</v>
      </c>
      <c r="F67" s="14">
        <v>1.0569016834841709</v>
      </c>
      <c r="G67" s="14">
        <v>0</v>
      </c>
    </row>
    <row r="68" spans="1:14">
      <c r="A68" s="8">
        <v>15</v>
      </c>
      <c r="B68" s="77">
        <v>37092</v>
      </c>
      <c r="C68" s="12">
        <v>2001</v>
      </c>
      <c r="D68" s="15" t="s">
        <v>24</v>
      </c>
      <c r="E68" s="12">
        <v>7</v>
      </c>
      <c r="F68" s="14">
        <v>2.4321721252965971</v>
      </c>
      <c r="G68" s="14">
        <v>1.9855642999999999E-2</v>
      </c>
      <c r="I68" s="18">
        <f>AVERAGE(F66:F68)</f>
        <v>3.7233744107268762</v>
      </c>
      <c r="J68" s="18">
        <f>AVERAGE(G66:G68)</f>
        <v>1.9689691833333332E-2</v>
      </c>
      <c r="L68">
        <f>+J68/I68</f>
        <v>5.2881310503204307E-3</v>
      </c>
      <c r="M68">
        <f>+(L68-$L$927)/$L$928</f>
        <v>-0.31700505410566282</v>
      </c>
      <c r="N68">
        <f>+N65+M68</f>
        <v>9.0448171951710261</v>
      </c>
    </row>
    <row r="69" spans="1:14">
      <c r="A69" s="8">
        <v>6</v>
      </c>
      <c r="B69" s="77">
        <v>37118</v>
      </c>
      <c r="C69" s="12">
        <v>2001</v>
      </c>
      <c r="D69" s="15" t="s">
        <v>25</v>
      </c>
      <c r="E69" s="12">
        <v>8</v>
      </c>
      <c r="F69" s="14">
        <v>2.9668356791150874</v>
      </c>
      <c r="G69" s="14">
        <v>0</v>
      </c>
    </row>
    <row r="70" spans="1:14">
      <c r="A70" s="8">
        <v>8</v>
      </c>
      <c r="B70" s="77">
        <v>37117</v>
      </c>
      <c r="C70" s="12">
        <v>2001</v>
      </c>
      <c r="D70" s="15" t="s">
        <v>25</v>
      </c>
      <c r="E70" s="12">
        <v>8</v>
      </c>
      <c r="F70" s="14">
        <v>0.75939941819857038</v>
      </c>
      <c r="G70" s="14">
        <v>0</v>
      </c>
    </row>
    <row r="71" spans="1:14">
      <c r="A71" s="8">
        <v>15</v>
      </c>
      <c r="B71" s="77">
        <v>37118</v>
      </c>
      <c r="C71" s="12">
        <v>2001</v>
      </c>
      <c r="D71" s="15" t="s">
        <v>25</v>
      </c>
      <c r="E71" s="12">
        <v>8</v>
      </c>
      <c r="F71" s="14">
        <v>5.5862372930010453</v>
      </c>
      <c r="G71" s="14">
        <v>0</v>
      </c>
      <c r="I71" s="18">
        <f>AVERAGE(F69:F71)</f>
        <v>3.1041574634382343</v>
      </c>
      <c r="J71" s="18">
        <f>AVERAGE(G69:G71)</f>
        <v>0</v>
      </c>
      <c r="L71">
        <f>+J71/I71</f>
        <v>0</v>
      </c>
      <c r="M71">
        <f>+(L71-$L$927)/$L$928</f>
        <v>-0.43968697805051538</v>
      </c>
      <c r="N71">
        <f>+N68+M71</f>
        <v>8.6051302171205108</v>
      </c>
    </row>
    <row r="72" spans="1:14">
      <c r="A72" s="8">
        <v>6</v>
      </c>
      <c r="B72" s="77">
        <v>37152</v>
      </c>
      <c r="C72" s="12">
        <v>2001</v>
      </c>
      <c r="D72" s="15" t="s">
        <v>26</v>
      </c>
      <c r="E72" s="12">
        <v>9</v>
      </c>
      <c r="F72" s="14">
        <v>6.3473835958746339</v>
      </c>
      <c r="G72" s="14">
        <v>0</v>
      </c>
    </row>
    <row r="73" spans="1:14">
      <c r="A73" s="8">
        <v>8</v>
      </c>
      <c r="B73" s="77">
        <v>37145</v>
      </c>
      <c r="C73" s="12">
        <v>2001</v>
      </c>
      <c r="D73" s="15" t="s">
        <v>26</v>
      </c>
      <c r="E73" s="12">
        <v>9</v>
      </c>
      <c r="F73" s="14">
        <v>3.1412798663020811</v>
      </c>
      <c r="G73" s="14">
        <v>0</v>
      </c>
    </row>
    <row r="74" spans="1:14">
      <c r="A74" s="8">
        <v>15</v>
      </c>
      <c r="B74" s="77">
        <v>37145</v>
      </c>
      <c r="C74" s="12">
        <v>2001</v>
      </c>
      <c r="D74" s="15" t="s">
        <v>26</v>
      </c>
      <c r="E74" s="12">
        <v>9</v>
      </c>
      <c r="F74" s="14">
        <v>3.0149514231719947</v>
      </c>
      <c r="G74" s="14">
        <v>2.5951386833333333E-2</v>
      </c>
      <c r="I74" s="18">
        <f>AVERAGE(F72:F74)</f>
        <v>4.1678716284495705</v>
      </c>
      <c r="J74" s="18">
        <f>AVERAGE(G72:G74)</f>
        <v>8.6504622777777776E-3</v>
      </c>
      <c r="L74">
        <f>+J74/I74</f>
        <v>2.0755107280009269E-3</v>
      </c>
      <c r="M74">
        <f>+(L74-$L$927)/$L$928</f>
        <v>-0.39153619531529815</v>
      </c>
      <c r="N74">
        <f>+N71+M74</f>
        <v>8.2135940218052124</v>
      </c>
    </row>
    <row r="75" spans="1:14">
      <c r="A75" s="8">
        <v>6</v>
      </c>
      <c r="B75" s="77">
        <v>37180</v>
      </c>
      <c r="C75" s="12">
        <v>2001</v>
      </c>
      <c r="D75" s="15" t="s">
        <v>14</v>
      </c>
      <c r="E75" s="12">
        <v>10</v>
      </c>
      <c r="F75" s="13">
        <v>1.0548604323549744</v>
      </c>
      <c r="G75" s="17">
        <v>0</v>
      </c>
    </row>
    <row r="76" spans="1:14">
      <c r="A76" s="8">
        <v>8</v>
      </c>
      <c r="B76" s="77">
        <v>37182</v>
      </c>
      <c r="C76" s="12">
        <v>2001</v>
      </c>
      <c r="D76" s="15" t="s">
        <v>14</v>
      </c>
      <c r="E76" s="12">
        <v>10</v>
      </c>
      <c r="F76" s="13">
        <v>0.34843414570771769</v>
      </c>
      <c r="G76" s="17">
        <v>0</v>
      </c>
    </row>
    <row r="77" spans="1:14">
      <c r="A77" s="8">
        <v>15</v>
      </c>
      <c r="B77" s="77">
        <v>37180</v>
      </c>
      <c r="C77" s="12">
        <v>2001</v>
      </c>
      <c r="D77" s="15" t="s">
        <v>14</v>
      </c>
      <c r="E77" s="12">
        <v>10</v>
      </c>
      <c r="F77" s="13">
        <v>0.65471596515874708</v>
      </c>
      <c r="G77" s="17">
        <v>0</v>
      </c>
      <c r="I77" s="18">
        <f>AVERAGE(F75:F77)</f>
        <v>0.68600351440714646</v>
      </c>
      <c r="J77" s="18">
        <f>AVERAGE(G75:G77)</f>
        <v>0</v>
      </c>
      <c r="L77">
        <f>+J77/I77</f>
        <v>0</v>
      </c>
      <c r="M77">
        <f>+(L77-$L$927)/$L$928</f>
        <v>-0.43968697805051538</v>
      </c>
      <c r="N77">
        <f>+N74+M77</f>
        <v>7.7739070437546971</v>
      </c>
    </row>
    <row r="78" spans="1:14">
      <c r="A78" s="8">
        <v>6</v>
      </c>
      <c r="B78" s="77">
        <v>37201</v>
      </c>
      <c r="C78" s="12">
        <v>2001</v>
      </c>
      <c r="D78" s="15" t="s">
        <v>16</v>
      </c>
      <c r="E78" s="12">
        <v>11</v>
      </c>
      <c r="F78" s="13">
        <v>1.5054241934185941</v>
      </c>
      <c r="G78" s="17">
        <v>9.0687883461464357E-3</v>
      </c>
    </row>
    <row r="79" spans="1:14">
      <c r="A79" s="8">
        <v>8</v>
      </c>
      <c r="B79" s="77">
        <v>37202</v>
      </c>
      <c r="C79" s="12">
        <v>2001</v>
      </c>
      <c r="D79" s="15" t="s">
        <v>16</v>
      </c>
      <c r="E79" s="12">
        <v>11</v>
      </c>
      <c r="F79" s="13">
        <v>0.39829726707135099</v>
      </c>
      <c r="G79" s="17">
        <v>0</v>
      </c>
    </row>
    <row r="80" spans="1:14">
      <c r="A80" s="8">
        <v>15</v>
      </c>
      <c r="B80" s="77">
        <v>37201</v>
      </c>
      <c r="C80" s="12">
        <v>2001</v>
      </c>
      <c r="D80" s="15" t="s">
        <v>16</v>
      </c>
      <c r="E80" s="12">
        <v>11</v>
      </c>
      <c r="F80" s="13">
        <v>1.0344293256584844</v>
      </c>
      <c r="G80" s="17">
        <v>0</v>
      </c>
      <c r="I80" s="18">
        <f>AVERAGE(F78:F80)</f>
        <v>0.97938359538280972</v>
      </c>
      <c r="J80" s="18">
        <f>AVERAGE(G78:G80)</f>
        <v>3.0229294487154786E-3</v>
      </c>
      <c r="L80">
        <f>+J80/I80</f>
        <v>3.0865632863024545E-3</v>
      </c>
      <c r="M80">
        <f>+(L80-$L$927)/$L$928</f>
        <v>-0.36808029532312969</v>
      </c>
      <c r="N80">
        <f>+N77+M80</f>
        <v>7.4058267484315676</v>
      </c>
    </row>
    <row r="81" spans="1:14">
      <c r="A81" s="8">
        <v>6</v>
      </c>
      <c r="B81" s="77">
        <v>37229</v>
      </c>
      <c r="C81" s="12">
        <v>2001</v>
      </c>
      <c r="D81" s="15" t="s">
        <v>17</v>
      </c>
      <c r="E81" s="12">
        <v>12</v>
      </c>
      <c r="F81" s="13">
        <v>1.5010388464070443</v>
      </c>
      <c r="G81" s="17">
        <v>0</v>
      </c>
    </row>
    <row r="82" spans="1:14">
      <c r="A82" s="8">
        <v>8</v>
      </c>
      <c r="B82" s="77">
        <v>37230</v>
      </c>
      <c r="C82" s="12">
        <v>2001</v>
      </c>
      <c r="D82" s="15" t="s">
        <v>17</v>
      </c>
      <c r="E82" s="12">
        <v>12</v>
      </c>
      <c r="F82" s="13">
        <v>1.2760475538116831</v>
      </c>
      <c r="G82" s="17">
        <v>0</v>
      </c>
    </row>
    <row r="83" spans="1:14">
      <c r="A83" s="8">
        <v>15</v>
      </c>
      <c r="B83" s="77">
        <v>37229</v>
      </c>
      <c r="C83" s="12">
        <v>2001</v>
      </c>
      <c r="D83" s="15" t="s">
        <v>17</v>
      </c>
      <c r="E83" s="12">
        <v>12</v>
      </c>
      <c r="F83" s="18">
        <v>2.2357222942910799</v>
      </c>
      <c r="I83" s="18">
        <f>AVERAGE(F81:F83)</f>
        <v>1.6709362315032692</v>
      </c>
      <c r="J83" s="18">
        <f>AVERAGE(G81:G83)</f>
        <v>0</v>
      </c>
      <c r="L83">
        <f>+J83/I83</f>
        <v>0</v>
      </c>
      <c r="M83">
        <f>+(L83-$L$927)/$L$928</f>
        <v>-0.43968697805051538</v>
      </c>
      <c r="N83">
        <f>+N80+M83</f>
        <v>6.9661397703810524</v>
      </c>
    </row>
    <row r="84" spans="1:14">
      <c r="A84" s="8">
        <v>6</v>
      </c>
      <c r="B84" s="77">
        <v>37271</v>
      </c>
      <c r="C84" s="12">
        <v>2002</v>
      </c>
      <c r="D84" s="15" t="s">
        <v>18</v>
      </c>
      <c r="E84" s="12">
        <v>1</v>
      </c>
      <c r="F84" s="13">
        <v>4.9784751047341471</v>
      </c>
      <c r="G84" s="17">
        <v>1.6105364624729387E-2</v>
      </c>
    </row>
    <row r="85" spans="1:14">
      <c r="A85" s="8">
        <v>8</v>
      </c>
      <c r="B85" s="77">
        <v>37272</v>
      </c>
      <c r="C85" s="12">
        <v>2002</v>
      </c>
      <c r="D85" s="15" t="s">
        <v>18</v>
      </c>
      <c r="E85" s="12">
        <v>1</v>
      </c>
      <c r="F85" s="13">
        <v>3.5602663218995922</v>
      </c>
      <c r="G85" s="17">
        <v>0</v>
      </c>
    </row>
    <row r="86" spans="1:14">
      <c r="A86" s="8">
        <v>15</v>
      </c>
      <c r="B86" s="77">
        <v>37271</v>
      </c>
      <c r="C86" s="12">
        <v>2002</v>
      </c>
      <c r="D86" s="15" t="s">
        <v>18</v>
      </c>
      <c r="E86" s="12">
        <v>1</v>
      </c>
      <c r="F86" s="13">
        <v>2.5369912431490143</v>
      </c>
      <c r="G86" s="17">
        <v>0</v>
      </c>
      <c r="I86" s="18">
        <f>AVERAGE(F84:F86)</f>
        <v>3.6919108899275845</v>
      </c>
      <c r="J86" s="18">
        <f>AVERAGE(G84:G86)</f>
        <v>5.3684548749097956E-3</v>
      </c>
      <c r="L86">
        <f>+J86/I86</f>
        <v>1.4541127982141237E-3</v>
      </c>
      <c r="M86">
        <f>+(L86-$L$927)/$L$928</f>
        <v>-0.405952308084851</v>
      </c>
      <c r="N86">
        <f>+N83+M86</f>
        <v>6.5601874622962013</v>
      </c>
    </row>
    <row r="87" spans="1:14">
      <c r="A87" s="8">
        <v>6</v>
      </c>
      <c r="B87" s="77">
        <v>37306</v>
      </c>
      <c r="C87" s="12">
        <v>2002</v>
      </c>
      <c r="D87" s="11" t="s">
        <v>19</v>
      </c>
      <c r="E87" s="12">
        <v>2</v>
      </c>
      <c r="F87" s="13">
        <v>1.6053943714545269</v>
      </c>
      <c r="G87" s="17">
        <v>3.00298051739065E-2</v>
      </c>
    </row>
    <row r="88" spans="1:14">
      <c r="A88" s="8">
        <v>8</v>
      </c>
      <c r="B88" s="77">
        <v>37301</v>
      </c>
      <c r="C88" s="12">
        <v>2002</v>
      </c>
      <c r="D88" s="11" t="s">
        <v>19</v>
      </c>
      <c r="E88" s="12">
        <v>2</v>
      </c>
      <c r="F88" s="13">
        <v>1.4736650359067733</v>
      </c>
      <c r="G88" s="17">
        <v>0</v>
      </c>
    </row>
    <row r="89" spans="1:14">
      <c r="A89" s="8">
        <v>15</v>
      </c>
      <c r="B89" s="77">
        <v>37306</v>
      </c>
      <c r="C89" s="12">
        <v>2002</v>
      </c>
      <c r="D89" s="11" t="s">
        <v>19</v>
      </c>
      <c r="E89" s="12">
        <v>2</v>
      </c>
      <c r="F89" s="13">
        <v>1.5899224695832257</v>
      </c>
      <c r="G89" s="17">
        <v>2.8082540103980733E-2</v>
      </c>
      <c r="I89" s="18">
        <f>AVERAGE(F87:F89)</f>
        <v>1.5563272923148421</v>
      </c>
      <c r="J89" s="18">
        <f>AVERAGE(G87:G89)</f>
        <v>1.9370781759295744E-2</v>
      </c>
      <c r="L89">
        <f>+J89/I89</f>
        <v>1.2446470517447607E-2</v>
      </c>
      <c r="M89">
        <f>+(L89-$L$927)/$L$928</f>
        <v>-0.15093525558500795</v>
      </c>
      <c r="N89">
        <f>+N86+M89</f>
        <v>6.4092522067111934</v>
      </c>
    </row>
    <row r="90" spans="1:14">
      <c r="A90" s="8">
        <v>6</v>
      </c>
      <c r="B90" s="73">
        <v>37334</v>
      </c>
      <c r="C90" s="12">
        <v>2002</v>
      </c>
      <c r="D90" s="11" t="s">
        <v>20</v>
      </c>
      <c r="E90" s="12">
        <v>3</v>
      </c>
      <c r="F90" s="13">
        <v>4.1112805086380826</v>
      </c>
      <c r="G90" s="17">
        <v>0.10998059335576731</v>
      </c>
    </row>
    <row r="91" spans="1:14">
      <c r="A91" s="8">
        <v>8</v>
      </c>
      <c r="B91" s="73">
        <v>37336</v>
      </c>
      <c r="C91" s="12">
        <v>2002</v>
      </c>
      <c r="D91" s="11" t="s">
        <v>20</v>
      </c>
      <c r="E91" s="12">
        <v>3</v>
      </c>
      <c r="F91" s="13">
        <v>0.87544326855861954</v>
      </c>
      <c r="G91" s="17">
        <v>0</v>
      </c>
    </row>
    <row r="92" spans="1:14">
      <c r="A92" s="8">
        <v>15</v>
      </c>
      <c r="B92" s="73">
        <v>37336</v>
      </c>
      <c r="C92" s="12">
        <v>2002</v>
      </c>
      <c r="D92" s="11" t="s">
        <v>20</v>
      </c>
      <c r="E92" s="12">
        <v>3</v>
      </c>
      <c r="F92" s="13">
        <v>4.1493642988653514</v>
      </c>
      <c r="G92" s="17">
        <v>5.8204975849879236E-2</v>
      </c>
      <c r="I92" s="18">
        <f>AVERAGE(F90:F92)</f>
        <v>3.0453626920206847</v>
      </c>
      <c r="J92" s="18">
        <f>AVERAGE(G90:G92)</f>
        <v>5.6061856401882181E-2</v>
      </c>
      <c r="L92">
        <f>+J92/I92</f>
        <v>1.8408925987296293E-2</v>
      </c>
      <c r="M92">
        <f>+(L92-$L$927)/$L$928</f>
        <v>-1.2609351496034401E-2</v>
      </c>
      <c r="N92">
        <f>+N89+M92</f>
        <v>6.3966428552151591</v>
      </c>
    </row>
    <row r="93" spans="1:14">
      <c r="A93" s="8">
        <v>6</v>
      </c>
      <c r="B93" s="73">
        <v>37362</v>
      </c>
      <c r="C93" s="12">
        <v>2002</v>
      </c>
      <c r="D93" s="15" t="s">
        <v>21</v>
      </c>
      <c r="E93" s="12">
        <v>4</v>
      </c>
      <c r="F93" s="13">
        <v>0.99281640135308447</v>
      </c>
      <c r="G93" s="17">
        <v>0</v>
      </c>
    </row>
    <row r="94" spans="1:14">
      <c r="A94" s="8">
        <v>8</v>
      </c>
      <c r="B94" s="73">
        <v>37363</v>
      </c>
      <c r="C94" s="12">
        <v>2002</v>
      </c>
      <c r="D94" s="15" t="s">
        <v>21</v>
      </c>
      <c r="E94" s="12">
        <v>4</v>
      </c>
      <c r="F94" s="13">
        <v>1.0573415593632474</v>
      </c>
      <c r="G94" s="17">
        <v>0</v>
      </c>
    </row>
    <row r="95" spans="1:14">
      <c r="A95" s="8">
        <v>15</v>
      </c>
      <c r="B95" s="73">
        <v>37362</v>
      </c>
      <c r="C95" s="12">
        <v>2002</v>
      </c>
      <c r="D95" s="15" t="s">
        <v>21</v>
      </c>
      <c r="E95" s="12">
        <v>4</v>
      </c>
      <c r="F95" s="13">
        <v>0.76346537495358346</v>
      </c>
      <c r="G95" s="17">
        <v>0</v>
      </c>
      <c r="I95" s="18">
        <f>AVERAGE(F93:F95)</f>
        <v>0.9378744452233051</v>
      </c>
      <c r="J95" s="18">
        <f>AVERAGE(G93:G95)</f>
        <v>0</v>
      </c>
      <c r="L95">
        <f>+J95/I95</f>
        <v>0</v>
      </c>
      <c r="M95">
        <f>+(L95-$L$927)/$L$928</f>
        <v>-0.43968697805051538</v>
      </c>
      <c r="N95">
        <f>+N92+M95</f>
        <v>5.9569558771646438</v>
      </c>
    </row>
    <row r="96" spans="1:14">
      <c r="A96" s="8">
        <v>6</v>
      </c>
      <c r="B96" s="73">
        <v>37392</v>
      </c>
      <c r="C96" s="12">
        <v>2002</v>
      </c>
      <c r="D96" s="15" t="s">
        <v>22</v>
      </c>
      <c r="E96" s="12">
        <v>5</v>
      </c>
      <c r="F96" s="13">
        <v>9.0420884745467927</v>
      </c>
      <c r="G96" s="13">
        <v>0.59433118805405216</v>
      </c>
    </row>
    <row r="97" spans="1:12">
      <c r="A97" s="8">
        <v>8</v>
      </c>
      <c r="B97" s="73">
        <v>37392</v>
      </c>
      <c r="C97" s="12">
        <v>2002</v>
      </c>
      <c r="D97" s="15" t="s">
        <v>22</v>
      </c>
      <c r="E97" s="12">
        <v>5</v>
      </c>
      <c r="F97" s="13">
        <v>1.8410703540065909</v>
      </c>
      <c r="G97" s="13">
        <v>2.2472994265484963E-2</v>
      </c>
    </row>
    <row r="98" spans="1:12">
      <c r="A98" s="8">
        <v>15</v>
      </c>
      <c r="B98" s="73">
        <v>37392</v>
      </c>
      <c r="C98" s="12">
        <v>2002</v>
      </c>
      <c r="D98" s="15" t="s">
        <v>22</v>
      </c>
      <c r="E98" s="12">
        <v>5</v>
      </c>
      <c r="F98" s="13">
        <v>4.1235192731701682</v>
      </c>
      <c r="G98" s="13">
        <v>0.4714938168563067</v>
      </c>
      <c r="I98" s="18">
        <f>AVERAGE(F96:F98)</f>
        <v>5.0022260339078501</v>
      </c>
      <c r="J98" s="18">
        <f>AVERAGE(G96:G98)</f>
        <v>0.36276599972528129</v>
      </c>
      <c r="L98">
        <f>+J98/I98</f>
        <v>7.2520913142719468E-2</v>
      </c>
    </row>
    <row r="99" spans="1:12">
      <c r="A99" s="8">
        <v>6</v>
      </c>
      <c r="B99" s="73">
        <v>37419</v>
      </c>
      <c r="C99" s="12">
        <v>2002</v>
      </c>
      <c r="D99" s="15" t="s">
        <v>23</v>
      </c>
      <c r="E99" s="12">
        <v>6</v>
      </c>
      <c r="F99" s="13">
        <v>5.8245031015438551</v>
      </c>
      <c r="G99" s="13">
        <v>1.3270092217578711</v>
      </c>
    </row>
    <row r="100" spans="1:12">
      <c r="A100" s="8">
        <v>8</v>
      </c>
      <c r="B100" s="73">
        <v>37420</v>
      </c>
      <c r="C100" s="12">
        <v>2002</v>
      </c>
      <c r="D100" s="15" t="s">
        <v>23</v>
      </c>
      <c r="E100" s="12">
        <v>6</v>
      </c>
      <c r="F100" s="13">
        <v>3.0164005743077511</v>
      </c>
      <c r="G100" s="13">
        <v>3.0306591174791588E-2</v>
      </c>
    </row>
    <row r="101" spans="1:12">
      <c r="A101" s="8">
        <v>15</v>
      </c>
      <c r="B101" s="73">
        <v>37419</v>
      </c>
      <c r="C101" s="12">
        <v>2002</v>
      </c>
      <c r="D101" s="15" t="s">
        <v>23</v>
      </c>
      <c r="E101" s="12">
        <v>6</v>
      </c>
      <c r="F101" s="13">
        <v>7.0253142956519987</v>
      </c>
      <c r="G101" s="13">
        <v>1.654473049390786</v>
      </c>
      <c r="I101" s="18">
        <f>AVERAGE(F99:F101)</f>
        <v>5.2887393238345348</v>
      </c>
      <c r="J101" s="18">
        <f>AVERAGE(G99:G101)</f>
        <v>1.0039296207744828</v>
      </c>
      <c r="L101">
        <f>+J101/I101</f>
        <v>0.18982399382970458</v>
      </c>
    </row>
    <row r="102" spans="1:12">
      <c r="A102" s="8">
        <v>6</v>
      </c>
      <c r="B102" s="73">
        <v>37454</v>
      </c>
      <c r="C102" s="12">
        <v>2002</v>
      </c>
      <c r="D102" s="15" t="s">
        <v>24</v>
      </c>
      <c r="E102" s="12">
        <v>7</v>
      </c>
      <c r="F102" s="13">
        <v>7.4154465513396506</v>
      </c>
      <c r="G102" s="13">
        <v>0</v>
      </c>
    </row>
    <row r="103" spans="1:12">
      <c r="A103" s="8">
        <v>8</v>
      </c>
      <c r="B103" s="73">
        <v>37453</v>
      </c>
      <c r="C103" s="12">
        <v>2002</v>
      </c>
      <c r="D103" s="15" t="s">
        <v>24</v>
      </c>
      <c r="E103" s="12">
        <v>7</v>
      </c>
      <c r="F103" s="13">
        <v>4.2360423075201492</v>
      </c>
      <c r="G103" s="13">
        <v>0</v>
      </c>
    </row>
    <row r="104" spans="1:12">
      <c r="A104" s="8">
        <v>15</v>
      </c>
      <c r="B104" s="73">
        <v>37454</v>
      </c>
      <c r="C104" s="12">
        <v>2002</v>
      </c>
      <c r="D104" s="15" t="s">
        <v>24</v>
      </c>
      <c r="E104" s="12">
        <v>7</v>
      </c>
      <c r="F104" s="13">
        <v>4.989614026242152</v>
      </c>
      <c r="G104" s="13">
        <v>0</v>
      </c>
      <c r="I104" s="18">
        <f>AVERAGE(F102:F104)</f>
        <v>5.5470342950339839</v>
      </c>
      <c r="J104" s="18">
        <f>AVERAGE(G102:G104)</f>
        <v>0</v>
      </c>
      <c r="L104">
        <f>+J104/I104</f>
        <v>0</v>
      </c>
    </row>
    <row r="105" spans="1:12">
      <c r="A105" s="8">
        <v>6</v>
      </c>
      <c r="B105" s="73">
        <v>37482</v>
      </c>
      <c r="C105" s="12">
        <v>2002</v>
      </c>
      <c r="D105" s="15" t="s">
        <v>25</v>
      </c>
      <c r="E105" s="12">
        <v>8</v>
      </c>
      <c r="F105" s="13">
        <v>10.708924147704391</v>
      </c>
      <c r="G105" s="13">
        <v>9.5802610827205731E-2</v>
      </c>
    </row>
    <row r="106" spans="1:12">
      <c r="A106" s="8">
        <v>8</v>
      </c>
      <c r="B106" s="73">
        <v>37481</v>
      </c>
      <c r="C106" s="12">
        <v>2002</v>
      </c>
      <c r="D106" s="15" t="s">
        <v>25</v>
      </c>
      <c r="E106" s="12">
        <v>8</v>
      </c>
      <c r="F106" s="13">
        <v>2.3487286694991387</v>
      </c>
      <c r="G106" s="13">
        <v>0</v>
      </c>
    </row>
    <row r="107" spans="1:12">
      <c r="A107" s="8">
        <v>15</v>
      </c>
      <c r="B107" s="73">
        <v>37482</v>
      </c>
      <c r="C107" s="12">
        <v>2002</v>
      </c>
      <c r="D107" s="15" t="s">
        <v>25</v>
      </c>
      <c r="E107" s="12">
        <v>8</v>
      </c>
      <c r="F107" s="13">
        <v>5.7195566962697306</v>
      </c>
      <c r="G107" s="13">
        <v>3.8755551011680406E-2</v>
      </c>
      <c r="I107" s="18">
        <f>AVERAGE(F105:F107)</f>
        <v>6.2590698378244198</v>
      </c>
      <c r="J107" s="18">
        <f>AVERAGE(G105:G107)</f>
        <v>4.4852720612962048E-2</v>
      </c>
      <c r="L107">
        <f>+J107/I107</f>
        <v>7.166036132383583E-3</v>
      </c>
    </row>
    <row r="108" spans="1:12">
      <c r="A108" s="8">
        <v>6</v>
      </c>
      <c r="B108" s="73">
        <v>37517</v>
      </c>
      <c r="C108" s="12">
        <v>2002</v>
      </c>
      <c r="D108" s="15" t="s">
        <v>26</v>
      </c>
      <c r="E108" s="12">
        <v>9</v>
      </c>
      <c r="F108" s="13">
        <v>5.2143008682160099</v>
      </c>
      <c r="G108" s="13">
        <v>0</v>
      </c>
    </row>
    <row r="109" spans="1:12">
      <c r="A109" s="8">
        <v>8</v>
      </c>
      <c r="B109" s="73">
        <v>37518</v>
      </c>
      <c r="C109" s="12">
        <v>2002</v>
      </c>
      <c r="D109" s="15" t="s">
        <v>26</v>
      </c>
      <c r="E109" s="12">
        <v>9</v>
      </c>
      <c r="F109" s="13">
        <v>3.011770944896718</v>
      </c>
      <c r="G109" s="13">
        <v>0</v>
      </c>
    </row>
    <row r="110" spans="1:12">
      <c r="A110" s="8">
        <v>15</v>
      </c>
      <c r="B110" s="73">
        <v>37517</v>
      </c>
      <c r="C110" s="12">
        <v>2002</v>
      </c>
      <c r="D110" s="15" t="s">
        <v>26</v>
      </c>
      <c r="E110" s="12">
        <v>9</v>
      </c>
      <c r="F110" s="13">
        <v>5.9564108169403305</v>
      </c>
      <c r="G110" s="13">
        <v>0</v>
      </c>
      <c r="I110" s="18">
        <f>AVERAGE(F108:F110)</f>
        <v>4.727494210017686</v>
      </c>
      <c r="J110" s="18">
        <f>AVERAGE(G108:G110)</f>
        <v>0</v>
      </c>
      <c r="L110">
        <f>+J110/I110</f>
        <v>0</v>
      </c>
    </row>
    <row r="111" spans="1:12">
      <c r="A111" s="8">
        <v>6</v>
      </c>
      <c r="B111" s="73">
        <v>37544</v>
      </c>
      <c r="C111" s="12">
        <v>2002</v>
      </c>
      <c r="D111" s="15" t="s">
        <v>14</v>
      </c>
      <c r="E111" s="12">
        <v>10</v>
      </c>
      <c r="F111" s="14">
        <v>3.4876385864598265</v>
      </c>
      <c r="G111" s="14">
        <v>0</v>
      </c>
    </row>
    <row r="112" spans="1:12">
      <c r="A112" s="8">
        <v>8</v>
      </c>
      <c r="B112" s="73">
        <v>37546</v>
      </c>
      <c r="C112" s="12">
        <v>2002</v>
      </c>
      <c r="D112" s="15" t="s">
        <v>14</v>
      </c>
      <c r="E112" s="12">
        <v>10</v>
      </c>
      <c r="F112" s="14">
        <v>4.8207283497322235</v>
      </c>
      <c r="G112" s="14">
        <v>0</v>
      </c>
    </row>
    <row r="113" spans="1:14">
      <c r="A113" s="8">
        <v>15</v>
      </c>
      <c r="B113" s="73">
        <v>37546</v>
      </c>
      <c r="C113" s="12">
        <v>2002</v>
      </c>
      <c r="D113" s="15" t="s">
        <v>14</v>
      </c>
      <c r="E113" s="12">
        <v>10</v>
      </c>
      <c r="F113" s="14">
        <v>6.0661447194553739</v>
      </c>
      <c r="G113" s="14">
        <v>0</v>
      </c>
      <c r="I113" s="18">
        <f>AVERAGE(F111:F113)</f>
        <v>4.7915038852158078</v>
      </c>
      <c r="J113" s="18">
        <f>AVERAGE(G111:G113)</f>
        <v>0</v>
      </c>
      <c r="L113">
        <f>+J113/I113</f>
        <v>0</v>
      </c>
      <c r="M113">
        <f>+(L113-$L$927)/$L$928</f>
        <v>-0.43968697805051538</v>
      </c>
      <c r="N113">
        <f>+N95+M113</f>
        <v>5.5172688991141285</v>
      </c>
    </row>
    <row r="114" spans="1:14">
      <c r="A114" s="8">
        <v>6</v>
      </c>
      <c r="B114" s="73">
        <v>37575</v>
      </c>
      <c r="C114" s="12">
        <v>2002</v>
      </c>
      <c r="D114" s="15" t="s">
        <v>16</v>
      </c>
      <c r="E114" s="12">
        <v>11</v>
      </c>
      <c r="F114" s="14">
        <v>2.4170835161500972</v>
      </c>
      <c r="G114" s="14">
        <v>0</v>
      </c>
    </row>
    <row r="115" spans="1:14">
      <c r="A115" s="8">
        <v>8</v>
      </c>
      <c r="B115" s="73">
        <v>37574</v>
      </c>
      <c r="C115" s="12">
        <v>2002</v>
      </c>
      <c r="D115" s="15" t="s">
        <v>16</v>
      </c>
      <c r="E115" s="12">
        <v>11</v>
      </c>
      <c r="F115" s="14">
        <v>1.7779877071740167</v>
      </c>
      <c r="G115" s="14">
        <v>0</v>
      </c>
    </row>
    <row r="116" spans="1:14">
      <c r="A116" s="8">
        <v>15</v>
      </c>
      <c r="B116" s="73">
        <v>37574</v>
      </c>
      <c r="C116" s="12">
        <v>2002</v>
      </c>
      <c r="D116" s="15" t="s">
        <v>16</v>
      </c>
      <c r="E116" s="12">
        <v>11</v>
      </c>
      <c r="F116" s="14">
        <v>3.5337504144745715</v>
      </c>
      <c r="G116" s="14">
        <v>0</v>
      </c>
      <c r="I116" s="18">
        <f>AVERAGE(F114:F116)</f>
        <v>2.5762738792662283</v>
      </c>
      <c r="J116" s="18">
        <f>AVERAGE(G114:G116)</f>
        <v>0</v>
      </c>
      <c r="L116">
        <f>+J116/I116</f>
        <v>0</v>
      </c>
      <c r="M116">
        <f>+(L116-$L$927)/$L$928</f>
        <v>-0.43968697805051538</v>
      </c>
      <c r="N116">
        <f>+N113+M116</f>
        <v>5.0775819210636133</v>
      </c>
    </row>
    <row r="117" spans="1:14">
      <c r="A117" s="8">
        <v>6</v>
      </c>
      <c r="B117" s="73">
        <v>37609</v>
      </c>
      <c r="C117" s="12">
        <v>2002</v>
      </c>
      <c r="D117" s="15" t="s">
        <v>17</v>
      </c>
      <c r="E117" s="12">
        <v>12</v>
      </c>
      <c r="F117" s="14">
        <v>4.7745902695010765</v>
      </c>
      <c r="G117" s="14">
        <v>0</v>
      </c>
    </row>
    <row r="118" spans="1:14">
      <c r="A118" s="8">
        <v>8</v>
      </c>
      <c r="B118" s="73">
        <v>37608</v>
      </c>
      <c r="C118" s="12">
        <v>2002</v>
      </c>
      <c r="D118" s="15" t="s">
        <v>17</v>
      </c>
      <c r="E118" s="12">
        <v>12</v>
      </c>
      <c r="F118" s="14">
        <v>2.646531702604749</v>
      </c>
      <c r="G118" s="14">
        <v>0</v>
      </c>
    </row>
    <row r="119" spans="1:14">
      <c r="A119" s="8">
        <v>15</v>
      </c>
      <c r="B119" s="73">
        <v>37608</v>
      </c>
      <c r="C119" s="12">
        <v>2002</v>
      </c>
      <c r="D119" s="15" t="s">
        <v>17</v>
      </c>
      <c r="E119" s="12">
        <v>12</v>
      </c>
      <c r="F119" s="14">
        <v>4.5121651879294271</v>
      </c>
      <c r="G119" s="14">
        <v>0</v>
      </c>
      <c r="I119" s="18">
        <f>AVERAGE(F117:F119)</f>
        <v>3.9777623866784175</v>
      </c>
      <c r="J119" s="18">
        <f>AVERAGE(G117:G119)</f>
        <v>0</v>
      </c>
      <c r="L119">
        <f>+J119/I119</f>
        <v>0</v>
      </c>
      <c r="M119">
        <f>+(L119-$L$927)/$L$928</f>
        <v>-0.43968697805051538</v>
      </c>
      <c r="N119">
        <f>+N116+M119</f>
        <v>4.637894943013098</v>
      </c>
    </row>
    <row r="120" spans="1:14">
      <c r="A120" s="8">
        <v>6</v>
      </c>
      <c r="B120" s="73">
        <v>37635</v>
      </c>
      <c r="C120" s="12">
        <v>2003</v>
      </c>
      <c r="D120" s="15" t="s">
        <v>18</v>
      </c>
      <c r="E120" s="12">
        <v>1</v>
      </c>
      <c r="F120" s="14">
        <v>5.1538707761866194</v>
      </c>
      <c r="G120" s="14">
        <v>0</v>
      </c>
    </row>
    <row r="121" spans="1:14">
      <c r="A121" s="8">
        <v>8</v>
      </c>
      <c r="B121" s="73">
        <v>37636</v>
      </c>
      <c r="C121" s="12">
        <v>2003</v>
      </c>
      <c r="D121" s="15" t="s">
        <v>18</v>
      </c>
      <c r="E121" s="12">
        <v>1</v>
      </c>
      <c r="F121" s="14">
        <v>2.1530136083186076</v>
      </c>
      <c r="G121" s="14">
        <v>0</v>
      </c>
    </row>
    <row r="122" spans="1:14">
      <c r="A122" s="8">
        <v>15</v>
      </c>
      <c r="B122" s="73">
        <v>37636</v>
      </c>
      <c r="C122" s="12">
        <v>2003</v>
      </c>
      <c r="D122" s="15" t="s">
        <v>18</v>
      </c>
      <c r="E122" s="12">
        <v>1</v>
      </c>
      <c r="F122" s="14">
        <v>4.7636943444502151</v>
      </c>
      <c r="G122" s="14">
        <v>1.1168898372871447E-2</v>
      </c>
      <c r="I122" s="18">
        <f>AVERAGE(F120:F122)</f>
        <v>4.0235262429851479</v>
      </c>
      <c r="J122" s="18">
        <f>AVERAGE(G120:G122)</f>
        <v>3.7229661242904823E-3</v>
      </c>
      <c r="L122">
        <f>+J122/I122</f>
        <v>9.2529932687311785E-4</v>
      </c>
      <c r="M122">
        <f>+(L122-$L$927)/$L$928</f>
        <v>-0.41822050897751606</v>
      </c>
      <c r="N122">
        <f>+N119+M122</f>
        <v>4.2196744340355821</v>
      </c>
    </row>
    <row r="123" spans="1:14">
      <c r="A123" s="8">
        <v>6</v>
      </c>
      <c r="B123" s="73">
        <v>37665</v>
      </c>
      <c r="C123" s="12">
        <v>2003</v>
      </c>
      <c r="D123" s="11" t="s">
        <v>19</v>
      </c>
      <c r="E123" s="12">
        <v>2</v>
      </c>
      <c r="F123" s="14">
        <v>3.6944615935683589</v>
      </c>
      <c r="G123" s="14">
        <v>0</v>
      </c>
    </row>
    <row r="124" spans="1:14">
      <c r="A124" s="8">
        <v>8</v>
      </c>
      <c r="B124" s="73">
        <v>37663</v>
      </c>
      <c r="C124" s="12">
        <v>2003</v>
      </c>
      <c r="D124" s="11" t="s">
        <v>19</v>
      </c>
      <c r="E124" s="12">
        <v>2</v>
      </c>
      <c r="F124" s="14">
        <v>3.3425827597701399</v>
      </c>
      <c r="G124" s="14">
        <v>0</v>
      </c>
    </row>
    <row r="125" spans="1:14">
      <c r="A125" s="8">
        <v>15</v>
      </c>
      <c r="B125" s="73">
        <v>37663</v>
      </c>
      <c r="C125" s="12">
        <v>2003</v>
      </c>
      <c r="D125" s="11" t="s">
        <v>19</v>
      </c>
      <c r="E125" s="12">
        <v>2</v>
      </c>
      <c r="F125" s="14">
        <v>2.7941432541620128</v>
      </c>
      <c r="G125" s="14">
        <v>0</v>
      </c>
      <c r="I125" s="18">
        <f>AVERAGE(F123:F125)</f>
        <v>3.2770625358335042</v>
      </c>
      <c r="J125" s="18">
        <f>AVERAGE(G123:G125)</f>
        <v>0</v>
      </c>
      <c r="L125">
        <f>+J125/I125</f>
        <v>0</v>
      </c>
      <c r="M125">
        <f>+(L125-$L$927)/$L$928</f>
        <v>-0.43968697805051538</v>
      </c>
      <c r="N125">
        <f>+N122+M125</f>
        <v>3.7799874559850668</v>
      </c>
    </row>
    <row r="126" spans="1:14">
      <c r="A126" s="8">
        <v>6</v>
      </c>
      <c r="B126" s="73">
        <v>37692</v>
      </c>
      <c r="C126" s="12">
        <v>2003</v>
      </c>
      <c r="D126" s="11" t="s">
        <v>20</v>
      </c>
      <c r="E126" s="12">
        <v>3</v>
      </c>
      <c r="F126" s="14">
        <v>3.3938838345986131</v>
      </c>
      <c r="G126" s="14">
        <v>0</v>
      </c>
    </row>
    <row r="127" spans="1:14">
      <c r="A127" s="8">
        <v>8</v>
      </c>
      <c r="B127" s="73">
        <v>37691</v>
      </c>
      <c r="C127" s="12">
        <v>2003</v>
      </c>
      <c r="D127" s="11" t="s">
        <v>20</v>
      </c>
      <c r="E127" s="12">
        <v>3</v>
      </c>
      <c r="F127" s="14">
        <v>3.998385502802964</v>
      </c>
      <c r="G127" s="14">
        <v>0</v>
      </c>
    </row>
    <row r="128" spans="1:14">
      <c r="A128" s="8">
        <v>15</v>
      </c>
      <c r="B128" s="73">
        <v>37692</v>
      </c>
      <c r="C128" s="12">
        <v>2003</v>
      </c>
      <c r="D128" s="11" t="s">
        <v>20</v>
      </c>
      <c r="E128" s="12">
        <v>3</v>
      </c>
      <c r="F128" s="14">
        <v>3.2421167864607598</v>
      </c>
      <c r="G128" s="14">
        <v>0</v>
      </c>
      <c r="I128" s="18">
        <f>AVERAGE(F126:F128)</f>
        <v>3.5447953746207794</v>
      </c>
      <c r="J128" s="18">
        <f>AVERAGE(G126:G128)</f>
        <v>0</v>
      </c>
      <c r="L128">
        <f>+J128/I128</f>
        <v>0</v>
      </c>
      <c r="M128">
        <f>+(L128-$L$927)/$L$928</f>
        <v>-0.43968697805051538</v>
      </c>
      <c r="N128">
        <f>+N125+M128</f>
        <v>3.3403004779345515</v>
      </c>
    </row>
    <row r="129" spans="1:14">
      <c r="A129" s="8">
        <v>6</v>
      </c>
      <c r="B129" s="73">
        <v>37726</v>
      </c>
      <c r="C129" s="12">
        <v>2003</v>
      </c>
      <c r="D129" s="11" t="s">
        <v>21</v>
      </c>
      <c r="E129" s="12">
        <v>4</v>
      </c>
      <c r="F129" s="14">
        <v>3.1432069936804568</v>
      </c>
      <c r="G129" s="14">
        <v>3.4671125688650974E-2</v>
      </c>
    </row>
    <row r="130" spans="1:14">
      <c r="A130" s="8">
        <v>8</v>
      </c>
      <c r="B130" s="73">
        <v>37727</v>
      </c>
      <c r="C130" s="12">
        <v>2003</v>
      </c>
      <c r="D130" s="11" t="s">
        <v>21</v>
      </c>
      <c r="E130" s="12">
        <v>4</v>
      </c>
      <c r="F130" s="14">
        <v>9.9080791706866496</v>
      </c>
      <c r="G130" s="14">
        <v>0</v>
      </c>
    </row>
    <row r="131" spans="1:14">
      <c r="A131" s="8">
        <v>15</v>
      </c>
      <c r="B131" s="73">
        <v>37726</v>
      </c>
      <c r="C131" s="12">
        <v>2003</v>
      </c>
      <c r="D131" s="11" t="s">
        <v>21</v>
      </c>
      <c r="E131" s="12">
        <v>4</v>
      </c>
      <c r="F131" s="14">
        <v>4.1651057618615326</v>
      </c>
      <c r="G131" s="14">
        <v>5.0422568150336355E-2</v>
      </c>
      <c r="I131" s="18">
        <f>AVERAGE(F129:F131)</f>
        <v>5.7387973087428792</v>
      </c>
      <c r="J131" s="18">
        <f>AVERAGE(G129:G131)</f>
        <v>2.8364564612995774E-2</v>
      </c>
      <c r="L131">
        <f>+J131/I131</f>
        <v>4.9425973922764691E-3</v>
      </c>
      <c r="M131">
        <f>+(L131-$L$927)/$L$928</f>
        <v>-0.32502125747754546</v>
      </c>
      <c r="N131">
        <f>+N128+M131</f>
        <v>3.015279220457006</v>
      </c>
    </row>
    <row r="132" spans="1:14">
      <c r="A132" s="8">
        <v>6</v>
      </c>
      <c r="B132" s="73">
        <v>37761</v>
      </c>
      <c r="C132" s="12">
        <v>2003</v>
      </c>
      <c r="D132" s="11" t="s">
        <v>22</v>
      </c>
      <c r="E132" s="12">
        <v>5</v>
      </c>
      <c r="F132" s="14">
        <v>5.4586740063889092</v>
      </c>
      <c r="G132" s="14">
        <v>0.69140840343638132</v>
      </c>
    </row>
    <row r="133" spans="1:14">
      <c r="A133" s="8">
        <v>8</v>
      </c>
      <c r="B133" s="73">
        <v>37756</v>
      </c>
      <c r="C133" s="12">
        <v>2003</v>
      </c>
      <c r="D133" s="11" t="s">
        <v>22</v>
      </c>
      <c r="E133" s="12">
        <v>5</v>
      </c>
      <c r="F133" s="14">
        <v>3.0452778185032008</v>
      </c>
      <c r="G133" s="14">
        <v>7.1414325932904921E-2</v>
      </c>
    </row>
    <row r="134" spans="1:14">
      <c r="A134" s="8">
        <v>15</v>
      </c>
      <c r="B134" s="73">
        <v>37761</v>
      </c>
      <c r="C134" s="12">
        <v>2003</v>
      </c>
      <c r="D134" s="11" t="s">
        <v>22</v>
      </c>
      <c r="E134" s="12">
        <v>5</v>
      </c>
      <c r="F134" s="14">
        <v>9.4575942407553839</v>
      </c>
      <c r="G134" s="14">
        <v>1.2883052112802944</v>
      </c>
      <c r="I134" s="18">
        <f>AVERAGE(F132:F134)</f>
        <v>5.9871820218824974</v>
      </c>
      <c r="J134" s="18">
        <f>AVERAGE(G132:G134)</f>
        <v>0.6837093135498602</v>
      </c>
      <c r="L134">
        <f>+J134/I134</f>
        <v>0.11419551151960593</v>
      </c>
      <c r="M134">
        <f>+(L134-$L$927)/$L$928</f>
        <v>2.2095902289209195</v>
      </c>
      <c r="N134">
        <f>+N131+M134</f>
        <v>5.2248694493779251</v>
      </c>
    </row>
    <row r="135" spans="1:14">
      <c r="A135" s="8">
        <v>6</v>
      </c>
      <c r="B135" s="73">
        <v>37792</v>
      </c>
      <c r="C135" s="12">
        <v>2003</v>
      </c>
      <c r="D135" s="11" t="s">
        <v>23</v>
      </c>
      <c r="E135" s="12">
        <v>6</v>
      </c>
      <c r="F135" s="14">
        <v>15.832712659534909</v>
      </c>
      <c r="G135" s="14">
        <v>4.2476138600843552</v>
      </c>
    </row>
    <row r="136" spans="1:14">
      <c r="A136" s="8">
        <v>8</v>
      </c>
      <c r="B136" s="73">
        <v>37790</v>
      </c>
      <c r="C136" s="12">
        <v>2003</v>
      </c>
      <c r="D136" s="11" t="s">
        <v>23</v>
      </c>
      <c r="E136" s="12">
        <v>6</v>
      </c>
      <c r="F136" s="14">
        <v>15.114857572639529</v>
      </c>
      <c r="G136" s="14">
        <v>1.624242679869309</v>
      </c>
    </row>
    <row r="137" spans="1:14">
      <c r="A137" s="8">
        <v>15</v>
      </c>
      <c r="B137" s="73">
        <v>37790</v>
      </c>
      <c r="C137" s="12">
        <v>2003</v>
      </c>
      <c r="D137" s="11" t="s">
        <v>23</v>
      </c>
      <c r="E137" s="12">
        <v>6</v>
      </c>
      <c r="F137" s="14">
        <v>11.282353868849933</v>
      </c>
      <c r="G137" s="14">
        <v>1.3585161126734686</v>
      </c>
      <c r="I137" s="18">
        <f>AVERAGE(F135:F137)</f>
        <v>14.076641367008124</v>
      </c>
      <c r="J137" s="18">
        <f>AVERAGE(G135:G137)</f>
        <v>2.4101242175423776</v>
      </c>
      <c r="L137">
        <f>+J137/I137</f>
        <v>0.17121443636342565</v>
      </c>
      <c r="M137">
        <f>+(L137-$L$927)/$L$928</f>
        <v>3.532399995649921</v>
      </c>
      <c r="N137">
        <f>+N134+M137</f>
        <v>8.7572694450278465</v>
      </c>
    </row>
    <row r="138" spans="1:14">
      <c r="A138" s="8">
        <v>6</v>
      </c>
      <c r="B138" s="73">
        <v>37819</v>
      </c>
      <c r="C138" s="12">
        <v>2003</v>
      </c>
      <c r="D138" s="15" t="s">
        <v>24</v>
      </c>
      <c r="E138" s="12">
        <v>7</v>
      </c>
      <c r="F138" s="14">
        <v>15.953109210142616</v>
      </c>
      <c r="G138" s="14">
        <v>0</v>
      </c>
    </row>
    <row r="139" spans="1:14">
      <c r="A139" s="8">
        <v>8</v>
      </c>
      <c r="B139" s="73">
        <v>37818</v>
      </c>
      <c r="C139" s="12">
        <v>2003</v>
      </c>
      <c r="D139" s="15" t="s">
        <v>24</v>
      </c>
      <c r="E139" s="12">
        <v>7</v>
      </c>
      <c r="F139" s="14">
        <v>7.9433931678976784</v>
      </c>
      <c r="G139" s="14">
        <v>0</v>
      </c>
    </row>
    <row r="140" spans="1:14">
      <c r="A140" s="8">
        <v>15</v>
      </c>
      <c r="B140" s="73">
        <v>37819</v>
      </c>
      <c r="C140" s="12">
        <v>2003</v>
      </c>
      <c r="D140" s="15" t="s">
        <v>24</v>
      </c>
      <c r="E140" s="12">
        <v>7</v>
      </c>
      <c r="F140" s="14">
        <v>12.777910973708968</v>
      </c>
      <c r="G140" s="14">
        <v>0</v>
      </c>
      <c r="I140" s="18">
        <f>AVERAGE(F138:F140)</f>
        <v>12.224804450583088</v>
      </c>
      <c r="J140" s="18">
        <f>AVERAGE(G138:G140)</f>
        <v>0</v>
      </c>
      <c r="L140">
        <f>+J140/I140</f>
        <v>0</v>
      </c>
      <c r="M140">
        <f>+(L140-$L$927)/$L$928</f>
        <v>-0.43968697805051538</v>
      </c>
      <c r="N140">
        <f>+N137+M140</f>
        <v>8.3175824669773313</v>
      </c>
    </row>
    <row r="141" spans="1:14">
      <c r="A141" s="8">
        <v>6</v>
      </c>
      <c r="B141" s="73">
        <v>37847</v>
      </c>
      <c r="C141" s="12">
        <v>2003</v>
      </c>
      <c r="D141" s="15" t="s">
        <v>25</v>
      </c>
      <c r="E141" s="12">
        <v>8</v>
      </c>
      <c r="F141" s="14">
        <v>14.195668450441072</v>
      </c>
      <c r="G141" s="14">
        <v>0</v>
      </c>
    </row>
    <row r="142" spans="1:14">
      <c r="A142" s="8">
        <v>8</v>
      </c>
      <c r="B142" s="73">
        <v>37846</v>
      </c>
      <c r="C142" s="12">
        <v>2003</v>
      </c>
      <c r="D142" s="15" t="s">
        <v>25</v>
      </c>
      <c r="E142" s="12">
        <v>8</v>
      </c>
      <c r="F142" s="14">
        <v>4.7116439297159216</v>
      </c>
      <c r="G142" s="14">
        <v>0</v>
      </c>
    </row>
    <row r="143" spans="1:14">
      <c r="A143" s="8">
        <v>15</v>
      </c>
      <c r="B143" s="73">
        <v>37847</v>
      </c>
      <c r="C143" s="12">
        <v>2003</v>
      </c>
      <c r="D143" s="15" t="s">
        <v>25</v>
      </c>
      <c r="E143" s="12">
        <v>8</v>
      </c>
      <c r="F143" s="14">
        <v>5.9788124531664577</v>
      </c>
      <c r="G143" s="14">
        <v>0</v>
      </c>
      <c r="I143" s="18">
        <f>AVERAGE(F141:F143)</f>
        <v>8.2953749444411518</v>
      </c>
      <c r="J143" s="18">
        <f>AVERAGE(G141:G143)</f>
        <v>0</v>
      </c>
      <c r="L143">
        <f>+J143/I143</f>
        <v>0</v>
      </c>
      <c r="M143">
        <f>+(L143-$L$927)/$L$928</f>
        <v>-0.43968697805051538</v>
      </c>
      <c r="N143">
        <f>+N140+M143</f>
        <v>7.877895488926816</v>
      </c>
    </row>
    <row r="144" spans="1:14">
      <c r="A144" s="8">
        <v>6</v>
      </c>
      <c r="B144" s="73">
        <v>37888</v>
      </c>
      <c r="C144" s="12">
        <v>2003</v>
      </c>
      <c r="D144" s="15" t="s">
        <v>26</v>
      </c>
      <c r="E144" s="12">
        <v>9</v>
      </c>
      <c r="F144" s="14">
        <v>10.450080753489985</v>
      </c>
      <c r="G144" s="14">
        <v>0</v>
      </c>
    </row>
    <row r="145" spans="1:14">
      <c r="A145" s="8">
        <v>8</v>
      </c>
      <c r="B145" s="73">
        <v>37886</v>
      </c>
      <c r="C145" s="12">
        <v>2003</v>
      </c>
      <c r="D145" s="15" t="s">
        <v>26</v>
      </c>
      <c r="E145" s="12">
        <v>9</v>
      </c>
      <c r="F145" s="14">
        <v>15.420783565527255</v>
      </c>
      <c r="G145" s="14">
        <v>0</v>
      </c>
    </row>
    <row r="146" spans="1:14">
      <c r="A146" s="8">
        <v>15</v>
      </c>
      <c r="B146" s="73">
        <v>37886</v>
      </c>
      <c r="C146" s="12">
        <v>2003</v>
      </c>
      <c r="D146" s="15" t="s">
        <v>26</v>
      </c>
      <c r="E146" s="12">
        <v>9</v>
      </c>
      <c r="F146" s="14">
        <v>11.004315055400102</v>
      </c>
      <c r="G146" s="14">
        <v>0</v>
      </c>
      <c r="I146" s="18">
        <f>AVERAGE(F144:F146)</f>
        <v>12.291726458139115</v>
      </c>
      <c r="J146" s="18">
        <f>AVERAGE(G144:G146)</f>
        <v>0</v>
      </c>
      <c r="L146">
        <f>+J146/I146</f>
        <v>0</v>
      </c>
      <c r="M146">
        <f>+(L146-$L$927)/$L$928</f>
        <v>-0.43968697805051538</v>
      </c>
      <c r="N146">
        <f>+N143+M146</f>
        <v>7.4382085108763007</v>
      </c>
    </row>
    <row r="147" spans="1:14">
      <c r="A147" s="8">
        <v>6</v>
      </c>
      <c r="B147" s="73">
        <v>37910</v>
      </c>
      <c r="C147" s="12">
        <v>2003</v>
      </c>
      <c r="D147" s="15" t="s">
        <v>14</v>
      </c>
      <c r="E147" s="12">
        <v>10</v>
      </c>
      <c r="F147" s="13">
        <v>6.7571000000000003</v>
      </c>
      <c r="G147" s="14">
        <v>0</v>
      </c>
    </row>
    <row r="148" spans="1:14">
      <c r="A148" s="8">
        <v>8</v>
      </c>
      <c r="B148" s="73">
        <v>37910</v>
      </c>
      <c r="C148" s="12">
        <v>2003</v>
      </c>
      <c r="D148" s="15" t="s">
        <v>14</v>
      </c>
      <c r="E148" s="12">
        <v>10</v>
      </c>
      <c r="F148" s="13">
        <v>5.6172000000000004</v>
      </c>
      <c r="G148" s="14">
        <v>0</v>
      </c>
    </row>
    <row r="149" spans="1:14">
      <c r="A149" s="8">
        <v>15</v>
      </c>
      <c r="B149" s="73">
        <v>37910</v>
      </c>
      <c r="C149" s="12">
        <v>2003</v>
      </c>
      <c r="D149" s="15" t="s">
        <v>14</v>
      </c>
      <c r="E149" s="12">
        <v>10</v>
      </c>
      <c r="F149" s="13">
        <v>6.9024999999999999</v>
      </c>
      <c r="G149" s="14">
        <v>0</v>
      </c>
      <c r="I149" s="18">
        <f>AVERAGE(F147:F149)</f>
        <v>6.4256000000000002</v>
      </c>
      <c r="J149" s="18">
        <f>AVERAGE(G147:G149)</f>
        <v>0</v>
      </c>
      <c r="L149">
        <f>+J149/I149</f>
        <v>0</v>
      </c>
      <c r="M149">
        <f>+(L149-$L$927)/$L$928</f>
        <v>-0.43968697805051538</v>
      </c>
      <c r="N149">
        <f>+N146+M149</f>
        <v>6.9985215328257855</v>
      </c>
    </row>
    <row r="150" spans="1:14">
      <c r="A150" s="8">
        <v>6</v>
      </c>
      <c r="B150" s="73">
        <v>37943</v>
      </c>
      <c r="C150" s="12">
        <v>2003</v>
      </c>
      <c r="D150" s="15" t="s">
        <v>16</v>
      </c>
      <c r="E150" s="12">
        <v>11</v>
      </c>
      <c r="F150" s="13">
        <v>2.3603999999999998</v>
      </c>
      <c r="G150" s="14">
        <v>0</v>
      </c>
    </row>
    <row r="151" spans="1:14">
      <c r="A151" s="8">
        <v>8</v>
      </c>
      <c r="B151" s="73">
        <v>37942</v>
      </c>
      <c r="C151" s="12">
        <v>2003</v>
      </c>
      <c r="D151" s="15" t="s">
        <v>16</v>
      </c>
      <c r="E151" s="12">
        <v>11</v>
      </c>
      <c r="F151" s="13">
        <v>2.4371</v>
      </c>
      <c r="G151" s="14">
        <v>0</v>
      </c>
    </row>
    <row r="152" spans="1:14">
      <c r="A152" s="8">
        <v>15</v>
      </c>
      <c r="B152" s="73">
        <v>37942</v>
      </c>
      <c r="C152" s="12">
        <v>2003</v>
      </c>
      <c r="D152" s="15" t="s">
        <v>16</v>
      </c>
      <c r="E152" s="12">
        <v>11</v>
      </c>
      <c r="F152" s="13">
        <v>2.0104000000000002</v>
      </c>
      <c r="G152" s="14">
        <v>0</v>
      </c>
      <c r="I152" s="18">
        <f>AVERAGE(F150:F152)</f>
        <v>2.2692999999999999</v>
      </c>
      <c r="J152" s="18">
        <f>AVERAGE(G150:G152)</f>
        <v>0</v>
      </c>
      <c r="L152">
        <f>+J152/I152</f>
        <v>0</v>
      </c>
      <c r="M152">
        <f>+(L152-$L$927)/$L$928</f>
        <v>-0.43968697805051538</v>
      </c>
      <c r="N152">
        <f>+N149+M152</f>
        <v>6.5588345547752702</v>
      </c>
    </row>
    <row r="153" spans="1:14">
      <c r="A153" s="8">
        <v>6</v>
      </c>
      <c r="B153" s="73">
        <v>37973</v>
      </c>
      <c r="C153" s="12">
        <v>2003</v>
      </c>
      <c r="D153" s="15" t="s">
        <v>17</v>
      </c>
      <c r="E153" s="12">
        <v>12</v>
      </c>
      <c r="F153" s="13">
        <v>7.0891999999999999</v>
      </c>
      <c r="G153" s="14">
        <v>0</v>
      </c>
    </row>
    <row r="154" spans="1:14">
      <c r="A154" s="8">
        <v>8</v>
      </c>
      <c r="B154" s="73">
        <v>37971</v>
      </c>
      <c r="C154" s="12">
        <v>2003</v>
      </c>
      <c r="D154" s="15" t="s">
        <v>17</v>
      </c>
      <c r="E154" s="12">
        <v>12</v>
      </c>
      <c r="F154" s="13">
        <v>4.7662000000000004</v>
      </c>
      <c r="G154" s="14">
        <v>0</v>
      </c>
    </row>
    <row r="155" spans="1:14">
      <c r="A155" s="8">
        <v>15</v>
      </c>
      <c r="B155" s="73">
        <v>37971</v>
      </c>
      <c r="C155" s="12">
        <v>2003</v>
      </c>
      <c r="D155" s="15" t="s">
        <v>17</v>
      </c>
      <c r="E155" s="12">
        <v>12</v>
      </c>
      <c r="F155" s="13">
        <v>5.1734</v>
      </c>
      <c r="G155" s="14">
        <v>0</v>
      </c>
      <c r="I155" s="18">
        <f>AVERAGE(F153:F155)</f>
        <v>5.6762666666666668</v>
      </c>
      <c r="J155" s="18">
        <f>AVERAGE(G153:G155)</f>
        <v>0</v>
      </c>
      <c r="L155">
        <f>+J155/I155</f>
        <v>0</v>
      </c>
      <c r="M155">
        <f>+(L155-$L$927)/$L$928</f>
        <v>-0.43968697805051538</v>
      </c>
      <c r="N155">
        <f>+N152+M155</f>
        <v>6.119147576724755</v>
      </c>
    </row>
    <row r="156" spans="1:14">
      <c r="A156" s="8">
        <v>6</v>
      </c>
      <c r="B156" s="73">
        <v>37999</v>
      </c>
      <c r="C156" s="12">
        <v>2004</v>
      </c>
      <c r="D156" s="15" t="s">
        <v>18</v>
      </c>
      <c r="E156" s="12">
        <v>1</v>
      </c>
      <c r="F156" s="13">
        <v>4.9983000000000004</v>
      </c>
      <c r="G156" s="13">
        <v>0</v>
      </c>
    </row>
    <row r="157" spans="1:14">
      <c r="A157" s="8">
        <v>8</v>
      </c>
      <c r="C157" s="12">
        <v>2004</v>
      </c>
      <c r="D157" s="15" t="s">
        <v>18</v>
      </c>
      <c r="E157" s="12">
        <v>1</v>
      </c>
      <c r="F157" s="13"/>
    </row>
    <row r="158" spans="1:14">
      <c r="A158" s="8">
        <v>15</v>
      </c>
      <c r="C158" s="12">
        <v>2004</v>
      </c>
      <c r="D158" s="15" t="s">
        <v>18</v>
      </c>
      <c r="E158" s="12">
        <v>1</v>
      </c>
      <c r="F158" s="13"/>
      <c r="I158" s="18">
        <f>AVERAGE(F156:F158)</f>
        <v>4.9983000000000004</v>
      </c>
      <c r="J158" s="18">
        <f>AVERAGE(G156:G158)</f>
        <v>0</v>
      </c>
      <c r="L158">
        <f>+J158/I158</f>
        <v>0</v>
      </c>
      <c r="M158">
        <f>+(L158-$L$927)/$L$928</f>
        <v>-0.43968697805051538</v>
      </c>
      <c r="N158">
        <f>+N155+M158</f>
        <v>5.6794605986742397</v>
      </c>
    </row>
    <row r="159" spans="1:14">
      <c r="A159" s="8">
        <v>6</v>
      </c>
      <c r="B159" s="73">
        <v>38027</v>
      </c>
      <c r="C159" s="12">
        <v>2004</v>
      </c>
      <c r="D159" s="11" t="s">
        <v>19</v>
      </c>
      <c r="E159" s="12">
        <v>2</v>
      </c>
      <c r="F159" s="13">
        <v>5.3985000000000003</v>
      </c>
      <c r="G159" s="13">
        <v>0</v>
      </c>
    </row>
    <row r="160" spans="1:14">
      <c r="A160" s="8">
        <v>8</v>
      </c>
      <c r="B160" s="73">
        <v>38026</v>
      </c>
      <c r="C160" s="12">
        <v>2004</v>
      </c>
      <c r="D160" s="11" t="s">
        <v>19</v>
      </c>
      <c r="E160" s="12">
        <v>2</v>
      </c>
      <c r="F160" s="13">
        <v>9.5776000000000003</v>
      </c>
      <c r="G160" s="13">
        <v>0</v>
      </c>
    </row>
    <row r="161" spans="1:14">
      <c r="A161" s="8">
        <v>15</v>
      </c>
      <c r="B161" s="73">
        <v>38026</v>
      </c>
      <c r="C161" s="12">
        <v>2004</v>
      </c>
      <c r="D161" s="11" t="s">
        <v>19</v>
      </c>
      <c r="E161" s="12">
        <v>2</v>
      </c>
      <c r="F161" s="13">
        <v>7.0206999999999997</v>
      </c>
      <c r="G161" s="13">
        <v>0</v>
      </c>
      <c r="I161" s="18">
        <f>AVERAGE(F159:F161)</f>
        <v>7.3322666666666665</v>
      </c>
      <c r="J161" s="18">
        <f>AVERAGE(G159:G161)</f>
        <v>0</v>
      </c>
      <c r="L161">
        <f>+J161/I161</f>
        <v>0</v>
      </c>
      <c r="M161">
        <f>+(L161-$L$927)/$L$928</f>
        <v>-0.43968697805051538</v>
      </c>
      <c r="N161">
        <f>+N158+M161</f>
        <v>5.2397736206237244</v>
      </c>
    </row>
    <row r="162" spans="1:14">
      <c r="A162" s="8">
        <v>6</v>
      </c>
      <c r="B162" s="73">
        <v>38063</v>
      </c>
      <c r="C162" s="12">
        <v>2004</v>
      </c>
      <c r="D162" s="11" t="s">
        <v>20</v>
      </c>
      <c r="E162" s="12">
        <v>3</v>
      </c>
      <c r="F162" s="13">
        <v>8.1742000000000008</v>
      </c>
      <c r="G162" s="13">
        <v>0</v>
      </c>
    </row>
    <row r="163" spans="1:14">
      <c r="A163" s="8">
        <v>8</v>
      </c>
      <c r="B163" s="73">
        <v>38061</v>
      </c>
      <c r="C163" s="12">
        <v>2004</v>
      </c>
      <c r="D163" s="11" t="s">
        <v>20</v>
      </c>
      <c r="E163" s="12">
        <v>3</v>
      </c>
      <c r="F163" s="13">
        <v>6.0446999999999997</v>
      </c>
      <c r="G163" s="13">
        <v>0</v>
      </c>
    </row>
    <row r="164" spans="1:14">
      <c r="A164" s="8">
        <v>15</v>
      </c>
      <c r="B164" s="73">
        <v>38063</v>
      </c>
      <c r="C164" s="12">
        <v>2004</v>
      </c>
      <c r="D164" s="11" t="s">
        <v>20</v>
      </c>
      <c r="E164" s="12">
        <v>3</v>
      </c>
      <c r="F164" s="13">
        <v>3.8525999999999998</v>
      </c>
      <c r="G164" s="13">
        <v>0</v>
      </c>
      <c r="I164" s="18">
        <f>AVERAGE(F162:F164)</f>
        <v>6.0238333333333332</v>
      </c>
      <c r="J164" s="18">
        <f>AVERAGE(G162:G164)</f>
        <v>0</v>
      </c>
      <c r="L164">
        <f>+J164/I164</f>
        <v>0</v>
      </c>
      <c r="M164">
        <f>+(L164-$L$927)/$L$928</f>
        <v>-0.43968697805051538</v>
      </c>
      <c r="N164">
        <f>+N161+M164</f>
        <v>4.8000866425732092</v>
      </c>
    </row>
    <row r="165" spans="1:14">
      <c r="A165" s="8">
        <v>6</v>
      </c>
      <c r="B165" s="73">
        <v>38094</v>
      </c>
      <c r="C165" s="12">
        <v>2004</v>
      </c>
      <c r="D165" s="11" t="s">
        <v>21</v>
      </c>
      <c r="E165" s="12">
        <v>4</v>
      </c>
      <c r="F165" s="13">
        <v>4.3901000000000003</v>
      </c>
      <c r="G165" s="21">
        <v>0</v>
      </c>
    </row>
    <row r="166" spans="1:14">
      <c r="A166" s="8">
        <v>8</v>
      </c>
      <c r="B166" s="73">
        <v>38093</v>
      </c>
      <c r="C166" s="12">
        <v>2004</v>
      </c>
      <c r="D166" s="11" t="s">
        <v>21</v>
      </c>
      <c r="E166" s="12">
        <v>4</v>
      </c>
      <c r="F166" s="13">
        <v>1.3182</v>
      </c>
      <c r="G166" s="21">
        <v>0</v>
      </c>
    </row>
    <row r="167" spans="1:14">
      <c r="A167" s="8">
        <v>15</v>
      </c>
      <c r="B167" s="73">
        <v>38094</v>
      </c>
      <c r="C167" s="12">
        <v>2004</v>
      </c>
      <c r="D167" s="11" t="s">
        <v>21</v>
      </c>
      <c r="E167" s="12">
        <v>4</v>
      </c>
      <c r="F167" s="13">
        <v>3.8311000000000002</v>
      </c>
      <c r="G167" s="21">
        <v>2.8756492701264073E-2</v>
      </c>
      <c r="I167" s="18">
        <f>AVERAGE(F165:F167)</f>
        <v>3.1798000000000002</v>
      </c>
      <c r="J167" s="18">
        <f>AVERAGE(G165:G167)</f>
        <v>9.5854975670880242E-3</v>
      </c>
      <c r="L167">
        <f>+J167/I167</f>
        <v>3.0144970020403875E-3</v>
      </c>
      <c r="M167">
        <f>+(L167-$L$927)/$L$928</f>
        <v>-0.36975219609879056</v>
      </c>
      <c r="N167">
        <f>+N164+M167</f>
        <v>4.4303344464744185</v>
      </c>
    </row>
    <row r="168" spans="1:14">
      <c r="A168" s="8">
        <v>6</v>
      </c>
      <c r="B168" s="73">
        <v>38118</v>
      </c>
      <c r="C168" s="12">
        <v>2004</v>
      </c>
      <c r="D168" s="11" t="s">
        <v>22</v>
      </c>
      <c r="E168" s="12">
        <v>5</v>
      </c>
      <c r="F168" s="13">
        <v>2.6059999999999999</v>
      </c>
      <c r="G168" s="21">
        <v>0.23505349734292985</v>
      </c>
    </row>
    <row r="169" spans="1:14">
      <c r="A169" s="8">
        <v>8</v>
      </c>
      <c r="B169" s="73">
        <v>38117</v>
      </c>
      <c r="C169" s="12">
        <v>2004</v>
      </c>
      <c r="D169" s="11" t="s">
        <v>22</v>
      </c>
      <c r="E169" s="12">
        <v>5</v>
      </c>
      <c r="F169" s="13">
        <v>2.4889000000000001</v>
      </c>
      <c r="G169" s="21">
        <v>2.1339810146295574E-2</v>
      </c>
    </row>
    <row r="170" spans="1:14">
      <c r="A170" s="8">
        <v>15</v>
      </c>
      <c r="B170" s="73">
        <v>38118</v>
      </c>
      <c r="C170" s="12">
        <v>2004</v>
      </c>
      <c r="D170" s="11" t="s">
        <v>22</v>
      </c>
      <c r="E170" s="12">
        <v>5</v>
      </c>
      <c r="F170" s="13">
        <v>2.1602999999999999</v>
      </c>
      <c r="G170" s="21">
        <v>0.22328287278196732</v>
      </c>
      <c r="I170" s="18">
        <f>AVERAGE(F168:F170)</f>
        <v>2.4184000000000001</v>
      </c>
      <c r="J170" s="18">
        <f>AVERAGE(G168:G170)</f>
        <v>0.15989206009039758</v>
      </c>
      <c r="L170">
        <f>+J170/I170</f>
        <v>6.6114811482962943E-2</v>
      </c>
      <c r="M170">
        <f>+(L170-$L$927)/$L$928</f>
        <v>1.0941426863050305</v>
      </c>
      <c r="N170">
        <f>+N167+M170</f>
        <v>5.5244771327794489</v>
      </c>
    </row>
    <row r="171" spans="1:14">
      <c r="A171" s="8">
        <v>6</v>
      </c>
      <c r="B171" s="73">
        <v>38153</v>
      </c>
      <c r="C171" s="12">
        <v>2004</v>
      </c>
      <c r="D171" s="11" t="s">
        <v>23</v>
      </c>
      <c r="E171" s="12">
        <v>6</v>
      </c>
      <c r="F171" s="13">
        <v>13.8576</v>
      </c>
      <c r="G171" s="21">
        <v>1.7129619032390335</v>
      </c>
    </row>
    <row r="172" spans="1:14">
      <c r="A172" s="8">
        <v>8</v>
      </c>
      <c r="B172" s="73">
        <v>38160</v>
      </c>
      <c r="C172" s="12">
        <v>2004</v>
      </c>
      <c r="D172" s="11" t="s">
        <v>23</v>
      </c>
      <c r="E172" s="12">
        <v>6</v>
      </c>
      <c r="F172" s="13">
        <v>2.9472</v>
      </c>
      <c r="G172" s="21">
        <v>0</v>
      </c>
    </row>
    <row r="173" spans="1:14">
      <c r="A173" s="8">
        <v>15</v>
      </c>
      <c r="B173" s="73">
        <v>38155</v>
      </c>
      <c r="C173" s="12">
        <v>2004</v>
      </c>
      <c r="D173" s="11" t="s">
        <v>23</v>
      </c>
      <c r="E173" s="12">
        <v>6</v>
      </c>
      <c r="F173" s="13">
        <v>4.3376000000000001</v>
      </c>
      <c r="G173" s="21">
        <v>0.11523522764287641</v>
      </c>
      <c r="I173" s="18">
        <f>AVERAGE(F171:F173)</f>
        <v>7.0474666666666677</v>
      </c>
      <c r="J173" s="18">
        <f>AVERAGE(G171:G173)</f>
        <v>0.60939904362730335</v>
      </c>
      <c r="L173">
        <f>+J173/I173</f>
        <v>8.6470652853124996E-2</v>
      </c>
      <c r="M173">
        <f>+(L173-$L$927)/$L$928</f>
        <v>1.5663877496448251</v>
      </c>
      <c r="N173">
        <f>+N170+M173</f>
        <v>7.0908648824242739</v>
      </c>
    </row>
    <row r="174" spans="1:14">
      <c r="A174" s="8">
        <v>6</v>
      </c>
      <c r="B174" s="73">
        <v>38181</v>
      </c>
      <c r="C174" s="12">
        <v>2004</v>
      </c>
      <c r="D174" s="15" t="s">
        <v>24</v>
      </c>
      <c r="E174" s="12">
        <v>7</v>
      </c>
      <c r="F174" s="13">
        <v>11.0219</v>
      </c>
      <c r="G174" s="21">
        <v>0</v>
      </c>
    </row>
    <row r="175" spans="1:14">
      <c r="A175" s="8">
        <v>8</v>
      </c>
      <c r="B175" s="73">
        <v>38182</v>
      </c>
      <c r="C175" s="12">
        <v>2004</v>
      </c>
      <c r="D175" s="15" t="s">
        <v>24</v>
      </c>
      <c r="E175" s="12">
        <v>7</v>
      </c>
      <c r="F175" s="13">
        <v>2.2934000000000001</v>
      </c>
      <c r="G175" s="21">
        <v>0</v>
      </c>
    </row>
    <row r="176" spans="1:14">
      <c r="A176" s="8">
        <v>15</v>
      </c>
      <c r="B176" s="73">
        <v>38182</v>
      </c>
      <c r="C176" s="12">
        <v>2004</v>
      </c>
      <c r="D176" s="15" t="s">
        <v>24</v>
      </c>
      <c r="E176" s="12">
        <v>7</v>
      </c>
      <c r="F176" s="13">
        <v>4.0551000000000004</v>
      </c>
      <c r="G176" s="21">
        <v>0</v>
      </c>
      <c r="I176" s="18">
        <f>AVERAGE(F174:F176)</f>
        <v>5.7901333333333334</v>
      </c>
      <c r="J176" s="18">
        <f>AVERAGE(G174:G176)</f>
        <v>0</v>
      </c>
      <c r="L176">
        <f>+J176/I176</f>
        <v>0</v>
      </c>
      <c r="M176">
        <f>+(L176-$L$927)/$L$928</f>
        <v>-0.43968697805051538</v>
      </c>
      <c r="N176">
        <f>+N173+M176</f>
        <v>6.6511779043737587</v>
      </c>
    </row>
    <row r="177" spans="1:14">
      <c r="A177" s="8">
        <v>6</v>
      </c>
      <c r="B177" s="73">
        <v>38217</v>
      </c>
      <c r="C177" s="12">
        <v>2004</v>
      </c>
      <c r="D177" s="15" t="s">
        <v>25</v>
      </c>
      <c r="E177" s="12">
        <v>8</v>
      </c>
      <c r="F177" s="13">
        <v>15.412599999999999</v>
      </c>
      <c r="G177" s="20"/>
    </row>
    <row r="178" spans="1:14">
      <c r="A178" s="8">
        <v>8</v>
      </c>
      <c r="B178" s="73">
        <v>38218</v>
      </c>
      <c r="C178" s="12">
        <v>2004</v>
      </c>
      <c r="D178" s="15" t="s">
        <v>25</v>
      </c>
      <c r="E178" s="12">
        <v>8</v>
      </c>
      <c r="F178" s="13">
        <v>3.7090000000000001</v>
      </c>
      <c r="G178" s="20"/>
    </row>
    <row r="179" spans="1:14">
      <c r="A179" s="8">
        <v>15</v>
      </c>
      <c r="B179" s="73">
        <v>38218</v>
      </c>
      <c r="C179" s="12">
        <v>2004</v>
      </c>
      <c r="D179" s="15" t="s">
        <v>25</v>
      </c>
      <c r="E179" s="12">
        <v>8</v>
      </c>
      <c r="F179" s="13">
        <v>3.0560999999999998</v>
      </c>
      <c r="G179" s="20"/>
      <c r="I179" s="18">
        <f>AVERAGE(F177:F179)</f>
        <v>7.3925666666666672</v>
      </c>
      <c r="J179" s="18" t="e">
        <f>AVERAGE(G177:G179)</f>
        <v>#DIV/0!</v>
      </c>
    </row>
    <row r="180" spans="1:14">
      <c r="A180" s="8">
        <v>6</v>
      </c>
      <c r="B180" s="73">
        <v>38244</v>
      </c>
      <c r="C180" s="12">
        <v>2004</v>
      </c>
      <c r="D180" s="15" t="s">
        <v>26</v>
      </c>
      <c r="E180" s="12">
        <v>9</v>
      </c>
      <c r="F180" s="13">
        <v>9.4573999999999998</v>
      </c>
      <c r="G180" s="21">
        <v>0</v>
      </c>
    </row>
    <row r="181" spans="1:14">
      <c r="A181" s="8">
        <v>8</v>
      </c>
      <c r="B181" s="73">
        <v>38246</v>
      </c>
      <c r="C181" s="12">
        <v>2004</v>
      </c>
      <c r="D181" s="15" t="s">
        <v>26</v>
      </c>
      <c r="E181" s="12">
        <v>9</v>
      </c>
      <c r="F181" s="13">
        <v>1.6736</v>
      </c>
      <c r="G181" s="21">
        <v>0</v>
      </c>
    </row>
    <row r="182" spans="1:14">
      <c r="A182" s="8">
        <v>15</v>
      </c>
      <c r="B182" s="73">
        <v>38246</v>
      </c>
      <c r="C182" s="12">
        <v>2004</v>
      </c>
      <c r="D182" s="15" t="s">
        <v>26</v>
      </c>
      <c r="E182" s="12">
        <v>9</v>
      </c>
      <c r="F182" s="13">
        <v>2.9839000000000002</v>
      </c>
      <c r="G182" s="21">
        <v>0</v>
      </c>
      <c r="I182" s="18">
        <f>AVERAGE(F180:F182)</f>
        <v>4.7049666666666665</v>
      </c>
      <c r="J182" s="18">
        <f>AVERAGE(G180:G182)</f>
        <v>0</v>
      </c>
      <c r="L182">
        <f>+J182/I182</f>
        <v>0</v>
      </c>
      <c r="M182">
        <f>+(L182-$L$927)/$L$928</f>
        <v>-0.43968697805051538</v>
      </c>
      <c r="N182">
        <f>+N176+M182</f>
        <v>6.2114909263232434</v>
      </c>
    </row>
    <row r="183" spans="1:14">
      <c r="A183" s="8">
        <v>6</v>
      </c>
      <c r="B183" s="73">
        <v>38273</v>
      </c>
      <c r="C183" s="12">
        <v>2004</v>
      </c>
      <c r="D183" s="15" t="s">
        <v>14</v>
      </c>
      <c r="E183" s="12">
        <v>10</v>
      </c>
      <c r="F183" s="14">
        <v>8.5496300000000005</v>
      </c>
      <c r="G183" s="14">
        <v>0</v>
      </c>
    </row>
    <row r="184" spans="1:14">
      <c r="A184" s="8">
        <v>8</v>
      </c>
      <c r="B184" s="73">
        <v>38274</v>
      </c>
      <c r="C184" s="12">
        <v>2004</v>
      </c>
      <c r="D184" s="15" t="s">
        <v>14</v>
      </c>
      <c r="E184" s="12">
        <v>10</v>
      </c>
      <c r="F184" s="14">
        <v>1.54593</v>
      </c>
      <c r="G184" s="14">
        <v>0</v>
      </c>
    </row>
    <row r="185" spans="1:14">
      <c r="A185" s="8">
        <v>15</v>
      </c>
      <c r="B185" s="73">
        <v>38273</v>
      </c>
      <c r="C185" s="12">
        <v>2004</v>
      </c>
      <c r="D185" s="15" t="s">
        <v>14</v>
      </c>
      <c r="E185" s="12">
        <v>10</v>
      </c>
      <c r="F185" s="14">
        <v>1.51335</v>
      </c>
      <c r="G185" s="14">
        <v>0</v>
      </c>
      <c r="I185" s="18">
        <f>AVERAGE(F183:F185)</f>
        <v>3.8696366666666671</v>
      </c>
      <c r="J185" s="18">
        <f>AVERAGE(G183:G185)</f>
        <v>0</v>
      </c>
      <c r="L185">
        <f>+J185/I185</f>
        <v>0</v>
      </c>
      <c r="M185">
        <f>+(L185-$L$927)/$L$928</f>
        <v>-0.43968697805051538</v>
      </c>
      <c r="N185">
        <f>+N182+M185</f>
        <v>5.7718039482727281</v>
      </c>
    </row>
    <row r="186" spans="1:14">
      <c r="A186" s="8">
        <v>6</v>
      </c>
      <c r="B186" s="73">
        <v>38307</v>
      </c>
      <c r="C186" s="12">
        <v>2004</v>
      </c>
      <c r="D186" s="15" t="s">
        <v>16</v>
      </c>
      <c r="E186" s="12">
        <v>11</v>
      </c>
      <c r="F186" s="14">
        <v>1.90208</v>
      </c>
      <c r="G186" s="14">
        <v>0</v>
      </c>
    </row>
    <row r="187" spans="1:14">
      <c r="A187" s="8">
        <v>8</v>
      </c>
      <c r="B187" s="73">
        <v>38309</v>
      </c>
      <c r="C187" s="12">
        <v>2004</v>
      </c>
      <c r="D187" s="15" t="s">
        <v>16</v>
      </c>
      <c r="E187" s="12">
        <v>11</v>
      </c>
      <c r="F187" s="14">
        <v>1.50061</v>
      </c>
      <c r="G187" s="14">
        <v>0</v>
      </c>
    </row>
    <row r="188" spans="1:14">
      <c r="A188" s="8">
        <v>15</v>
      </c>
      <c r="B188" s="73">
        <v>38307</v>
      </c>
      <c r="C188" s="12">
        <v>2004</v>
      </c>
      <c r="D188" s="15" t="s">
        <v>16</v>
      </c>
      <c r="E188" s="12">
        <v>11</v>
      </c>
      <c r="F188" s="14">
        <v>1.69478</v>
      </c>
      <c r="G188" s="14">
        <v>0</v>
      </c>
      <c r="I188" s="18">
        <f>AVERAGE(F186:F188)</f>
        <v>1.6991566666666664</v>
      </c>
      <c r="J188" s="18">
        <f>AVERAGE(G186:G188)</f>
        <v>0</v>
      </c>
      <c r="L188">
        <f>+J188/I188</f>
        <v>0</v>
      </c>
      <c r="M188">
        <f>+(L188-$L$927)/$L$928</f>
        <v>-0.43968697805051538</v>
      </c>
      <c r="N188">
        <f>+N185+M188</f>
        <v>5.3321169702222129</v>
      </c>
    </row>
    <row r="189" spans="1:14">
      <c r="A189" s="8">
        <v>6</v>
      </c>
      <c r="B189" s="73">
        <v>38337</v>
      </c>
      <c r="C189" s="12">
        <v>2004</v>
      </c>
      <c r="D189" s="15" t="s">
        <v>17</v>
      </c>
      <c r="E189" s="12">
        <v>12</v>
      </c>
      <c r="F189" s="14">
        <v>3.1585000000000001</v>
      </c>
      <c r="G189" s="14">
        <v>0</v>
      </c>
    </row>
    <row r="190" spans="1:14">
      <c r="A190" s="8">
        <v>8</v>
      </c>
      <c r="B190" s="73">
        <v>38337</v>
      </c>
      <c r="C190" s="12">
        <v>2004</v>
      </c>
      <c r="D190" s="15" t="s">
        <v>17</v>
      </c>
      <c r="E190" s="12">
        <v>12</v>
      </c>
      <c r="F190" s="14">
        <v>2.3885800000000001</v>
      </c>
      <c r="G190" s="14">
        <v>0</v>
      </c>
    </row>
    <row r="191" spans="1:14">
      <c r="A191" s="8">
        <v>15</v>
      </c>
      <c r="B191" s="73">
        <v>38337</v>
      </c>
      <c r="C191" s="12">
        <v>2004</v>
      </c>
      <c r="D191" s="15" t="s">
        <v>17</v>
      </c>
      <c r="E191" s="12">
        <v>12</v>
      </c>
      <c r="F191" s="14">
        <v>2.2125400000000002</v>
      </c>
      <c r="G191" s="14">
        <v>0</v>
      </c>
      <c r="I191" s="18">
        <f>AVERAGE(F189:F191)</f>
        <v>2.5865399999999998</v>
      </c>
      <c r="J191" s="18">
        <f>AVERAGE(G189:G191)</f>
        <v>0</v>
      </c>
      <c r="L191">
        <f>+J191/I191</f>
        <v>0</v>
      </c>
      <c r="M191">
        <f>+(L191-$L$927)/$L$928</f>
        <v>-0.43968697805051538</v>
      </c>
      <c r="N191">
        <f>+N188+M191</f>
        <v>4.8924299921716976</v>
      </c>
    </row>
    <row r="192" spans="1:14">
      <c r="A192" s="8">
        <v>6</v>
      </c>
      <c r="B192" s="78">
        <v>38363</v>
      </c>
      <c r="C192" s="12">
        <v>2005</v>
      </c>
      <c r="D192" s="15" t="s">
        <v>18</v>
      </c>
      <c r="E192" s="12">
        <v>1</v>
      </c>
      <c r="F192" s="14">
        <v>3.3628</v>
      </c>
      <c r="G192" s="14">
        <v>2.6195761501576743E-2</v>
      </c>
    </row>
    <row r="193" spans="1:14">
      <c r="A193" s="8">
        <v>8</v>
      </c>
      <c r="B193" s="78">
        <v>38364</v>
      </c>
      <c r="C193" s="12">
        <v>2005</v>
      </c>
      <c r="D193" s="15" t="s">
        <v>18</v>
      </c>
      <c r="E193" s="12">
        <v>1</v>
      </c>
      <c r="F193" s="14">
        <v>1.08186</v>
      </c>
      <c r="G193" s="14">
        <v>0</v>
      </c>
    </row>
    <row r="194" spans="1:14">
      <c r="A194" s="8">
        <v>15</v>
      </c>
      <c r="B194" s="78">
        <v>38363</v>
      </c>
      <c r="C194" s="12">
        <v>2005</v>
      </c>
      <c r="D194" s="15" t="s">
        <v>18</v>
      </c>
      <c r="E194" s="12">
        <v>1</v>
      </c>
      <c r="F194" s="14">
        <v>3.7126399999999999</v>
      </c>
      <c r="G194" s="14">
        <v>3.2853708339525466E-2</v>
      </c>
      <c r="I194" s="18">
        <f>AVERAGE(F192:F194)</f>
        <v>2.7190999999999996</v>
      </c>
      <c r="J194" s="18">
        <f>AVERAGE(G192:G194)</f>
        <v>1.9683156613700736E-2</v>
      </c>
      <c r="L194">
        <f>+J194/I194</f>
        <v>7.2388498450592989E-3</v>
      </c>
      <c r="M194">
        <f>+(L194-$L$927)/$L$928</f>
        <v>-0.27174938011864103</v>
      </c>
      <c r="N194">
        <f>+N191+M194</f>
        <v>4.6206806120530564</v>
      </c>
    </row>
    <row r="195" spans="1:14">
      <c r="A195" s="8">
        <v>6</v>
      </c>
      <c r="B195" s="78">
        <v>38399</v>
      </c>
      <c r="C195" s="12">
        <v>2005</v>
      </c>
      <c r="D195" s="11" t="s">
        <v>19</v>
      </c>
      <c r="E195" s="12">
        <v>2</v>
      </c>
      <c r="F195" s="14">
        <v>3.0975199999999998</v>
      </c>
      <c r="G195" s="14">
        <v>0</v>
      </c>
    </row>
    <row r="196" spans="1:14">
      <c r="A196" s="8">
        <v>8</v>
      </c>
      <c r="B196" s="78">
        <v>38398</v>
      </c>
      <c r="C196" s="12">
        <v>2005</v>
      </c>
      <c r="D196" s="11" t="s">
        <v>19</v>
      </c>
      <c r="E196" s="12">
        <v>2</v>
      </c>
      <c r="F196" s="14">
        <v>3.34823</v>
      </c>
      <c r="G196" s="14">
        <v>0</v>
      </c>
    </row>
    <row r="197" spans="1:14">
      <c r="A197" s="8">
        <v>15</v>
      </c>
      <c r="B197" s="78">
        <v>38398</v>
      </c>
      <c r="C197" s="12">
        <v>2005</v>
      </c>
      <c r="D197" s="11" t="s">
        <v>19</v>
      </c>
      <c r="E197" s="12">
        <v>2</v>
      </c>
      <c r="F197" s="14">
        <v>2.5410400000000002</v>
      </c>
      <c r="G197" s="14">
        <v>0</v>
      </c>
      <c r="I197" s="18">
        <f>AVERAGE(F195:F197)</f>
        <v>2.9955966666666671</v>
      </c>
      <c r="J197" s="18">
        <f>AVERAGE(G195:G197)</f>
        <v>0</v>
      </c>
      <c r="L197">
        <f>+J197/I197</f>
        <v>0</v>
      </c>
      <c r="M197">
        <f>+(L197-$L$927)/$L$928</f>
        <v>-0.43968697805051538</v>
      </c>
      <c r="N197">
        <f>+N194+M197</f>
        <v>4.1809936340025411</v>
      </c>
    </row>
    <row r="198" spans="1:14">
      <c r="A198" s="8">
        <v>6</v>
      </c>
      <c r="B198" s="78">
        <v>38428</v>
      </c>
      <c r="C198" s="12">
        <v>2005</v>
      </c>
      <c r="D198" s="11" t="s">
        <v>20</v>
      </c>
      <c r="E198" s="12">
        <v>3</v>
      </c>
      <c r="F198" s="14">
        <v>1.57328</v>
      </c>
      <c r="G198" s="14">
        <v>0</v>
      </c>
    </row>
    <row r="199" spans="1:14">
      <c r="A199" s="8">
        <v>8</v>
      </c>
      <c r="B199" s="78">
        <v>38427</v>
      </c>
      <c r="C199" s="12">
        <v>2005</v>
      </c>
      <c r="D199" s="11" t="s">
        <v>20</v>
      </c>
      <c r="E199" s="12">
        <v>3</v>
      </c>
      <c r="F199" s="14">
        <v>1.8873200000000001</v>
      </c>
      <c r="G199" s="14">
        <v>0</v>
      </c>
    </row>
    <row r="200" spans="1:14">
      <c r="A200" s="8">
        <v>15</v>
      </c>
      <c r="B200" s="78">
        <v>38427</v>
      </c>
      <c r="C200" s="12">
        <v>2005</v>
      </c>
      <c r="D200" s="11" t="s">
        <v>20</v>
      </c>
      <c r="E200" s="12">
        <v>3</v>
      </c>
      <c r="F200" s="14">
        <v>1.9217599999999999</v>
      </c>
      <c r="G200" s="14">
        <v>0</v>
      </c>
      <c r="I200" s="18">
        <f>AVERAGE(F198:F200)</f>
        <v>1.7941200000000002</v>
      </c>
      <c r="J200" s="18">
        <f>AVERAGE(G198:G200)</f>
        <v>0</v>
      </c>
      <c r="L200">
        <f>+J200/I200</f>
        <v>0</v>
      </c>
      <c r="M200">
        <f>+(L200-$L$927)/$L$928</f>
        <v>-0.43968697805051538</v>
      </c>
      <c r="N200">
        <f>+N197+M200</f>
        <v>3.7413066559520258</v>
      </c>
    </row>
    <row r="201" spans="1:14">
      <c r="A201" s="8">
        <v>6</v>
      </c>
      <c r="B201" s="78">
        <v>38469</v>
      </c>
      <c r="C201" s="12">
        <v>2005</v>
      </c>
      <c r="D201" s="11" t="s">
        <v>21</v>
      </c>
      <c r="E201" s="12">
        <v>4</v>
      </c>
      <c r="F201" s="14">
        <v>4.1978900000000001</v>
      </c>
      <c r="G201" s="14">
        <v>7.0529201873961903E-2</v>
      </c>
    </row>
    <row r="202" spans="1:14">
      <c r="A202" s="8">
        <v>8</v>
      </c>
      <c r="B202" s="78">
        <v>38470</v>
      </c>
      <c r="C202" s="12">
        <v>2005</v>
      </c>
      <c r="D202" s="11" t="s">
        <v>21</v>
      </c>
      <c r="E202" s="12">
        <v>4</v>
      </c>
      <c r="F202" s="14">
        <v>1.4016</v>
      </c>
      <c r="G202" s="14">
        <v>0</v>
      </c>
    </row>
    <row r="203" spans="1:14">
      <c r="A203" s="8">
        <v>15</v>
      </c>
      <c r="B203" s="78">
        <v>38469</v>
      </c>
      <c r="C203" s="12">
        <v>2005</v>
      </c>
      <c r="D203" s="11" t="s">
        <v>21</v>
      </c>
      <c r="E203" s="12">
        <v>4</v>
      </c>
      <c r="F203" s="14">
        <v>3.1296499999999998</v>
      </c>
      <c r="G203" s="14">
        <v>8.146888766439575E-2</v>
      </c>
      <c r="I203" s="18">
        <f>AVERAGE(F201:F203)</f>
        <v>2.9097133333333338</v>
      </c>
      <c r="J203" s="18">
        <f>AVERAGE(G201:G203)</f>
        <v>5.0666029846119211E-2</v>
      </c>
      <c r="L203">
        <f>+J203/I203</f>
        <v>1.7412722162590773E-2</v>
      </c>
      <c r="M203">
        <f>+(L203-$L$927)/$L$928</f>
        <v>-3.5720768496316245E-2</v>
      </c>
      <c r="N203">
        <f>+N200+M203</f>
        <v>3.7055858874557095</v>
      </c>
    </row>
    <row r="204" spans="1:14">
      <c r="A204" s="8">
        <v>6</v>
      </c>
      <c r="B204" s="78">
        <v>38490</v>
      </c>
      <c r="C204" s="12">
        <v>2005</v>
      </c>
      <c r="D204" s="11" t="s">
        <v>22</v>
      </c>
      <c r="E204" s="12">
        <v>5</v>
      </c>
      <c r="F204" s="14">
        <v>6.09511</v>
      </c>
      <c r="G204" s="14">
        <v>0.91180602260068544</v>
      </c>
    </row>
    <row r="205" spans="1:14">
      <c r="A205" s="8">
        <v>8</v>
      </c>
      <c r="B205" s="78">
        <v>38488</v>
      </c>
      <c r="C205" s="12">
        <v>2005</v>
      </c>
      <c r="D205" s="11" t="s">
        <v>22</v>
      </c>
      <c r="E205" s="12">
        <v>5</v>
      </c>
      <c r="F205" s="14">
        <v>1.2165699999999999</v>
      </c>
      <c r="G205" s="14">
        <v>0</v>
      </c>
    </row>
    <row r="206" spans="1:14">
      <c r="A206" s="8">
        <v>15</v>
      </c>
      <c r="B206" s="78">
        <v>38488</v>
      </c>
      <c r="C206" s="12">
        <v>2005</v>
      </c>
      <c r="D206" s="11" t="s">
        <v>22</v>
      </c>
      <c r="E206" s="12">
        <v>5</v>
      </c>
      <c r="F206" s="14">
        <v>1.8910100000000001</v>
      </c>
      <c r="G206" s="14">
        <v>0</v>
      </c>
      <c r="I206" s="18">
        <f>AVERAGE(F204:F206)</f>
        <v>3.0675633333333336</v>
      </c>
      <c r="J206" s="18">
        <f>AVERAGE(G204:G206)</f>
        <v>0.30393534086689517</v>
      </c>
      <c r="L206">
        <f>+J206/I206</f>
        <v>9.9080380041127694E-2</v>
      </c>
      <c r="M206">
        <f>+(L206-$L$927)/$L$928</f>
        <v>1.8589269430050477</v>
      </c>
      <c r="N206">
        <f>+N203+M206</f>
        <v>5.5645128304607567</v>
      </c>
    </row>
    <row r="207" spans="1:14">
      <c r="A207" s="8">
        <v>6</v>
      </c>
      <c r="B207" s="78">
        <v>38518</v>
      </c>
      <c r="C207" s="12">
        <v>2005</v>
      </c>
      <c r="D207" s="11" t="s">
        <v>23</v>
      </c>
      <c r="E207" s="12">
        <v>6</v>
      </c>
      <c r="F207" s="14">
        <v>8.4142499999999991</v>
      </c>
      <c r="G207" s="14">
        <v>0.33629356342151895</v>
      </c>
    </row>
    <row r="208" spans="1:14">
      <c r="A208" s="8">
        <v>8</v>
      </c>
      <c r="B208" s="78">
        <v>38525</v>
      </c>
      <c r="C208" s="12">
        <v>2005</v>
      </c>
      <c r="D208" s="11" t="s">
        <v>23</v>
      </c>
      <c r="E208" s="12">
        <v>6</v>
      </c>
      <c r="F208" s="14">
        <v>3.2334000000000001</v>
      </c>
      <c r="G208" s="14">
        <v>0</v>
      </c>
    </row>
    <row r="209" spans="1:14">
      <c r="A209" s="8">
        <v>15</v>
      </c>
      <c r="B209" s="78">
        <v>38525</v>
      </c>
      <c r="C209" s="12">
        <v>2005</v>
      </c>
      <c r="D209" s="11" t="s">
        <v>23</v>
      </c>
      <c r="E209" s="12">
        <v>6</v>
      </c>
      <c r="F209" s="14">
        <v>5.8687399999999998</v>
      </c>
      <c r="G209" s="14">
        <v>6.0271630523868275E-2</v>
      </c>
      <c r="I209" s="18">
        <f>AVERAGE(F207:F209)</f>
        <v>5.8387966666666662</v>
      </c>
      <c r="J209" s="18">
        <f>AVERAGE(G207:G209)</f>
        <v>0.13218839798179574</v>
      </c>
      <c r="L209">
        <f>+J209/I209</f>
        <v>2.2639664562469051E-2</v>
      </c>
      <c r="M209">
        <f>+(L209-$L$927)/$L$928</f>
        <v>8.5541610189842826E-2</v>
      </c>
      <c r="N209">
        <f>+N206+M209</f>
        <v>5.6500544406505995</v>
      </c>
    </row>
    <row r="210" spans="1:14">
      <c r="A210" s="8">
        <v>6</v>
      </c>
      <c r="B210" s="78">
        <v>38547</v>
      </c>
      <c r="C210" s="12">
        <v>2005</v>
      </c>
      <c r="D210" s="15" t="s">
        <v>24</v>
      </c>
      <c r="E210" s="12">
        <v>7</v>
      </c>
      <c r="F210" s="14">
        <v>9.1883400000000002</v>
      </c>
      <c r="G210" s="14">
        <v>2.0745594874828119E-2</v>
      </c>
    </row>
    <row r="211" spans="1:14">
      <c r="A211" s="8">
        <v>8</v>
      </c>
      <c r="B211" s="78">
        <v>38546</v>
      </c>
      <c r="C211" s="12">
        <v>2005</v>
      </c>
      <c r="D211" s="15" t="s">
        <v>24</v>
      </c>
      <c r="E211" s="12">
        <v>7</v>
      </c>
      <c r="F211" s="14">
        <v>6.8234500000000002</v>
      </c>
      <c r="G211" s="14">
        <v>0</v>
      </c>
    </row>
    <row r="212" spans="1:14">
      <c r="A212" s="8">
        <v>15</v>
      </c>
      <c r="B212" s="78">
        <v>38546</v>
      </c>
      <c r="C212" s="12">
        <v>2005</v>
      </c>
      <c r="D212" s="15" t="s">
        <v>24</v>
      </c>
      <c r="E212" s="12">
        <v>7</v>
      </c>
      <c r="F212" s="14">
        <v>6.5940000000000003</v>
      </c>
      <c r="G212" s="14">
        <v>0</v>
      </c>
      <c r="I212" s="18">
        <f>AVERAGE(F210:F212)</f>
        <v>7.5352633333333339</v>
      </c>
      <c r="J212" s="18">
        <f>AVERAGE(G210:G212)</f>
        <v>6.9151982916093729E-3</v>
      </c>
      <c r="L212">
        <f>+J212/I212</f>
        <v>9.177115630477023E-4</v>
      </c>
      <c r="M212">
        <f>+(L212-$L$927)/$L$928</f>
        <v>-0.41839654120056097</v>
      </c>
      <c r="N212">
        <f>+N209+M212</f>
        <v>5.2316578994500382</v>
      </c>
    </row>
    <row r="213" spans="1:14">
      <c r="A213" s="8">
        <v>6</v>
      </c>
      <c r="B213" s="78">
        <v>38587</v>
      </c>
      <c r="C213" s="12">
        <v>2005</v>
      </c>
      <c r="D213" s="15" t="s">
        <v>25</v>
      </c>
      <c r="E213" s="12">
        <v>8</v>
      </c>
      <c r="F213" s="14">
        <v>10.99231</v>
      </c>
      <c r="G213" s="14">
        <v>0</v>
      </c>
    </row>
    <row r="214" spans="1:14">
      <c r="A214" s="8">
        <v>8</v>
      </c>
      <c r="B214" s="78">
        <v>38587</v>
      </c>
      <c r="C214" s="12">
        <v>2005</v>
      </c>
      <c r="D214" s="15" t="s">
        <v>25</v>
      </c>
      <c r="E214" s="12">
        <v>8</v>
      </c>
      <c r="F214" s="14">
        <v>14.17001</v>
      </c>
      <c r="G214" s="14">
        <v>0</v>
      </c>
    </row>
    <row r="215" spans="1:14">
      <c r="A215" s="8">
        <v>15</v>
      </c>
      <c r="B215" s="78">
        <v>38587</v>
      </c>
      <c r="C215" s="12">
        <v>2005</v>
      </c>
      <c r="D215" s="15" t="s">
        <v>25</v>
      </c>
      <c r="E215" s="12">
        <v>8</v>
      </c>
      <c r="F215" s="14">
        <v>6.8003099999999996</v>
      </c>
      <c r="G215" s="14">
        <v>0</v>
      </c>
      <c r="I215" s="18">
        <f>AVERAGE(F213:F215)</f>
        <v>10.654210000000001</v>
      </c>
      <c r="J215" s="18">
        <f>AVERAGE(G213:G215)</f>
        <v>0</v>
      </c>
      <c r="L215">
        <f>+J215/I215</f>
        <v>0</v>
      </c>
      <c r="M215">
        <f>+(L215-$L$927)/$L$928</f>
        <v>-0.43968697805051538</v>
      </c>
      <c r="N215">
        <f>+N212+M215</f>
        <v>4.791970921399523</v>
      </c>
    </row>
    <row r="216" spans="1:14">
      <c r="A216" s="8">
        <v>6</v>
      </c>
      <c r="B216" s="78">
        <v>38608</v>
      </c>
      <c r="C216" s="12">
        <v>2005</v>
      </c>
      <c r="D216" s="15" t="s">
        <v>26</v>
      </c>
      <c r="E216" s="12">
        <v>9</v>
      </c>
      <c r="F216" s="14">
        <v>6.3655600000000003</v>
      </c>
      <c r="G216" s="14">
        <v>0</v>
      </c>
    </row>
    <row r="217" spans="1:14">
      <c r="A217" s="8">
        <v>8</v>
      </c>
      <c r="B217" s="78">
        <v>38609</v>
      </c>
      <c r="C217" s="12">
        <v>2005</v>
      </c>
      <c r="D217" s="15" t="s">
        <v>26</v>
      </c>
      <c r="E217" s="12">
        <v>9</v>
      </c>
      <c r="F217" s="14">
        <v>21.48677</v>
      </c>
      <c r="G217" s="14">
        <v>0</v>
      </c>
    </row>
    <row r="218" spans="1:14">
      <c r="A218" s="8">
        <v>15</v>
      </c>
      <c r="B218" s="78">
        <v>38609</v>
      </c>
      <c r="C218" s="12">
        <v>2005</v>
      </c>
      <c r="D218" s="15" t="s">
        <v>26</v>
      </c>
      <c r="E218" s="12">
        <v>9</v>
      </c>
      <c r="F218" s="14">
        <v>7.8046199999999999</v>
      </c>
      <c r="G218" s="14">
        <v>0</v>
      </c>
      <c r="I218" s="18">
        <f>AVERAGE(F216:F218)</f>
        <v>11.88565</v>
      </c>
      <c r="J218" s="18">
        <f>AVERAGE(G216:G218)</f>
        <v>0</v>
      </c>
      <c r="L218">
        <f>+J218/I218</f>
        <v>0</v>
      </c>
      <c r="M218">
        <f>+(L218-$L$927)/$L$928</f>
        <v>-0.43968697805051538</v>
      </c>
      <c r="N218">
        <f>+N215+M218</f>
        <v>4.3522839433490077</v>
      </c>
    </row>
    <row r="219" spans="1:14">
      <c r="A219" s="8">
        <v>6</v>
      </c>
      <c r="B219" s="78">
        <v>38636</v>
      </c>
      <c r="C219" s="12">
        <v>2005</v>
      </c>
      <c r="D219" s="15" t="s">
        <v>14</v>
      </c>
      <c r="E219" s="12">
        <v>10</v>
      </c>
      <c r="F219" s="14">
        <v>7.0763999999999996</v>
      </c>
      <c r="G219" s="14">
        <v>1E-4</v>
      </c>
    </row>
    <row r="220" spans="1:14">
      <c r="A220" s="8">
        <v>8</v>
      </c>
      <c r="B220" s="78">
        <v>38642</v>
      </c>
      <c r="C220" s="12">
        <v>2005</v>
      </c>
      <c r="D220" s="15" t="s">
        <v>14</v>
      </c>
      <c r="E220" s="12">
        <v>10</v>
      </c>
      <c r="F220" s="14">
        <v>6.02</v>
      </c>
      <c r="G220" s="14">
        <v>1E-4</v>
      </c>
    </row>
    <row r="221" spans="1:14">
      <c r="A221" s="8">
        <v>15</v>
      </c>
      <c r="B221" s="78">
        <v>38637</v>
      </c>
      <c r="C221" s="12">
        <v>2005</v>
      </c>
      <c r="D221" s="15" t="s">
        <v>14</v>
      </c>
      <c r="E221" s="12">
        <v>10</v>
      </c>
      <c r="F221" s="14">
        <v>8.5502000000000002</v>
      </c>
      <c r="G221" s="14">
        <v>1E-4</v>
      </c>
      <c r="I221" s="18">
        <f>AVERAGE(F219:F221)</f>
        <v>7.2155333333333331</v>
      </c>
      <c r="J221" s="18">
        <f>AVERAGE(G219:G221)</f>
        <v>1E-4</v>
      </c>
      <c r="L221">
        <f>+J221/I221</f>
        <v>1.3858989402492771E-5</v>
      </c>
      <c r="M221">
        <f>+(L221-$L$927)/$L$928</f>
        <v>-0.43936545661550369</v>
      </c>
      <c r="N221">
        <f>+N218+M221</f>
        <v>3.9129184867335041</v>
      </c>
    </row>
    <row r="222" spans="1:14">
      <c r="A222" s="8">
        <v>6</v>
      </c>
      <c r="B222" s="78">
        <v>38671</v>
      </c>
      <c r="C222" s="12">
        <v>2005</v>
      </c>
      <c r="D222" s="15" t="s">
        <v>16</v>
      </c>
      <c r="E222" s="12">
        <v>11</v>
      </c>
      <c r="F222" s="14">
        <v>4.6013000000000002</v>
      </c>
      <c r="G222" s="14">
        <v>4.2099999999999999E-2</v>
      </c>
    </row>
    <row r="223" spans="1:14">
      <c r="A223" s="8">
        <v>8</v>
      </c>
      <c r="B223" s="78">
        <v>38670</v>
      </c>
      <c r="C223" s="12">
        <v>2005</v>
      </c>
      <c r="D223" s="15" t="s">
        <v>16</v>
      </c>
      <c r="E223" s="12">
        <v>11</v>
      </c>
      <c r="F223" s="14">
        <v>1.0083</v>
      </c>
      <c r="G223" s="14">
        <v>1E-4</v>
      </c>
    </row>
    <row r="224" spans="1:14">
      <c r="A224" s="8">
        <v>15</v>
      </c>
      <c r="B224" s="78">
        <v>38670</v>
      </c>
      <c r="C224" s="12">
        <v>2005</v>
      </c>
      <c r="D224" s="15" t="s">
        <v>16</v>
      </c>
      <c r="E224" s="12">
        <v>11</v>
      </c>
      <c r="F224" s="14">
        <v>2.6530999999999998</v>
      </c>
      <c r="G224" s="14">
        <v>1.5699999999999999E-2</v>
      </c>
      <c r="I224" s="18">
        <f>AVERAGE(F222:F224)</f>
        <v>2.7542333333333335</v>
      </c>
      <c r="J224" s="18">
        <f>AVERAGE(G222:G224)</f>
        <v>1.9300000000000001E-2</v>
      </c>
      <c r="L224">
        <f>+J224/I224</f>
        <v>7.0073946772846651E-3</v>
      </c>
      <c r="M224">
        <f>+(L224-$L$927)/$L$928</f>
        <v>-0.27711902111644687</v>
      </c>
      <c r="N224">
        <f>+N221+M224</f>
        <v>3.6357994656170574</v>
      </c>
    </row>
    <row r="225" spans="1:14">
      <c r="A225" s="8">
        <v>6</v>
      </c>
      <c r="B225" s="78">
        <v>38707</v>
      </c>
      <c r="C225" s="12">
        <v>2005</v>
      </c>
      <c r="D225" s="15" t="s">
        <v>17</v>
      </c>
      <c r="E225" s="12">
        <v>12</v>
      </c>
      <c r="F225" s="14">
        <v>6.2308000000000003</v>
      </c>
      <c r="G225" s="14">
        <v>1E-4</v>
      </c>
    </row>
    <row r="226" spans="1:14">
      <c r="A226" s="8">
        <v>8</v>
      </c>
      <c r="B226" s="78">
        <v>38706</v>
      </c>
      <c r="C226" s="12">
        <v>2005</v>
      </c>
      <c r="D226" s="15" t="s">
        <v>17</v>
      </c>
      <c r="E226" s="12">
        <v>12</v>
      </c>
      <c r="F226" s="14">
        <v>2.7450999999999999</v>
      </c>
      <c r="G226" s="14">
        <v>1E-4</v>
      </c>
    </row>
    <row r="227" spans="1:14">
      <c r="A227" s="8">
        <v>15</v>
      </c>
      <c r="B227" s="78">
        <v>38706</v>
      </c>
      <c r="C227" s="12">
        <v>2005</v>
      </c>
      <c r="D227" s="15" t="s">
        <v>17</v>
      </c>
      <c r="E227" s="12">
        <v>12</v>
      </c>
      <c r="F227" s="14">
        <v>7.9623999999999997</v>
      </c>
      <c r="G227" s="14">
        <v>1E-4</v>
      </c>
      <c r="I227" s="18">
        <f>AVERAGE(F225:F227)</f>
        <v>5.6460999999999997</v>
      </c>
      <c r="J227" s="18">
        <f>AVERAGE(G225:G227)</f>
        <v>1E-4</v>
      </c>
      <c r="L227">
        <f>+J227/I227</f>
        <v>1.771134057136785E-5</v>
      </c>
      <c r="M227">
        <f>+(L227-$L$927)/$L$928</f>
        <v>-0.43927608404727281</v>
      </c>
      <c r="N227">
        <f>+N224+M227</f>
        <v>3.1965233815697847</v>
      </c>
    </row>
    <row r="228" spans="1:14">
      <c r="A228" s="12">
        <v>6</v>
      </c>
      <c r="B228" s="78">
        <v>38734</v>
      </c>
      <c r="C228" s="12">
        <v>2006</v>
      </c>
      <c r="D228" s="11" t="s">
        <v>18</v>
      </c>
      <c r="E228" s="12">
        <v>1</v>
      </c>
      <c r="F228" s="14">
        <v>4.1159999999999997</v>
      </c>
      <c r="G228" s="14">
        <v>1E-4</v>
      </c>
    </row>
    <row r="229" spans="1:14">
      <c r="A229" s="12">
        <v>8</v>
      </c>
      <c r="B229" s="78">
        <v>38740</v>
      </c>
      <c r="C229" s="12">
        <v>2006</v>
      </c>
      <c r="D229" s="11" t="s">
        <v>18</v>
      </c>
      <c r="E229" s="12">
        <v>1</v>
      </c>
      <c r="F229" s="14">
        <v>3.9529999999999998</v>
      </c>
      <c r="G229" s="14">
        <v>1E-4</v>
      </c>
    </row>
    <row r="230" spans="1:14">
      <c r="A230" s="12">
        <v>15</v>
      </c>
      <c r="B230" s="78">
        <v>38737</v>
      </c>
      <c r="C230" s="12">
        <v>2006</v>
      </c>
      <c r="D230" s="11" t="s">
        <v>18</v>
      </c>
      <c r="E230" s="12">
        <v>1</v>
      </c>
      <c r="F230" s="14">
        <v>3.8660999999999999</v>
      </c>
      <c r="G230" s="14">
        <v>1E-4</v>
      </c>
      <c r="I230" s="18">
        <f>AVERAGE(F228:F230)</f>
        <v>3.9783666666666662</v>
      </c>
      <c r="J230" s="18">
        <f>AVERAGE(G228:G230)</f>
        <v>1E-4</v>
      </c>
      <c r="L230">
        <f>+J230/I230</f>
        <v>2.5135943561428063E-5</v>
      </c>
      <c r="M230">
        <f>+(L230-$L$927)/$L$928</f>
        <v>-0.43910383707179507</v>
      </c>
      <c r="N230">
        <f>+N227+M230</f>
        <v>2.7574195444979894</v>
      </c>
    </row>
    <row r="231" spans="1:14">
      <c r="A231" s="12">
        <v>6</v>
      </c>
      <c r="B231" s="78">
        <v>38762</v>
      </c>
      <c r="C231" s="15">
        <v>2006</v>
      </c>
      <c r="D231" s="11" t="s">
        <v>28</v>
      </c>
      <c r="E231" s="15">
        <v>2</v>
      </c>
      <c r="F231" s="14">
        <v>7.2595999999999998</v>
      </c>
      <c r="G231" s="14">
        <v>6.2700000000000006E-2</v>
      </c>
    </row>
    <row r="232" spans="1:14">
      <c r="A232" s="12">
        <v>8</v>
      </c>
      <c r="B232" s="78">
        <v>38763</v>
      </c>
      <c r="C232" s="15">
        <v>2006</v>
      </c>
      <c r="D232" s="11" t="s">
        <v>28</v>
      </c>
      <c r="E232" s="15">
        <v>2</v>
      </c>
      <c r="F232" s="14">
        <v>2.5998999999999999</v>
      </c>
      <c r="G232" s="14">
        <v>1E-4</v>
      </c>
    </row>
    <row r="233" spans="1:14">
      <c r="A233" s="12">
        <v>15</v>
      </c>
      <c r="B233" s="78">
        <v>38763</v>
      </c>
      <c r="C233" s="15">
        <v>2006</v>
      </c>
      <c r="D233" s="11" t="s">
        <v>28</v>
      </c>
      <c r="E233" s="15">
        <v>2</v>
      </c>
      <c r="F233" s="14">
        <v>4.6071</v>
      </c>
      <c r="G233" s="14">
        <v>1E-4</v>
      </c>
      <c r="I233" s="18">
        <f>AVERAGE(F231:F233)</f>
        <v>4.8221999999999996</v>
      </c>
      <c r="J233" s="18">
        <f>AVERAGE(G231:G233)</f>
        <v>2.0966666666666672E-2</v>
      </c>
      <c r="L233">
        <f>+J233/I233</f>
        <v>4.347946303900019E-3</v>
      </c>
      <c r="M233">
        <f>+(L233-$L$927)/$L$928</f>
        <v>-0.33881685726577365</v>
      </c>
      <c r="N233">
        <f>+N230+M233</f>
        <v>2.4186026872322159</v>
      </c>
    </row>
    <row r="234" spans="1:14">
      <c r="A234" s="12">
        <v>6</v>
      </c>
      <c r="B234" s="78">
        <v>38789</v>
      </c>
      <c r="C234" s="12">
        <v>2006</v>
      </c>
      <c r="D234" s="11" t="s">
        <v>29</v>
      </c>
      <c r="E234" s="15">
        <v>3</v>
      </c>
      <c r="F234" s="14">
        <v>4.0525000000000002</v>
      </c>
      <c r="G234" s="14">
        <v>8.5800000000000001E-2</v>
      </c>
    </row>
    <row r="235" spans="1:14">
      <c r="A235" s="12">
        <v>8</v>
      </c>
      <c r="B235" s="78">
        <v>38792</v>
      </c>
      <c r="C235" s="12">
        <v>2006</v>
      </c>
      <c r="D235" s="11" t="s">
        <v>29</v>
      </c>
      <c r="E235" s="15">
        <v>3</v>
      </c>
      <c r="F235" s="14">
        <v>3.1962999999999999</v>
      </c>
      <c r="G235" s="14">
        <v>1E-4</v>
      </c>
    </row>
    <row r="236" spans="1:14">
      <c r="A236" s="12">
        <v>15</v>
      </c>
      <c r="B236" s="78">
        <v>38792</v>
      </c>
      <c r="C236" s="12">
        <v>2006</v>
      </c>
      <c r="D236" s="11" t="s">
        <v>29</v>
      </c>
      <c r="E236" s="15">
        <v>3</v>
      </c>
      <c r="F236" s="14">
        <v>4.2167000000000003</v>
      </c>
      <c r="G236" s="14">
        <v>5.5399999999999998E-2</v>
      </c>
      <c r="I236" s="18">
        <f>AVERAGE(F234:F236)</f>
        <v>3.8218333333333336</v>
      </c>
      <c r="J236" s="18">
        <f>AVERAGE(G234:G236)</f>
        <v>4.7100000000000003E-2</v>
      </c>
      <c r="L236">
        <f>+J236/I236</f>
        <v>1.2323928306659107E-2</v>
      </c>
      <c r="M236">
        <f>+(L236-$L$927)/$L$928</f>
        <v>-0.15377817192746088</v>
      </c>
      <c r="N236">
        <f>+N233+M236</f>
        <v>2.2648245153047553</v>
      </c>
    </row>
    <row r="237" spans="1:14">
      <c r="A237" s="12">
        <v>6</v>
      </c>
      <c r="B237" s="77">
        <v>38825</v>
      </c>
      <c r="C237" s="12">
        <v>2006</v>
      </c>
      <c r="D237" s="11" t="s">
        <v>30</v>
      </c>
      <c r="E237" s="12">
        <v>4</v>
      </c>
      <c r="F237" s="14">
        <v>4.0721999999999996</v>
      </c>
      <c r="G237" s="14">
        <v>0.38629999999999998</v>
      </c>
    </row>
    <row r="238" spans="1:14">
      <c r="A238" s="12">
        <v>8</v>
      </c>
      <c r="B238" s="77">
        <v>38826</v>
      </c>
      <c r="C238" s="12">
        <v>2006</v>
      </c>
      <c r="D238" s="11" t="s">
        <v>30</v>
      </c>
      <c r="E238" s="12">
        <v>4</v>
      </c>
      <c r="F238" s="14">
        <v>0.61629999999999996</v>
      </c>
      <c r="G238" s="14">
        <v>1E-4</v>
      </c>
    </row>
    <row r="239" spans="1:14">
      <c r="A239" s="12">
        <v>15</v>
      </c>
      <c r="B239" s="77">
        <v>38826</v>
      </c>
      <c r="C239" s="12">
        <v>2006</v>
      </c>
      <c r="D239" s="11" t="s">
        <v>30</v>
      </c>
      <c r="E239" s="12">
        <v>4</v>
      </c>
      <c r="F239" s="14">
        <v>3.2526000000000002</v>
      </c>
      <c r="G239" s="14">
        <v>0.44719999999999999</v>
      </c>
      <c r="I239" s="18">
        <f>AVERAGE(F237:F239)</f>
        <v>2.6470333333333333</v>
      </c>
      <c r="J239" s="18">
        <f>AVERAGE(G237:G239)</f>
        <v>0.27786666666666665</v>
      </c>
      <c r="L239">
        <f>+J239/I239</f>
        <v>0.10497286270164083</v>
      </c>
      <c r="M239">
        <f>+(L239-$L$927)/$L$928</f>
        <v>1.9956295138612734</v>
      </c>
      <c r="N239">
        <f>+N236+M239</f>
        <v>4.2604540291660289</v>
      </c>
    </row>
    <row r="240" spans="1:14">
      <c r="A240" s="12">
        <v>6</v>
      </c>
      <c r="B240" s="77">
        <v>38852</v>
      </c>
      <c r="C240" s="12">
        <v>2006</v>
      </c>
      <c r="D240" s="11" t="s">
        <v>31</v>
      </c>
      <c r="E240" s="12">
        <v>5</v>
      </c>
      <c r="F240" s="14">
        <v>5.1787999999999998</v>
      </c>
      <c r="G240" s="14">
        <v>0.58630000000000004</v>
      </c>
    </row>
    <row r="241" spans="1:14">
      <c r="A241" s="12">
        <v>8</v>
      </c>
      <c r="B241" s="77">
        <v>38853</v>
      </c>
      <c r="C241" s="12">
        <v>2006</v>
      </c>
      <c r="D241" s="11" t="s">
        <v>31</v>
      </c>
      <c r="E241" s="12">
        <v>5</v>
      </c>
      <c r="F241" s="14">
        <v>8.0970999999999993</v>
      </c>
      <c r="G241" s="14">
        <v>1.0871</v>
      </c>
    </row>
    <row r="242" spans="1:14">
      <c r="A242" s="12">
        <v>15</v>
      </c>
      <c r="B242" s="77">
        <v>38853</v>
      </c>
      <c r="C242" s="12">
        <v>2006</v>
      </c>
      <c r="D242" s="11" t="s">
        <v>31</v>
      </c>
      <c r="E242" s="12">
        <v>5</v>
      </c>
      <c r="F242" s="14">
        <v>5.1483999999999996</v>
      </c>
      <c r="G242" s="14">
        <v>0.81230000000000002</v>
      </c>
      <c r="I242" s="18">
        <f>AVERAGE(F240:F242)</f>
        <v>6.1414333333333326</v>
      </c>
      <c r="J242" s="18">
        <f>AVERAGE(G240:G242)</f>
        <v>0.82856666666666667</v>
      </c>
      <c r="L242">
        <f>+J242/I242</f>
        <v>0.13491421655096802</v>
      </c>
      <c r="M242">
        <f>+(L242-$L$927)/$L$928</f>
        <v>2.6902535428036916</v>
      </c>
      <c r="N242">
        <f>+N239+M242</f>
        <v>6.9507075719697209</v>
      </c>
    </row>
    <row r="243" spans="1:14">
      <c r="A243" s="12">
        <v>6</v>
      </c>
      <c r="B243" s="77">
        <v>38883</v>
      </c>
      <c r="C243" s="12">
        <v>2006</v>
      </c>
      <c r="D243" s="11" t="s">
        <v>32</v>
      </c>
      <c r="E243" s="12">
        <v>6</v>
      </c>
      <c r="F243" s="14">
        <v>18.313400000000001</v>
      </c>
      <c r="G243" s="14">
        <v>1.3349</v>
      </c>
    </row>
    <row r="244" spans="1:14">
      <c r="A244" s="12">
        <v>8</v>
      </c>
      <c r="B244" s="77">
        <v>38884</v>
      </c>
      <c r="C244" s="12">
        <v>2006</v>
      </c>
      <c r="D244" s="11" t="s">
        <v>32</v>
      </c>
      <c r="E244" s="12">
        <v>6</v>
      </c>
      <c r="F244" s="14">
        <v>6.8802000000000003</v>
      </c>
      <c r="G244" s="14">
        <v>0.23680000000000001</v>
      </c>
    </row>
    <row r="245" spans="1:14">
      <c r="A245" s="12">
        <v>15</v>
      </c>
      <c r="B245" s="77">
        <v>38884</v>
      </c>
      <c r="C245" s="12">
        <v>2006</v>
      </c>
      <c r="D245" s="11" t="s">
        <v>32</v>
      </c>
      <c r="E245" s="12">
        <v>6</v>
      </c>
      <c r="F245" s="14">
        <v>13.961499999999999</v>
      </c>
      <c r="G245" s="14">
        <v>1.3380000000000001</v>
      </c>
      <c r="I245" s="18">
        <f>AVERAGE(F243:F245)</f>
        <v>13.051700000000002</v>
      </c>
      <c r="J245" s="18">
        <f>AVERAGE(G243:G245)</f>
        <v>0.96989999999999998</v>
      </c>
      <c r="L245">
        <f>+J245/I245</f>
        <v>7.4312158569381753E-2</v>
      </c>
      <c r="M245">
        <f>+(L245-$L$927)/$L$928</f>
        <v>1.2843169278727871</v>
      </c>
      <c r="N245">
        <f>+N242+M245</f>
        <v>8.235024499842508</v>
      </c>
    </row>
    <row r="246" spans="1:14">
      <c r="A246" s="12">
        <v>6</v>
      </c>
      <c r="B246" s="77">
        <v>38916</v>
      </c>
      <c r="C246" s="12">
        <v>2006</v>
      </c>
      <c r="D246" s="11" t="s">
        <v>33</v>
      </c>
      <c r="E246" s="12">
        <v>7</v>
      </c>
      <c r="F246" s="14">
        <v>11.2727</v>
      </c>
      <c r="G246" s="14">
        <v>1E-4</v>
      </c>
    </row>
    <row r="247" spans="1:14">
      <c r="A247" s="12">
        <v>8</v>
      </c>
      <c r="B247" s="77">
        <v>38915</v>
      </c>
      <c r="C247" s="12">
        <v>2006</v>
      </c>
      <c r="D247" s="11" t="s">
        <v>33</v>
      </c>
      <c r="E247" s="12">
        <v>7</v>
      </c>
      <c r="F247" s="14">
        <v>8.0587999999999997</v>
      </c>
      <c r="G247" s="14">
        <v>1E-4</v>
      </c>
    </row>
    <row r="248" spans="1:14">
      <c r="A248" s="12">
        <v>15</v>
      </c>
      <c r="B248" s="77">
        <v>38915</v>
      </c>
      <c r="C248" s="12">
        <v>2006</v>
      </c>
      <c r="D248" s="11" t="s">
        <v>33</v>
      </c>
      <c r="E248" s="12">
        <v>7</v>
      </c>
      <c r="F248" s="14">
        <v>6.4635999999999996</v>
      </c>
      <c r="G248" s="14">
        <v>1E-4</v>
      </c>
      <c r="I248" s="18">
        <f>AVERAGE(F246:F248)</f>
        <v>8.5983666666666654</v>
      </c>
      <c r="J248" s="18">
        <f>AVERAGE(G246:G248)</f>
        <v>1E-4</v>
      </c>
      <c r="L248">
        <f>+J248/I248</f>
        <v>1.163011579718629E-5</v>
      </c>
      <c r="M248">
        <f>+(L248-$L$927)/$L$928</f>
        <v>-0.43941716533821246</v>
      </c>
      <c r="N248">
        <f>+N245+M248</f>
        <v>7.7956073345042958</v>
      </c>
    </row>
    <row r="249" spans="1:14">
      <c r="A249" s="12">
        <v>6</v>
      </c>
      <c r="B249" s="77">
        <v>38953</v>
      </c>
      <c r="C249" s="12">
        <v>2006</v>
      </c>
      <c r="D249" s="11" t="s">
        <v>34</v>
      </c>
      <c r="E249" s="12">
        <v>8</v>
      </c>
      <c r="F249" s="14">
        <v>8.9014000000000006</v>
      </c>
      <c r="G249" s="14">
        <v>1E-4</v>
      </c>
    </row>
    <row r="250" spans="1:14">
      <c r="A250" s="12">
        <v>8</v>
      </c>
      <c r="B250" s="77">
        <v>38952</v>
      </c>
      <c r="C250" s="12">
        <v>2006</v>
      </c>
      <c r="D250" s="11" t="s">
        <v>34</v>
      </c>
      <c r="E250" s="12">
        <v>8</v>
      </c>
      <c r="F250" s="14">
        <v>6.9972000000000003</v>
      </c>
      <c r="G250" s="14">
        <v>1E-4</v>
      </c>
    </row>
    <row r="251" spans="1:14">
      <c r="A251" s="12">
        <v>15</v>
      </c>
      <c r="B251" s="77">
        <v>38952</v>
      </c>
      <c r="C251" s="12">
        <v>2006</v>
      </c>
      <c r="D251" s="11" t="s">
        <v>34</v>
      </c>
      <c r="E251" s="12">
        <v>8</v>
      </c>
      <c r="F251" s="14">
        <v>7.4080000000000004</v>
      </c>
      <c r="G251" s="14">
        <v>1E-4</v>
      </c>
      <c r="I251" s="18">
        <f>AVERAGE(F249:F251)</f>
        <v>7.7688666666666677</v>
      </c>
      <c r="J251" s="18">
        <f>AVERAGE(G249:G251)</f>
        <v>1E-4</v>
      </c>
      <c r="L251">
        <f>+J251/I251</f>
        <v>1.2871890365819122E-5</v>
      </c>
      <c r="M251">
        <f>+(L251-$L$927)/$L$928</f>
        <v>-0.43938835680609856</v>
      </c>
      <c r="N251">
        <f>+N248+M251</f>
        <v>7.3562189776981972</v>
      </c>
    </row>
    <row r="252" spans="1:14">
      <c r="A252" s="12">
        <v>6</v>
      </c>
      <c r="B252" s="77">
        <v>38972</v>
      </c>
      <c r="C252" s="12">
        <v>2006</v>
      </c>
      <c r="D252" s="11" t="s">
        <v>35</v>
      </c>
      <c r="E252" s="12">
        <v>9</v>
      </c>
      <c r="F252" s="14">
        <v>12.767300000000001</v>
      </c>
      <c r="G252" s="14">
        <v>1E-4</v>
      </c>
    </row>
    <row r="253" spans="1:14">
      <c r="A253" s="12">
        <v>8</v>
      </c>
      <c r="B253" s="77">
        <v>38975</v>
      </c>
      <c r="C253" s="12">
        <v>2006</v>
      </c>
      <c r="D253" s="11" t="s">
        <v>35</v>
      </c>
      <c r="E253" s="12">
        <v>9</v>
      </c>
      <c r="F253" s="14">
        <v>8.2116000000000007</v>
      </c>
      <c r="G253" s="14">
        <v>1E-4</v>
      </c>
    </row>
    <row r="254" spans="1:14">
      <c r="A254" s="12">
        <v>15</v>
      </c>
      <c r="B254" s="77">
        <v>38975</v>
      </c>
      <c r="C254" s="12">
        <v>2006</v>
      </c>
      <c r="D254" s="11" t="s">
        <v>35</v>
      </c>
      <c r="E254" s="12">
        <v>9</v>
      </c>
      <c r="F254" s="14">
        <v>6.4158999999999997</v>
      </c>
      <c r="G254" s="14">
        <v>1E-4</v>
      </c>
      <c r="I254" s="18">
        <f>AVERAGE(F252:F254)</f>
        <v>9.1316000000000006</v>
      </c>
      <c r="J254" s="18">
        <f>AVERAGE(G252:G254)</f>
        <v>1E-4</v>
      </c>
      <c r="L254">
        <f>+J254/I254</f>
        <v>1.0950983398309169E-5</v>
      </c>
      <c r="M254">
        <f>+(L254-$L$927)/$L$928</f>
        <v>-0.43943292086100771</v>
      </c>
      <c r="N254">
        <f>+N251+M254</f>
        <v>6.9167860568371893</v>
      </c>
    </row>
    <row r="255" spans="1:14">
      <c r="A255" s="12">
        <v>6</v>
      </c>
      <c r="B255" s="77">
        <v>39008</v>
      </c>
      <c r="C255" s="12">
        <v>2006</v>
      </c>
      <c r="D255" s="11" t="s">
        <v>36</v>
      </c>
      <c r="E255" s="12">
        <v>10</v>
      </c>
      <c r="F255" s="14">
        <v>9.7240000000000002</v>
      </c>
      <c r="G255" s="14">
        <v>0.502</v>
      </c>
    </row>
    <row r="256" spans="1:14">
      <c r="A256" s="12">
        <v>8</v>
      </c>
      <c r="B256" s="77">
        <v>39006</v>
      </c>
      <c r="C256" s="12">
        <v>2006</v>
      </c>
      <c r="D256" s="11" t="s">
        <v>36</v>
      </c>
      <c r="E256" s="12">
        <v>10</v>
      </c>
      <c r="F256" s="14">
        <v>3.0350000000000001</v>
      </c>
      <c r="G256" s="14">
        <v>1.9E-2</v>
      </c>
    </row>
    <row r="257" spans="1:14">
      <c r="A257" s="12">
        <v>15</v>
      </c>
      <c r="B257" s="77">
        <v>39006</v>
      </c>
      <c r="C257" s="12">
        <v>2006</v>
      </c>
      <c r="D257" s="11" t="s">
        <v>36</v>
      </c>
      <c r="E257" s="12">
        <v>10</v>
      </c>
      <c r="F257" s="14">
        <v>8.3379999999999992</v>
      </c>
      <c r="G257" s="14">
        <v>0.54600000000000004</v>
      </c>
      <c r="I257" s="18">
        <f>AVERAGE(F255:F257)</f>
        <v>7.0323333333333338</v>
      </c>
      <c r="J257" s="18">
        <f>AVERAGE(G255:G257)</f>
        <v>0.35566666666666674</v>
      </c>
      <c r="L257">
        <f>+J257/I257</f>
        <v>5.0575911267004794E-2</v>
      </c>
      <c r="M257">
        <f>+(L257-$L$927)/$L$928</f>
        <v>0.73364818336238546</v>
      </c>
      <c r="N257">
        <f>+N254+M257</f>
        <v>7.6504342401995746</v>
      </c>
    </row>
    <row r="258" spans="1:14">
      <c r="A258" s="12">
        <v>6</v>
      </c>
      <c r="B258" s="77">
        <v>39035</v>
      </c>
      <c r="C258" s="12">
        <v>2006</v>
      </c>
      <c r="D258" s="11" t="s">
        <v>37</v>
      </c>
      <c r="E258" s="12">
        <v>11</v>
      </c>
      <c r="F258" s="14">
        <v>11.513999999999999</v>
      </c>
      <c r="G258" s="14">
        <v>0.42599999999999999</v>
      </c>
    </row>
    <row r="259" spans="1:14">
      <c r="A259" s="12">
        <v>8</v>
      </c>
      <c r="B259" s="77">
        <v>39041</v>
      </c>
      <c r="C259" s="12">
        <v>2006</v>
      </c>
      <c r="D259" s="11" t="s">
        <v>37</v>
      </c>
      <c r="E259" s="12">
        <v>11</v>
      </c>
      <c r="F259" s="14">
        <v>1.508</v>
      </c>
      <c r="G259" s="14">
        <v>9.9989999999999996E-4</v>
      </c>
    </row>
    <row r="260" spans="1:14">
      <c r="A260" s="12">
        <v>15</v>
      </c>
      <c r="B260" s="77">
        <v>39041</v>
      </c>
      <c r="C260" s="12">
        <v>2006</v>
      </c>
      <c r="D260" s="11" t="s">
        <v>37</v>
      </c>
      <c r="E260" s="12">
        <v>11</v>
      </c>
      <c r="F260" s="14">
        <v>5.242</v>
      </c>
      <c r="G260" s="14">
        <v>9.9989999999999996E-4</v>
      </c>
      <c r="I260" s="18">
        <f>AVERAGE(F258:F260)</f>
        <v>6.0880000000000001</v>
      </c>
      <c r="J260" s="18">
        <f>AVERAGE(G258:G260)</f>
        <v>0.1426666</v>
      </c>
      <c r="L260">
        <f>+J260/I260</f>
        <v>2.3434067017082786E-2</v>
      </c>
      <c r="M260">
        <f>+(L260-$L$927)/$L$928</f>
        <v>0.10397133906591163</v>
      </c>
      <c r="N260">
        <f>+N257+M260</f>
        <v>7.7544055792654865</v>
      </c>
    </row>
    <row r="261" spans="1:14">
      <c r="A261" s="12">
        <v>6</v>
      </c>
      <c r="B261" s="78">
        <v>39063</v>
      </c>
      <c r="C261" s="15">
        <v>2006</v>
      </c>
      <c r="D261" s="11" t="s">
        <v>38</v>
      </c>
      <c r="E261" s="15">
        <v>12</v>
      </c>
      <c r="F261" s="14">
        <v>7.4880000000000004</v>
      </c>
      <c r="G261" s="14">
        <v>0.52100000000000002</v>
      </c>
    </row>
    <row r="262" spans="1:14">
      <c r="A262" s="12">
        <v>8</v>
      </c>
      <c r="B262" s="78">
        <v>39062</v>
      </c>
      <c r="C262" s="15">
        <v>2006</v>
      </c>
      <c r="D262" s="11" t="s">
        <v>38</v>
      </c>
      <c r="E262" s="15">
        <v>12</v>
      </c>
      <c r="F262" s="14">
        <v>3.0649999999999999</v>
      </c>
      <c r="G262" s="14">
        <v>4.8000000000000001E-2</v>
      </c>
    </row>
    <row r="263" spans="1:14">
      <c r="A263" s="12">
        <v>15</v>
      </c>
      <c r="B263" s="78">
        <v>39062</v>
      </c>
      <c r="C263" s="15">
        <v>2006</v>
      </c>
      <c r="D263" s="11" t="s">
        <v>38</v>
      </c>
      <c r="E263" s="15">
        <v>12</v>
      </c>
      <c r="F263" s="14">
        <v>6.2370000000000001</v>
      </c>
      <c r="G263" s="14">
        <v>0.27900000000000003</v>
      </c>
      <c r="I263" s="18">
        <f>AVERAGE(F261:F263)</f>
        <v>5.5966666666666667</v>
      </c>
      <c r="J263" s="18">
        <f>AVERAGE(G261:G263)</f>
        <v>0.28266666666666668</v>
      </c>
      <c r="L263">
        <f>+J263/I263</f>
        <v>5.0506253722453841E-2</v>
      </c>
      <c r="M263">
        <f>+(L263-$L$927)/$L$928</f>
        <v>0.73203216411069405</v>
      </c>
      <c r="N263">
        <f>+N260+M263</f>
        <v>8.4864377433761806</v>
      </c>
    </row>
    <row r="264" spans="1:14">
      <c r="A264" s="15">
        <v>6</v>
      </c>
      <c r="B264" s="78">
        <v>39100</v>
      </c>
      <c r="C264" s="15">
        <v>2007</v>
      </c>
      <c r="D264" s="11" t="s">
        <v>39</v>
      </c>
      <c r="E264" s="15">
        <v>1</v>
      </c>
      <c r="F264" s="14">
        <v>17.344999999999999</v>
      </c>
      <c r="G264" s="14">
        <v>0.437</v>
      </c>
    </row>
    <row r="265" spans="1:14">
      <c r="A265" s="15">
        <v>8</v>
      </c>
      <c r="B265" s="78">
        <v>39100</v>
      </c>
      <c r="C265" s="15">
        <v>2007</v>
      </c>
      <c r="D265" s="11" t="s">
        <v>39</v>
      </c>
      <c r="E265" s="15">
        <v>1</v>
      </c>
      <c r="F265" s="14">
        <v>1.1359999999999999</v>
      </c>
      <c r="G265" s="14">
        <v>9.9989999999999996E-4</v>
      </c>
    </row>
    <row r="266" spans="1:14">
      <c r="A266" s="15">
        <v>15</v>
      </c>
      <c r="B266" s="78">
        <v>39100</v>
      </c>
      <c r="C266" s="15">
        <v>2007</v>
      </c>
      <c r="D266" s="11" t="s">
        <v>39</v>
      </c>
      <c r="E266" s="15">
        <v>1</v>
      </c>
      <c r="F266" s="14">
        <v>5.3250000000000002</v>
      </c>
      <c r="G266" s="14">
        <v>9.9989999999999996E-4</v>
      </c>
      <c r="I266" s="18">
        <f>AVERAGE(F264:F266)</f>
        <v>7.9353333333333325</v>
      </c>
      <c r="J266" s="18">
        <f>AVERAGE(G264:G266)</f>
        <v>0.14633326666666666</v>
      </c>
      <c r="L266">
        <f>+J266/I266</f>
        <v>1.8440720826682348E-2</v>
      </c>
      <c r="M266">
        <f>+(L266-$L$927)/$L$928</f>
        <v>-1.1871727554743744E-2</v>
      </c>
      <c r="N266">
        <f>+N263+M266</f>
        <v>8.4745660158214378</v>
      </c>
    </row>
    <row r="267" spans="1:14">
      <c r="A267" s="15">
        <v>6</v>
      </c>
      <c r="B267" s="78">
        <v>39134</v>
      </c>
      <c r="C267" s="15">
        <v>2007</v>
      </c>
      <c r="D267" s="11" t="s">
        <v>28</v>
      </c>
      <c r="E267" s="15">
        <v>2</v>
      </c>
      <c r="F267" s="14">
        <v>4.9550000000000001</v>
      </c>
      <c r="G267" s="14">
        <v>9.9989999999999996E-4</v>
      </c>
    </row>
    <row r="268" spans="1:14">
      <c r="A268" s="15">
        <v>8</v>
      </c>
      <c r="B268" s="78">
        <v>39135</v>
      </c>
      <c r="C268" s="15">
        <v>2007</v>
      </c>
      <c r="D268" s="11" t="s">
        <v>28</v>
      </c>
      <c r="E268" s="15">
        <v>2</v>
      </c>
      <c r="F268" s="14">
        <v>3.0470000000000002</v>
      </c>
      <c r="G268" s="14">
        <v>9.9989999999999996E-4</v>
      </c>
    </row>
    <row r="269" spans="1:14">
      <c r="A269" s="15">
        <v>15</v>
      </c>
      <c r="B269" s="78">
        <v>39135</v>
      </c>
      <c r="C269" s="15">
        <v>2007</v>
      </c>
      <c r="D269" s="11" t="s">
        <v>28</v>
      </c>
      <c r="E269" s="15">
        <v>2</v>
      </c>
      <c r="F269" s="14">
        <v>3.0609999999999999</v>
      </c>
      <c r="G269" s="14">
        <v>3.2000000000000001E-2</v>
      </c>
      <c r="I269" s="18">
        <f>AVERAGE(F267:F269)</f>
        <v>3.6876666666666669</v>
      </c>
      <c r="J269" s="18">
        <f>AVERAGE(G267:G269)</f>
        <v>1.1333266666666668E-2</v>
      </c>
      <c r="L269">
        <f>+J269/I269</f>
        <v>3.0732893428545606E-3</v>
      </c>
      <c r="M269">
        <f>+(L269-$L$927)/$L$928</f>
        <v>-0.36838824399252285</v>
      </c>
      <c r="N269">
        <f>+N266+M269</f>
        <v>8.1061777718289143</v>
      </c>
    </row>
    <row r="270" spans="1:14">
      <c r="A270" s="15">
        <v>6</v>
      </c>
      <c r="B270" s="78">
        <v>39154</v>
      </c>
      <c r="C270" s="15">
        <v>2007</v>
      </c>
      <c r="D270" s="11" t="s">
        <v>29</v>
      </c>
      <c r="E270" s="15">
        <v>3</v>
      </c>
      <c r="F270" s="14">
        <v>2.3919999999999999</v>
      </c>
      <c r="G270" s="14">
        <v>3.7999999999999999E-2</v>
      </c>
    </row>
    <row r="271" spans="1:14">
      <c r="A271" s="15">
        <v>8</v>
      </c>
      <c r="B271" s="78">
        <v>39153</v>
      </c>
      <c r="C271" s="15">
        <v>2007</v>
      </c>
      <c r="D271" s="11" t="s">
        <v>29</v>
      </c>
      <c r="E271" s="15">
        <v>3</v>
      </c>
      <c r="F271" s="14">
        <v>1.5880000000000001</v>
      </c>
      <c r="G271" s="14">
        <v>0.02</v>
      </c>
    </row>
    <row r="272" spans="1:14">
      <c r="A272" s="15">
        <v>15</v>
      </c>
      <c r="B272" s="78">
        <v>39153</v>
      </c>
      <c r="C272" s="15">
        <v>2007</v>
      </c>
      <c r="D272" s="11" t="s">
        <v>29</v>
      </c>
      <c r="E272" s="15">
        <v>3</v>
      </c>
      <c r="F272" s="14">
        <v>1.9370000000000001</v>
      </c>
      <c r="G272" s="14">
        <v>7.3999999999999996E-2</v>
      </c>
      <c r="I272" s="18">
        <f>AVERAGE(F270:F272)</f>
        <v>1.9723333333333333</v>
      </c>
      <c r="J272" s="18">
        <f>AVERAGE(G270:G272)</f>
        <v>4.4000000000000004E-2</v>
      </c>
      <c r="L272">
        <f>+J272/I272</f>
        <v>2.2308602332262974E-2</v>
      </c>
      <c r="M272">
        <f>+(L272-$L$927)/$L$928</f>
        <v>7.7861136510073856E-2</v>
      </c>
      <c r="N272">
        <f>+N269+M272</f>
        <v>8.1840389083389873</v>
      </c>
    </row>
    <row r="273" spans="1:14">
      <c r="A273" s="15">
        <v>6</v>
      </c>
      <c r="B273" s="78">
        <v>39190</v>
      </c>
      <c r="C273" s="15">
        <v>2007</v>
      </c>
      <c r="D273" s="11" t="s">
        <v>30</v>
      </c>
      <c r="E273" s="15">
        <v>4</v>
      </c>
      <c r="F273" s="14">
        <v>5.9420000000000002</v>
      </c>
      <c r="G273" s="14">
        <v>9.9989999999999996E-4</v>
      </c>
    </row>
    <row r="274" spans="1:14">
      <c r="A274" s="15">
        <v>8</v>
      </c>
      <c r="B274" s="78">
        <v>39191</v>
      </c>
      <c r="C274" s="15">
        <v>2007</v>
      </c>
      <c r="D274" s="11" t="s">
        <v>30</v>
      </c>
      <c r="E274" s="15">
        <v>4</v>
      </c>
      <c r="F274" s="14">
        <v>2.1269999999999998</v>
      </c>
      <c r="G274" s="14">
        <v>9.9989999999999996E-4</v>
      </c>
    </row>
    <row r="275" spans="1:14">
      <c r="A275" s="15">
        <v>15</v>
      </c>
      <c r="B275" s="78">
        <v>39191</v>
      </c>
      <c r="C275" s="15">
        <v>2007</v>
      </c>
      <c r="D275" s="11" t="s">
        <v>30</v>
      </c>
      <c r="E275" s="15">
        <v>4</v>
      </c>
      <c r="F275" s="14">
        <v>4.8029999999999999</v>
      </c>
      <c r="G275" s="14">
        <v>3.5000000000000003E-2</v>
      </c>
      <c r="I275" s="18">
        <f>AVERAGE(F273:F275)</f>
        <v>4.2906666666666666</v>
      </c>
      <c r="J275" s="18">
        <f>AVERAGE(G273:G275)</f>
        <v>1.2333266666666669E-2</v>
      </c>
      <c r="L275">
        <f>+J275/I275</f>
        <v>2.874440646364202E-3</v>
      </c>
      <c r="M275">
        <f>+(L275-$L$927)/$L$928</f>
        <v>-0.37300143160592081</v>
      </c>
      <c r="N275">
        <f>+N272+M275</f>
        <v>7.8110374767330661</v>
      </c>
    </row>
    <row r="276" spans="1:14">
      <c r="A276" s="15">
        <v>6</v>
      </c>
      <c r="B276" s="78">
        <v>39217</v>
      </c>
      <c r="C276" s="15">
        <v>2007</v>
      </c>
      <c r="D276" s="11" t="s">
        <v>31</v>
      </c>
      <c r="E276" s="15">
        <v>5</v>
      </c>
      <c r="F276" s="14">
        <v>9.2240000000000002</v>
      </c>
      <c r="G276" s="14">
        <v>1.74</v>
      </c>
    </row>
    <row r="277" spans="1:14">
      <c r="A277" s="15">
        <v>8</v>
      </c>
      <c r="B277" s="78">
        <v>39216</v>
      </c>
      <c r="C277" s="15">
        <v>2007</v>
      </c>
      <c r="D277" s="11" t="s">
        <v>31</v>
      </c>
      <c r="E277" s="15">
        <v>5</v>
      </c>
      <c r="F277" s="14">
        <v>17.225000000000001</v>
      </c>
      <c r="G277" s="14">
        <v>2.0859999999999999</v>
      </c>
    </row>
    <row r="278" spans="1:14">
      <c r="A278" s="15">
        <v>15</v>
      </c>
      <c r="B278" s="78">
        <v>39216</v>
      </c>
      <c r="C278" s="15">
        <v>2007</v>
      </c>
      <c r="D278" s="11" t="s">
        <v>31</v>
      </c>
      <c r="E278" s="15">
        <v>5</v>
      </c>
      <c r="F278" s="14">
        <v>9.6329999999999991</v>
      </c>
      <c r="G278" s="14">
        <v>1.5389999999999999</v>
      </c>
      <c r="I278" s="18">
        <f>AVERAGE(F276:F278)</f>
        <v>12.027333333333333</v>
      </c>
      <c r="J278" s="18">
        <f>AVERAGE(G276:G278)</f>
        <v>1.7883333333333331</v>
      </c>
      <c r="L278">
        <f>+J278/I278</f>
        <v>0.14868909705670416</v>
      </c>
      <c r="M278">
        <f>+(L278-$L$927)/$L$928</f>
        <v>3.0098236946159758</v>
      </c>
      <c r="N278">
        <f>+N275+M278</f>
        <v>10.820861171349042</v>
      </c>
    </row>
    <row r="279" spans="1:14">
      <c r="A279" s="15">
        <v>6</v>
      </c>
      <c r="B279" s="78">
        <v>39246</v>
      </c>
      <c r="C279" s="15">
        <v>2007</v>
      </c>
      <c r="D279" s="11" t="s">
        <v>32</v>
      </c>
      <c r="E279" s="15">
        <v>6</v>
      </c>
      <c r="F279" s="14">
        <v>24.803000000000001</v>
      </c>
      <c r="G279" s="14">
        <v>6.4279999999999999</v>
      </c>
    </row>
    <row r="280" spans="1:14">
      <c r="A280" s="15">
        <v>8</v>
      </c>
      <c r="B280" s="78">
        <v>39248</v>
      </c>
      <c r="C280" s="15">
        <v>2007</v>
      </c>
      <c r="D280" s="11" t="s">
        <v>32</v>
      </c>
      <c r="E280" s="15">
        <v>6</v>
      </c>
      <c r="F280" s="14">
        <v>12.871</v>
      </c>
      <c r="G280" s="14">
        <v>0.93600000000000005</v>
      </c>
    </row>
    <row r="281" spans="1:14">
      <c r="A281" s="15">
        <v>15</v>
      </c>
      <c r="B281" s="78">
        <v>39248</v>
      </c>
      <c r="C281" s="15">
        <v>2007</v>
      </c>
      <c r="D281" s="11" t="s">
        <v>32</v>
      </c>
      <c r="E281" s="15">
        <v>6</v>
      </c>
      <c r="F281" s="14">
        <v>18.126999999999999</v>
      </c>
      <c r="G281" s="14">
        <v>3.0190000000000001</v>
      </c>
      <c r="I281" s="18">
        <f>AVERAGE(F279:F281)</f>
        <v>18.600333333333335</v>
      </c>
      <c r="J281" s="18">
        <f>AVERAGE(G279:G281)</f>
        <v>3.4609999999999999</v>
      </c>
      <c r="L281">
        <f>+J281/I281</f>
        <v>0.18607193419472767</v>
      </c>
      <c r="M281">
        <f>+(L281-$L$927)/$L$928</f>
        <v>3.8770863132933084</v>
      </c>
      <c r="N281">
        <f>+N278+M281</f>
        <v>14.69794748464235</v>
      </c>
    </row>
    <row r="282" spans="1:14">
      <c r="A282" s="15">
        <v>6</v>
      </c>
      <c r="B282" s="78">
        <v>39280</v>
      </c>
      <c r="C282" s="15">
        <v>2007</v>
      </c>
      <c r="D282" s="11" t="s">
        <v>33</v>
      </c>
      <c r="E282" s="15">
        <v>7</v>
      </c>
      <c r="F282" s="14">
        <v>13.331</v>
      </c>
      <c r="G282" s="14">
        <v>2.3E-2</v>
      </c>
    </row>
    <row r="283" spans="1:14">
      <c r="A283" s="15">
        <v>8</v>
      </c>
      <c r="B283" s="78">
        <v>39279</v>
      </c>
      <c r="C283" s="15">
        <v>2007</v>
      </c>
      <c r="D283" s="11" t="s">
        <v>33</v>
      </c>
      <c r="E283" s="15">
        <v>7</v>
      </c>
      <c r="F283" s="14">
        <v>6.2880000000000003</v>
      </c>
      <c r="G283" s="14">
        <v>9.9989999999999996E-4</v>
      </c>
    </row>
    <row r="284" spans="1:14">
      <c r="A284" s="15">
        <v>15</v>
      </c>
      <c r="B284" s="78">
        <v>39279</v>
      </c>
      <c r="C284" s="15">
        <v>2007</v>
      </c>
      <c r="D284" s="11" t="s">
        <v>33</v>
      </c>
      <c r="E284" s="15">
        <v>7</v>
      </c>
      <c r="F284" s="14">
        <v>4.6980000000000004</v>
      </c>
      <c r="G284" s="14">
        <v>9.9989999999999996E-4</v>
      </c>
      <c r="I284" s="18">
        <f>AVERAGE(F282:F284)</f>
        <v>8.1056666666666661</v>
      </c>
      <c r="J284" s="18">
        <f>AVERAGE(G282:G284)</f>
        <v>8.3332666666666669E-3</v>
      </c>
      <c r="L284">
        <f>+J284/I284</f>
        <v>1.0280791216021714E-3</v>
      </c>
      <c r="M284">
        <f>+(L284-$L$927)/$L$928</f>
        <v>-0.41583607053602673</v>
      </c>
      <c r="N284">
        <f>+N281+M284</f>
        <v>14.282111414106323</v>
      </c>
    </row>
    <row r="285" spans="1:14">
      <c r="A285" s="15">
        <v>6</v>
      </c>
      <c r="B285" s="78">
        <v>39308</v>
      </c>
      <c r="C285" s="15">
        <v>2007</v>
      </c>
      <c r="D285" s="11" t="s">
        <v>34</v>
      </c>
      <c r="E285" s="15">
        <v>8</v>
      </c>
      <c r="F285" s="14">
        <v>15.651999999999999</v>
      </c>
      <c r="G285" s="14">
        <v>9.9989999999999996E-4</v>
      </c>
    </row>
    <row r="286" spans="1:14">
      <c r="A286" s="15">
        <v>8</v>
      </c>
      <c r="B286" s="78">
        <v>39308</v>
      </c>
      <c r="C286" s="15">
        <v>2007</v>
      </c>
      <c r="D286" s="11" t="s">
        <v>34</v>
      </c>
      <c r="E286" s="15">
        <v>8</v>
      </c>
      <c r="F286" s="14">
        <v>10.67</v>
      </c>
      <c r="G286" s="14">
        <v>9.9999000000000008E-4</v>
      </c>
    </row>
    <row r="287" spans="1:14">
      <c r="A287" s="15">
        <v>15</v>
      </c>
      <c r="B287" s="78">
        <v>39308</v>
      </c>
      <c r="C287" s="15">
        <v>2007</v>
      </c>
      <c r="D287" s="11" t="s">
        <v>34</v>
      </c>
      <c r="E287" s="15">
        <v>8</v>
      </c>
      <c r="F287" s="14">
        <v>9.2789999999999999</v>
      </c>
      <c r="G287" s="14">
        <v>9.9999000000000008E-4</v>
      </c>
      <c r="I287" s="18">
        <f>AVERAGE(F285:F287)</f>
        <v>11.866999999999999</v>
      </c>
      <c r="J287" s="18">
        <f>AVERAGE(G285:G287)</f>
        <v>9.9996000000000004E-4</v>
      </c>
      <c r="L287">
        <f>+J287/I287</f>
        <v>8.4263925170641285E-5</v>
      </c>
      <c r="M287">
        <f>+(L287-$L$927)/$L$928</f>
        <v>-0.43773209827149534</v>
      </c>
      <c r="N287">
        <f>+N284+M287</f>
        <v>13.844379315834829</v>
      </c>
    </row>
    <row r="288" spans="1:14">
      <c r="A288" s="15">
        <v>6</v>
      </c>
      <c r="B288" s="78">
        <v>39336</v>
      </c>
      <c r="C288" s="15">
        <v>2007</v>
      </c>
      <c r="D288" s="11" t="s">
        <v>40</v>
      </c>
      <c r="E288" s="15">
        <v>9</v>
      </c>
      <c r="F288" s="14">
        <v>12.808</v>
      </c>
      <c r="G288" s="14">
        <v>9.9989999999999996E-4</v>
      </c>
    </row>
    <row r="289" spans="1:14">
      <c r="A289" s="15">
        <v>8</v>
      </c>
      <c r="B289" s="78">
        <v>39335</v>
      </c>
      <c r="C289" s="15">
        <v>2007</v>
      </c>
      <c r="D289" s="11" t="s">
        <v>40</v>
      </c>
      <c r="E289" s="15">
        <v>9</v>
      </c>
      <c r="F289" s="14">
        <v>5.8520000000000003</v>
      </c>
      <c r="G289" s="14">
        <v>9.9989999999999996E-4</v>
      </c>
    </row>
    <row r="290" spans="1:14">
      <c r="A290" s="15">
        <v>15</v>
      </c>
      <c r="B290" s="78">
        <v>39335</v>
      </c>
      <c r="C290" s="15">
        <v>2007</v>
      </c>
      <c r="D290" s="11" t="s">
        <v>40</v>
      </c>
      <c r="E290" s="15">
        <v>9</v>
      </c>
      <c r="F290" s="14">
        <v>8.2789999999999999</v>
      </c>
      <c r="G290" s="14">
        <v>9.9989999999999996E-4</v>
      </c>
      <c r="I290" s="18">
        <f>AVERAGE(F288:F290)</f>
        <v>8.9796666666666667</v>
      </c>
      <c r="J290" s="18">
        <f>AVERAGE(G288:G290)</f>
        <v>9.9989999999999996E-4</v>
      </c>
      <c r="L290">
        <f>+J290/I290</f>
        <v>1.1135157207023275E-4</v>
      </c>
      <c r="M290">
        <f>+(L290-$L$927)/$L$928</f>
        <v>-0.43710367877788631</v>
      </c>
      <c r="N290">
        <f>+N287+M290</f>
        <v>13.407275637056943</v>
      </c>
    </row>
    <row r="291" spans="1:14">
      <c r="A291" s="15">
        <v>6</v>
      </c>
      <c r="B291" s="78">
        <v>39370</v>
      </c>
      <c r="C291" s="15">
        <v>2007</v>
      </c>
      <c r="D291" s="11" t="s">
        <v>36</v>
      </c>
      <c r="E291" s="15">
        <v>10</v>
      </c>
      <c r="F291" s="14">
        <v>7.6589999999999998</v>
      </c>
      <c r="G291" s="14">
        <v>4.2999999999999997E-2</v>
      </c>
    </row>
    <row r="292" spans="1:14">
      <c r="A292" s="15">
        <v>8</v>
      </c>
      <c r="B292" s="78">
        <v>39370</v>
      </c>
      <c r="C292" s="15">
        <v>2007</v>
      </c>
      <c r="D292" s="11" t="s">
        <v>36</v>
      </c>
      <c r="E292" s="15">
        <v>10</v>
      </c>
      <c r="F292" s="14">
        <v>1.9419999999999999</v>
      </c>
      <c r="G292" s="14">
        <v>9.9989999999999996E-4</v>
      </c>
    </row>
    <row r="293" spans="1:14">
      <c r="A293" s="15">
        <v>15</v>
      </c>
      <c r="B293" s="78">
        <v>39370</v>
      </c>
      <c r="C293" s="15">
        <v>2007</v>
      </c>
      <c r="D293" s="11" t="s">
        <v>36</v>
      </c>
      <c r="E293" s="15">
        <v>10</v>
      </c>
      <c r="F293" s="14">
        <v>6.4880000000000004</v>
      </c>
      <c r="G293" s="14">
        <v>9.9989999999999996E-4</v>
      </c>
      <c r="I293" s="18">
        <f>AVERAGE(F291:F293)</f>
        <v>5.3629999999999995</v>
      </c>
      <c r="J293" s="18">
        <f>AVERAGE(G291:G293)</f>
        <v>1.4999933333333331E-2</v>
      </c>
      <c r="L293">
        <f>+J293/I293</f>
        <v>2.7969295792156131E-3</v>
      </c>
      <c r="M293">
        <f>+(L293-$L$927)/$L$928</f>
        <v>-0.37479964854765702</v>
      </c>
      <c r="N293">
        <f>+N290+M293</f>
        <v>13.032475988509285</v>
      </c>
    </row>
    <row r="294" spans="1:14">
      <c r="A294" s="15">
        <v>6</v>
      </c>
      <c r="B294" s="78">
        <v>39400</v>
      </c>
      <c r="C294" s="15">
        <v>2007</v>
      </c>
      <c r="D294" s="11" t="s">
        <v>37</v>
      </c>
      <c r="E294" s="15">
        <v>11</v>
      </c>
      <c r="F294" s="14">
        <v>4.7519999999999998</v>
      </c>
      <c r="G294" s="14">
        <v>0.14899999999999999</v>
      </c>
    </row>
    <row r="295" spans="1:14">
      <c r="A295" s="15">
        <v>8</v>
      </c>
      <c r="B295" s="78">
        <v>39400</v>
      </c>
      <c r="C295" s="15">
        <v>2007</v>
      </c>
      <c r="D295" s="11" t="s">
        <v>37</v>
      </c>
      <c r="E295" s="15">
        <v>11</v>
      </c>
      <c r="F295" s="14">
        <v>0.77700000000000002</v>
      </c>
      <c r="G295" s="14">
        <v>9.9989999999999996E-4</v>
      </c>
    </row>
    <row r="296" spans="1:14">
      <c r="A296" s="15">
        <v>15</v>
      </c>
      <c r="B296" s="78">
        <v>39400</v>
      </c>
      <c r="C296" s="15">
        <v>2007</v>
      </c>
      <c r="D296" s="11" t="s">
        <v>37</v>
      </c>
      <c r="E296" s="15">
        <v>11</v>
      </c>
      <c r="F296" s="14">
        <v>5.4020000000000001</v>
      </c>
      <c r="G296" s="14">
        <v>9.9989999999999996E-4</v>
      </c>
      <c r="I296" s="18">
        <f>AVERAGE(F294:F296)</f>
        <v>3.6436666666666668</v>
      </c>
      <c r="J296" s="18">
        <f>AVERAGE(G294:G296)</f>
        <v>5.0333266666666661E-2</v>
      </c>
      <c r="L296">
        <f>+J296/I296</f>
        <v>1.3813905406641659E-2</v>
      </c>
      <c r="M296">
        <f>+(L296-$L$927)/$L$928</f>
        <v>-0.1192114685836481</v>
      </c>
      <c r="N296">
        <f>+N293+M296</f>
        <v>12.913264519925637</v>
      </c>
    </row>
    <row r="297" spans="1:14">
      <c r="A297" s="15">
        <v>6</v>
      </c>
      <c r="B297" s="78">
        <v>39427</v>
      </c>
      <c r="C297" s="15">
        <v>2007</v>
      </c>
      <c r="D297" s="11" t="s">
        <v>38</v>
      </c>
      <c r="E297" s="15">
        <v>12</v>
      </c>
      <c r="F297" s="14">
        <v>2.9740000000000002</v>
      </c>
      <c r="G297" s="14">
        <v>9.9989999999999996E-4</v>
      </c>
    </row>
    <row r="298" spans="1:14">
      <c r="A298" s="15">
        <v>8</v>
      </c>
      <c r="B298" s="78">
        <v>39434</v>
      </c>
      <c r="C298" s="15">
        <v>2007</v>
      </c>
      <c r="D298" s="11" t="s">
        <v>38</v>
      </c>
      <c r="E298" s="15">
        <v>12</v>
      </c>
      <c r="F298" s="14">
        <v>5.484</v>
      </c>
      <c r="G298" s="14">
        <v>9.9989999999999996E-4</v>
      </c>
    </row>
    <row r="299" spans="1:14">
      <c r="A299" s="15">
        <v>15</v>
      </c>
      <c r="B299" s="78">
        <v>39434</v>
      </c>
      <c r="C299" s="15">
        <v>2007</v>
      </c>
      <c r="D299" s="11" t="s">
        <v>38</v>
      </c>
      <c r="E299" s="15">
        <v>12</v>
      </c>
      <c r="F299" s="14">
        <v>8.7189999999999994</v>
      </c>
      <c r="G299" s="14">
        <v>9.9989999999999996E-4</v>
      </c>
      <c r="I299" s="18">
        <f>AVERAGE(F297:F299)</f>
        <v>5.7256666666666662</v>
      </c>
      <c r="J299" s="18">
        <f>AVERAGE(G297:G299)</f>
        <v>9.9989999999999996E-4</v>
      </c>
      <c r="L299">
        <f>+J299/I299</f>
        <v>1.7463468591721488E-4</v>
      </c>
      <c r="M299">
        <f>+(L299-$L$927)/$L$928</f>
        <v>-0.4356355430440908</v>
      </c>
      <c r="N299">
        <f>+N296+M299</f>
        <v>12.477628976881546</v>
      </c>
    </row>
    <row r="300" spans="1:14">
      <c r="A300" s="15">
        <v>6</v>
      </c>
      <c r="B300" s="78">
        <v>39462</v>
      </c>
      <c r="C300" s="15">
        <v>2008</v>
      </c>
      <c r="D300" s="11" t="s">
        <v>39</v>
      </c>
      <c r="E300" s="15">
        <v>1</v>
      </c>
      <c r="F300" s="23">
        <v>4.6150000000000002</v>
      </c>
      <c r="G300" s="23">
        <v>9.9989999999999996E-4</v>
      </c>
    </row>
    <row r="301" spans="1:14">
      <c r="A301" s="15">
        <v>8</v>
      </c>
      <c r="B301" s="78">
        <v>39463</v>
      </c>
      <c r="C301" s="15">
        <v>2008</v>
      </c>
      <c r="D301" s="11" t="s">
        <v>39</v>
      </c>
      <c r="E301" s="15">
        <v>1</v>
      </c>
      <c r="F301" s="23">
        <v>1.212</v>
      </c>
      <c r="G301" s="23">
        <v>9.9989999999999996E-4</v>
      </c>
    </row>
    <row r="302" spans="1:14">
      <c r="A302" s="15">
        <v>15</v>
      </c>
      <c r="B302" s="78">
        <v>39463</v>
      </c>
      <c r="C302" s="15">
        <v>2008</v>
      </c>
      <c r="D302" s="11" t="s">
        <v>39</v>
      </c>
      <c r="E302" s="15">
        <v>1</v>
      </c>
      <c r="F302" s="23">
        <v>5.5389999999999997</v>
      </c>
      <c r="G302" s="23">
        <v>9.9989999999999996E-4</v>
      </c>
      <c r="I302" s="18">
        <f>AVERAGE(F300:F302)</f>
        <v>3.7886666666666664</v>
      </c>
      <c r="J302" s="18">
        <f>AVERAGE(G300:G302)</f>
        <v>9.9989999999999996E-4</v>
      </c>
      <c r="L302">
        <f>+J302/I302</f>
        <v>2.6391870490937884E-4</v>
      </c>
      <c r="M302">
        <f>+(L302-$L$927)/$L$928</f>
        <v>-0.43356419966714788</v>
      </c>
      <c r="N302">
        <f>+N299+M302</f>
        <v>12.044064777214398</v>
      </c>
    </row>
    <row r="303" spans="1:14">
      <c r="A303" s="15">
        <v>6</v>
      </c>
      <c r="B303" s="78">
        <v>39490</v>
      </c>
      <c r="C303" s="15">
        <v>2008</v>
      </c>
      <c r="D303" s="11" t="s">
        <v>28</v>
      </c>
      <c r="E303" s="15">
        <v>2</v>
      </c>
      <c r="F303" s="23">
        <v>3.996</v>
      </c>
      <c r="G303" s="23">
        <v>9.7000000000000003E-2</v>
      </c>
    </row>
    <row r="304" spans="1:14">
      <c r="A304" s="15">
        <v>8</v>
      </c>
      <c r="B304" s="78">
        <v>39493</v>
      </c>
      <c r="C304" s="15">
        <v>2008</v>
      </c>
      <c r="D304" s="11" t="s">
        <v>28</v>
      </c>
      <c r="E304" s="15">
        <v>2</v>
      </c>
      <c r="F304" s="23">
        <v>1.27</v>
      </c>
      <c r="G304" s="23">
        <v>9.9989999999999996E-4</v>
      </c>
    </row>
    <row r="305" spans="1:14">
      <c r="A305" s="15">
        <v>15</v>
      </c>
      <c r="B305" s="78">
        <v>39493</v>
      </c>
      <c r="C305" s="15">
        <v>2008</v>
      </c>
      <c r="D305" s="11" t="s">
        <v>28</v>
      </c>
      <c r="E305" s="15">
        <v>2</v>
      </c>
      <c r="F305" s="23">
        <v>4.3520000000000003</v>
      </c>
      <c r="G305" s="23">
        <v>9.9989999999999996E-4</v>
      </c>
      <c r="I305" s="18">
        <f>AVERAGE(F303:F305)</f>
        <v>3.206</v>
      </c>
      <c r="J305" s="18">
        <f>AVERAGE(G303:G305)</f>
        <v>3.2999933333333335E-2</v>
      </c>
      <c r="L305">
        <f>+J305/I305</f>
        <v>1.0293179455188189E-2</v>
      </c>
      <c r="M305">
        <f>+(L305-$L$927)/$L$928</f>
        <v>-0.20089050212059326</v>
      </c>
      <c r="N305">
        <f>+N302+M305</f>
        <v>11.843174275093805</v>
      </c>
    </row>
    <row r="306" spans="1:14">
      <c r="A306" s="15">
        <v>6</v>
      </c>
      <c r="B306" s="78">
        <v>39517</v>
      </c>
      <c r="C306" s="15">
        <v>2008</v>
      </c>
      <c r="D306" s="11" t="s">
        <v>29</v>
      </c>
      <c r="E306" s="15">
        <v>3</v>
      </c>
      <c r="F306" s="24">
        <v>2.3260000000000001</v>
      </c>
      <c r="G306" s="23">
        <v>2.7E-2</v>
      </c>
    </row>
    <row r="307" spans="1:14">
      <c r="A307" s="15">
        <v>8</v>
      </c>
      <c r="B307" s="78">
        <v>39517</v>
      </c>
      <c r="C307" s="15">
        <v>2008</v>
      </c>
      <c r="D307" s="11" t="s">
        <v>29</v>
      </c>
      <c r="E307" s="15">
        <v>3</v>
      </c>
      <c r="F307" s="24">
        <v>1.3839999999999999</v>
      </c>
      <c r="G307" s="23">
        <v>9.9989999999999996E-4</v>
      </c>
    </row>
    <row r="308" spans="1:14">
      <c r="A308" s="15">
        <v>15</v>
      </c>
      <c r="B308" s="78">
        <v>39517</v>
      </c>
      <c r="C308" s="15">
        <v>2008</v>
      </c>
      <c r="D308" s="11" t="s">
        <v>29</v>
      </c>
      <c r="E308" s="15">
        <v>3</v>
      </c>
      <c r="F308" s="24">
        <v>2.589</v>
      </c>
      <c r="G308" s="23">
        <v>9.9989999999999996E-4</v>
      </c>
      <c r="I308" s="18">
        <f>AVERAGE(F306:F308)</f>
        <v>2.0996666666666663</v>
      </c>
      <c r="J308" s="18">
        <f>AVERAGE(G306:G308)</f>
        <v>9.6666000000000009E-3</v>
      </c>
      <c r="L308">
        <f>+J308/I308</f>
        <v>4.6038736307350385E-3</v>
      </c>
      <c r="M308">
        <f>+(L308-$L$927)/$L$928</f>
        <v>-0.33287947474869689</v>
      </c>
      <c r="N308">
        <f>+N305+M308</f>
        <v>11.510294800345108</v>
      </c>
    </row>
    <row r="309" spans="1:14">
      <c r="A309" s="15">
        <v>6</v>
      </c>
      <c r="B309" s="78">
        <v>39553</v>
      </c>
      <c r="C309" s="15">
        <v>2008</v>
      </c>
      <c r="D309" s="11" t="s">
        <v>30</v>
      </c>
      <c r="E309" s="15">
        <v>4</v>
      </c>
      <c r="F309" s="24">
        <v>3.3140000000000001</v>
      </c>
      <c r="G309" s="23">
        <v>0.255</v>
      </c>
    </row>
    <row r="310" spans="1:14">
      <c r="A310" s="15">
        <v>8</v>
      </c>
      <c r="B310" s="78">
        <v>39552</v>
      </c>
      <c r="C310" s="15">
        <v>2008</v>
      </c>
      <c r="D310" s="11" t="s">
        <v>30</v>
      </c>
      <c r="E310" s="15">
        <v>4</v>
      </c>
      <c r="F310" s="24">
        <v>1.2050000000000001</v>
      </c>
      <c r="G310" s="23">
        <v>9.9989999999999996E-4</v>
      </c>
    </row>
    <row r="311" spans="1:14">
      <c r="A311" s="15">
        <v>15</v>
      </c>
      <c r="B311" s="78">
        <v>39552</v>
      </c>
      <c r="C311" s="15">
        <v>2008</v>
      </c>
      <c r="D311" s="11" t="s">
        <v>30</v>
      </c>
      <c r="E311" s="15">
        <v>4</v>
      </c>
      <c r="F311" s="24">
        <v>4.49</v>
      </c>
      <c r="G311" s="23">
        <v>0.254</v>
      </c>
      <c r="I311" s="18">
        <f>AVERAGE(F309:F311)</f>
        <v>3.0030000000000001</v>
      </c>
      <c r="J311" s="18">
        <f>AVERAGE(G309:G311)</f>
        <v>0.16999996666666664</v>
      </c>
      <c r="L311">
        <f>+J311/I311</f>
        <v>5.6610045510045497E-2</v>
      </c>
      <c r="M311">
        <f>+(L311-$L$927)/$L$928</f>
        <v>0.87363699816925255</v>
      </c>
      <c r="N311">
        <f>+N308+M311</f>
        <v>12.383931798514361</v>
      </c>
    </row>
    <row r="312" spans="1:14">
      <c r="A312" s="15">
        <v>6</v>
      </c>
      <c r="B312" s="78">
        <v>39582</v>
      </c>
      <c r="C312" s="15">
        <v>2008</v>
      </c>
      <c r="D312" s="11" t="s">
        <v>31</v>
      </c>
      <c r="E312" s="15">
        <v>5</v>
      </c>
      <c r="F312" s="24">
        <v>2.105</v>
      </c>
      <c r="G312" s="23">
        <v>5.8000000000000003E-2</v>
      </c>
    </row>
    <row r="313" spans="1:14">
      <c r="A313" s="15">
        <v>8</v>
      </c>
      <c r="B313" s="78">
        <v>39583</v>
      </c>
      <c r="C313" s="15">
        <v>2008</v>
      </c>
      <c r="D313" s="11" t="s">
        <v>31</v>
      </c>
      <c r="E313" s="15">
        <v>5</v>
      </c>
      <c r="F313" s="24">
        <v>2.3159999999999998</v>
      </c>
      <c r="G313" s="23">
        <v>5.6000000000000001E-2</v>
      </c>
    </row>
    <row r="314" spans="1:14">
      <c r="A314" s="15">
        <v>15</v>
      </c>
      <c r="B314" s="78">
        <v>39583</v>
      </c>
      <c r="C314" s="15">
        <v>2008</v>
      </c>
      <c r="D314" s="11" t="s">
        <v>31</v>
      </c>
      <c r="E314" s="15">
        <v>5</v>
      </c>
      <c r="F314" s="24">
        <v>7.4509999999999996</v>
      </c>
      <c r="G314" s="23">
        <v>0.625</v>
      </c>
      <c r="I314" s="18">
        <f>AVERAGE(F312:F314)</f>
        <v>3.9573333333333331</v>
      </c>
      <c r="J314" s="18">
        <f>AVERAGE(G312:G314)</f>
        <v>0.24633333333333332</v>
      </c>
      <c r="L314">
        <f>+J314/I314</f>
        <v>6.2247304582210242E-2</v>
      </c>
      <c r="M314">
        <f>+(L314-$L$927)/$L$928</f>
        <v>1.0044185128797927</v>
      </c>
      <c r="N314">
        <f>+N311+M314</f>
        <v>13.388350311394154</v>
      </c>
    </row>
    <row r="315" spans="1:14">
      <c r="A315" s="15">
        <v>6</v>
      </c>
      <c r="B315" s="78">
        <v>39616</v>
      </c>
      <c r="C315" s="15">
        <v>2008</v>
      </c>
      <c r="D315" s="11" t="s">
        <v>32</v>
      </c>
      <c r="E315" s="15">
        <v>6</v>
      </c>
      <c r="F315" s="24">
        <v>7.9009999999999998</v>
      </c>
      <c r="G315" s="23">
        <v>9.9989999999999996E-4</v>
      </c>
    </row>
    <row r="316" spans="1:14">
      <c r="A316" s="15">
        <v>8</v>
      </c>
      <c r="B316" s="78">
        <v>39617</v>
      </c>
      <c r="C316" s="15">
        <v>2008</v>
      </c>
      <c r="D316" s="11" t="s">
        <v>32</v>
      </c>
      <c r="E316" s="15">
        <v>6</v>
      </c>
      <c r="F316" s="24">
        <v>2.8180000000000001</v>
      </c>
      <c r="G316" s="23">
        <v>9.9989999999999996E-4</v>
      </c>
    </row>
    <row r="317" spans="1:14">
      <c r="A317" s="15">
        <v>15</v>
      </c>
      <c r="B317" s="78">
        <v>39617</v>
      </c>
      <c r="C317" s="15">
        <v>2008</v>
      </c>
      <c r="D317" s="11" t="s">
        <v>32</v>
      </c>
      <c r="E317" s="15">
        <v>6</v>
      </c>
      <c r="F317" s="24">
        <v>4.1379999999999999</v>
      </c>
      <c r="G317" s="23">
        <v>9.9989999999999996E-4</v>
      </c>
      <c r="I317" s="18">
        <f>AVERAGE(F315:F317)</f>
        <v>4.9523333333333328</v>
      </c>
      <c r="J317" s="18">
        <f>AVERAGE(G315:G317)</f>
        <v>9.9989999999999996E-4</v>
      </c>
      <c r="L317">
        <f>+J317/I317</f>
        <v>2.0190482600794239E-4</v>
      </c>
      <c r="M317">
        <f>+(L317-$L$927)/$L$928</f>
        <v>-0.43500288980219104</v>
      </c>
      <c r="N317">
        <f>+N314+M317</f>
        <v>12.953347421591962</v>
      </c>
    </row>
    <row r="318" spans="1:14">
      <c r="A318" s="15">
        <v>6</v>
      </c>
      <c r="B318" s="78">
        <v>39644</v>
      </c>
      <c r="C318" s="15">
        <v>2008</v>
      </c>
      <c r="D318" s="11" t="s">
        <v>33</v>
      </c>
      <c r="E318" s="15">
        <v>7</v>
      </c>
      <c r="F318" s="24">
        <v>6.5490000000000004</v>
      </c>
      <c r="G318" s="23">
        <v>3.9E-2</v>
      </c>
    </row>
    <row r="319" spans="1:14">
      <c r="A319" s="15">
        <v>8</v>
      </c>
      <c r="B319" s="78">
        <v>39645</v>
      </c>
      <c r="C319" s="15">
        <v>2008</v>
      </c>
      <c r="D319" s="11" t="s">
        <v>33</v>
      </c>
      <c r="E319" s="15">
        <v>7</v>
      </c>
      <c r="F319" s="24">
        <v>3.5419999999999998</v>
      </c>
      <c r="G319" s="23">
        <v>9.9989999999999996E-4</v>
      </c>
    </row>
    <row r="320" spans="1:14">
      <c r="A320" s="15">
        <v>15</v>
      </c>
      <c r="B320" s="78">
        <v>39645</v>
      </c>
      <c r="C320" s="15">
        <v>2008</v>
      </c>
      <c r="D320" s="11" t="s">
        <v>33</v>
      </c>
      <c r="E320" s="15">
        <v>7</v>
      </c>
      <c r="F320" s="24">
        <v>4.4009999999999998</v>
      </c>
      <c r="G320" s="23">
        <v>3.2000000000000001E-2</v>
      </c>
      <c r="I320" s="18">
        <f>AVERAGE(F318:F320)</f>
        <v>4.8306666666666667</v>
      </c>
      <c r="J320" s="18">
        <f>AVERAGE(G318:G320)</f>
        <v>2.3999966666666667E-2</v>
      </c>
      <c r="L320">
        <f>+J320/I320</f>
        <v>4.9682514490753523E-3</v>
      </c>
      <c r="M320">
        <f>+(L320-$L$927)/$L$928</f>
        <v>-0.32442609653786209</v>
      </c>
      <c r="N320">
        <f>+N317+M320</f>
        <v>12.628921325054099</v>
      </c>
    </row>
    <row r="321" spans="1:14">
      <c r="A321" s="15">
        <v>6</v>
      </c>
      <c r="B321" s="78">
        <v>39672</v>
      </c>
      <c r="C321" s="15">
        <v>2008</v>
      </c>
      <c r="D321" s="11" t="s">
        <v>34</v>
      </c>
      <c r="E321" s="15">
        <v>8</v>
      </c>
      <c r="F321" s="24">
        <v>6.8209999999999997</v>
      </c>
      <c r="G321" s="23">
        <v>9.9989999999999996E-4</v>
      </c>
    </row>
    <row r="322" spans="1:14">
      <c r="A322" s="15">
        <v>8</v>
      </c>
      <c r="B322" s="78">
        <v>39672</v>
      </c>
      <c r="C322" s="15">
        <v>2008</v>
      </c>
      <c r="D322" s="11" t="s">
        <v>34</v>
      </c>
      <c r="E322" s="15">
        <v>8</v>
      </c>
      <c r="F322" s="24">
        <v>7.8410000000000002</v>
      </c>
      <c r="G322" s="23">
        <v>9.9989999999999996E-4</v>
      </c>
    </row>
    <row r="323" spans="1:14">
      <c r="A323" s="15">
        <v>15</v>
      </c>
      <c r="B323" s="78">
        <v>39672</v>
      </c>
      <c r="C323" s="15">
        <v>2008</v>
      </c>
      <c r="D323" s="11" t="s">
        <v>34</v>
      </c>
      <c r="E323" s="15">
        <v>8</v>
      </c>
      <c r="F323" s="24">
        <v>4.0529999999999999</v>
      </c>
      <c r="G323" s="23">
        <v>9.9989999999999996E-4</v>
      </c>
      <c r="I323" s="18">
        <f>AVERAGE(F321:F323)</f>
        <v>6.2383333333333333</v>
      </c>
      <c r="J323" s="18">
        <f>AVERAGE(G321:G323)</f>
        <v>9.9989999999999996E-4</v>
      </c>
      <c r="L323">
        <f>+J323/I323</f>
        <v>1.602831952978894E-4</v>
      </c>
      <c r="M323">
        <f>+(L323-$L$927)/$L$928</f>
        <v>-0.43596849025434359</v>
      </c>
      <c r="N323">
        <f>+N320+M323</f>
        <v>12.192952834799756</v>
      </c>
    </row>
    <row r="324" spans="1:14">
      <c r="A324" s="15">
        <v>6</v>
      </c>
      <c r="B324" s="78">
        <v>39709</v>
      </c>
      <c r="C324" s="15">
        <v>2008</v>
      </c>
      <c r="D324" s="11" t="s">
        <v>40</v>
      </c>
      <c r="E324" s="15">
        <v>9</v>
      </c>
      <c r="F324" s="23">
        <v>18.856000000000002</v>
      </c>
      <c r="G324" s="23">
        <v>2.1429999999999998</v>
      </c>
    </row>
    <row r="325" spans="1:14">
      <c r="A325" s="15">
        <v>8</v>
      </c>
      <c r="B325" s="78">
        <v>39709</v>
      </c>
      <c r="C325" s="15">
        <v>2008</v>
      </c>
      <c r="D325" s="11" t="s">
        <v>40</v>
      </c>
      <c r="E325" s="15">
        <v>9</v>
      </c>
      <c r="F325" s="23">
        <v>4.0910000000000002</v>
      </c>
      <c r="G325" s="23">
        <v>0.13200000000000001</v>
      </c>
    </row>
    <row r="326" spans="1:14">
      <c r="A326" s="15">
        <v>15</v>
      </c>
      <c r="B326" s="78">
        <v>39709</v>
      </c>
      <c r="C326" s="15">
        <v>2008</v>
      </c>
      <c r="D326" s="11" t="s">
        <v>40</v>
      </c>
      <c r="E326" s="15">
        <v>9</v>
      </c>
      <c r="F326" s="23">
        <v>9.84</v>
      </c>
      <c r="G326" s="23">
        <v>9.9989999999999996E-4</v>
      </c>
      <c r="I326" s="18">
        <f>AVERAGE(F324:F326)</f>
        <v>10.929000000000002</v>
      </c>
      <c r="J326" s="18">
        <f>AVERAGE(G324:G326)</f>
        <v>0.75866663333333328</v>
      </c>
      <c r="L326">
        <f>+J326/I326</f>
        <v>6.9417753987861028E-2</v>
      </c>
      <c r="M326">
        <f>+(L326-$L$927)/$L$928</f>
        <v>1.1707692557535267</v>
      </c>
      <c r="N326">
        <f>+N323+M326</f>
        <v>13.363722090553283</v>
      </c>
    </row>
    <row r="327" spans="1:14">
      <c r="A327" s="15">
        <v>6</v>
      </c>
      <c r="B327" s="78">
        <v>39737</v>
      </c>
      <c r="C327" s="15">
        <v>2008</v>
      </c>
      <c r="D327" s="11" t="s">
        <v>36</v>
      </c>
      <c r="E327" s="15">
        <v>10</v>
      </c>
      <c r="F327" s="23">
        <v>8.9269999999999996</v>
      </c>
      <c r="G327" s="23">
        <v>0.86399999999999999</v>
      </c>
    </row>
    <row r="328" spans="1:14">
      <c r="A328" s="15">
        <v>8</v>
      </c>
      <c r="B328" s="78">
        <v>39735</v>
      </c>
      <c r="C328" s="15">
        <v>2008</v>
      </c>
      <c r="D328" s="11" t="s">
        <v>36</v>
      </c>
      <c r="E328" s="15">
        <v>10</v>
      </c>
      <c r="F328" s="23">
        <v>10.298</v>
      </c>
      <c r="G328" s="23">
        <v>1.2150000000000001</v>
      </c>
    </row>
    <row r="329" spans="1:14">
      <c r="A329" s="15">
        <v>15</v>
      </c>
      <c r="B329" s="78">
        <v>39735</v>
      </c>
      <c r="C329" s="15">
        <v>2008</v>
      </c>
      <c r="D329" s="11" t="s">
        <v>36</v>
      </c>
      <c r="E329" s="15">
        <v>10</v>
      </c>
      <c r="F329" s="23">
        <v>2.0609999999999999</v>
      </c>
      <c r="G329" s="23">
        <v>9.9989999999999996E-4</v>
      </c>
      <c r="I329" s="18">
        <f>AVERAGE(F327:F329)</f>
        <v>7.0953333333333335</v>
      </c>
      <c r="J329" s="18">
        <f>AVERAGE(G327:G329)</f>
        <v>0.69333330000000004</v>
      </c>
      <c r="L329">
        <f>+J329/I329</f>
        <v>9.7716804472423188E-2</v>
      </c>
      <c r="M329">
        <f>+(L329-$L$927)/$L$928</f>
        <v>1.8272926902565783</v>
      </c>
      <c r="N329">
        <f>+N326+M329</f>
        <v>15.191014780809862</v>
      </c>
    </row>
    <row r="330" spans="1:14">
      <c r="A330" s="15">
        <v>6</v>
      </c>
      <c r="B330" s="78">
        <v>39763</v>
      </c>
      <c r="C330" s="15">
        <v>2008</v>
      </c>
      <c r="D330" s="11" t="s">
        <v>37</v>
      </c>
      <c r="E330" s="15">
        <v>11</v>
      </c>
      <c r="F330" s="23">
        <v>2.73</v>
      </c>
      <c r="G330" s="23">
        <v>9.9989999999999996E-4</v>
      </c>
    </row>
    <row r="331" spans="1:14">
      <c r="A331" s="15">
        <v>8</v>
      </c>
      <c r="B331" s="78">
        <v>39769</v>
      </c>
      <c r="C331" s="15">
        <v>2008</v>
      </c>
      <c r="D331" s="11" t="s">
        <v>37</v>
      </c>
      <c r="E331" s="15">
        <v>11</v>
      </c>
      <c r="F331" s="23">
        <v>0.91900000000000004</v>
      </c>
      <c r="G331" s="23">
        <v>8.0000000000000002E-3</v>
      </c>
    </row>
    <row r="332" spans="1:14">
      <c r="A332" s="15">
        <v>15</v>
      </c>
      <c r="B332" s="78">
        <v>39769</v>
      </c>
      <c r="C332" s="15">
        <v>2008</v>
      </c>
      <c r="D332" s="11" t="s">
        <v>37</v>
      </c>
      <c r="E332" s="15">
        <v>11</v>
      </c>
      <c r="F332" s="23">
        <v>3.798</v>
      </c>
      <c r="G332" s="23">
        <v>0.05</v>
      </c>
      <c r="I332" s="18">
        <f>AVERAGE(F330:F332)</f>
        <v>2.4823333333333335</v>
      </c>
      <c r="J332" s="18">
        <f>AVERAGE(G330:G332)</f>
        <v>1.9666633333333332E-2</v>
      </c>
      <c r="L332">
        <f>+J332/I332</f>
        <v>7.9226399892574177E-3</v>
      </c>
      <c r="M332">
        <f>+(L332-$L$927)/$L$928</f>
        <v>-0.25588580002456029</v>
      </c>
      <c r="N332">
        <f>+N329+M332</f>
        <v>14.935128980785302</v>
      </c>
    </row>
    <row r="333" spans="1:14">
      <c r="A333" s="15">
        <v>6</v>
      </c>
      <c r="B333" s="78">
        <v>39797</v>
      </c>
      <c r="C333" s="15">
        <v>2008</v>
      </c>
      <c r="D333" s="11" t="s">
        <v>38</v>
      </c>
      <c r="E333" s="15">
        <v>12</v>
      </c>
      <c r="F333" s="23">
        <v>3.5739999999999998</v>
      </c>
      <c r="G333" s="23">
        <v>9.9989999999999996E-4</v>
      </c>
    </row>
    <row r="334" spans="1:14">
      <c r="A334" s="15">
        <v>8</v>
      </c>
      <c r="B334" s="78">
        <v>39797</v>
      </c>
      <c r="C334" s="15">
        <v>2008</v>
      </c>
      <c r="D334" s="11" t="s">
        <v>38</v>
      </c>
      <c r="E334" s="15">
        <v>12</v>
      </c>
      <c r="F334" s="23">
        <v>0.628</v>
      </c>
      <c r="G334" s="23">
        <v>9.9989999999999996E-4</v>
      </c>
    </row>
    <row r="335" spans="1:14">
      <c r="A335" s="15">
        <v>15</v>
      </c>
      <c r="B335" s="78">
        <v>39797</v>
      </c>
      <c r="C335" s="15">
        <v>2008</v>
      </c>
      <c r="D335" s="11" t="s">
        <v>38</v>
      </c>
      <c r="E335" s="15">
        <v>12</v>
      </c>
      <c r="F335" s="23">
        <v>2.6560000000000001</v>
      </c>
      <c r="G335" s="23">
        <v>9.9989999999999996E-4</v>
      </c>
      <c r="I335" s="18">
        <f>AVERAGE(F333:F335)</f>
        <v>2.286</v>
      </c>
      <c r="J335" s="18">
        <f>AVERAGE(G333:G335)</f>
        <v>9.9989999999999996E-4</v>
      </c>
      <c r="L335">
        <f>+J335/I335</f>
        <v>4.374015748031496E-4</v>
      </c>
      <c r="M335">
        <f>+(L335-$L$927)/$L$928</f>
        <v>-0.42953948620079901</v>
      </c>
      <c r="N335">
        <f>+N332+M335</f>
        <v>14.505589494584504</v>
      </c>
    </row>
    <row r="336" spans="1:14">
      <c r="A336" s="15">
        <v>6</v>
      </c>
      <c r="B336" s="78">
        <v>39825</v>
      </c>
      <c r="C336" s="15">
        <v>2009</v>
      </c>
      <c r="D336" s="11" t="s">
        <v>39</v>
      </c>
      <c r="E336" s="12">
        <v>1</v>
      </c>
      <c r="F336" s="23">
        <v>5.0339999999999998</v>
      </c>
      <c r="G336" s="23">
        <v>9.9989999999999996E-4</v>
      </c>
    </row>
    <row r="337" spans="1:14">
      <c r="A337" s="15">
        <v>8</v>
      </c>
      <c r="B337" s="78">
        <v>39826</v>
      </c>
      <c r="C337" s="15">
        <v>2009</v>
      </c>
      <c r="D337" s="11" t="s">
        <v>39</v>
      </c>
      <c r="E337" s="12">
        <v>1</v>
      </c>
      <c r="F337" s="23">
        <v>1.4219999999999999</v>
      </c>
      <c r="G337" s="23">
        <v>9.9989999999999996E-4</v>
      </c>
    </row>
    <row r="338" spans="1:14">
      <c r="A338" s="15">
        <v>15</v>
      </c>
      <c r="B338" s="78">
        <v>39826</v>
      </c>
      <c r="C338" s="15">
        <v>2009</v>
      </c>
      <c r="D338" s="11" t="s">
        <v>39</v>
      </c>
      <c r="E338" s="12">
        <v>1</v>
      </c>
      <c r="F338" s="23">
        <v>3.698</v>
      </c>
      <c r="G338" s="23">
        <v>9.9989999999999996E-4</v>
      </c>
      <c r="I338" s="18">
        <f>AVERAGE(F336:F338)</f>
        <v>3.3846666666666665</v>
      </c>
      <c r="J338" s="18">
        <f>AVERAGE(G336:G338)</f>
        <v>9.9989999999999996E-4</v>
      </c>
      <c r="L338">
        <f>+J338/I338</f>
        <v>2.9542052393145558E-4</v>
      </c>
      <c r="M338">
        <f>+(L338-$L$927)/$L$928</f>
        <v>-0.43283337364778202</v>
      </c>
      <c r="N338">
        <f>+N335+M338</f>
        <v>14.072756120936722</v>
      </c>
    </row>
    <row r="339" spans="1:14">
      <c r="A339" s="12">
        <v>6</v>
      </c>
      <c r="B339" s="78">
        <v>39854</v>
      </c>
      <c r="C339" s="15">
        <v>2009</v>
      </c>
      <c r="D339" s="11" t="s">
        <v>28</v>
      </c>
      <c r="E339" s="12">
        <v>2</v>
      </c>
      <c r="F339" s="23">
        <v>3.08</v>
      </c>
      <c r="G339" s="23">
        <v>1.7999999999999999E-2</v>
      </c>
    </row>
    <row r="340" spans="1:14">
      <c r="A340" s="12">
        <v>8</v>
      </c>
      <c r="B340" s="78">
        <v>39855</v>
      </c>
      <c r="C340" s="15">
        <v>2009</v>
      </c>
      <c r="D340" s="11" t="s">
        <v>28</v>
      </c>
      <c r="E340" s="12">
        <v>2</v>
      </c>
      <c r="F340" s="23">
        <v>2.1640000000000001</v>
      </c>
      <c r="G340" s="23">
        <v>9.9989999999999996E-4</v>
      </c>
    </row>
    <row r="341" spans="1:14">
      <c r="A341" s="12">
        <v>15</v>
      </c>
      <c r="B341" s="78">
        <v>39855</v>
      </c>
      <c r="C341" s="15">
        <v>2009</v>
      </c>
      <c r="D341" s="11" t="s">
        <v>28</v>
      </c>
      <c r="E341" s="12">
        <v>2</v>
      </c>
      <c r="F341" s="23">
        <v>2.4750000000000001</v>
      </c>
      <c r="G341" s="23">
        <v>1E-3</v>
      </c>
      <c r="I341" s="18">
        <f>AVERAGE(F339:F341)</f>
        <v>2.573</v>
      </c>
      <c r="J341" s="18">
        <f>AVERAGE(G339:G341)</f>
        <v>6.666633333333334E-3</v>
      </c>
      <c r="L341">
        <f>+J341/I341</f>
        <v>2.5909962430366632E-3</v>
      </c>
      <c r="M341">
        <f>+(L341-$L$927)/$L$928</f>
        <v>-0.37957719616257191</v>
      </c>
      <c r="N341">
        <f>+N338+M341</f>
        <v>13.69317892477415</v>
      </c>
    </row>
    <row r="342" spans="1:14">
      <c r="A342" s="12">
        <v>6</v>
      </c>
      <c r="B342" s="78">
        <v>39890</v>
      </c>
      <c r="C342" s="15">
        <v>2009</v>
      </c>
      <c r="D342" s="11" t="s">
        <v>29</v>
      </c>
      <c r="E342" s="12">
        <v>3</v>
      </c>
      <c r="F342" s="23">
        <v>5.8040000000000003</v>
      </c>
      <c r="G342" s="25">
        <v>1E-3</v>
      </c>
    </row>
    <row r="343" spans="1:14">
      <c r="A343" s="12">
        <v>8</v>
      </c>
      <c r="B343" s="78">
        <v>39888</v>
      </c>
      <c r="C343" s="15">
        <v>2009</v>
      </c>
      <c r="D343" s="11" t="s">
        <v>29</v>
      </c>
      <c r="E343" s="12">
        <v>3</v>
      </c>
      <c r="F343" s="23">
        <v>1.9910000000000001</v>
      </c>
      <c r="G343" s="25">
        <v>9.9989999999999996E-4</v>
      </c>
    </row>
    <row r="344" spans="1:14">
      <c r="A344" s="12">
        <v>15</v>
      </c>
      <c r="B344" s="78">
        <v>39888</v>
      </c>
      <c r="C344" s="15">
        <v>2009</v>
      </c>
      <c r="D344" s="11" t="s">
        <v>29</v>
      </c>
      <c r="E344" s="12">
        <v>3</v>
      </c>
      <c r="F344" s="23">
        <v>3.77</v>
      </c>
      <c r="G344" s="25">
        <v>1E-3</v>
      </c>
      <c r="I344" s="18">
        <f>AVERAGE(F342:F344)</f>
        <v>3.855</v>
      </c>
      <c r="J344" s="18">
        <f>AVERAGE(G342:G344)</f>
        <v>9.9996666666666667E-4</v>
      </c>
      <c r="L344">
        <f>+J344/I344</f>
        <v>2.5939472546476436E-4</v>
      </c>
      <c r="M344">
        <f>+(L344-$L$927)/$L$928</f>
        <v>-0.43366915366637199</v>
      </c>
      <c r="N344">
        <f>+N341+M344</f>
        <v>13.259509771107778</v>
      </c>
    </row>
    <row r="345" spans="1:14">
      <c r="A345" s="12">
        <v>6</v>
      </c>
      <c r="B345" s="78">
        <v>39920</v>
      </c>
      <c r="C345" s="15">
        <v>2009</v>
      </c>
      <c r="D345" s="11" t="s">
        <v>30</v>
      </c>
      <c r="E345" s="12">
        <v>4</v>
      </c>
      <c r="F345" s="23">
        <v>1.2190000000000001</v>
      </c>
      <c r="G345" s="25">
        <v>9.9989999999999996E-4</v>
      </c>
    </row>
    <row r="346" spans="1:14">
      <c r="A346" s="12">
        <v>8</v>
      </c>
      <c r="B346" s="78">
        <v>39916</v>
      </c>
      <c r="C346" s="15">
        <v>2009</v>
      </c>
      <c r="D346" s="11" t="s">
        <v>30</v>
      </c>
      <c r="E346" s="12">
        <v>4</v>
      </c>
      <c r="F346" s="23">
        <v>0.41199999999999998</v>
      </c>
      <c r="G346" s="25">
        <v>9.9989999999999996E-4</v>
      </c>
    </row>
    <row r="347" spans="1:14">
      <c r="A347" s="12">
        <v>15</v>
      </c>
      <c r="B347" s="78">
        <v>39916</v>
      </c>
      <c r="C347" s="15">
        <v>2009</v>
      </c>
      <c r="D347" s="11" t="s">
        <v>30</v>
      </c>
      <c r="E347" s="12">
        <v>4</v>
      </c>
      <c r="F347" s="23">
        <v>1.7949999999999999</v>
      </c>
      <c r="G347" s="25">
        <v>9.9989999999999996E-4</v>
      </c>
      <c r="I347" s="18">
        <f>AVERAGE(F345:F347)</f>
        <v>1.1420000000000001</v>
      </c>
      <c r="J347" s="18">
        <f>AVERAGE(G345:G347)</f>
        <v>9.9989999999999996E-4</v>
      </c>
      <c r="L347">
        <f>+J347/I347</f>
        <v>8.7556917688266182E-4</v>
      </c>
      <c r="M347">
        <f>+(L347-$L$927)/$L$928</f>
        <v>-0.41937422291176613</v>
      </c>
      <c r="N347">
        <f>+N344+M347</f>
        <v>12.840135548196011</v>
      </c>
    </row>
    <row r="348" spans="1:14">
      <c r="A348" s="12">
        <v>6</v>
      </c>
      <c r="B348" s="78">
        <v>39945</v>
      </c>
      <c r="C348" s="15">
        <v>2009</v>
      </c>
      <c r="D348" s="11" t="s">
        <v>31</v>
      </c>
      <c r="E348" s="12">
        <v>5</v>
      </c>
      <c r="F348" s="23">
        <v>8.4529999999999994</v>
      </c>
      <c r="G348" s="25">
        <v>1.502</v>
      </c>
    </row>
    <row r="349" spans="1:14">
      <c r="A349" s="12">
        <v>8</v>
      </c>
      <c r="B349" s="78">
        <v>39946</v>
      </c>
      <c r="C349" s="15">
        <v>2009</v>
      </c>
      <c r="D349" s="11" t="s">
        <v>31</v>
      </c>
      <c r="E349" s="12">
        <v>5</v>
      </c>
      <c r="F349" s="23">
        <v>0.33900000000000002</v>
      </c>
      <c r="G349" s="25">
        <v>9.9989999999999996E-4</v>
      </c>
    </row>
    <row r="350" spans="1:14">
      <c r="A350" s="12">
        <v>15</v>
      </c>
      <c r="B350" s="78">
        <v>39946</v>
      </c>
      <c r="C350" s="15">
        <v>2009</v>
      </c>
      <c r="D350" s="11" t="s">
        <v>31</v>
      </c>
      <c r="E350" s="12">
        <v>5</v>
      </c>
      <c r="F350" s="23">
        <v>7.6669999999999998</v>
      </c>
      <c r="G350" s="25">
        <v>1.1679999999999999</v>
      </c>
      <c r="I350" s="18">
        <f>AVERAGE(F348:F350)</f>
        <v>5.4863333333333335</v>
      </c>
      <c r="J350" s="18">
        <f>AVERAGE(G348:G350)</f>
        <v>0.89033329999999999</v>
      </c>
      <c r="L350">
        <f>+J350/I350</f>
        <v>0.16228202806974906</v>
      </c>
      <c r="M350">
        <f>+(L350-$L$927)/$L$928</f>
        <v>3.325172711662169</v>
      </c>
      <c r="N350">
        <f>+N347+M350</f>
        <v>16.165308259858179</v>
      </c>
    </row>
    <row r="351" spans="1:14">
      <c r="A351" s="15">
        <v>6</v>
      </c>
      <c r="B351" s="78">
        <v>39980</v>
      </c>
      <c r="C351" s="15">
        <v>2009</v>
      </c>
      <c r="D351" s="11" t="s">
        <v>32</v>
      </c>
      <c r="E351" s="12">
        <v>6</v>
      </c>
      <c r="F351" s="23">
        <v>15.779</v>
      </c>
      <c r="G351" s="25">
        <v>3.258</v>
      </c>
    </row>
    <row r="352" spans="1:14">
      <c r="A352" s="15">
        <v>8</v>
      </c>
      <c r="B352" s="78">
        <v>39983</v>
      </c>
      <c r="C352" s="15">
        <v>2009</v>
      </c>
      <c r="D352" s="11" t="s">
        <v>32</v>
      </c>
      <c r="E352" s="12">
        <v>6</v>
      </c>
      <c r="F352" s="23">
        <v>2.0019999999999998</v>
      </c>
      <c r="G352" s="25">
        <v>1E-3</v>
      </c>
    </row>
    <row r="353" spans="1:14">
      <c r="A353" s="15">
        <v>15</v>
      </c>
      <c r="B353" s="78">
        <v>39983</v>
      </c>
      <c r="C353" s="15">
        <v>2009</v>
      </c>
      <c r="D353" s="11" t="s">
        <v>32</v>
      </c>
      <c r="E353" s="12">
        <v>6</v>
      </c>
      <c r="F353" s="23">
        <v>8.2710000000000008</v>
      </c>
      <c r="G353" s="25">
        <v>0.39700000000000002</v>
      </c>
      <c r="I353" s="18">
        <f>AVERAGE(F351:F353)</f>
        <v>8.6839999999999993</v>
      </c>
      <c r="J353" s="18">
        <f>AVERAGE(G351:G353)</f>
        <v>1.2186666666666666</v>
      </c>
      <c r="L353">
        <f>+J353/I353</f>
        <v>0.14033471518501459</v>
      </c>
      <c r="M353">
        <f>+(L353-$L$927)/$L$928</f>
        <v>2.8160063266960238</v>
      </c>
      <c r="N353">
        <f>+N350+M353</f>
        <v>18.981314586554202</v>
      </c>
    </row>
    <row r="354" spans="1:14">
      <c r="A354" s="15">
        <v>6</v>
      </c>
      <c r="B354" s="78">
        <v>40007</v>
      </c>
      <c r="C354" s="15">
        <v>2009</v>
      </c>
      <c r="D354" s="11" t="s">
        <v>33</v>
      </c>
      <c r="E354" s="12">
        <v>7</v>
      </c>
      <c r="F354" s="23">
        <v>9.7100000000000009</v>
      </c>
      <c r="G354" s="25">
        <v>0.17299999999999999</v>
      </c>
    </row>
    <row r="355" spans="1:14">
      <c r="A355" s="15">
        <v>8</v>
      </c>
      <c r="B355" s="78">
        <v>40007</v>
      </c>
      <c r="C355" s="15">
        <v>2009</v>
      </c>
      <c r="D355" s="11" t="s">
        <v>33</v>
      </c>
      <c r="E355" s="12">
        <v>7</v>
      </c>
      <c r="F355" s="23">
        <v>1.663</v>
      </c>
      <c r="G355" s="25">
        <v>9.9989999999999996E-4</v>
      </c>
    </row>
    <row r="356" spans="1:14">
      <c r="A356" s="15">
        <v>15</v>
      </c>
      <c r="B356" s="78">
        <v>40007</v>
      </c>
      <c r="C356" s="15">
        <v>2009</v>
      </c>
      <c r="D356" s="11" t="s">
        <v>33</v>
      </c>
      <c r="E356" s="12">
        <v>7</v>
      </c>
      <c r="F356" s="23">
        <v>12.875999999999999</v>
      </c>
      <c r="G356" s="25">
        <v>0.44700000000000001</v>
      </c>
      <c r="I356" s="18">
        <f>AVERAGE(F354:F356)</f>
        <v>8.0830000000000002</v>
      </c>
      <c r="J356" s="18">
        <f>AVERAGE(G354:G356)</f>
        <v>0.20699996666666665</v>
      </c>
      <c r="L356">
        <f>+J356/I356</f>
        <v>2.5609299352550619E-2</v>
      </c>
      <c r="M356">
        <f>+(L356-$L$927)/$L$928</f>
        <v>0.15443561186907495</v>
      </c>
      <c r="N356">
        <f>+N353+M356</f>
        <v>19.135750198423278</v>
      </c>
    </row>
    <row r="357" spans="1:14">
      <c r="A357" s="15">
        <v>6</v>
      </c>
      <c r="B357" s="78">
        <v>40043</v>
      </c>
      <c r="C357" s="15">
        <v>2009</v>
      </c>
      <c r="D357" s="11" t="s">
        <v>34</v>
      </c>
      <c r="E357" s="12">
        <v>8</v>
      </c>
      <c r="F357" s="23">
        <v>8.4060000000000006</v>
      </c>
      <c r="G357" s="25">
        <v>1E-3</v>
      </c>
    </row>
    <row r="358" spans="1:14">
      <c r="A358" s="15">
        <v>8</v>
      </c>
      <c r="B358" s="78">
        <v>40042</v>
      </c>
      <c r="C358" s="15">
        <v>2009</v>
      </c>
      <c r="D358" s="11" t="s">
        <v>34</v>
      </c>
      <c r="E358" s="12">
        <v>8</v>
      </c>
      <c r="F358" s="23">
        <v>3.9969999999999999</v>
      </c>
      <c r="G358" s="25">
        <v>1E-3</v>
      </c>
    </row>
    <row r="359" spans="1:14">
      <c r="A359" s="15">
        <v>15</v>
      </c>
      <c r="B359" s="78">
        <v>40042</v>
      </c>
      <c r="C359" s="15">
        <v>2009</v>
      </c>
      <c r="D359" s="11" t="s">
        <v>34</v>
      </c>
      <c r="E359" s="12">
        <v>8</v>
      </c>
      <c r="F359" s="23">
        <v>4.3540000000000001</v>
      </c>
      <c r="G359" s="25">
        <v>9.9989999999999996E-4</v>
      </c>
      <c r="I359" s="18">
        <f>AVERAGE(F357:F359)</f>
        <v>5.5856666666666674</v>
      </c>
      <c r="J359" s="18">
        <f>AVERAGE(G357:G359)</f>
        <v>9.9996666666666667E-4</v>
      </c>
      <c r="L359">
        <f>+J359/I359</f>
        <v>1.7902369159157364E-4</v>
      </c>
      <c r="M359">
        <f>+(L359-$L$927)/$L$928</f>
        <v>-0.43553372036700294</v>
      </c>
      <c r="N359">
        <f>+N356+M359</f>
        <v>18.700216478056273</v>
      </c>
    </row>
    <row r="360" spans="1:14">
      <c r="A360" s="15">
        <v>6</v>
      </c>
      <c r="B360" s="78">
        <v>40070</v>
      </c>
      <c r="C360" s="15">
        <v>2009</v>
      </c>
      <c r="D360" s="11" t="s">
        <v>40</v>
      </c>
      <c r="E360" s="12">
        <v>9</v>
      </c>
      <c r="F360" s="23">
        <v>15.342000000000001</v>
      </c>
      <c r="G360" s="25">
        <v>1E-3</v>
      </c>
    </row>
    <row r="361" spans="1:14">
      <c r="A361" s="15">
        <v>8</v>
      </c>
      <c r="B361" s="78">
        <v>40071</v>
      </c>
      <c r="C361" s="15">
        <v>2009</v>
      </c>
      <c r="D361" s="11" t="s">
        <v>40</v>
      </c>
      <c r="E361" s="12">
        <v>9</v>
      </c>
      <c r="F361" s="23">
        <v>3.0209999999999999</v>
      </c>
      <c r="G361" s="25">
        <v>1E-3</v>
      </c>
    </row>
    <row r="362" spans="1:14">
      <c r="A362" s="15">
        <v>15</v>
      </c>
      <c r="B362" s="78">
        <v>40071</v>
      </c>
      <c r="C362" s="15">
        <v>2009</v>
      </c>
      <c r="D362" s="11" t="s">
        <v>40</v>
      </c>
      <c r="E362" s="12">
        <v>9</v>
      </c>
      <c r="F362" s="23">
        <v>5.6849999999999996</v>
      </c>
      <c r="G362" s="25">
        <v>1E-3</v>
      </c>
      <c r="I362" s="18">
        <f>AVERAGE(F360:F362)</f>
        <v>8.016</v>
      </c>
      <c r="J362" s="18">
        <f>AVERAGE(G360:G362)</f>
        <v>1E-3</v>
      </c>
      <c r="L362">
        <f>+J362/I362</f>
        <v>1.24750499001996E-4</v>
      </c>
      <c r="M362">
        <f>+(L362-$L$927)/$L$928</f>
        <v>-0.43679283055586926</v>
      </c>
      <c r="N362">
        <f>+N359+M362</f>
        <v>18.263423647500403</v>
      </c>
    </row>
    <row r="363" spans="1:14">
      <c r="A363" s="15">
        <v>6</v>
      </c>
      <c r="B363" s="78">
        <v>40099</v>
      </c>
      <c r="C363" s="15">
        <v>2009</v>
      </c>
      <c r="D363" s="11" t="s">
        <v>36</v>
      </c>
      <c r="E363" s="12">
        <v>10</v>
      </c>
      <c r="F363" s="23">
        <v>7.2110000000000003</v>
      </c>
      <c r="G363" s="25">
        <v>0.11899999999999999</v>
      </c>
    </row>
    <row r="364" spans="1:14">
      <c r="A364" s="15">
        <v>8</v>
      </c>
      <c r="B364" s="78">
        <v>40100</v>
      </c>
      <c r="C364" s="15">
        <v>2009</v>
      </c>
      <c r="D364" s="11" t="s">
        <v>36</v>
      </c>
      <c r="E364" s="12">
        <v>10</v>
      </c>
      <c r="F364" s="23">
        <v>1.18</v>
      </c>
      <c r="G364" s="25">
        <v>1E-3</v>
      </c>
    </row>
    <row r="365" spans="1:14">
      <c r="A365" s="15">
        <v>15</v>
      </c>
      <c r="B365" s="78">
        <v>40100</v>
      </c>
      <c r="C365" s="15">
        <v>2009</v>
      </c>
      <c r="D365" s="11" t="s">
        <v>36</v>
      </c>
      <c r="E365" s="12">
        <v>10</v>
      </c>
      <c r="F365" s="23">
        <v>5.5419999999999998</v>
      </c>
      <c r="G365" s="25">
        <v>9.9989999999999996E-4</v>
      </c>
      <c r="I365" s="18">
        <f>AVERAGE(F363:F365)</f>
        <v>4.644333333333333</v>
      </c>
      <c r="J365" s="18">
        <f>AVERAGE(G363:G365)</f>
        <v>4.0333299999999996E-2</v>
      </c>
      <c r="L365">
        <f>+J365/I365</f>
        <v>8.6844111103136432E-3</v>
      </c>
      <c r="M365">
        <f>+(L365-$L$927)/$L$928</f>
        <v>-0.23821310132486714</v>
      </c>
      <c r="N365">
        <f>+N362+M365</f>
        <v>18.025210546175536</v>
      </c>
    </row>
    <row r="366" spans="1:14">
      <c r="A366" s="15">
        <v>6</v>
      </c>
      <c r="B366" s="78">
        <v>40133</v>
      </c>
      <c r="C366" s="15">
        <v>2009</v>
      </c>
      <c r="D366" s="11" t="s">
        <v>37</v>
      </c>
      <c r="E366" s="12">
        <v>11</v>
      </c>
      <c r="F366" s="23">
        <v>3.5150000000000001</v>
      </c>
      <c r="G366" s="25">
        <v>9.9989999999999996E-4</v>
      </c>
    </row>
    <row r="367" spans="1:14">
      <c r="A367" s="15">
        <v>8</v>
      </c>
      <c r="B367" s="78">
        <v>40133</v>
      </c>
      <c r="C367" s="15">
        <v>2009</v>
      </c>
      <c r="D367" s="11" t="s">
        <v>37</v>
      </c>
      <c r="E367" s="12">
        <v>11</v>
      </c>
      <c r="F367" s="23">
        <v>2.919</v>
      </c>
      <c r="G367" s="25">
        <v>1E-3</v>
      </c>
    </row>
    <row r="368" spans="1:14">
      <c r="A368" s="15">
        <v>15</v>
      </c>
      <c r="B368" s="78">
        <v>40133</v>
      </c>
      <c r="C368" s="15">
        <v>2009</v>
      </c>
      <c r="D368" s="11" t="s">
        <v>37</v>
      </c>
      <c r="E368" s="12">
        <v>11</v>
      </c>
      <c r="F368" s="23">
        <v>3.758</v>
      </c>
      <c r="G368" s="25">
        <v>1E-3</v>
      </c>
      <c r="I368" s="18">
        <f>AVERAGE(F366:F368)</f>
        <v>3.3973333333333335</v>
      </c>
      <c r="J368" s="18">
        <f>AVERAGE(G366:G368)</f>
        <v>9.9996666666666667E-4</v>
      </c>
      <c r="L368">
        <f>+J368/I368</f>
        <v>2.9433869701726845E-4</v>
      </c>
      <c r="M368">
        <f>+(L368-$L$927)/$L$928</f>
        <v>-0.4328584714764751</v>
      </c>
      <c r="N368">
        <f>+N365+M368</f>
        <v>17.592352074699061</v>
      </c>
    </row>
    <row r="369" spans="1:14">
      <c r="A369" s="15">
        <v>6</v>
      </c>
      <c r="B369" s="78">
        <v>40161</v>
      </c>
      <c r="C369" s="15">
        <v>2009</v>
      </c>
      <c r="D369" s="11" t="s">
        <v>38</v>
      </c>
      <c r="E369" s="12">
        <v>12</v>
      </c>
      <c r="F369" s="23">
        <v>2.84</v>
      </c>
      <c r="G369" s="25">
        <v>0.02</v>
      </c>
    </row>
    <row r="370" spans="1:14">
      <c r="A370" s="15">
        <v>8</v>
      </c>
      <c r="B370" s="78">
        <v>40161</v>
      </c>
      <c r="C370" s="15">
        <v>2009</v>
      </c>
      <c r="D370" s="11" t="s">
        <v>38</v>
      </c>
      <c r="E370" s="12">
        <v>12</v>
      </c>
      <c r="F370" s="23">
        <v>2.5099999999999998</v>
      </c>
      <c r="G370" s="25">
        <v>9.9989999999999996E-4</v>
      </c>
    </row>
    <row r="371" spans="1:14">
      <c r="A371" s="15">
        <v>15</v>
      </c>
      <c r="B371" s="78">
        <v>40161</v>
      </c>
      <c r="C371" s="15">
        <v>2009</v>
      </c>
      <c r="D371" s="11" t="s">
        <v>38</v>
      </c>
      <c r="E371" s="12">
        <v>12</v>
      </c>
      <c r="F371" s="23">
        <v>1.82</v>
      </c>
      <c r="G371" s="25">
        <v>9.9989999999999996E-4</v>
      </c>
      <c r="I371" s="18">
        <f>AVERAGE(F369:F371)</f>
        <v>2.39</v>
      </c>
      <c r="J371" s="18">
        <f>AVERAGE(G369:G371)</f>
        <v>7.3332666666666678E-3</v>
      </c>
      <c r="L371">
        <f>+J371/I371</f>
        <v>3.0683124128312415E-3</v>
      </c>
      <c r="M371">
        <f>+(L371-$L$927)/$L$928</f>
        <v>-0.36850370621249995</v>
      </c>
      <c r="N371">
        <f>+N368+M371</f>
        <v>17.223848368486561</v>
      </c>
    </row>
    <row r="372" spans="1:14">
      <c r="A372" s="15">
        <v>6</v>
      </c>
      <c r="B372" s="73">
        <v>40197</v>
      </c>
      <c r="C372" s="15">
        <v>2010</v>
      </c>
      <c r="D372" s="11" t="s">
        <v>39</v>
      </c>
      <c r="E372" s="15">
        <v>1</v>
      </c>
      <c r="F372" s="26">
        <v>4.9989999999999997</v>
      </c>
      <c r="G372" s="18">
        <v>0</v>
      </c>
    </row>
    <row r="373" spans="1:14">
      <c r="A373" s="15">
        <v>8</v>
      </c>
      <c r="B373" s="73">
        <v>40197</v>
      </c>
      <c r="C373" s="15">
        <v>2010</v>
      </c>
      <c r="D373" s="11" t="s">
        <v>39</v>
      </c>
      <c r="E373" s="15">
        <v>1</v>
      </c>
      <c r="F373" s="26">
        <v>5.9050000000000002</v>
      </c>
      <c r="G373" s="18">
        <v>0</v>
      </c>
    </row>
    <row r="374" spans="1:14">
      <c r="A374" s="15">
        <v>15</v>
      </c>
      <c r="B374" s="73">
        <v>40197</v>
      </c>
      <c r="C374" s="15">
        <v>2010</v>
      </c>
      <c r="D374" s="11" t="s">
        <v>39</v>
      </c>
      <c r="E374" s="15">
        <v>1</v>
      </c>
      <c r="F374" s="26">
        <v>4.7960000000000003</v>
      </c>
      <c r="G374" s="18">
        <v>0</v>
      </c>
      <c r="I374" s="18">
        <f>AVERAGE(F372:F374)</f>
        <v>5.2333333333333334</v>
      </c>
      <c r="J374" s="18">
        <f>AVERAGE(G372:G374)</f>
        <v>0</v>
      </c>
      <c r="L374">
        <f>+J374/I374</f>
        <v>0</v>
      </c>
      <c r="M374">
        <f>+(L374-$L$927)/$L$928</f>
        <v>-0.43968697805051538</v>
      </c>
      <c r="N374">
        <f>+N371+M374</f>
        <v>16.784161390436044</v>
      </c>
    </row>
    <row r="375" spans="1:14">
      <c r="A375" s="15">
        <v>6</v>
      </c>
      <c r="B375" s="73">
        <v>40225</v>
      </c>
      <c r="C375" s="15">
        <v>2010</v>
      </c>
      <c r="D375" s="11" t="s">
        <v>28</v>
      </c>
      <c r="E375" s="15">
        <v>2</v>
      </c>
      <c r="F375" s="26">
        <v>12.962999999999999</v>
      </c>
      <c r="G375" s="18">
        <v>0</v>
      </c>
    </row>
    <row r="376" spans="1:14">
      <c r="A376" s="15">
        <v>8</v>
      </c>
      <c r="B376" s="73">
        <v>40225</v>
      </c>
      <c r="C376" s="15">
        <v>2010</v>
      </c>
      <c r="D376" s="11" t="s">
        <v>28</v>
      </c>
      <c r="E376" s="15">
        <v>2</v>
      </c>
      <c r="F376" s="26">
        <v>6.0780000000000003</v>
      </c>
      <c r="G376" s="18">
        <v>0</v>
      </c>
    </row>
    <row r="377" spans="1:14">
      <c r="A377" s="15">
        <v>15</v>
      </c>
      <c r="B377" s="73">
        <v>40225</v>
      </c>
      <c r="C377" s="15">
        <v>2010</v>
      </c>
      <c r="D377" s="11" t="s">
        <v>28</v>
      </c>
      <c r="E377" s="15">
        <v>2</v>
      </c>
      <c r="F377" s="26">
        <v>6.5510000000000002</v>
      </c>
      <c r="G377" s="18">
        <v>0</v>
      </c>
      <c r="I377" s="18">
        <f>AVERAGE(F375:F377)</f>
        <v>8.5306666666666668</v>
      </c>
      <c r="J377" s="18">
        <f>AVERAGE(G375:G377)</f>
        <v>0</v>
      </c>
      <c r="L377">
        <f>+J377/I377</f>
        <v>0</v>
      </c>
      <c r="M377">
        <f>+(L377-$L$927)/$L$928</f>
        <v>-0.43968697805051538</v>
      </c>
      <c r="N377">
        <f>+N374+M377</f>
        <v>16.344474412385527</v>
      </c>
    </row>
    <row r="378" spans="1:14">
      <c r="A378" s="15">
        <v>6</v>
      </c>
      <c r="B378" s="73">
        <v>40254</v>
      </c>
      <c r="C378" s="15">
        <v>2010</v>
      </c>
      <c r="D378" s="11" t="s">
        <v>29</v>
      </c>
      <c r="E378" s="15">
        <v>3</v>
      </c>
      <c r="F378" s="26">
        <v>6.1379999999999999</v>
      </c>
      <c r="G378" s="18">
        <v>0</v>
      </c>
    </row>
    <row r="379" spans="1:14">
      <c r="A379" s="15">
        <v>8</v>
      </c>
      <c r="B379" s="73">
        <v>40255</v>
      </c>
      <c r="C379" s="15">
        <v>2010</v>
      </c>
      <c r="D379" s="11" t="s">
        <v>29</v>
      </c>
      <c r="E379" s="15">
        <v>3</v>
      </c>
      <c r="F379" s="26">
        <v>6.1959999999999997</v>
      </c>
      <c r="G379" s="18">
        <v>0</v>
      </c>
    </row>
    <row r="380" spans="1:14">
      <c r="A380" s="15">
        <v>15</v>
      </c>
      <c r="B380" s="73">
        <v>40255</v>
      </c>
      <c r="C380" s="15">
        <v>2010</v>
      </c>
      <c r="D380" s="11" t="s">
        <v>29</v>
      </c>
      <c r="E380" s="15">
        <v>3</v>
      </c>
      <c r="F380" s="26">
        <v>6.1070000000000002</v>
      </c>
      <c r="G380" s="18">
        <v>0</v>
      </c>
      <c r="I380" s="18">
        <f>AVERAGE(F378:F380)</f>
        <v>6.1469999999999994</v>
      </c>
      <c r="J380" s="18">
        <f>AVERAGE(G378:G380)</f>
        <v>0</v>
      </c>
      <c r="L380">
        <f>+J380/I380</f>
        <v>0</v>
      </c>
      <c r="M380">
        <f>+(L380-$L$927)/$L$928</f>
        <v>-0.43968697805051538</v>
      </c>
      <c r="N380">
        <f>+N377+M380</f>
        <v>15.904787434335011</v>
      </c>
    </row>
    <row r="381" spans="1:14">
      <c r="A381" s="15">
        <v>6</v>
      </c>
      <c r="B381" s="73">
        <v>40280</v>
      </c>
      <c r="C381" s="15">
        <v>2010</v>
      </c>
      <c r="D381" s="11" t="s">
        <v>30</v>
      </c>
      <c r="E381" s="15">
        <v>4</v>
      </c>
      <c r="F381" s="26">
        <v>2.9020000000000001</v>
      </c>
      <c r="G381" s="18">
        <v>0</v>
      </c>
    </row>
    <row r="382" spans="1:14">
      <c r="A382" s="15">
        <v>8</v>
      </c>
      <c r="B382" s="73">
        <v>40281</v>
      </c>
      <c r="C382" s="15">
        <v>2010</v>
      </c>
      <c r="D382" s="11" t="s">
        <v>30</v>
      </c>
      <c r="E382" s="15">
        <v>4</v>
      </c>
      <c r="F382" s="26">
        <v>0.80500000000000005</v>
      </c>
      <c r="G382" s="18">
        <v>0</v>
      </c>
    </row>
    <row r="383" spans="1:14">
      <c r="A383" s="15">
        <v>15</v>
      </c>
      <c r="B383" s="73">
        <v>40281</v>
      </c>
      <c r="C383" s="15">
        <v>2010</v>
      </c>
      <c r="D383" s="11" t="s">
        <v>30</v>
      </c>
      <c r="E383" s="15">
        <v>4</v>
      </c>
      <c r="F383" s="26">
        <v>1.873</v>
      </c>
      <c r="G383" s="18">
        <v>0</v>
      </c>
      <c r="I383" s="18">
        <f>AVERAGE(F381:F383)</f>
        <v>1.86</v>
      </c>
      <c r="J383" s="18">
        <f>AVERAGE(G381:G383)</f>
        <v>0</v>
      </c>
      <c r="L383">
        <f>+J383/I383</f>
        <v>0</v>
      </c>
      <c r="M383">
        <f>+(L383-$L$927)/$L$928</f>
        <v>-0.43968697805051538</v>
      </c>
      <c r="N383">
        <f>+N380+M383</f>
        <v>15.465100456284496</v>
      </c>
    </row>
    <row r="384" spans="1:14">
      <c r="A384" s="15">
        <v>6</v>
      </c>
      <c r="B384" s="78">
        <v>40315</v>
      </c>
      <c r="C384" s="15">
        <v>2010</v>
      </c>
      <c r="D384" s="11" t="s">
        <v>31</v>
      </c>
      <c r="E384" s="15">
        <v>5</v>
      </c>
      <c r="F384" s="27">
        <v>6.8540000000000001</v>
      </c>
      <c r="G384" s="18">
        <v>0.81112087499999985</v>
      </c>
    </row>
    <row r="385" spans="1:14">
      <c r="A385" s="15">
        <v>8</v>
      </c>
      <c r="B385" s="78">
        <v>40317</v>
      </c>
      <c r="C385" s="15">
        <v>2010</v>
      </c>
      <c r="D385" s="11" t="s">
        <v>31</v>
      </c>
      <c r="E385" s="15">
        <v>5</v>
      </c>
      <c r="F385" s="27">
        <v>1.6919999999999999</v>
      </c>
      <c r="G385" s="18">
        <v>0</v>
      </c>
    </row>
    <row r="386" spans="1:14">
      <c r="A386" s="15">
        <v>15</v>
      </c>
      <c r="B386" s="78">
        <v>40317</v>
      </c>
      <c r="C386" s="15">
        <v>2010</v>
      </c>
      <c r="D386" s="11" t="s">
        <v>31</v>
      </c>
      <c r="E386" s="15">
        <v>5</v>
      </c>
      <c r="F386" s="27">
        <v>4.1239999999999997</v>
      </c>
      <c r="G386" s="18">
        <v>0.52261687499999987</v>
      </c>
      <c r="I386" s="18">
        <f>AVERAGE(F384:F386)</f>
        <v>4.2233333333333327</v>
      </c>
      <c r="J386" s="18">
        <f>AVERAGE(G384:G386)</f>
        <v>0.44457924999999987</v>
      </c>
      <c r="L386">
        <f>+J386/I386</f>
        <v>0.10526738358326755</v>
      </c>
      <c r="M386">
        <f>+(L386-$L$927)/$L$928</f>
        <v>2.0024622470246678</v>
      </c>
      <c r="N386">
        <f>+N383+M386</f>
        <v>17.467562703309163</v>
      </c>
    </row>
    <row r="387" spans="1:14">
      <c r="A387" s="15">
        <v>6</v>
      </c>
      <c r="B387" s="78">
        <v>40344</v>
      </c>
      <c r="C387" s="15">
        <v>2010</v>
      </c>
      <c r="D387" s="11" t="s">
        <v>32</v>
      </c>
      <c r="E387" s="15">
        <v>6</v>
      </c>
      <c r="F387" s="27">
        <v>9.5589999999999993</v>
      </c>
      <c r="G387" s="18">
        <v>0</v>
      </c>
    </row>
    <row r="388" spans="1:14">
      <c r="A388" s="15">
        <v>8</v>
      </c>
      <c r="B388" s="78">
        <v>40345</v>
      </c>
      <c r="C388" s="15">
        <v>2010</v>
      </c>
      <c r="D388" s="11" t="s">
        <v>32</v>
      </c>
      <c r="E388" s="15">
        <v>6</v>
      </c>
      <c r="F388" s="27">
        <v>4.774</v>
      </c>
      <c r="G388" s="18">
        <v>0</v>
      </c>
    </row>
    <row r="389" spans="1:14">
      <c r="A389" s="15">
        <v>15</v>
      </c>
      <c r="B389" s="78">
        <v>40345</v>
      </c>
      <c r="C389" s="15">
        <v>2010</v>
      </c>
      <c r="D389" s="11" t="s">
        <v>32</v>
      </c>
      <c r="E389" s="15">
        <v>6</v>
      </c>
      <c r="F389" s="27">
        <v>3.863</v>
      </c>
      <c r="G389" s="18">
        <v>7.1072499999999997E-2</v>
      </c>
      <c r="I389" s="18">
        <f>AVERAGE(F387:F389)</f>
        <v>6.0653333333333324</v>
      </c>
      <c r="J389" s="18">
        <f>AVERAGE(G387:G389)</f>
        <v>2.3690833333333331E-2</v>
      </c>
      <c r="L389">
        <f>+J389/I389</f>
        <v>3.9059408661244232E-3</v>
      </c>
      <c r="M389">
        <f>+(L389-$L$927)/$L$928</f>
        <v>-0.34907115637152508</v>
      </c>
      <c r="N389">
        <f>+N386+M389</f>
        <v>17.118491546937637</v>
      </c>
    </row>
    <row r="390" spans="1:14">
      <c r="A390" s="15">
        <v>6</v>
      </c>
      <c r="B390" s="78">
        <v>40374</v>
      </c>
      <c r="C390" s="15">
        <v>2010</v>
      </c>
      <c r="D390" s="11" t="s">
        <v>33</v>
      </c>
      <c r="E390" s="15">
        <v>7</v>
      </c>
      <c r="F390" s="27">
        <v>7.5309999999999997</v>
      </c>
      <c r="G390" s="18">
        <v>2.6966624999999998E-2</v>
      </c>
    </row>
    <row r="391" spans="1:14">
      <c r="A391" s="15">
        <v>8</v>
      </c>
      <c r="B391" s="78">
        <v>40374</v>
      </c>
      <c r="C391" s="15">
        <v>2010</v>
      </c>
      <c r="D391" s="11" t="s">
        <v>33</v>
      </c>
      <c r="E391" s="15">
        <v>7</v>
      </c>
      <c r="F391" s="27">
        <v>5.3780000000000001</v>
      </c>
      <c r="G391" s="18">
        <v>0</v>
      </c>
    </row>
    <row r="392" spans="1:14">
      <c r="A392" s="15">
        <v>15</v>
      </c>
      <c r="B392" s="78">
        <v>40374</v>
      </c>
      <c r="C392" s="15">
        <v>2010</v>
      </c>
      <c r="D392" s="11" t="s">
        <v>33</v>
      </c>
      <c r="E392" s="15">
        <v>7</v>
      </c>
      <c r="F392" s="27">
        <v>5.258</v>
      </c>
      <c r="G392" s="18">
        <v>2.6513999999999999E-2</v>
      </c>
      <c r="I392" s="18">
        <f>AVERAGE(F390:F392)</f>
        <v>6.0556666666666663</v>
      </c>
      <c r="J392" s="18">
        <f>AVERAGE(G390:G392)</f>
        <v>1.7826874999999999E-2</v>
      </c>
      <c r="L392">
        <f>+J392/I392</f>
        <v>2.9438335993834976E-3</v>
      </c>
      <c r="M392">
        <f>+(L392-$L$927)/$L$928</f>
        <v>-0.37139155074184765</v>
      </c>
      <c r="N392">
        <f>+N389+M392</f>
        <v>16.747099996195789</v>
      </c>
    </row>
    <row r="393" spans="1:14">
      <c r="A393" s="15">
        <v>6</v>
      </c>
      <c r="B393" s="78">
        <v>40407</v>
      </c>
      <c r="C393" s="15">
        <v>2010</v>
      </c>
      <c r="D393" s="11" t="s">
        <v>34</v>
      </c>
      <c r="E393" s="15">
        <v>8</v>
      </c>
      <c r="F393" s="27">
        <v>6.5019999999999998</v>
      </c>
      <c r="G393" s="18">
        <v>0</v>
      </c>
    </row>
    <row r="394" spans="1:14">
      <c r="A394" s="15">
        <v>8</v>
      </c>
      <c r="B394" s="78">
        <v>40409</v>
      </c>
      <c r="C394" s="15">
        <v>2010</v>
      </c>
      <c r="D394" s="11" t="s">
        <v>34</v>
      </c>
      <c r="E394" s="15">
        <v>8</v>
      </c>
      <c r="F394" s="27">
        <v>6.0250000000000004</v>
      </c>
      <c r="G394" s="18">
        <v>0</v>
      </c>
    </row>
    <row r="395" spans="1:14">
      <c r="A395" s="15">
        <v>8</v>
      </c>
      <c r="B395" s="78">
        <v>40409</v>
      </c>
      <c r="C395" s="15">
        <v>2010</v>
      </c>
      <c r="D395" s="11" t="s">
        <v>34</v>
      </c>
      <c r="E395" s="15">
        <v>8</v>
      </c>
      <c r="F395" s="27">
        <v>6.0250000000000004</v>
      </c>
      <c r="G395" s="18">
        <v>0</v>
      </c>
      <c r="H395" t="s">
        <v>13</v>
      </c>
    </row>
    <row r="396" spans="1:14">
      <c r="A396" s="15">
        <v>15</v>
      </c>
      <c r="B396" s="78">
        <v>40409</v>
      </c>
      <c r="C396" s="15">
        <v>2010</v>
      </c>
      <c r="D396" s="11" t="s">
        <v>34</v>
      </c>
      <c r="E396" s="15">
        <v>8</v>
      </c>
      <c r="F396" s="27">
        <v>7.1319999999999997</v>
      </c>
      <c r="G396" s="18">
        <v>0</v>
      </c>
      <c r="I396" s="18">
        <f>AVERAGE(F393:F396)</f>
        <v>6.4209999999999994</v>
      </c>
      <c r="J396" s="18">
        <f>AVERAGE(G393:G396)</f>
        <v>0</v>
      </c>
      <c r="L396">
        <f>+J396/I396</f>
        <v>0</v>
      </c>
      <c r="M396">
        <f>+(L396-$L$927)/$L$928</f>
        <v>-0.43968697805051538</v>
      </c>
      <c r="N396">
        <f>+N392+M396</f>
        <v>16.307413018145272</v>
      </c>
    </row>
    <row r="397" spans="1:14">
      <c r="A397" s="15">
        <v>6</v>
      </c>
      <c r="B397" s="78">
        <v>40436</v>
      </c>
      <c r="C397" s="15">
        <v>2010</v>
      </c>
      <c r="D397" s="11" t="s">
        <v>40</v>
      </c>
      <c r="E397" s="15">
        <v>9</v>
      </c>
      <c r="F397" s="27">
        <v>8.3450000000000006</v>
      </c>
      <c r="G397" s="18">
        <v>6.0940124999999998E-2</v>
      </c>
    </row>
    <row r="398" spans="1:14">
      <c r="A398" s="15">
        <v>8</v>
      </c>
      <c r="B398" s="78">
        <v>40434</v>
      </c>
      <c r="C398" s="15">
        <v>2010</v>
      </c>
      <c r="D398" s="11" t="s">
        <v>40</v>
      </c>
      <c r="E398" s="15">
        <v>9</v>
      </c>
      <c r="F398" s="27">
        <v>6.6950000000000003</v>
      </c>
      <c r="G398" s="18">
        <v>0</v>
      </c>
    </row>
    <row r="399" spans="1:14">
      <c r="A399" s="15">
        <v>15</v>
      </c>
      <c r="B399" s="78">
        <v>40434</v>
      </c>
      <c r="C399" s="15">
        <v>2010</v>
      </c>
      <c r="D399" s="11" t="s">
        <v>40</v>
      </c>
      <c r="E399" s="15">
        <v>9</v>
      </c>
      <c r="F399" s="27">
        <v>5.4589999999999996</v>
      </c>
      <c r="G399" s="18">
        <v>0</v>
      </c>
      <c r="I399" s="18">
        <f>AVERAGE(F397:F399)</f>
        <v>6.8330000000000011</v>
      </c>
      <c r="J399" s="18">
        <f>AVERAGE(G397:G399)</f>
        <v>2.0313374999999998E-2</v>
      </c>
      <c r="L399">
        <f>+J399/I399</f>
        <v>2.9728340406849109E-3</v>
      </c>
      <c r="M399">
        <f>+(L399-$L$927)/$L$928</f>
        <v>-0.37071875540068611</v>
      </c>
      <c r="N399">
        <f>+N396+M399</f>
        <v>15.936694262744586</v>
      </c>
    </row>
    <row r="400" spans="1:14">
      <c r="A400" s="15">
        <v>6</v>
      </c>
      <c r="B400" s="78">
        <v>40464</v>
      </c>
      <c r="C400" s="15">
        <v>2010</v>
      </c>
      <c r="D400" s="11" t="s">
        <v>36</v>
      </c>
      <c r="E400" s="15">
        <v>10</v>
      </c>
      <c r="F400" s="26">
        <v>6.468</v>
      </c>
      <c r="G400" s="18">
        <v>0</v>
      </c>
    </row>
    <row r="401" spans="1:14">
      <c r="A401" s="15">
        <v>8</v>
      </c>
      <c r="B401" s="78">
        <v>40463</v>
      </c>
      <c r="C401" s="15">
        <v>2010</v>
      </c>
      <c r="D401" s="11" t="s">
        <v>36</v>
      </c>
      <c r="E401" s="15">
        <v>10</v>
      </c>
      <c r="F401" s="26">
        <v>3.1059999999999999</v>
      </c>
      <c r="G401" s="18">
        <v>0</v>
      </c>
    </row>
    <row r="402" spans="1:14">
      <c r="A402" s="15">
        <v>15</v>
      </c>
      <c r="B402" s="78">
        <v>40463</v>
      </c>
      <c r="C402" s="15">
        <v>2010</v>
      </c>
      <c r="D402" s="11" t="s">
        <v>36</v>
      </c>
      <c r="E402" s="15">
        <v>10</v>
      </c>
      <c r="F402" s="26">
        <v>3.3380000000000001</v>
      </c>
      <c r="G402" s="18">
        <v>0</v>
      </c>
      <c r="I402" s="18">
        <f>AVERAGE(F400:F402)</f>
        <v>4.3039999999999994</v>
      </c>
      <c r="J402" s="18">
        <f>AVERAGE(G400:G402)</f>
        <v>0</v>
      </c>
      <c r="L402">
        <f>+J402/I402</f>
        <v>0</v>
      </c>
      <c r="M402">
        <f>+(L402-$L$927)/$L$928</f>
        <v>-0.43968697805051538</v>
      </c>
      <c r="N402">
        <f>+N399+M402</f>
        <v>15.497007284694071</v>
      </c>
    </row>
    <row r="403" spans="1:14">
      <c r="A403" s="15">
        <v>6</v>
      </c>
      <c r="B403" s="78">
        <v>40498</v>
      </c>
      <c r="C403" s="15">
        <v>2010</v>
      </c>
      <c r="D403" s="11" t="s">
        <v>37</v>
      </c>
      <c r="E403" s="15">
        <v>11</v>
      </c>
      <c r="F403" s="26">
        <v>1.373</v>
      </c>
      <c r="G403" s="18">
        <v>0</v>
      </c>
    </row>
    <row r="404" spans="1:14">
      <c r="A404" s="15">
        <v>8</v>
      </c>
      <c r="B404" s="78">
        <v>40500</v>
      </c>
      <c r="C404" s="15">
        <v>2010</v>
      </c>
      <c r="D404" s="11" t="s">
        <v>37</v>
      </c>
      <c r="E404" s="15">
        <v>11</v>
      </c>
      <c r="F404" s="26">
        <v>2.5230000000000001</v>
      </c>
      <c r="G404" s="18">
        <v>0</v>
      </c>
    </row>
    <row r="405" spans="1:14">
      <c r="A405" s="15">
        <v>15</v>
      </c>
      <c r="B405" s="78">
        <v>40500</v>
      </c>
      <c r="C405" s="15">
        <v>2010</v>
      </c>
      <c r="D405" s="11" t="s">
        <v>37</v>
      </c>
      <c r="E405" s="15">
        <v>11</v>
      </c>
      <c r="F405" s="26">
        <v>3.8769999999999998</v>
      </c>
      <c r="G405" s="18">
        <v>0</v>
      </c>
      <c r="I405" s="18">
        <f>AVERAGE(F403:F405)</f>
        <v>2.5909999999999997</v>
      </c>
      <c r="J405" s="18">
        <f>AVERAGE(G403:G405)</f>
        <v>0</v>
      </c>
      <c r="L405">
        <f>+J405/I405</f>
        <v>0</v>
      </c>
      <c r="M405">
        <f>+(L405-$L$927)/$L$928</f>
        <v>-0.43968697805051538</v>
      </c>
      <c r="N405">
        <f>+N402+M405</f>
        <v>15.057320306643556</v>
      </c>
    </row>
    <row r="406" spans="1:14">
      <c r="A406" s="15">
        <v>6</v>
      </c>
      <c r="B406" s="78">
        <v>40520</v>
      </c>
      <c r="C406" s="15">
        <v>2010</v>
      </c>
      <c r="D406" s="11" t="s">
        <v>38</v>
      </c>
      <c r="E406" s="15">
        <v>12</v>
      </c>
      <c r="F406" s="26">
        <v>3.7120000000000002</v>
      </c>
      <c r="G406" s="18">
        <v>0.19244220000000001</v>
      </c>
    </row>
    <row r="407" spans="1:14">
      <c r="A407" s="15">
        <v>8</v>
      </c>
      <c r="B407" s="78">
        <v>40521</v>
      </c>
      <c r="C407" s="15">
        <v>2010</v>
      </c>
      <c r="D407" s="11" t="s">
        <v>38</v>
      </c>
      <c r="E407" s="15">
        <v>12</v>
      </c>
      <c r="F407" s="26">
        <v>1.1579999999999999</v>
      </c>
      <c r="G407" s="18">
        <v>0</v>
      </c>
    </row>
    <row r="408" spans="1:14">
      <c r="A408" s="15">
        <v>15</v>
      </c>
      <c r="B408" s="78">
        <v>40521</v>
      </c>
      <c r="C408" s="15">
        <v>2010</v>
      </c>
      <c r="D408" s="11" t="s">
        <v>38</v>
      </c>
      <c r="E408" s="15">
        <v>12</v>
      </c>
      <c r="F408" s="26">
        <v>3.177</v>
      </c>
      <c r="G408" s="18">
        <v>0.150901125</v>
      </c>
      <c r="I408" s="18">
        <f>AVERAGE(F406:F408)</f>
        <v>2.6823333333333337</v>
      </c>
      <c r="J408" s="18">
        <f>AVERAGE(G406:G408)</f>
        <v>0.11444777499999999</v>
      </c>
      <c r="L408">
        <f>+J408/I408</f>
        <v>4.2667245557350554E-2</v>
      </c>
      <c r="M408">
        <f>+(L408-$L$927)/$L$928</f>
        <v>0.55017120144487541</v>
      </c>
      <c r="N408">
        <f>+N405+M408</f>
        <v>15.607491508088431</v>
      </c>
    </row>
    <row r="409" spans="1:14">
      <c r="A409" s="15">
        <v>6</v>
      </c>
      <c r="B409" s="78">
        <v>40562</v>
      </c>
      <c r="C409" s="15">
        <v>2011</v>
      </c>
      <c r="D409" s="11" t="s">
        <v>39</v>
      </c>
      <c r="E409" s="15">
        <v>1</v>
      </c>
      <c r="F409" s="26">
        <v>2.3679999999999999</v>
      </c>
      <c r="G409" s="18">
        <v>1.6514999999999998E-2</v>
      </c>
    </row>
    <row r="410" spans="1:14">
      <c r="A410" s="15">
        <v>8</v>
      </c>
      <c r="B410" s="78">
        <v>40563</v>
      </c>
      <c r="C410" s="15">
        <v>2011</v>
      </c>
      <c r="D410" s="11" t="s">
        <v>39</v>
      </c>
      <c r="E410" s="15">
        <v>1</v>
      </c>
      <c r="F410" s="26">
        <v>2.976</v>
      </c>
      <c r="G410" s="18">
        <v>0</v>
      </c>
    </row>
    <row r="411" spans="1:14">
      <c r="A411" s="15">
        <v>15</v>
      </c>
      <c r="B411" s="78">
        <v>40563</v>
      </c>
      <c r="C411" s="15">
        <v>2011</v>
      </c>
      <c r="D411" s="11" t="s">
        <v>39</v>
      </c>
      <c r="E411" s="15">
        <v>1</v>
      </c>
      <c r="F411" s="26">
        <v>3.0059999999999998</v>
      </c>
      <c r="G411" s="18">
        <v>0</v>
      </c>
      <c r="I411" s="18">
        <f>AVERAGE(F409:F411)</f>
        <v>2.7833333333333332</v>
      </c>
      <c r="J411" s="18">
        <f>AVERAGE(G409:G411)</f>
        <v>5.5049999999999995E-3</v>
      </c>
      <c r="L411">
        <f>+J411/I411</f>
        <v>1.9778443113772455E-3</v>
      </c>
      <c r="M411">
        <f>+(L411-$L$927)/$L$928</f>
        <v>-0.39380200601139775</v>
      </c>
      <c r="N411">
        <f>+N408+M411</f>
        <v>15.213689502077033</v>
      </c>
    </row>
    <row r="412" spans="1:14">
      <c r="A412" s="15">
        <v>6</v>
      </c>
      <c r="B412" s="78">
        <v>40591</v>
      </c>
      <c r="C412" s="15">
        <v>2011</v>
      </c>
      <c r="D412" s="11" t="s">
        <v>28</v>
      </c>
      <c r="E412" s="15">
        <v>2</v>
      </c>
      <c r="F412" s="26">
        <v>1.8620000000000001</v>
      </c>
      <c r="G412" s="18">
        <v>1.8867749999999999E-2</v>
      </c>
    </row>
    <row r="413" spans="1:14">
      <c r="A413" s="15">
        <v>8</v>
      </c>
      <c r="B413" s="78">
        <v>40598</v>
      </c>
      <c r="C413" s="15">
        <v>2011</v>
      </c>
      <c r="D413" s="11" t="s">
        <v>28</v>
      </c>
      <c r="E413" s="15">
        <v>2</v>
      </c>
      <c r="F413" s="26">
        <v>4.9710000000000001</v>
      </c>
      <c r="G413" s="18">
        <v>0</v>
      </c>
    </row>
    <row r="414" spans="1:14">
      <c r="A414" s="15">
        <v>15</v>
      </c>
      <c r="B414" s="78">
        <v>40598</v>
      </c>
      <c r="C414" s="15">
        <v>2011</v>
      </c>
      <c r="D414" s="11" t="s">
        <v>28</v>
      </c>
      <c r="E414" s="15">
        <v>2</v>
      </c>
      <c r="F414" s="26">
        <v>2.8839999999999999</v>
      </c>
      <c r="G414" s="18">
        <v>0</v>
      </c>
      <c r="I414" s="18">
        <f>AVERAGE(F412:F414)</f>
        <v>3.2390000000000003</v>
      </c>
      <c r="J414" s="18">
        <f>AVERAGE(G412:G414)</f>
        <v>6.2892499999999997E-3</v>
      </c>
      <c r="L414">
        <f>+J414/I414</f>
        <v>1.9417258413090457E-3</v>
      </c>
      <c r="M414">
        <f>+(L414-$L$927)/$L$928</f>
        <v>-0.39463993596353902</v>
      </c>
      <c r="N414">
        <f>+N411+M414</f>
        <v>14.819049566113494</v>
      </c>
    </row>
    <row r="415" spans="1:14">
      <c r="A415" s="15">
        <v>6</v>
      </c>
      <c r="B415" s="78">
        <v>40619</v>
      </c>
      <c r="C415" s="15">
        <v>2011</v>
      </c>
      <c r="D415" s="11" t="s">
        <v>29</v>
      </c>
      <c r="E415" s="15">
        <v>3</v>
      </c>
      <c r="F415" s="26">
        <v>1.2869999999999999</v>
      </c>
      <c r="G415" s="18">
        <v>0</v>
      </c>
    </row>
    <row r="416" spans="1:14">
      <c r="A416" s="15">
        <v>8</v>
      </c>
      <c r="B416" s="78">
        <v>40617</v>
      </c>
      <c r="C416" s="15">
        <v>2011</v>
      </c>
      <c r="D416" s="11" t="s">
        <v>29</v>
      </c>
      <c r="E416" s="15">
        <v>3</v>
      </c>
      <c r="F416" s="26">
        <v>2.1829999999999998</v>
      </c>
      <c r="G416" s="18">
        <v>0</v>
      </c>
    </row>
    <row r="417" spans="1:14">
      <c r="A417" s="15">
        <v>8</v>
      </c>
      <c r="B417" s="78">
        <v>40617</v>
      </c>
      <c r="C417" s="15">
        <v>2011</v>
      </c>
      <c r="D417" s="11" t="s">
        <v>29</v>
      </c>
      <c r="E417" s="15">
        <v>3</v>
      </c>
      <c r="F417" s="26">
        <v>2.1829999999999998</v>
      </c>
      <c r="G417" s="18">
        <v>0</v>
      </c>
      <c r="H417" t="s">
        <v>13</v>
      </c>
      <c r="I417" s="18"/>
      <c r="J417" s="18"/>
    </row>
    <row r="418" spans="1:14">
      <c r="A418" s="15">
        <v>15</v>
      </c>
      <c r="B418" s="78">
        <v>40617</v>
      </c>
      <c r="C418" s="15">
        <v>2011</v>
      </c>
      <c r="D418" s="11" t="s">
        <v>29</v>
      </c>
      <c r="E418" s="15">
        <v>3</v>
      </c>
      <c r="F418" s="26">
        <v>2.274</v>
      </c>
      <c r="G418" s="18">
        <v>0</v>
      </c>
      <c r="I418" s="18">
        <f>AVERAGE(F415:F418)</f>
        <v>1.9817499999999999</v>
      </c>
      <c r="J418" s="18">
        <f>AVERAGE(G415:G418)</f>
        <v>0</v>
      </c>
      <c r="L418">
        <f>+J418/I418</f>
        <v>0</v>
      </c>
      <c r="M418">
        <f>+(L418-$L$927)/$L$928</f>
        <v>-0.43968697805051538</v>
      </c>
      <c r="N418">
        <f>+N414+M418</f>
        <v>14.379362588062978</v>
      </c>
    </row>
    <row r="419" spans="1:14">
      <c r="A419" s="15">
        <v>6</v>
      </c>
      <c r="B419" s="78">
        <v>40646</v>
      </c>
      <c r="C419" s="15">
        <v>2011</v>
      </c>
      <c r="D419" s="11" t="s">
        <v>30</v>
      </c>
      <c r="E419" s="15">
        <v>4</v>
      </c>
      <c r="F419" s="26">
        <v>1.804</v>
      </c>
      <c r="G419" s="18">
        <v>0</v>
      </c>
    </row>
    <row r="420" spans="1:14">
      <c r="A420" s="15">
        <v>8</v>
      </c>
      <c r="B420" s="78">
        <v>40647</v>
      </c>
      <c r="C420" s="15">
        <v>2011</v>
      </c>
      <c r="D420" s="11" t="s">
        <v>30</v>
      </c>
      <c r="E420" s="15">
        <v>4</v>
      </c>
      <c r="F420" s="26">
        <v>1.5169999999999999</v>
      </c>
      <c r="G420" s="18">
        <v>0</v>
      </c>
      <c r="I420" s="18"/>
      <c r="J420" s="18"/>
    </row>
    <row r="421" spans="1:14">
      <c r="A421" s="15">
        <v>15</v>
      </c>
      <c r="B421" s="78">
        <v>40647</v>
      </c>
      <c r="C421" s="15">
        <v>2011</v>
      </c>
      <c r="D421" s="11" t="s">
        <v>30</v>
      </c>
      <c r="E421" s="15">
        <v>4</v>
      </c>
      <c r="F421" s="26">
        <v>1.119</v>
      </c>
      <c r="G421" s="18">
        <v>0</v>
      </c>
      <c r="I421" s="18">
        <f>AVERAGE(F419:F421)</f>
        <v>1.4799999999999998</v>
      </c>
      <c r="J421" s="18">
        <f>AVERAGE(G419:G421)</f>
        <v>0</v>
      </c>
      <c r="L421">
        <f>+J421/I421</f>
        <v>0</v>
      </c>
      <c r="M421">
        <f>+(L421-$L$927)/$L$928</f>
        <v>-0.43968697805051538</v>
      </c>
      <c r="N421">
        <f>+N418+M421</f>
        <v>13.939675610012463</v>
      </c>
    </row>
    <row r="422" spans="1:14">
      <c r="A422" s="15">
        <v>6</v>
      </c>
      <c r="B422" s="78">
        <v>40681</v>
      </c>
      <c r="C422" s="15">
        <v>2011</v>
      </c>
      <c r="D422" s="11" t="s">
        <v>31</v>
      </c>
      <c r="E422" s="15">
        <v>5</v>
      </c>
      <c r="F422" s="26">
        <v>3.1560000000000001</v>
      </c>
      <c r="G422" s="18">
        <v>0.182752625</v>
      </c>
    </row>
    <row r="423" spans="1:14">
      <c r="A423" s="15">
        <v>6</v>
      </c>
      <c r="B423" s="78">
        <v>40681</v>
      </c>
      <c r="C423" s="15">
        <v>2011</v>
      </c>
      <c r="D423" s="11" t="s">
        <v>31</v>
      </c>
      <c r="E423" s="15">
        <v>5</v>
      </c>
      <c r="F423" s="26">
        <v>3.1560000000000001</v>
      </c>
      <c r="G423" s="18">
        <v>0.15077237499999996</v>
      </c>
      <c r="H423" t="s">
        <v>13</v>
      </c>
    </row>
    <row r="424" spans="1:14">
      <c r="A424" s="15">
        <v>8</v>
      </c>
      <c r="B424" s="78">
        <v>40682</v>
      </c>
      <c r="C424" s="15">
        <v>2011</v>
      </c>
      <c r="D424" s="11" t="s">
        <v>31</v>
      </c>
      <c r="E424" s="15">
        <v>5</v>
      </c>
      <c r="F424" s="26">
        <v>1.4690000000000001</v>
      </c>
      <c r="G424" s="18">
        <v>0</v>
      </c>
    </row>
    <row r="425" spans="1:14">
      <c r="A425" s="15">
        <v>15</v>
      </c>
      <c r="B425" s="78">
        <v>40682</v>
      </c>
      <c r="C425" s="15">
        <v>2011</v>
      </c>
      <c r="D425" s="11" t="s">
        <v>31</v>
      </c>
      <c r="E425" s="15">
        <v>5</v>
      </c>
      <c r="F425" s="26">
        <v>0.86399999999999999</v>
      </c>
      <c r="G425" s="18">
        <v>0</v>
      </c>
      <c r="I425" s="18">
        <f>AVERAGE(F422:F425)</f>
        <v>2.1612500000000003</v>
      </c>
      <c r="J425" s="18">
        <f>AVERAGE(G422:G425)</f>
        <v>8.338124999999999E-2</v>
      </c>
      <c r="L425">
        <f>+J425/I425</f>
        <v>3.8580104106419884E-2</v>
      </c>
      <c r="M425">
        <f>+(L425-$L$927)/$L$928</f>
        <v>0.45535161927802503</v>
      </c>
      <c r="N425">
        <f>+N421+M425</f>
        <v>14.395027229290488</v>
      </c>
    </row>
    <row r="426" spans="1:14">
      <c r="A426" s="15">
        <v>6</v>
      </c>
      <c r="B426" s="78">
        <v>40709</v>
      </c>
      <c r="C426" s="15">
        <v>2011</v>
      </c>
      <c r="D426" s="11" t="s">
        <v>32</v>
      </c>
      <c r="E426" s="15">
        <v>6</v>
      </c>
      <c r="F426" s="26">
        <v>4.5199999999999996</v>
      </c>
      <c r="G426" s="18">
        <v>0</v>
      </c>
    </row>
    <row r="427" spans="1:14">
      <c r="A427" s="15">
        <v>6</v>
      </c>
      <c r="B427" s="78">
        <v>40709</v>
      </c>
      <c r="C427" s="15">
        <v>2011</v>
      </c>
      <c r="D427" s="11" t="s">
        <v>32</v>
      </c>
      <c r="E427" s="15">
        <v>6</v>
      </c>
      <c r="F427" s="26">
        <v>4.5199999999999996</v>
      </c>
      <c r="G427" s="18">
        <v>4.9951124999999992E-2</v>
      </c>
      <c r="H427" t="s">
        <v>13</v>
      </c>
    </row>
    <row r="428" spans="1:14">
      <c r="A428" s="15">
        <v>8</v>
      </c>
      <c r="B428" s="78">
        <v>40709</v>
      </c>
      <c r="C428" s="15">
        <v>2011</v>
      </c>
      <c r="D428" s="11" t="s">
        <v>32</v>
      </c>
      <c r="E428" s="15">
        <v>6</v>
      </c>
      <c r="F428" s="26">
        <v>5.7460000000000004</v>
      </c>
      <c r="G428" s="18">
        <v>0</v>
      </c>
    </row>
    <row r="429" spans="1:14">
      <c r="A429" s="15">
        <v>15</v>
      </c>
      <c r="B429" s="78">
        <v>40709</v>
      </c>
      <c r="C429" s="15">
        <v>2011</v>
      </c>
      <c r="D429" s="11" t="s">
        <v>32</v>
      </c>
      <c r="E429" s="15">
        <v>6</v>
      </c>
      <c r="F429" s="26">
        <v>2.988</v>
      </c>
      <c r="G429" s="18">
        <v>0</v>
      </c>
      <c r="I429" s="18">
        <f>AVERAGE(F426:F429)</f>
        <v>4.4435000000000002</v>
      </c>
      <c r="J429" s="18">
        <f>AVERAGE(G426:G429)</f>
        <v>1.2487781249999998E-2</v>
      </c>
      <c r="L429">
        <f>+J429/I429</f>
        <v>2.8103479801957912E-3</v>
      </c>
      <c r="M429">
        <f>+(L429-$L$927)/$L$928</f>
        <v>-0.37448834853772023</v>
      </c>
      <c r="N429">
        <f>+N425+M429</f>
        <v>14.020538880752767</v>
      </c>
    </row>
    <row r="430" spans="1:14">
      <c r="A430" s="15">
        <v>6</v>
      </c>
      <c r="B430" s="78">
        <v>40735</v>
      </c>
      <c r="C430" s="15">
        <v>2011</v>
      </c>
      <c r="D430" s="11" t="s">
        <v>33</v>
      </c>
      <c r="E430" s="15">
        <v>7</v>
      </c>
      <c r="F430" s="26">
        <v>1.407</v>
      </c>
      <c r="G430" s="18">
        <v>0</v>
      </c>
    </row>
    <row r="431" spans="1:14">
      <c r="A431" s="15">
        <v>8</v>
      </c>
      <c r="B431" s="78">
        <v>40736</v>
      </c>
      <c r="C431" s="15">
        <v>2011</v>
      </c>
      <c r="D431" s="11" t="s">
        <v>33</v>
      </c>
      <c r="E431" s="15">
        <v>7</v>
      </c>
      <c r="F431" s="26">
        <v>3.21</v>
      </c>
      <c r="G431" s="18">
        <v>0</v>
      </c>
    </row>
    <row r="432" spans="1:14">
      <c r="A432" s="15">
        <v>15</v>
      </c>
      <c r="B432" s="78">
        <v>40736</v>
      </c>
      <c r="C432" s="15">
        <v>2011</v>
      </c>
      <c r="D432" s="11" t="s">
        <v>33</v>
      </c>
      <c r="E432" s="15">
        <v>7</v>
      </c>
      <c r="F432" s="26">
        <v>1.7130000000000001</v>
      </c>
      <c r="G432" s="18">
        <v>0</v>
      </c>
      <c r="I432" s="18">
        <f>AVERAGE(F430:F432)</f>
        <v>2.11</v>
      </c>
      <c r="J432" s="18">
        <f>AVERAGE(G430:G432)</f>
        <v>0</v>
      </c>
      <c r="L432">
        <f>+J432/I432</f>
        <v>0</v>
      </c>
      <c r="M432">
        <f>+(L432-$L$927)/$L$928</f>
        <v>-0.43968697805051538</v>
      </c>
      <c r="N432">
        <f>+N429+M432</f>
        <v>13.580851902702252</v>
      </c>
    </row>
    <row r="433" spans="1:14">
      <c r="A433" s="15">
        <v>15</v>
      </c>
      <c r="B433" s="78">
        <v>40736</v>
      </c>
      <c r="C433" s="15">
        <v>2011</v>
      </c>
      <c r="D433" s="11" t="s">
        <v>33</v>
      </c>
      <c r="E433" s="15">
        <v>7</v>
      </c>
      <c r="F433" s="26">
        <v>1.7130000000000001</v>
      </c>
      <c r="G433" s="18">
        <v>0</v>
      </c>
      <c r="H433" t="s">
        <v>13</v>
      </c>
    </row>
    <row r="434" spans="1:14">
      <c r="A434" s="15">
        <v>6</v>
      </c>
      <c r="B434" s="78">
        <v>40771</v>
      </c>
      <c r="C434" s="15">
        <v>2011</v>
      </c>
      <c r="D434" s="11" t="s">
        <v>34</v>
      </c>
      <c r="E434" s="15">
        <v>8</v>
      </c>
      <c r="F434" s="26">
        <v>2.86</v>
      </c>
      <c r="G434" s="18">
        <v>0</v>
      </c>
    </row>
    <row r="435" spans="1:14">
      <c r="A435" s="15">
        <v>8</v>
      </c>
      <c r="B435" s="78">
        <v>40772</v>
      </c>
      <c r="C435" s="15">
        <v>2011</v>
      </c>
      <c r="D435" s="11" t="s">
        <v>34</v>
      </c>
      <c r="E435" s="15">
        <v>8</v>
      </c>
      <c r="F435" s="26">
        <v>22.92</v>
      </c>
      <c r="G435" s="18">
        <v>0</v>
      </c>
    </row>
    <row r="436" spans="1:14">
      <c r="A436" s="15">
        <v>15</v>
      </c>
      <c r="B436" s="78">
        <v>40772</v>
      </c>
      <c r="C436" s="15">
        <v>2011</v>
      </c>
      <c r="D436" s="11" t="s">
        <v>34</v>
      </c>
      <c r="E436" s="15">
        <v>8</v>
      </c>
      <c r="F436" s="26">
        <v>1.569</v>
      </c>
      <c r="G436" s="18">
        <v>0</v>
      </c>
      <c r="I436" s="18">
        <f>AVERAGE(F434:F436)</f>
        <v>9.1163333333333334</v>
      </c>
      <c r="J436" s="18">
        <f>AVERAGE(G434:G436)</f>
        <v>0</v>
      </c>
      <c r="L436">
        <f>+J436/I436</f>
        <v>0</v>
      </c>
      <c r="M436">
        <f>+(L436-$L$927)/$L$928</f>
        <v>-0.43968697805051538</v>
      </c>
      <c r="N436">
        <f>+N432+M436</f>
        <v>13.141164924651736</v>
      </c>
    </row>
    <row r="437" spans="1:14">
      <c r="A437" s="15">
        <v>6</v>
      </c>
      <c r="B437" s="78">
        <v>40799</v>
      </c>
      <c r="C437" s="15">
        <v>2011</v>
      </c>
      <c r="D437" s="11" t="s">
        <v>40</v>
      </c>
      <c r="E437" s="15">
        <v>9</v>
      </c>
      <c r="F437" s="26">
        <v>6.6159999999999997</v>
      </c>
      <c r="G437" s="18">
        <v>0</v>
      </c>
    </row>
    <row r="438" spans="1:14">
      <c r="A438" s="15">
        <v>8</v>
      </c>
      <c r="B438" s="78">
        <v>40798</v>
      </c>
      <c r="C438" s="15">
        <v>2011</v>
      </c>
      <c r="D438" s="11" t="s">
        <v>40</v>
      </c>
      <c r="E438" s="15">
        <v>9</v>
      </c>
      <c r="F438" s="26">
        <v>10.555999999999999</v>
      </c>
      <c r="G438" s="18">
        <v>0</v>
      </c>
    </row>
    <row r="439" spans="1:14">
      <c r="A439" s="15">
        <v>15</v>
      </c>
      <c r="B439" s="78">
        <v>40798</v>
      </c>
      <c r="C439" s="15">
        <v>2011</v>
      </c>
      <c r="D439" s="11" t="s">
        <v>40</v>
      </c>
      <c r="E439" s="15">
        <v>9</v>
      </c>
      <c r="F439" s="26">
        <v>5.335</v>
      </c>
      <c r="G439" s="18">
        <v>0</v>
      </c>
    </row>
    <row r="440" spans="1:14">
      <c r="A440" s="15">
        <v>15</v>
      </c>
      <c r="B440" s="78">
        <v>40798</v>
      </c>
      <c r="C440" s="15">
        <v>2011</v>
      </c>
      <c r="D440" s="11" t="s">
        <v>40</v>
      </c>
      <c r="E440" s="15">
        <v>9</v>
      </c>
      <c r="F440" s="26">
        <v>5.335</v>
      </c>
      <c r="G440" s="18">
        <v>0</v>
      </c>
      <c r="I440" s="18">
        <f>AVERAGE(F437:F440)</f>
        <v>6.9604999999999997</v>
      </c>
      <c r="J440" s="18">
        <f>AVERAGE(G437:G440)</f>
        <v>0</v>
      </c>
      <c r="L440">
        <f>+J440/I440</f>
        <v>0</v>
      </c>
      <c r="M440">
        <f>+(L440-$L$927)/$L$928</f>
        <v>-0.43968697805051538</v>
      </c>
      <c r="N440">
        <f>+N436+M440</f>
        <v>12.701477946601221</v>
      </c>
    </row>
    <row r="441" spans="1:14">
      <c r="A441" s="15">
        <v>6</v>
      </c>
      <c r="B441" s="78">
        <v>40827</v>
      </c>
      <c r="C441" s="15">
        <v>2011</v>
      </c>
      <c r="D441" s="11" t="s">
        <v>36</v>
      </c>
      <c r="E441" s="15">
        <v>10</v>
      </c>
      <c r="F441" s="27">
        <v>3.1709999999999998</v>
      </c>
      <c r="G441" s="18">
        <v>0</v>
      </c>
    </row>
    <row r="442" spans="1:14">
      <c r="A442" s="15">
        <v>6</v>
      </c>
      <c r="B442" s="78">
        <v>40827</v>
      </c>
      <c r="C442" s="15">
        <v>2011</v>
      </c>
      <c r="D442" s="11" t="s">
        <v>36</v>
      </c>
      <c r="E442" s="15">
        <v>10</v>
      </c>
      <c r="F442" s="27">
        <v>3.1709999999999998</v>
      </c>
      <c r="G442" s="18">
        <v>0</v>
      </c>
    </row>
    <row r="443" spans="1:14">
      <c r="A443" s="15">
        <v>8</v>
      </c>
      <c r="B443" s="78">
        <v>40829</v>
      </c>
      <c r="C443" s="15">
        <v>2011</v>
      </c>
      <c r="D443" s="11" t="s">
        <v>36</v>
      </c>
      <c r="E443" s="15">
        <v>10</v>
      </c>
      <c r="F443" s="27">
        <v>1.8959999999999999</v>
      </c>
      <c r="G443" s="18">
        <v>0</v>
      </c>
    </row>
    <row r="444" spans="1:14">
      <c r="A444" s="15">
        <v>15</v>
      </c>
      <c r="B444" s="78">
        <v>40829</v>
      </c>
      <c r="C444" s="15">
        <v>2011</v>
      </c>
      <c r="D444" s="11" t="s">
        <v>36</v>
      </c>
      <c r="E444" s="15">
        <v>10</v>
      </c>
      <c r="F444" s="27">
        <v>1.623</v>
      </c>
      <c r="G444" s="18">
        <v>0</v>
      </c>
      <c r="I444" s="18">
        <f>AVERAGE(F441:F444)</f>
        <v>2.4652499999999997</v>
      </c>
      <c r="J444" s="18">
        <f>AVERAGE(G441:G444)</f>
        <v>0</v>
      </c>
      <c r="L444">
        <f>+J444/I444</f>
        <v>0</v>
      </c>
      <c r="M444">
        <f>+(L444-$L$927)/$L$928</f>
        <v>-0.43968697805051538</v>
      </c>
      <c r="N444">
        <f>+N440+M444</f>
        <v>12.261790968550706</v>
      </c>
    </row>
    <row r="445" spans="1:14">
      <c r="A445" s="15">
        <v>6</v>
      </c>
      <c r="B445" s="79">
        <v>40862</v>
      </c>
      <c r="C445" s="15">
        <v>2011</v>
      </c>
      <c r="D445" s="11" t="s">
        <v>37</v>
      </c>
      <c r="E445" s="15">
        <v>11</v>
      </c>
      <c r="F445" s="27">
        <v>7.1029999999999998</v>
      </c>
      <c r="G445" s="18">
        <v>3.2169749999999997E-2</v>
      </c>
    </row>
    <row r="446" spans="1:14">
      <c r="A446" s="15">
        <v>8</v>
      </c>
      <c r="B446" s="79">
        <v>40865</v>
      </c>
      <c r="C446" s="15">
        <v>2011</v>
      </c>
      <c r="D446" s="11" t="s">
        <v>37</v>
      </c>
      <c r="E446" s="15">
        <v>11</v>
      </c>
      <c r="F446" s="27">
        <v>1.5029999999999999</v>
      </c>
      <c r="G446" s="18">
        <v>2.1779124999999996E-2</v>
      </c>
    </row>
    <row r="447" spans="1:14">
      <c r="A447" s="15">
        <v>15</v>
      </c>
      <c r="B447" s="79">
        <v>40865</v>
      </c>
      <c r="C447" s="15">
        <v>2011</v>
      </c>
      <c r="D447" s="11" t="s">
        <v>37</v>
      </c>
      <c r="E447" s="15">
        <v>11</v>
      </c>
      <c r="F447" s="27">
        <v>4.1970000000000001</v>
      </c>
      <c r="G447" s="18">
        <v>6.1637750000000005E-2</v>
      </c>
      <c r="I447" s="18">
        <f>AVERAGE(F445:F447)</f>
        <v>4.2676666666666669</v>
      </c>
      <c r="J447" s="18">
        <f>AVERAGE(G445:G447)</f>
        <v>3.8528874999999997E-2</v>
      </c>
      <c r="L447">
        <f>+J447/I447</f>
        <v>9.0280891197375597E-3</v>
      </c>
      <c r="M447">
        <f>+(L447-$L$927)/$L$928</f>
        <v>-0.23023994804775455</v>
      </c>
      <c r="N447">
        <f>+N444+M447</f>
        <v>12.031551020502951</v>
      </c>
    </row>
    <row r="448" spans="1:14">
      <c r="A448" s="15">
        <v>6</v>
      </c>
      <c r="B448" s="79">
        <v>40891</v>
      </c>
      <c r="C448" s="15">
        <v>2011</v>
      </c>
      <c r="D448" s="11" t="s">
        <v>38</v>
      </c>
      <c r="E448" s="15">
        <v>12</v>
      </c>
      <c r="F448" s="27">
        <v>4.149</v>
      </c>
      <c r="G448" s="18">
        <v>0</v>
      </c>
    </row>
    <row r="449" spans="1:14">
      <c r="A449" s="15">
        <v>8</v>
      </c>
      <c r="B449" s="79">
        <v>40891</v>
      </c>
      <c r="C449" s="15">
        <v>2011</v>
      </c>
      <c r="D449" s="11" t="s">
        <v>38</v>
      </c>
      <c r="E449" s="15">
        <v>12</v>
      </c>
      <c r="F449" s="27">
        <v>0.69399999999999995</v>
      </c>
      <c r="G449" s="18">
        <v>0</v>
      </c>
    </row>
    <row r="450" spans="1:14">
      <c r="A450" s="15">
        <v>15</v>
      </c>
      <c r="B450" s="79">
        <v>40891</v>
      </c>
      <c r="C450" s="15">
        <v>2011</v>
      </c>
      <c r="D450" s="11" t="s">
        <v>38</v>
      </c>
      <c r="E450" s="15">
        <v>12</v>
      </c>
      <c r="F450" s="27">
        <v>3.49</v>
      </c>
      <c r="G450" s="18">
        <v>0</v>
      </c>
      <c r="I450" s="18">
        <f>AVERAGE(F448:F450)</f>
        <v>2.7776666666666667</v>
      </c>
      <c r="J450" s="18">
        <f>AVERAGE(G448:G450)</f>
        <v>0</v>
      </c>
      <c r="L450">
        <f>+J450/I450</f>
        <v>0</v>
      </c>
      <c r="M450">
        <f>+(L450-$L$927)/$L$928</f>
        <v>-0.43968697805051538</v>
      </c>
      <c r="N450">
        <f>+N447+M450</f>
        <v>11.591864042452436</v>
      </c>
    </row>
    <row r="451" spans="1:14">
      <c r="A451" s="15">
        <v>6</v>
      </c>
      <c r="B451" s="78">
        <v>40919</v>
      </c>
      <c r="C451" s="15">
        <v>2012</v>
      </c>
      <c r="D451" s="11" t="s">
        <v>39</v>
      </c>
      <c r="E451" s="15">
        <v>1</v>
      </c>
      <c r="F451" s="29">
        <v>5.1779999999999999</v>
      </c>
      <c r="G451" s="18">
        <v>0</v>
      </c>
    </row>
    <row r="452" spans="1:14">
      <c r="A452" s="15">
        <v>8</v>
      </c>
      <c r="B452" s="78">
        <v>40919</v>
      </c>
      <c r="C452" s="15">
        <v>2012</v>
      </c>
      <c r="D452" s="11" t="s">
        <v>39</v>
      </c>
      <c r="E452" s="15">
        <v>1</v>
      </c>
      <c r="F452" s="29">
        <v>1.081</v>
      </c>
      <c r="G452" s="18">
        <v>0</v>
      </c>
    </row>
    <row r="453" spans="1:14">
      <c r="A453" s="15">
        <v>15</v>
      </c>
      <c r="B453" s="78">
        <v>40919</v>
      </c>
      <c r="C453" s="15">
        <v>2012</v>
      </c>
      <c r="D453" s="11" t="s">
        <v>39</v>
      </c>
      <c r="E453" s="15">
        <v>1</v>
      </c>
      <c r="F453" s="29">
        <v>3.7160000000000002</v>
      </c>
      <c r="G453" s="18">
        <v>0</v>
      </c>
      <c r="I453" s="18">
        <f>AVERAGE(F451:F453)</f>
        <v>3.3250000000000006</v>
      </c>
      <c r="J453" s="18">
        <f>AVERAGE(G451:G453)</f>
        <v>0</v>
      </c>
      <c r="L453">
        <f>+J453/I453</f>
        <v>0</v>
      </c>
      <c r="M453">
        <f>+(L453-$L$927)/$L$928</f>
        <v>-0.43968697805051538</v>
      </c>
      <c r="N453">
        <f>+N450+M453</f>
        <v>11.15217706440192</v>
      </c>
    </row>
    <row r="454" spans="1:14">
      <c r="A454" s="15">
        <v>6</v>
      </c>
      <c r="B454" s="78">
        <v>40962</v>
      </c>
      <c r="C454" s="15">
        <v>2012</v>
      </c>
      <c r="D454" s="11" t="s">
        <v>28</v>
      </c>
      <c r="E454" s="15">
        <v>2</v>
      </c>
      <c r="F454" s="29">
        <v>3.669</v>
      </c>
      <c r="G454" s="18">
        <v>0</v>
      </c>
    </row>
    <row r="455" spans="1:14">
      <c r="A455" s="15">
        <v>8</v>
      </c>
      <c r="B455" s="78">
        <v>40960</v>
      </c>
      <c r="C455" s="15">
        <v>2012</v>
      </c>
      <c r="D455" s="11" t="s">
        <v>28</v>
      </c>
      <c r="E455" s="15">
        <v>2</v>
      </c>
      <c r="F455" s="29">
        <v>1.252</v>
      </c>
      <c r="G455" s="18">
        <v>0</v>
      </c>
    </row>
    <row r="456" spans="1:14">
      <c r="A456" s="15">
        <v>15</v>
      </c>
      <c r="B456" s="78">
        <v>40960</v>
      </c>
      <c r="C456" s="15">
        <v>2012</v>
      </c>
      <c r="D456" s="11" t="s">
        <v>28</v>
      </c>
      <c r="E456" s="15">
        <v>2</v>
      </c>
      <c r="F456" s="29">
        <v>3.2050000000000001</v>
      </c>
      <c r="G456" s="18">
        <v>8.5333624999999982E-2</v>
      </c>
      <c r="I456" s="18">
        <f>AVERAGE(F454:F456)</f>
        <v>2.7086666666666672</v>
      </c>
      <c r="J456" s="18">
        <f>AVERAGE(G454:G456)</f>
        <v>2.844454166666666E-2</v>
      </c>
      <c r="L456">
        <f>+J456/I456</f>
        <v>1.0501307531380748E-2</v>
      </c>
      <c r="M456">
        <f>+(L456-$L$927)/$L$928</f>
        <v>-0.1960620376647631</v>
      </c>
      <c r="N456">
        <f>+N453+M456</f>
        <v>10.956115026737157</v>
      </c>
    </row>
    <row r="457" spans="1:14">
      <c r="A457" s="15">
        <v>6</v>
      </c>
      <c r="B457" s="78">
        <v>40980</v>
      </c>
      <c r="C457" s="15">
        <v>2012</v>
      </c>
      <c r="D457" s="11" t="s">
        <v>29</v>
      </c>
      <c r="E457" s="15">
        <v>3</v>
      </c>
      <c r="F457" s="29">
        <v>2.4209999999999998</v>
      </c>
      <c r="G457" s="18">
        <v>2.7142625E-2</v>
      </c>
    </row>
    <row r="458" spans="1:14">
      <c r="A458" s="15">
        <v>8</v>
      </c>
      <c r="B458" s="78">
        <v>40982</v>
      </c>
      <c r="C458" s="15">
        <v>2012</v>
      </c>
      <c r="D458" s="11" t="s">
        <v>29</v>
      </c>
      <c r="E458" s="15">
        <v>3</v>
      </c>
      <c r="F458" s="29">
        <v>1.1220000000000001</v>
      </c>
      <c r="G458" s="18">
        <v>0</v>
      </c>
    </row>
    <row r="459" spans="1:14">
      <c r="A459" s="15">
        <v>15</v>
      </c>
      <c r="B459" s="78">
        <v>40982</v>
      </c>
      <c r="C459" s="15">
        <v>2012</v>
      </c>
      <c r="D459" s="11" t="s">
        <v>29</v>
      </c>
      <c r="E459" s="15">
        <v>3</v>
      </c>
      <c r="F459" s="29">
        <v>0.95699999999999996</v>
      </c>
      <c r="G459" s="18">
        <v>0</v>
      </c>
      <c r="I459" s="18">
        <f>AVERAGE(F457:F459)</f>
        <v>1.5</v>
      </c>
      <c r="J459" s="18">
        <f>AVERAGE(G457:G459)</f>
        <v>9.0475416666666673E-3</v>
      </c>
      <c r="L459">
        <f>+J459/I459</f>
        <v>6.0316944444444446E-3</v>
      </c>
      <c r="M459">
        <f>+(L459-$L$927)/$L$928</f>
        <v>-0.29975476531779871</v>
      </c>
      <c r="N459">
        <f>+N456+M459</f>
        <v>10.656360261419358</v>
      </c>
    </row>
    <row r="460" spans="1:14">
      <c r="A460" s="15">
        <v>6</v>
      </c>
      <c r="B460" s="78">
        <v>41015</v>
      </c>
      <c r="C460" s="15">
        <v>2012</v>
      </c>
      <c r="D460" s="11" t="s">
        <v>30</v>
      </c>
      <c r="E460" s="15">
        <v>4</v>
      </c>
      <c r="F460" s="26">
        <v>2.6419999999999999</v>
      </c>
      <c r="G460" s="18">
        <v>0</v>
      </c>
    </row>
    <row r="461" spans="1:14">
      <c r="A461" s="15">
        <v>8</v>
      </c>
      <c r="B461" s="78">
        <v>41016</v>
      </c>
      <c r="C461" s="15">
        <v>2012</v>
      </c>
      <c r="D461" s="11" t="s">
        <v>30</v>
      </c>
      <c r="E461" s="15">
        <v>4</v>
      </c>
      <c r="F461" s="26">
        <v>1.998</v>
      </c>
      <c r="G461" s="18">
        <v>0</v>
      </c>
    </row>
    <row r="462" spans="1:14">
      <c r="A462" s="15">
        <v>15</v>
      </c>
      <c r="B462" s="78">
        <v>41016</v>
      </c>
      <c r="C462" s="15">
        <v>2012</v>
      </c>
      <c r="D462" s="11" t="s">
        <v>30</v>
      </c>
      <c r="E462" s="15">
        <v>4</v>
      </c>
      <c r="F462" s="26">
        <v>1.831</v>
      </c>
      <c r="G462" s="18">
        <v>0</v>
      </c>
      <c r="I462" s="18"/>
      <c r="J462" s="18"/>
    </row>
    <row r="463" spans="1:14">
      <c r="A463" s="15">
        <v>15</v>
      </c>
      <c r="B463" s="78">
        <v>41016</v>
      </c>
      <c r="C463" s="15">
        <v>2012</v>
      </c>
      <c r="D463" s="11" t="s">
        <v>30</v>
      </c>
      <c r="E463" s="15">
        <v>4</v>
      </c>
      <c r="F463" s="26">
        <v>1.831</v>
      </c>
      <c r="G463" s="18">
        <v>0</v>
      </c>
      <c r="I463" s="18">
        <f>AVERAGE(F460:F463)</f>
        <v>2.0754999999999999</v>
      </c>
      <c r="J463" s="18">
        <f>AVERAGE(G460:G463)</f>
        <v>0</v>
      </c>
      <c r="L463">
        <f>+J463/I463</f>
        <v>0</v>
      </c>
      <c r="M463">
        <f>+(L463-$L$927)/$L$928</f>
        <v>-0.43968697805051538</v>
      </c>
      <c r="N463">
        <f>+N459+M463</f>
        <v>10.216673283368843</v>
      </c>
    </row>
    <row r="464" spans="1:14">
      <c r="A464" s="15">
        <v>6</v>
      </c>
      <c r="B464" s="78">
        <v>41045</v>
      </c>
      <c r="C464" s="15">
        <v>2012</v>
      </c>
      <c r="D464" s="11" t="s">
        <v>31</v>
      </c>
      <c r="E464" s="15">
        <v>5</v>
      </c>
      <c r="F464" s="26">
        <v>4.5250000000000004</v>
      </c>
      <c r="G464" s="18">
        <v>0.1656395</v>
      </c>
    </row>
    <row r="465" spans="1:14">
      <c r="A465" s="15">
        <v>8</v>
      </c>
      <c r="B465" s="78">
        <v>41051</v>
      </c>
      <c r="C465" s="15">
        <v>2012</v>
      </c>
      <c r="D465" s="11" t="s">
        <v>31</v>
      </c>
      <c r="E465" s="15">
        <v>5</v>
      </c>
      <c r="F465" s="26">
        <v>2.125</v>
      </c>
      <c r="G465" s="18">
        <v>0</v>
      </c>
    </row>
    <row r="466" spans="1:14">
      <c r="A466" s="15">
        <v>8</v>
      </c>
      <c r="B466" s="78">
        <v>41051</v>
      </c>
      <c r="C466" s="15">
        <v>2012</v>
      </c>
      <c r="D466" s="11" t="s">
        <v>31</v>
      </c>
      <c r="E466" s="15">
        <v>5</v>
      </c>
      <c r="F466" s="26">
        <v>2.125</v>
      </c>
      <c r="G466" s="18">
        <v>0</v>
      </c>
      <c r="H466" t="s">
        <v>13</v>
      </c>
    </row>
    <row r="467" spans="1:14">
      <c r="A467" s="15">
        <v>15</v>
      </c>
      <c r="B467" s="78">
        <v>41051</v>
      </c>
      <c r="C467" s="15">
        <v>2012</v>
      </c>
      <c r="D467" s="11" t="s">
        <v>31</v>
      </c>
      <c r="E467" s="15">
        <v>5</v>
      </c>
      <c r="F467" s="26">
        <v>7.6310000000000002</v>
      </c>
      <c r="G467" s="18">
        <v>1.0569808749999998</v>
      </c>
      <c r="I467" s="18">
        <f>AVERAGE(F464:F467)</f>
        <v>4.1014999999999997</v>
      </c>
      <c r="J467" s="18">
        <f>AVERAGE(G464:G467)</f>
        <v>0.30565509374999994</v>
      </c>
      <c r="L467">
        <f>+J467/I467</f>
        <v>7.4522758442033391E-2</v>
      </c>
      <c r="M467">
        <f>+(L467-$L$927)/$L$928</f>
        <v>1.2892027367367482</v>
      </c>
      <c r="N467">
        <f>+N463+M467</f>
        <v>11.505876020105591</v>
      </c>
    </row>
    <row r="468" spans="1:14">
      <c r="A468" s="15">
        <v>6</v>
      </c>
      <c r="B468" s="78">
        <v>41073</v>
      </c>
      <c r="C468" s="15">
        <v>2012</v>
      </c>
      <c r="D468" s="11" t="s">
        <v>32</v>
      </c>
      <c r="E468" s="15">
        <v>6</v>
      </c>
      <c r="F468" s="26">
        <v>13.755000000000001</v>
      </c>
      <c r="G468" s="18">
        <v>0.43689312499999999</v>
      </c>
    </row>
    <row r="469" spans="1:14">
      <c r="A469" s="15">
        <v>8</v>
      </c>
      <c r="B469" s="78">
        <v>41080</v>
      </c>
      <c r="C469" s="15">
        <v>2012</v>
      </c>
      <c r="D469" s="11" t="s">
        <v>32</v>
      </c>
      <c r="E469" s="15">
        <v>6</v>
      </c>
      <c r="F469" s="26">
        <v>2.5510000000000002</v>
      </c>
      <c r="G469" s="18">
        <v>8.2688250000000005E-2</v>
      </c>
    </row>
    <row r="470" spans="1:14">
      <c r="A470" s="15">
        <v>15</v>
      </c>
      <c r="B470" s="78">
        <v>41080</v>
      </c>
      <c r="C470" s="15">
        <v>2012</v>
      </c>
      <c r="D470" s="11" t="s">
        <v>32</v>
      </c>
      <c r="E470" s="15">
        <v>6</v>
      </c>
      <c r="F470" s="26">
        <v>3.3330000000000002</v>
      </c>
      <c r="G470" s="18">
        <v>0.24990237500000001</v>
      </c>
      <c r="I470" s="18">
        <f>AVERAGE(F468:F470)</f>
        <v>6.546333333333334</v>
      </c>
      <c r="J470" s="18">
        <f>AVERAGE(G468:G470)</f>
        <v>0.25649458333333336</v>
      </c>
      <c r="L470">
        <f>+J470/I470</f>
        <v>3.9181411986353686E-2</v>
      </c>
      <c r="M470">
        <f>+(L470-$L$927)/$L$928</f>
        <v>0.46930165321090367</v>
      </c>
      <c r="N470">
        <f>+N467+M470</f>
        <v>11.975177673316495</v>
      </c>
    </row>
    <row r="471" spans="1:14">
      <c r="A471" s="15">
        <v>6</v>
      </c>
      <c r="B471" s="78">
        <v>41107</v>
      </c>
      <c r="C471" s="15">
        <v>2012</v>
      </c>
      <c r="D471" s="11" t="s">
        <v>33</v>
      </c>
      <c r="E471" s="15">
        <v>7</v>
      </c>
      <c r="F471" s="26">
        <v>7.46</v>
      </c>
      <c r="G471" s="18">
        <v>0</v>
      </c>
    </row>
    <row r="472" spans="1:14">
      <c r="A472" s="15">
        <v>8</v>
      </c>
      <c r="B472" s="78">
        <v>41106</v>
      </c>
      <c r="C472" s="15">
        <v>2012</v>
      </c>
      <c r="D472" s="11" t="s">
        <v>33</v>
      </c>
      <c r="E472" s="15">
        <v>7</v>
      </c>
      <c r="F472" s="26">
        <v>6.9989999999999997</v>
      </c>
      <c r="G472" s="18">
        <v>0</v>
      </c>
    </row>
    <row r="473" spans="1:14">
      <c r="A473" s="15">
        <v>15</v>
      </c>
      <c r="B473" s="78">
        <v>41106</v>
      </c>
      <c r="C473" s="15">
        <v>2012</v>
      </c>
      <c r="D473" s="11" t="s">
        <v>33</v>
      </c>
      <c r="E473" s="15">
        <v>7</v>
      </c>
      <c r="F473" s="26">
        <v>6.0439999999999996</v>
      </c>
      <c r="G473" s="18">
        <v>0</v>
      </c>
      <c r="I473" s="18">
        <f>AVERAGE(F471:F473)</f>
        <v>6.8343333333333334</v>
      </c>
      <c r="J473" s="18">
        <f>AVERAGE(G471:G473)</f>
        <v>0</v>
      </c>
      <c r="L473">
        <f>+J473/I473</f>
        <v>0</v>
      </c>
      <c r="M473">
        <f>+(L473-$L$927)/$L$928</f>
        <v>-0.43968697805051538</v>
      </c>
      <c r="N473">
        <f>+N470+M473</f>
        <v>11.535490695265979</v>
      </c>
    </row>
    <row r="474" spans="1:14">
      <c r="A474" s="15">
        <v>6</v>
      </c>
      <c r="B474" s="78">
        <v>41135</v>
      </c>
      <c r="C474" s="15">
        <v>2012</v>
      </c>
      <c r="D474" s="11" t="s">
        <v>34</v>
      </c>
      <c r="E474" s="15">
        <v>8</v>
      </c>
      <c r="F474" s="26">
        <v>5.58</v>
      </c>
      <c r="G474" s="18">
        <v>0</v>
      </c>
    </row>
    <row r="475" spans="1:14">
      <c r="A475" s="15">
        <v>8</v>
      </c>
      <c r="B475" s="78">
        <v>41137</v>
      </c>
      <c r="C475" s="15">
        <v>2012</v>
      </c>
      <c r="D475" s="11" t="s">
        <v>34</v>
      </c>
      <c r="E475" s="15">
        <v>8</v>
      </c>
      <c r="F475" s="26">
        <v>13.215999999999999</v>
      </c>
      <c r="G475" s="18">
        <v>0</v>
      </c>
    </row>
    <row r="476" spans="1:14">
      <c r="A476" s="15">
        <v>15</v>
      </c>
      <c r="B476" s="78">
        <v>41137</v>
      </c>
      <c r="C476" s="15">
        <v>2012</v>
      </c>
      <c r="D476" s="11" t="s">
        <v>34</v>
      </c>
      <c r="E476" s="15">
        <v>8</v>
      </c>
      <c r="F476" s="26">
        <v>7.7359999999999998</v>
      </c>
      <c r="G476" s="18">
        <v>0</v>
      </c>
      <c r="I476" s="18">
        <f>AVERAGE(F474:F476)</f>
        <v>8.8439999999999994</v>
      </c>
      <c r="J476" s="18">
        <f>AVERAGE(G474:G476)</f>
        <v>0</v>
      </c>
      <c r="L476">
        <f>+J476/I476</f>
        <v>0</v>
      </c>
      <c r="M476">
        <f>+(L476-$L$927)/$L$928</f>
        <v>-0.43968697805051538</v>
      </c>
      <c r="N476">
        <f>+N473+M476</f>
        <v>11.095803717215464</v>
      </c>
    </row>
    <row r="477" spans="1:14">
      <c r="A477" s="15">
        <v>6</v>
      </c>
      <c r="B477" s="78">
        <v>41164</v>
      </c>
      <c r="C477" s="15">
        <v>2012</v>
      </c>
      <c r="D477" s="11" t="s">
        <v>40</v>
      </c>
      <c r="E477" s="15">
        <v>9</v>
      </c>
      <c r="F477" s="26">
        <v>12.352</v>
      </c>
      <c r="G477" s="18">
        <v>0</v>
      </c>
    </row>
    <row r="478" spans="1:14">
      <c r="A478" s="15">
        <v>8</v>
      </c>
      <c r="B478" s="78">
        <v>41163</v>
      </c>
      <c r="C478" s="15">
        <v>2012</v>
      </c>
      <c r="D478" s="11" t="s">
        <v>40</v>
      </c>
      <c r="E478" s="15">
        <v>9</v>
      </c>
      <c r="F478" s="26">
        <v>15.667999999999999</v>
      </c>
      <c r="G478" s="18">
        <v>0</v>
      </c>
    </row>
    <row r="479" spans="1:14">
      <c r="A479" s="15">
        <v>15</v>
      </c>
      <c r="B479" s="78">
        <v>41163</v>
      </c>
      <c r="C479" s="15">
        <v>2012</v>
      </c>
      <c r="D479" s="11" t="s">
        <v>40</v>
      </c>
      <c r="E479" s="15">
        <v>9</v>
      </c>
      <c r="F479" s="26">
        <v>9.2889999999999997</v>
      </c>
      <c r="G479" s="18">
        <v>0</v>
      </c>
      <c r="I479" s="18">
        <f>AVERAGE(F477:F479)</f>
        <v>12.436333333333332</v>
      </c>
      <c r="J479" s="18">
        <f>AVERAGE(G477:G479)</f>
        <v>0</v>
      </c>
      <c r="L479">
        <f>+J479/I479</f>
        <v>0</v>
      </c>
      <c r="M479">
        <f>+(L479-$L$927)/$L$928</f>
        <v>-0.43968697805051538</v>
      </c>
      <c r="N479">
        <f>+N476+M479</f>
        <v>10.656116739164949</v>
      </c>
    </row>
    <row r="480" spans="1:14">
      <c r="A480" s="15">
        <v>6</v>
      </c>
      <c r="B480" s="78">
        <v>41199</v>
      </c>
      <c r="C480" s="15">
        <v>2012</v>
      </c>
      <c r="D480" s="11" t="s">
        <v>36</v>
      </c>
      <c r="E480" s="15">
        <v>10</v>
      </c>
      <c r="F480" s="26">
        <v>6.0670000000000002</v>
      </c>
      <c r="G480" s="18">
        <v>0</v>
      </c>
    </row>
    <row r="481" spans="1:14">
      <c r="A481" s="15">
        <v>8</v>
      </c>
      <c r="B481" s="78">
        <v>41199</v>
      </c>
      <c r="C481" s="15">
        <v>2012</v>
      </c>
      <c r="D481" s="11" t="s">
        <v>36</v>
      </c>
      <c r="E481" s="15">
        <v>10</v>
      </c>
      <c r="F481" s="26">
        <v>1.466</v>
      </c>
      <c r="G481" s="18">
        <v>0</v>
      </c>
    </row>
    <row r="482" spans="1:14">
      <c r="A482" s="15">
        <v>15</v>
      </c>
      <c r="B482" s="78">
        <v>41199</v>
      </c>
      <c r="C482" s="15">
        <v>2012</v>
      </c>
      <c r="D482" s="11" t="s">
        <v>36</v>
      </c>
      <c r="E482" s="15">
        <v>10</v>
      </c>
      <c r="F482" s="26">
        <v>9.5060000000000002</v>
      </c>
      <c r="G482" s="18">
        <v>3.7365000000000002E-2</v>
      </c>
      <c r="I482" s="18">
        <f>AVERAGE(F480:F482)</f>
        <v>5.6796666666666669</v>
      </c>
      <c r="J482" s="18">
        <f>AVERAGE(G480:G482)</f>
        <v>1.2455000000000001E-2</v>
      </c>
      <c r="L482">
        <f>+J482/I482</f>
        <v>2.1929103820646752E-3</v>
      </c>
      <c r="M482">
        <f>+(L482-$L$927)/$L$928</f>
        <v>-0.38881258364721588</v>
      </c>
      <c r="N482">
        <f>+N479+M482</f>
        <v>10.267304155517733</v>
      </c>
    </row>
    <row r="483" spans="1:14">
      <c r="A483" s="15">
        <v>6</v>
      </c>
      <c r="B483" s="78">
        <v>41225</v>
      </c>
      <c r="C483" s="15">
        <v>2012</v>
      </c>
      <c r="D483" s="11" t="s">
        <v>37</v>
      </c>
      <c r="E483" s="15">
        <v>11</v>
      </c>
      <c r="F483" s="26">
        <v>7.7229999999999999</v>
      </c>
      <c r="G483" s="18">
        <v>0</v>
      </c>
    </row>
    <row r="484" spans="1:14">
      <c r="A484" s="15">
        <v>8</v>
      </c>
      <c r="B484" s="78">
        <v>41225</v>
      </c>
      <c r="C484" s="15">
        <v>2012</v>
      </c>
      <c r="D484" s="11" t="s">
        <v>37</v>
      </c>
      <c r="E484" s="15">
        <v>11</v>
      </c>
      <c r="F484" s="26">
        <v>2.4769999999999999</v>
      </c>
      <c r="G484" s="18">
        <v>0</v>
      </c>
    </row>
    <row r="485" spans="1:14">
      <c r="A485" s="15">
        <v>15</v>
      </c>
      <c r="B485" s="78">
        <v>41225</v>
      </c>
      <c r="C485" s="15">
        <v>2012</v>
      </c>
      <c r="D485" s="11" t="s">
        <v>37</v>
      </c>
      <c r="E485" s="15">
        <v>11</v>
      </c>
      <c r="F485" s="26">
        <v>8.2490000000000006</v>
      </c>
      <c r="G485" s="18">
        <v>0</v>
      </c>
      <c r="I485" s="18">
        <f>AVERAGE(F483:F485)</f>
        <v>6.1496666666666657</v>
      </c>
      <c r="J485" s="18">
        <f>AVERAGE(G483:G485)</f>
        <v>0</v>
      </c>
      <c r="L485">
        <f>+J485/I485</f>
        <v>0</v>
      </c>
      <c r="M485">
        <f>+(L485-$L$927)/$L$928</f>
        <v>-0.43968697805051538</v>
      </c>
      <c r="N485">
        <f>+N482+M485</f>
        <v>9.8276171774672179</v>
      </c>
    </row>
    <row r="486" spans="1:14">
      <c r="A486" s="15">
        <v>6</v>
      </c>
      <c r="B486" s="78">
        <v>41254</v>
      </c>
      <c r="C486" s="15">
        <v>2012</v>
      </c>
      <c r="D486" s="11" t="s">
        <v>38</v>
      </c>
      <c r="E486" s="15">
        <v>12</v>
      </c>
      <c r="F486" s="26">
        <v>3.5219999999999998</v>
      </c>
      <c r="G486" s="18">
        <v>0</v>
      </c>
    </row>
    <row r="487" spans="1:14">
      <c r="A487" s="15">
        <v>8</v>
      </c>
      <c r="B487" s="78">
        <v>41255</v>
      </c>
      <c r="C487" s="15">
        <v>2012</v>
      </c>
      <c r="D487" s="11" t="s">
        <v>38</v>
      </c>
      <c r="E487" s="15">
        <v>12</v>
      </c>
      <c r="F487" s="26">
        <v>1.3089999999999999</v>
      </c>
      <c r="G487" s="18">
        <v>0</v>
      </c>
    </row>
    <row r="488" spans="1:14">
      <c r="A488" s="15">
        <v>15</v>
      </c>
      <c r="B488" s="78">
        <v>41255</v>
      </c>
      <c r="C488" s="15">
        <v>2012</v>
      </c>
      <c r="D488" s="11" t="s">
        <v>38</v>
      </c>
      <c r="E488" s="15">
        <v>12</v>
      </c>
      <c r="F488" s="26">
        <v>2.9049999999999998</v>
      </c>
      <c r="G488" s="18">
        <v>0</v>
      </c>
      <c r="I488" s="18">
        <f>AVERAGE(F486:F488)</f>
        <v>2.5786666666666664</v>
      </c>
      <c r="J488" s="18">
        <f>AVERAGE(G486:G488)</f>
        <v>0</v>
      </c>
      <c r="L488">
        <f>+J488/I488</f>
        <v>0</v>
      </c>
      <c r="M488">
        <f>+(L488-$L$927)/$L$928</f>
        <v>-0.43968697805051538</v>
      </c>
      <c r="N488">
        <f>+N485+M488</f>
        <v>9.3879301994167026</v>
      </c>
    </row>
    <row r="489" spans="1:14">
      <c r="A489" s="15">
        <v>6</v>
      </c>
      <c r="B489" s="78">
        <v>41288</v>
      </c>
      <c r="C489" s="15">
        <v>2013</v>
      </c>
      <c r="D489" s="11" t="s">
        <v>39</v>
      </c>
      <c r="E489" s="15">
        <v>1</v>
      </c>
      <c r="F489" s="26">
        <v>2.8029999999999999</v>
      </c>
      <c r="G489" s="18">
        <v>0</v>
      </c>
    </row>
    <row r="490" spans="1:14">
      <c r="A490" s="15">
        <v>8</v>
      </c>
      <c r="B490" s="78">
        <v>41297</v>
      </c>
      <c r="C490" s="15">
        <v>2013</v>
      </c>
      <c r="D490" s="11" t="s">
        <v>39</v>
      </c>
      <c r="E490" s="15">
        <v>1</v>
      </c>
      <c r="F490" s="26">
        <v>1.788</v>
      </c>
      <c r="G490" s="18">
        <v>0</v>
      </c>
    </row>
    <row r="491" spans="1:14">
      <c r="A491" s="15">
        <v>15</v>
      </c>
      <c r="B491" s="78">
        <v>41297</v>
      </c>
      <c r="C491" s="15">
        <v>2013</v>
      </c>
      <c r="D491" s="11" t="s">
        <v>39</v>
      </c>
      <c r="E491" s="15">
        <v>1</v>
      </c>
      <c r="F491" s="26">
        <v>5.1769999999999996</v>
      </c>
      <c r="G491" s="18">
        <v>0</v>
      </c>
      <c r="I491" s="18">
        <f>AVERAGE(F489:F491)</f>
        <v>3.2560000000000002</v>
      </c>
      <c r="J491" s="18">
        <f>AVERAGE(G489:G491)</f>
        <v>0</v>
      </c>
      <c r="L491">
        <f>+J491/I491</f>
        <v>0</v>
      </c>
      <c r="M491">
        <f>+(L491-$L$927)/$L$928</f>
        <v>-0.43968697805051538</v>
      </c>
      <c r="N491">
        <f>+N488+M491</f>
        <v>8.9482432213661873</v>
      </c>
    </row>
    <row r="492" spans="1:14">
      <c r="A492" s="15">
        <v>6</v>
      </c>
      <c r="B492" s="78">
        <v>41318</v>
      </c>
      <c r="C492" s="15">
        <v>2013</v>
      </c>
      <c r="D492" s="11" t="s">
        <v>28</v>
      </c>
      <c r="E492" s="15">
        <v>2</v>
      </c>
      <c r="F492" s="30">
        <v>9.032</v>
      </c>
      <c r="G492" s="18">
        <v>0</v>
      </c>
    </row>
    <row r="493" spans="1:14">
      <c r="A493" s="15">
        <v>8</v>
      </c>
      <c r="B493" s="78">
        <v>41319</v>
      </c>
      <c r="C493" s="15">
        <v>2013</v>
      </c>
      <c r="D493" s="11" t="s">
        <v>28</v>
      </c>
      <c r="E493" s="15">
        <v>2</v>
      </c>
      <c r="F493" s="30">
        <v>2.504</v>
      </c>
      <c r="G493" s="18">
        <v>0</v>
      </c>
    </row>
    <row r="494" spans="1:14">
      <c r="A494" s="15">
        <v>15</v>
      </c>
      <c r="B494" s="78">
        <v>41319</v>
      </c>
      <c r="C494" s="15">
        <v>2013</v>
      </c>
      <c r="D494" s="11" t="s">
        <v>28</v>
      </c>
      <c r="E494" s="15">
        <v>2</v>
      </c>
      <c r="F494" s="30">
        <v>7.0979999999999999</v>
      </c>
      <c r="G494" s="18">
        <v>0</v>
      </c>
      <c r="I494" s="18">
        <f>AVERAGE(F492:F494)</f>
        <v>6.2113333333333332</v>
      </c>
      <c r="J494" s="18">
        <f>AVERAGE(G492:G494)</f>
        <v>0</v>
      </c>
      <c r="L494">
        <f>+J494/I494</f>
        <v>0</v>
      </c>
      <c r="M494">
        <f>+(L494-$L$927)/$L$928</f>
        <v>-0.43968697805051538</v>
      </c>
      <c r="N494">
        <f>+N491+M494</f>
        <v>8.5085562433156721</v>
      </c>
    </row>
    <row r="495" spans="1:14">
      <c r="A495" s="15">
        <v>6</v>
      </c>
      <c r="B495" s="78">
        <v>41344</v>
      </c>
      <c r="C495" s="15">
        <v>2013</v>
      </c>
      <c r="D495" s="11" t="s">
        <v>29</v>
      </c>
      <c r="E495" s="15">
        <v>3</v>
      </c>
      <c r="F495" s="30">
        <v>9.4570000000000007</v>
      </c>
      <c r="G495" s="18">
        <v>0</v>
      </c>
    </row>
    <row r="496" spans="1:14">
      <c r="A496" s="15">
        <v>8</v>
      </c>
      <c r="B496" s="78">
        <v>41346</v>
      </c>
      <c r="C496" s="15">
        <v>2013</v>
      </c>
      <c r="D496" s="11" t="s">
        <v>29</v>
      </c>
      <c r="E496" s="15">
        <v>3</v>
      </c>
      <c r="F496" s="30">
        <v>9.9120000000000008</v>
      </c>
      <c r="G496" s="18">
        <v>0</v>
      </c>
    </row>
    <row r="497" spans="1:14">
      <c r="A497" s="15">
        <v>8</v>
      </c>
      <c r="B497" s="78">
        <v>41346</v>
      </c>
      <c r="C497" s="15">
        <v>2013</v>
      </c>
      <c r="D497" s="11" t="s">
        <v>29</v>
      </c>
      <c r="E497" s="15">
        <v>3</v>
      </c>
      <c r="F497" s="30">
        <v>9.9120000000000008</v>
      </c>
      <c r="G497" s="18">
        <v>0</v>
      </c>
      <c r="H497" t="s">
        <v>13</v>
      </c>
    </row>
    <row r="498" spans="1:14">
      <c r="A498" s="15">
        <v>15</v>
      </c>
      <c r="B498" s="78">
        <v>41346</v>
      </c>
      <c r="C498" s="15">
        <v>2013</v>
      </c>
      <c r="D498" s="11" t="s">
        <v>29</v>
      </c>
      <c r="E498" s="15">
        <v>3</v>
      </c>
      <c r="F498" s="30">
        <v>9.0190000000000001</v>
      </c>
      <c r="G498" s="18">
        <v>0</v>
      </c>
      <c r="I498" s="18">
        <f>AVERAGE(F495:F498)</f>
        <v>9.5749999999999993</v>
      </c>
      <c r="J498" s="18">
        <f>AVERAGE(G495:G498)</f>
        <v>0</v>
      </c>
      <c r="L498">
        <f>+J498/I498</f>
        <v>0</v>
      </c>
      <c r="M498">
        <f>+(L498-$L$927)/$L$928</f>
        <v>-0.43968697805051538</v>
      </c>
      <c r="N498">
        <f>+N494+M498</f>
        <v>8.0688692652651568</v>
      </c>
    </row>
    <row r="499" spans="1:14">
      <c r="A499" s="15">
        <v>6</v>
      </c>
      <c r="B499" s="78">
        <v>41379</v>
      </c>
      <c r="C499" s="15">
        <v>2013</v>
      </c>
      <c r="D499" s="11" t="s">
        <v>30</v>
      </c>
      <c r="E499" s="15">
        <v>4</v>
      </c>
      <c r="F499" s="31">
        <v>0.59499999999999997</v>
      </c>
      <c r="G499" s="18">
        <v>0</v>
      </c>
    </row>
    <row r="500" spans="1:14">
      <c r="A500" s="15">
        <v>8</v>
      </c>
      <c r="B500" s="78">
        <v>41380</v>
      </c>
      <c r="C500" s="15">
        <v>2013</v>
      </c>
      <c r="D500" s="11" t="s">
        <v>30</v>
      </c>
      <c r="E500" s="15">
        <v>4</v>
      </c>
      <c r="F500" s="31">
        <v>0.70699999999999996</v>
      </c>
      <c r="G500" s="18">
        <v>0</v>
      </c>
    </row>
    <row r="501" spans="1:14">
      <c r="A501" s="15">
        <v>15</v>
      </c>
      <c r="B501" s="78">
        <v>41380</v>
      </c>
      <c r="C501" s="15">
        <v>2013</v>
      </c>
      <c r="D501" s="11" t="s">
        <v>30</v>
      </c>
      <c r="E501" s="15">
        <v>4</v>
      </c>
      <c r="F501" s="31">
        <v>0.377</v>
      </c>
      <c r="G501" s="18">
        <v>0</v>
      </c>
      <c r="I501" s="18">
        <f>AVERAGE(F499:F501)</f>
        <v>0.55966666666666665</v>
      </c>
      <c r="J501" s="18">
        <f>AVERAGE(G499:G501)</f>
        <v>0</v>
      </c>
      <c r="L501">
        <f>+J501/I501</f>
        <v>0</v>
      </c>
      <c r="M501">
        <f>+(L501-$L$927)/$L$928</f>
        <v>-0.43968697805051538</v>
      </c>
      <c r="N501">
        <f>+N498+M501</f>
        <v>7.6291822872146415</v>
      </c>
    </row>
    <row r="502" spans="1:14">
      <c r="A502" s="15">
        <v>6</v>
      </c>
      <c r="B502" s="78">
        <v>41408</v>
      </c>
      <c r="C502" s="15">
        <v>2013</v>
      </c>
      <c r="D502" s="11" t="s">
        <v>31</v>
      </c>
      <c r="E502" s="15">
        <v>5</v>
      </c>
      <c r="F502" s="31">
        <v>0.69199999999999995</v>
      </c>
      <c r="G502" s="18">
        <v>0</v>
      </c>
    </row>
    <row r="503" spans="1:14">
      <c r="A503" s="15">
        <v>6</v>
      </c>
      <c r="B503" s="78">
        <v>41408</v>
      </c>
      <c r="C503" s="15">
        <v>2013</v>
      </c>
      <c r="D503" s="11" t="s">
        <v>31</v>
      </c>
      <c r="E503" s="15">
        <v>5</v>
      </c>
      <c r="F503" s="31">
        <v>0.69199999999999995</v>
      </c>
      <c r="G503" s="18">
        <v>0</v>
      </c>
    </row>
    <row r="504" spans="1:14">
      <c r="A504" s="15">
        <v>8</v>
      </c>
      <c r="B504" s="78">
        <v>41407</v>
      </c>
      <c r="C504" s="15">
        <v>2013</v>
      </c>
      <c r="D504" s="11" t="s">
        <v>31</v>
      </c>
      <c r="E504" s="15">
        <v>5</v>
      </c>
      <c r="F504" s="31">
        <v>1.17</v>
      </c>
      <c r="G504" s="18">
        <v>0</v>
      </c>
      <c r="I504" s="18"/>
      <c r="J504" s="18"/>
    </row>
    <row r="505" spans="1:14">
      <c r="A505" s="15">
        <v>15</v>
      </c>
      <c r="B505" s="78">
        <v>41407</v>
      </c>
      <c r="C505" s="15">
        <v>2013</v>
      </c>
      <c r="D505" s="11" t="s">
        <v>31</v>
      </c>
      <c r="E505" s="15">
        <v>5</v>
      </c>
      <c r="F505" s="31">
        <v>0.76100000000000001</v>
      </c>
      <c r="G505" s="18">
        <v>0</v>
      </c>
      <c r="I505" s="18">
        <f>AVERAGE(F502:F505)</f>
        <v>0.82874999999999999</v>
      </c>
      <c r="J505" s="18">
        <f>AVERAGE(G502:G505)</f>
        <v>0</v>
      </c>
      <c r="L505">
        <f>+J505/I505</f>
        <v>0</v>
      </c>
      <c r="M505">
        <f>+(L505-$L$927)/$L$928</f>
        <v>-0.43968697805051538</v>
      </c>
      <c r="N505">
        <f>+N501+M505</f>
        <v>7.1894953091641263</v>
      </c>
    </row>
    <row r="506" spans="1:14">
      <c r="A506" s="15">
        <v>6</v>
      </c>
      <c r="B506" s="78">
        <v>41436</v>
      </c>
      <c r="C506" s="15">
        <v>2013</v>
      </c>
      <c r="D506" s="11" t="s">
        <v>32</v>
      </c>
      <c r="E506" s="15">
        <v>6</v>
      </c>
      <c r="F506" s="31">
        <v>10.188000000000001</v>
      </c>
      <c r="G506" s="18">
        <v>0</v>
      </c>
    </row>
    <row r="507" spans="1:14">
      <c r="A507" s="15">
        <v>8</v>
      </c>
      <c r="B507" s="78">
        <v>41437</v>
      </c>
      <c r="C507" s="15">
        <v>2013</v>
      </c>
      <c r="D507" s="11" t="s">
        <v>32</v>
      </c>
      <c r="E507" s="15">
        <v>6</v>
      </c>
      <c r="F507" s="31">
        <v>4.4930000000000003</v>
      </c>
      <c r="G507" s="18">
        <v>0</v>
      </c>
    </row>
    <row r="508" spans="1:14">
      <c r="A508" s="15">
        <v>15</v>
      </c>
      <c r="B508" s="78">
        <v>41437</v>
      </c>
      <c r="C508" s="15">
        <v>2013</v>
      </c>
      <c r="D508" s="11" t="s">
        <v>32</v>
      </c>
      <c r="E508" s="15">
        <v>6</v>
      </c>
      <c r="F508" s="31">
        <v>3.3330000000000002</v>
      </c>
      <c r="G508" s="18">
        <v>0</v>
      </c>
      <c r="I508" s="18">
        <f>AVERAGE(F506:F508)</f>
        <v>6.0046666666666679</v>
      </c>
      <c r="J508" s="18">
        <f>AVERAGE(G506:G508)</f>
        <v>0</v>
      </c>
      <c r="L508">
        <f>+J508/I508</f>
        <v>0</v>
      </c>
      <c r="M508">
        <f>+(L508-$L$927)/$L$928</f>
        <v>-0.43968697805051538</v>
      </c>
      <c r="N508">
        <f>+N505+M508</f>
        <v>6.749808331113611</v>
      </c>
    </row>
    <row r="509" spans="1:14">
      <c r="A509" s="15">
        <v>6</v>
      </c>
      <c r="B509" s="78">
        <v>41470</v>
      </c>
      <c r="C509" s="15">
        <v>2013</v>
      </c>
      <c r="D509" s="11" t="s">
        <v>33</v>
      </c>
      <c r="E509" s="15">
        <v>7</v>
      </c>
      <c r="F509" s="31">
        <v>4.2619999999999996</v>
      </c>
      <c r="G509" s="18">
        <v>0</v>
      </c>
    </row>
    <row r="510" spans="1:14">
      <c r="A510" s="15">
        <v>8</v>
      </c>
      <c r="B510" s="78">
        <v>41470</v>
      </c>
      <c r="C510" s="15">
        <v>2013</v>
      </c>
      <c r="D510" s="11" t="s">
        <v>33</v>
      </c>
      <c r="E510" s="15">
        <v>7</v>
      </c>
      <c r="F510" s="31">
        <v>4.1459999999999999</v>
      </c>
      <c r="G510" s="18">
        <v>0</v>
      </c>
    </row>
    <row r="511" spans="1:14">
      <c r="A511" s="15">
        <v>15</v>
      </c>
      <c r="B511" s="78">
        <v>41470</v>
      </c>
      <c r="C511" s="15">
        <v>2013</v>
      </c>
      <c r="D511" s="11" t="s">
        <v>33</v>
      </c>
      <c r="E511" s="15">
        <v>7</v>
      </c>
      <c r="F511" s="31">
        <v>3.3679999999999999</v>
      </c>
      <c r="G511" s="18">
        <v>0</v>
      </c>
      <c r="I511" s="18">
        <f>AVERAGE(F509:F511)</f>
        <v>3.9253333333333331</v>
      </c>
      <c r="J511" s="18">
        <f>AVERAGE(G509:G511)</f>
        <v>0</v>
      </c>
      <c r="L511">
        <f>+J511/I511</f>
        <v>0</v>
      </c>
      <c r="M511">
        <f>+(L511-$L$927)/$L$928</f>
        <v>-0.43968697805051538</v>
      </c>
      <c r="N511">
        <f>+N508+M511</f>
        <v>6.3101213530630957</v>
      </c>
    </row>
    <row r="512" spans="1:14">
      <c r="A512" s="15">
        <v>6</v>
      </c>
      <c r="B512" s="78">
        <v>41498</v>
      </c>
      <c r="C512" s="15">
        <v>2013</v>
      </c>
      <c r="D512" s="11" t="s">
        <v>34</v>
      </c>
      <c r="E512" s="15">
        <v>8</v>
      </c>
      <c r="F512" s="31">
        <v>3.323</v>
      </c>
      <c r="G512" s="18">
        <v>0</v>
      </c>
    </row>
    <row r="513" spans="1:14">
      <c r="A513" s="15">
        <v>8</v>
      </c>
      <c r="B513" s="78">
        <v>41498</v>
      </c>
      <c r="C513" s="15">
        <v>2013</v>
      </c>
      <c r="D513" s="11" t="s">
        <v>34</v>
      </c>
      <c r="E513" s="15">
        <v>8</v>
      </c>
      <c r="F513" s="31">
        <v>3.33</v>
      </c>
      <c r="G513" s="18">
        <v>0</v>
      </c>
    </row>
    <row r="514" spans="1:14">
      <c r="A514" s="15">
        <v>15</v>
      </c>
      <c r="B514" s="78">
        <v>41498</v>
      </c>
      <c r="C514" s="15">
        <v>2013</v>
      </c>
      <c r="D514" s="11" t="s">
        <v>34</v>
      </c>
      <c r="E514" s="15">
        <v>8</v>
      </c>
      <c r="F514" s="31">
        <v>1.9870000000000001</v>
      </c>
      <c r="G514" s="18">
        <v>0</v>
      </c>
      <c r="I514" s="18">
        <f>AVERAGE(F512:F514)</f>
        <v>2.8800000000000003</v>
      </c>
      <c r="J514" s="18">
        <f>AVERAGE(G512:G514)</f>
        <v>0</v>
      </c>
      <c r="L514">
        <f>+J514/I514</f>
        <v>0</v>
      </c>
      <c r="M514">
        <f>+(L514-$L$927)/$L$928</f>
        <v>-0.43968697805051538</v>
      </c>
      <c r="N514">
        <f>+N511+M514</f>
        <v>5.8704343750125805</v>
      </c>
    </row>
    <row r="515" spans="1:14">
      <c r="A515" s="15">
        <v>6</v>
      </c>
      <c r="B515" s="78">
        <v>41535</v>
      </c>
      <c r="C515" s="15">
        <v>2013</v>
      </c>
      <c r="D515" s="11" t="s">
        <v>40</v>
      </c>
      <c r="E515" s="15">
        <v>9</v>
      </c>
      <c r="F515" s="31">
        <v>1.4730000000000001</v>
      </c>
      <c r="G515" s="18">
        <v>0</v>
      </c>
    </row>
    <row r="516" spans="1:14">
      <c r="A516" s="15">
        <v>8</v>
      </c>
      <c r="B516" s="78">
        <v>41535</v>
      </c>
      <c r="C516" s="15">
        <v>2013</v>
      </c>
      <c r="D516" s="11" t="s">
        <v>40</v>
      </c>
      <c r="E516" s="15">
        <v>9</v>
      </c>
      <c r="F516" s="31">
        <v>2.9580000000000002</v>
      </c>
      <c r="G516" s="18">
        <v>0</v>
      </c>
    </row>
    <row r="517" spans="1:14">
      <c r="A517" s="15">
        <v>15</v>
      </c>
      <c r="B517" s="78">
        <v>41535</v>
      </c>
      <c r="C517" s="15">
        <v>2013</v>
      </c>
      <c r="D517" s="11" t="s">
        <v>40</v>
      </c>
      <c r="E517" s="15">
        <v>9</v>
      </c>
      <c r="F517" s="31">
        <v>2.5760000000000001</v>
      </c>
      <c r="G517" s="18">
        <v>0</v>
      </c>
      <c r="I517" s="18">
        <f>AVERAGE(F515:F517)</f>
        <v>2.3356666666666666</v>
      </c>
      <c r="J517" s="18">
        <f>AVERAGE(G515:G517)</f>
        <v>0</v>
      </c>
      <c r="L517">
        <f>+J517/I517</f>
        <v>0</v>
      </c>
      <c r="M517">
        <f>+(L517-$L$927)/$L$928</f>
        <v>-0.43968697805051538</v>
      </c>
      <c r="N517">
        <f>+N514+M517</f>
        <v>5.4307473969620652</v>
      </c>
    </row>
    <row r="518" spans="1:14">
      <c r="A518" s="15">
        <v>6</v>
      </c>
      <c r="B518" s="78">
        <v>41569</v>
      </c>
      <c r="C518" s="15">
        <v>2013</v>
      </c>
      <c r="D518" s="11" t="s">
        <v>36</v>
      </c>
      <c r="E518" s="15">
        <v>10</v>
      </c>
      <c r="F518" s="26">
        <v>1.5389999999999999</v>
      </c>
      <c r="G518" s="18">
        <v>0</v>
      </c>
    </row>
    <row r="519" spans="1:14">
      <c r="A519" s="15">
        <v>8</v>
      </c>
      <c r="B519" s="78">
        <v>406810</v>
      </c>
      <c r="C519" s="15">
        <v>2013</v>
      </c>
      <c r="D519" s="11" t="s">
        <v>36</v>
      </c>
      <c r="E519" s="15">
        <v>10</v>
      </c>
      <c r="F519" s="26">
        <v>0.92200000000000004</v>
      </c>
      <c r="G519" s="18">
        <v>0</v>
      </c>
    </row>
    <row r="520" spans="1:14">
      <c r="A520" s="15">
        <v>15</v>
      </c>
      <c r="B520" s="78">
        <v>406810</v>
      </c>
      <c r="C520" s="15">
        <v>2013</v>
      </c>
      <c r="D520" s="11" t="s">
        <v>36</v>
      </c>
      <c r="E520" s="15">
        <v>10</v>
      </c>
      <c r="F520" s="26">
        <v>1.8380000000000001</v>
      </c>
      <c r="G520" s="18">
        <v>0</v>
      </c>
      <c r="I520" s="18">
        <f>AVERAGE(F518:F520)</f>
        <v>1.4329999999999998</v>
      </c>
      <c r="J520" s="18">
        <f>AVERAGE(G518:G520)</f>
        <v>0</v>
      </c>
      <c r="L520">
        <f>+J520/I520</f>
        <v>0</v>
      </c>
      <c r="M520">
        <f>+(L520-$L$927)/$L$928</f>
        <v>-0.43968697805051538</v>
      </c>
      <c r="N520">
        <f>+N517+M520</f>
        <v>4.9910604189115499</v>
      </c>
    </row>
    <row r="521" spans="1:14">
      <c r="A521" s="15">
        <v>6</v>
      </c>
      <c r="B521" s="78">
        <v>41599</v>
      </c>
      <c r="C521" s="15">
        <v>2013</v>
      </c>
      <c r="D521" s="11" t="s">
        <v>37</v>
      </c>
      <c r="E521" s="15">
        <v>11</v>
      </c>
      <c r="F521" s="26">
        <v>2.1930000000000001</v>
      </c>
      <c r="G521" s="18">
        <v>0</v>
      </c>
    </row>
    <row r="522" spans="1:14">
      <c r="A522" s="15">
        <v>8</v>
      </c>
      <c r="B522" s="78">
        <v>41599</v>
      </c>
      <c r="C522" s="15">
        <v>2013</v>
      </c>
      <c r="D522" s="11" t="s">
        <v>37</v>
      </c>
      <c r="E522" s="15">
        <v>11</v>
      </c>
      <c r="F522" s="26">
        <v>0.51</v>
      </c>
      <c r="G522" s="18">
        <v>0</v>
      </c>
    </row>
    <row r="523" spans="1:14">
      <c r="A523" s="15">
        <v>15</v>
      </c>
      <c r="B523" s="78">
        <v>41599</v>
      </c>
      <c r="C523" s="15">
        <v>2013</v>
      </c>
      <c r="D523" s="11" t="s">
        <v>37</v>
      </c>
      <c r="E523" s="15">
        <v>11</v>
      </c>
      <c r="F523" s="26">
        <v>1.6080000000000001</v>
      </c>
      <c r="G523" s="18">
        <v>0</v>
      </c>
      <c r="I523" s="18">
        <f>AVERAGE(F521:F523)</f>
        <v>1.4370000000000001</v>
      </c>
      <c r="J523" s="18">
        <f>AVERAGE(G521:G523)</f>
        <v>0</v>
      </c>
      <c r="L523">
        <f>+J523/I523</f>
        <v>0</v>
      </c>
      <c r="M523">
        <f>+(L523-$L$927)/$L$928</f>
        <v>-0.43968697805051538</v>
      </c>
      <c r="N523">
        <f>+N520+M523</f>
        <v>4.5513734408610347</v>
      </c>
    </row>
    <row r="524" spans="1:14">
      <c r="A524" s="15">
        <v>6</v>
      </c>
      <c r="B524" s="78">
        <v>41624</v>
      </c>
      <c r="C524" s="15">
        <v>2013</v>
      </c>
      <c r="D524" s="11" t="s">
        <v>38</v>
      </c>
      <c r="E524" s="15">
        <v>12</v>
      </c>
      <c r="F524" s="26">
        <v>4.742</v>
      </c>
      <c r="G524" s="18">
        <v>0</v>
      </c>
    </row>
    <row r="525" spans="1:14">
      <c r="A525" s="15">
        <v>8</v>
      </c>
      <c r="B525" s="78">
        <v>41627</v>
      </c>
      <c r="C525" s="15">
        <v>2013</v>
      </c>
      <c r="D525" s="11" t="s">
        <v>38</v>
      </c>
      <c r="E525" s="15">
        <v>12</v>
      </c>
      <c r="F525" s="26">
        <v>1.417</v>
      </c>
      <c r="G525" s="18">
        <v>0</v>
      </c>
    </row>
    <row r="526" spans="1:14">
      <c r="A526" s="15">
        <v>15</v>
      </c>
      <c r="B526" s="78">
        <v>41627</v>
      </c>
      <c r="C526" s="15">
        <v>2013</v>
      </c>
      <c r="D526" s="11" t="s">
        <v>38</v>
      </c>
      <c r="E526" s="15">
        <v>12</v>
      </c>
      <c r="F526" s="26">
        <v>3.1640000000000001</v>
      </c>
      <c r="G526" s="18">
        <v>0</v>
      </c>
      <c r="I526" s="18">
        <f>AVERAGE(F524:F526)</f>
        <v>3.1076666666666668</v>
      </c>
      <c r="J526" s="18">
        <f>AVERAGE(G524:G526)</f>
        <v>0</v>
      </c>
      <c r="L526">
        <f>+J526/I526</f>
        <v>0</v>
      </c>
      <c r="M526">
        <f>+(L526-$L$927)/$L$928</f>
        <v>-0.43968697805051538</v>
      </c>
      <c r="N526">
        <f>+N523+M526</f>
        <v>4.1116864628105194</v>
      </c>
    </row>
    <row r="527" spans="1:14">
      <c r="A527" s="15">
        <v>6</v>
      </c>
      <c r="B527" s="78">
        <v>41654</v>
      </c>
      <c r="C527" s="15">
        <v>2014</v>
      </c>
      <c r="D527" s="11" t="s">
        <v>39</v>
      </c>
      <c r="E527" s="15">
        <v>1</v>
      </c>
      <c r="F527" s="26">
        <v>2.57</v>
      </c>
      <c r="G527" s="18">
        <v>0</v>
      </c>
    </row>
    <row r="528" spans="1:14">
      <c r="A528" s="15">
        <v>8</v>
      </c>
      <c r="B528" s="78">
        <v>41655</v>
      </c>
      <c r="C528" s="15">
        <v>2014</v>
      </c>
      <c r="D528" s="11" t="s">
        <v>39</v>
      </c>
      <c r="E528" s="15">
        <v>1</v>
      </c>
      <c r="F528" s="26">
        <v>1.9390000000000001</v>
      </c>
      <c r="G528" s="18">
        <v>0</v>
      </c>
    </row>
    <row r="529" spans="1:14">
      <c r="A529" s="15">
        <v>15</v>
      </c>
      <c r="B529" s="78">
        <v>41655</v>
      </c>
      <c r="C529" s="15">
        <v>2014</v>
      </c>
      <c r="D529" s="11" t="s">
        <v>39</v>
      </c>
      <c r="E529" s="15">
        <v>1</v>
      </c>
      <c r="F529" s="26">
        <v>2.8519999999999999</v>
      </c>
      <c r="G529" s="18">
        <v>0</v>
      </c>
      <c r="I529" s="18">
        <f>AVERAGE(F527:F529)</f>
        <v>2.4536666666666669</v>
      </c>
      <c r="J529" s="18">
        <f>AVERAGE(G527:G529)</f>
        <v>0</v>
      </c>
      <c r="L529">
        <f>+J529/I529</f>
        <v>0</v>
      </c>
      <c r="M529">
        <f>+(L529-$L$927)/$L$928</f>
        <v>-0.43968697805051538</v>
      </c>
      <c r="N529">
        <f>+N526+M529</f>
        <v>3.6719994847600042</v>
      </c>
    </row>
    <row r="530" spans="1:14">
      <c r="A530" s="15">
        <v>6</v>
      </c>
      <c r="B530" s="78">
        <v>41688</v>
      </c>
      <c r="C530" s="15">
        <v>2014</v>
      </c>
      <c r="D530" s="11" t="s">
        <v>28</v>
      </c>
      <c r="E530" s="15">
        <v>2</v>
      </c>
      <c r="F530" s="26">
        <v>5.194</v>
      </c>
      <c r="G530" s="18">
        <v>0</v>
      </c>
    </row>
    <row r="531" spans="1:14">
      <c r="A531" s="15">
        <v>8</v>
      </c>
      <c r="B531" s="78">
        <v>41690</v>
      </c>
      <c r="C531" s="15">
        <v>2014</v>
      </c>
      <c r="D531" s="11" t="s">
        <v>28</v>
      </c>
      <c r="E531" s="15">
        <v>2</v>
      </c>
      <c r="F531" s="26">
        <v>2.6349999999999998</v>
      </c>
      <c r="G531" s="18">
        <v>0</v>
      </c>
    </row>
    <row r="532" spans="1:14">
      <c r="A532" s="15">
        <v>15</v>
      </c>
      <c r="B532" s="78">
        <v>41690</v>
      </c>
      <c r="C532" s="15">
        <v>2014</v>
      </c>
      <c r="D532" s="11" t="s">
        <v>28</v>
      </c>
      <c r="E532" s="15">
        <v>2</v>
      </c>
      <c r="F532" s="26">
        <v>2.0369999999999999</v>
      </c>
      <c r="G532" s="18">
        <v>0</v>
      </c>
      <c r="I532" s="18">
        <f>AVERAGE(F530:F532)</f>
        <v>3.2886666666666664</v>
      </c>
      <c r="J532" s="18">
        <f>AVERAGE(G530:G532)</f>
        <v>0</v>
      </c>
      <c r="L532">
        <f>+J532/I532</f>
        <v>0</v>
      </c>
      <c r="M532">
        <f>+(L532-$L$927)/$L$928</f>
        <v>-0.43968697805051538</v>
      </c>
      <c r="N532">
        <f>+N529+M532</f>
        <v>3.2323125067094889</v>
      </c>
    </row>
    <row r="533" spans="1:14">
      <c r="A533" s="32">
        <v>6</v>
      </c>
      <c r="B533" s="80">
        <v>41719</v>
      </c>
      <c r="C533" s="32">
        <v>2014</v>
      </c>
      <c r="D533" s="34" t="s">
        <v>29</v>
      </c>
      <c r="E533" s="15">
        <v>3</v>
      </c>
      <c r="F533" s="35">
        <v>3.532</v>
      </c>
      <c r="G533" s="36">
        <v>0</v>
      </c>
    </row>
    <row r="534" spans="1:14">
      <c r="A534" s="15">
        <v>8</v>
      </c>
      <c r="B534" s="78">
        <v>41718</v>
      </c>
      <c r="C534" s="15">
        <v>2014</v>
      </c>
      <c r="D534" s="11" t="s">
        <v>29</v>
      </c>
      <c r="E534" s="15">
        <v>3</v>
      </c>
      <c r="F534" s="26">
        <v>3.2989999999999999</v>
      </c>
      <c r="G534" s="18">
        <v>0</v>
      </c>
    </row>
    <row r="535" spans="1:14">
      <c r="A535" s="15">
        <v>15</v>
      </c>
      <c r="B535" s="78">
        <v>41718</v>
      </c>
      <c r="C535" s="15">
        <v>2014</v>
      </c>
      <c r="D535" s="11" t="s">
        <v>29</v>
      </c>
      <c r="E535" s="15">
        <v>3</v>
      </c>
      <c r="F535" s="26">
        <v>5.0549999999999997</v>
      </c>
      <c r="G535" s="18">
        <v>0</v>
      </c>
      <c r="I535" s="18">
        <f>AVERAGE(F533:F535)</f>
        <v>3.9619999999999997</v>
      </c>
      <c r="J535" s="18">
        <f>AVERAGE(G533:G535)</f>
        <v>0</v>
      </c>
      <c r="L535">
        <f>+J535/I535</f>
        <v>0</v>
      </c>
      <c r="M535">
        <f>+(L535-$L$927)/$L$928</f>
        <v>-0.43968697805051538</v>
      </c>
      <c r="N535">
        <f>+N532+M535</f>
        <v>2.7926255286589736</v>
      </c>
    </row>
    <row r="536" spans="1:14">
      <c r="A536" s="15">
        <v>6</v>
      </c>
      <c r="B536" s="78">
        <v>41747</v>
      </c>
      <c r="C536" s="15">
        <v>2014</v>
      </c>
      <c r="D536" s="11" t="s">
        <v>30</v>
      </c>
      <c r="E536" s="15">
        <v>4</v>
      </c>
      <c r="F536" s="38">
        <v>3.5249999999999999</v>
      </c>
      <c r="G536" s="18">
        <v>0</v>
      </c>
    </row>
    <row r="537" spans="1:14">
      <c r="A537" s="15">
        <v>8</v>
      </c>
      <c r="B537" s="78">
        <v>41750</v>
      </c>
      <c r="C537" s="15">
        <v>2014</v>
      </c>
      <c r="D537" s="11" t="s">
        <v>30</v>
      </c>
      <c r="E537" s="15">
        <v>4</v>
      </c>
      <c r="F537" s="38">
        <v>1.02</v>
      </c>
      <c r="G537" s="18">
        <v>0</v>
      </c>
    </row>
    <row r="538" spans="1:14">
      <c r="A538" s="15">
        <v>15</v>
      </c>
      <c r="B538" s="78">
        <v>41750</v>
      </c>
      <c r="C538" s="15">
        <v>2014</v>
      </c>
      <c r="D538" s="11" t="s">
        <v>30</v>
      </c>
      <c r="E538" s="15">
        <v>4</v>
      </c>
      <c r="F538" s="38">
        <v>2.5870000000000002</v>
      </c>
      <c r="G538" s="18">
        <v>0</v>
      </c>
      <c r="I538" s="18">
        <f>AVERAGE(F536:F538)</f>
        <v>2.3773333333333331</v>
      </c>
      <c r="J538" s="18">
        <f>AVERAGE(G536:G538)</f>
        <v>0</v>
      </c>
      <c r="L538">
        <f>+J538/I538</f>
        <v>0</v>
      </c>
      <c r="M538">
        <f>+(L538-$L$927)/$L$928</f>
        <v>-0.43968697805051538</v>
      </c>
      <c r="N538">
        <f>+N535+M538</f>
        <v>2.3529385506084584</v>
      </c>
    </row>
    <row r="539" spans="1:14">
      <c r="A539" s="15">
        <v>6</v>
      </c>
      <c r="B539" s="78">
        <v>41772</v>
      </c>
      <c r="C539" s="15">
        <v>2014</v>
      </c>
      <c r="D539" s="11" t="s">
        <v>31</v>
      </c>
      <c r="E539" s="15">
        <v>5</v>
      </c>
      <c r="F539" s="38">
        <v>1.8720000000000001</v>
      </c>
      <c r="G539" s="18">
        <v>0</v>
      </c>
    </row>
    <row r="540" spans="1:14">
      <c r="A540" s="15">
        <v>8</v>
      </c>
      <c r="B540" s="78">
        <v>41406</v>
      </c>
      <c r="C540" s="15">
        <v>2014</v>
      </c>
      <c r="D540" s="11" t="s">
        <v>31</v>
      </c>
      <c r="E540" s="15">
        <v>5</v>
      </c>
      <c r="F540" s="38">
        <v>1.1919999999999999</v>
      </c>
      <c r="G540" s="18">
        <v>0</v>
      </c>
    </row>
    <row r="541" spans="1:14">
      <c r="A541" s="15">
        <v>15</v>
      </c>
      <c r="B541" s="78">
        <v>41406</v>
      </c>
      <c r="C541" s="15">
        <v>2014</v>
      </c>
      <c r="D541" s="11" t="s">
        <v>31</v>
      </c>
      <c r="E541" s="15">
        <v>5</v>
      </c>
      <c r="F541" s="38">
        <v>1.1439999999999999</v>
      </c>
      <c r="G541" s="18">
        <v>0</v>
      </c>
      <c r="I541" s="18">
        <f>AVERAGE(F539:F541)</f>
        <v>1.4026666666666667</v>
      </c>
      <c r="J541" s="18">
        <f>AVERAGE(G539:G541)</f>
        <v>0</v>
      </c>
      <c r="L541">
        <f>+J541/I541</f>
        <v>0</v>
      </c>
      <c r="M541">
        <f>+(L541-$L$927)/$L$928</f>
        <v>-0.43968697805051538</v>
      </c>
      <c r="N541">
        <f>+N538+M541</f>
        <v>1.9132515725579431</v>
      </c>
    </row>
    <row r="542" spans="1:14">
      <c r="A542" s="15">
        <v>6</v>
      </c>
      <c r="B542" s="78">
        <v>41808</v>
      </c>
      <c r="C542" s="15">
        <v>2014</v>
      </c>
      <c r="D542" s="11" t="s">
        <v>32</v>
      </c>
      <c r="E542" s="15">
        <v>6</v>
      </c>
      <c r="F542" s="38">
        <v>4.5490000000000004</v>
      </c>
      <c r="G542" s="18">
        <v>0</v>
      </c>
    </row>
    <row r="543" spans="1:14">
      <c r="A543" s="15">
        <v>8</v>
      </c>
      <c r="B543" s="78">
        <v>41807</v>
      </c>
      <c r="C543" s="15">
        <v>2014</v>
      </c>
      <c r="D543" s="11" t="s">
        <v>32</v>
      </c>
      <c r="E543" s="15">
        <v>6</v>
      </c>
      <c r="F543" s="38">
        <v>2.823</v>
      </c>
      <c r="G543" s="18">
        <v>0</v>
      </c>
    </row>
    <row r="544" spans="1:14">
      <c r="A544" s="15">
        <v>15</v>
      </c>
      <c r="B544" s="78">
        <v>41807</v>
      </c>
      <c r="C544" s="15">
        <v>2014</v>
      </c>
      <c r="D544" s="11" t="s">
        <v>32</v>
      </c>
      <c r="E544" s="15">
        <v>6</v>
      </c>
      <c r="F544" s="38">
        <v>2.129</v>
      </c>
      <c r="G544" s="18">
        <v>0</v>
      </c>
      <c r="I544" s="18">
        <f>AVERAGE(F542:F544)</f>
        <v>3.1669999999999998</v>
      </c>
      <c r="J544" s="18">
        <f>AVERAGE(G542:G544)</f>
        <v>0</v>
      </c>
      <c r="L544">
        <f>+J544/I544</f>
        <v>0</v>
      </c>
      <c r="M544">
        <f>+(L544-$L$927)/$L$928</f>
        <v>-0.43968697805051538</v>
      </c>
      <c r="N544">
        <f>+N541+M544</f>
        <v>1.4735645945074278</v>
      </c>
    </row>
    <row r="545" spans="1:14">
      <c r="A545" s="15">
        <v>6</v>
      </c>
      <c r="B545" s="78">
        <v>41834</v>
      </c>
      <c r="C545" s="15">
        <v>2014</v>
      </c>
      <c r="D545" s="11" t="s">
        <v>33</v>
      </c>
      <c r="E545" s="15">
        <v>7</v>
      </c>
      <c r="F545" s="38">
        <v>1.706</v>
      </c>
      <c r="G545" s="18">
        <v>0</v>
      </c>
    </row>
    <row r="546" spans="1:14">
      <c r="A546" s="15">
        <v>8</v>
      </c>
      <c r="B546" s="78">
        <v>41837</v>
      </c>
      <c r="C546" s="15">
        <v>2014</v>
      </c>
      <c r="D546" s="11" t="s">
        <v>33</v>
      </c>
      <c r="E546" s="15">
        <v>7</v>
      </c>
      <c r="F546" s="38">
        <v>2.9140000000000001</v>
      </c>
      <c r="G546" s="18">
        <v>0</v>
      </c>
    </row>
    <row r="547" spans="1:14">
      <c r="A547" s="15">
        <v>15</v>
      </c>
      <c r="B547" s="78">
        <v>41837</v>
      </c>
      <c r="C547" s="15">
        <v>2014</v>
      </c>
      <c r="D547" s="11" t="s">
        <v>33</v>
      </c>
      <c r="E547" s="15">
        <v>7</v>
      </c>
      <c r="F547" s="38">
        <v>3.3260000000000001</v>
      </c>
      <c r="G547" s="18">
        <v>0</v>
      </c>
      <c r="I547" s="18">
        <f>AVERAGE(F545:F547)</f>
        <v>2.6486666666666667</v>
      </c>
      <c r="J547" s="18">
        <f>AVERAGE(G545:G547)</f>
        <v>0</v>
      </c>
      <c r="L547">
        <f>+J547/I547</f>
        <v>0</v>
      </c>
      <c r="M547">
        <f>+(L547-$L$927)/$L$928</f>
        <v>-0.43968697805051538</v>
      </c>
      <c r="N547">
        <f>+N544+M547</f>
        <v>1.0338776164569126</v>
      </c>
    </row>
    <row r="548" spans="1:14">
      <c r="A548" s="15">
        <v>6</v>
      </c>
      <c r="B548" s="78">
        <v>41862</v>
      </c>
      <c r="C548" s="15">
        <v>2014</v>
      </c>
      <c r="D548" s="11" t="s">
        <v>34</v>
      </c>
      <c r="E548" s="15">
        <v>8</v>
      </c>
      <c r="F548" s="38">
        <v>2.972</v>
      </c>
      <c r="G548" s="18">
        <v>0</v>
      </c>
    </row>
    <row r="549" spans="1:14">
      <c r="A549" s="15">
        <v>8</v>
      </c>
      <c r="B549" s="78">
        <v>41862</v>
      </c>
      <c r="C549" s="15">
        <v>2014</v>
      </c>
      <c r="D549" s="11" t="s">
        <v>34</v>
      </c>
      <c r="E549" s="15">
        <v>8</v>
      </c>
      <c r="F549" s="38">
        <v>4.1749999999999998</v>
      </c>
      <c r="G549" s="18">
        <v>0</v>
      </c>
    </row>
    <row r="550" spans="1:14">
      <c r="A550" s="15">
        <v>15</v>
      </c>
      <c r="B550" s="78">
        <v>41862</v>
      </c>
      <c r="C550" s="15">
        <v>2014</v>
      </c>
      <c r="D550" s="11" t="s">
        <v>34</v>
      </c>
      <c r="E550" s="15">
        <v>8</v>
      </c>
      <c r="F550" s="38">
        <v>1.121</v>
      </c>
      <c r="G550" s="18">
        <v>0</v>
      </c>
      <c r="I550" s="18">
        <f>AVERAGE(F548:F550)</f>
        <v>2.7560000000000002</v>
      </c>
      <c r="J550" s="18">
        <f>AVERAGE(G548:G550)</f>
        <v>0</v>
      </c>
      <c r="L550">
        <f>+J550/I550</f>
        <v>0</v>
      </c>
      <c r="M550">
        <f>+(L550-$L$927)/$L$928</f>
        <v>-0.43968697805051538</v>
      </c>
      <c r="N550">
        <f>+N547+M550</f>
        <v>0.59419063840639719</v>
      </c>
    </row>
    <row r="551" spans="1:14">
      <c r="A551" s="15">
        <v>6</v>
      </c>
      <c r="B551" s="78">
        <v>41898</v>
      </c>
      <c r="C551" s="15">
        <v>2014</v>
      </c>
      <c r="D551" s="11" t="s">
        <v>40</v>
      </c>
      <c r="E551" s="15">
        <v>9</v>
      </c>
      <c r="F551" s="38">
        <v>3.35</v>
      </c>
      <c r="G551" s="18">
        <v>0</v>
      </c>
    </row>
    <row r="552" spans="1:14">
      <c r="A552" s="15">
        <v>8</v>
      </c>
      <c r="B552" s="78">
        <v>41897</v>
      </c>
      <c r="C552" s="15">
        <v>2014</v>
      </c>
      <c r="D552" s="11" t="s">
        <v>40</v>
      </c>
      <c r="E552" s="15">
        <v>9</v>
      </c>
      <c r="F552" s="38">
        <v>1.718</v>
      </c>
      <c r="G552" s="18">
        <v>0</v>
      </c>
    </row>
    <row r="553" spans="1:14">
      <c r="A553" s="15">
        <v>15</v>
      </c>
      <c r="B553" s="78">
        <v>41897</v>
      </c>
      <c r="C553" s="15">
        <v>2014</v>
      </c>
      <c r="D553" s="11" t="s">
        <v>40</v>
      </c>
      <c r="E553" s="15">
        <v>9</v>
      </c>
      <c r="F553" s="38">
        <v>1.7669999999999999</v>
      </c>
      <c r="G553" s="18">
        <v>0</v>
      </c>
      <c r="I553" s="18">
        <f>AVERAGE(F551:F553)</f>
        <v>2.2783333333333329</v>
      </c>
      <c r="J553" s="18">
        <f>AVERAGE(G551:G553)</f>
        <v>0</v>
      </c>
      <c r="L553">
        <f>+J553/I553</f>
        <v>0</v>
      </c>
      <c r="M553">
        <f>+(L553-$L$927)/$L$928</f>
        <v>-0.43968697805051538</v>
      </c>
      <c r="N553">
        <f>+N550+M553</f>
        <v>0.15450366035588181</v>
      </c>
    </row>
    <row r="554" spans="1:14">
      <c r="A554" s="15">
        <v>6</v>
      </c>
      <c r="B554" s="78">
        <v>41929</v>
      </c>
      <c r="C554" s="15">
        <v>2014</v>
      </c>
      <c r="D554" s="11" t="s">
        <v>36</v>
      </c>
      <c r="E554" s="15">
        <v>10</v>
      </c>
      <c r="F554" s="26">
        <v>1.51</v>
      </c>
      <c r="G554" s="18">
        <v>0</v>
      </c>
    </row>
    <row r="555" spans="1:14">
      <c r="A555" s="15">
        <v>8</v>
      </c>
      <c r="B555" s="78">
        <v>41928</v>
      </c>
      <c r="C555" s="15">
        <v>2014</v>
      </c>
      <c r="D555" s="11" t="s">
        <v>36</v>
      </c>
      <c r="E555" s="15">
        <v>10</v>
      </c>
      <c r="F555" s="26">
        <v>1.224</v>
      </c>
      <c r="G555" s="18">
        <v>0</v>
      </c>
    </row>
    <row r="556" spans="1:14">
      <c r="A556" s="15">
        <v>15</v>
      </c>
      <c r="B556" s="78">
        <v>41928</v>
      </c>
      <c r="C556" s="15">
        <v>2014</v>
      </c>
      <c r="D556" s="11" t="s">
        <v>36</v>
      </c>
      <c r="E556" s="15">
        <v>10</v>
      </c>
      <c r="F556" s="26">
        <v>2.0169999999999999</v>
      </c>
      <c r="G556" s="18">
        <v>0</v>
      </c>
      <c r="I556" s="18">
        <f>AVERAGE(F554:F556)</f>
        <v>1.5836666666666666</v>
      </c>
      <c r="J556" s="18">
        <f>AVERAGE(G554:G556)</f>
        <v>0</v>
      </c>
      <c r="L556">
        <f>+J556/I556</f>
        <v>0</v>
      </c>
      <c r="M556">
        <f>+(L556-$L$927)/$L$928</f>
        <v>-0.43968697805051538</v>
      </c>
      <c r="N556">
        <f>+N553+M556</f>
        <v>-0.28518331769463356</v>
      </c>
    </row>
    <row r="557" spans="1:14">
      <c r="A557" s="15">
        <v>6</v>
      </c>
      <c r="B557" s="78">
        <v>41953</v>
      </c>
      <c r="C557" s="15">
        <v>2014</v>
      </c>
      <c r="D557" s="11" t="s">
        <v>37</v>
      </c>
      <c r="E557" s="15">
        <v>11</v>
      </c>
      <c r="F557" s="26">
        <v>3.0049999999999999</v>
      </c>
      <c r="G557" s="18">
        <v>0</v>
      </c>
    </row>
    <row r="558" spans="1:14">
      <c r="A558" s="15">
        <v>8</v>
      </c>
      <c r="B558" s="78">
        <v>41955</v>
      </c>
      <c r="C558" s="15">
        <v>2014</v>
      </c>
      <c r="D558" s="11" t="s">
        <v>37</v>
      </c>
      <c r="E558" s="15">
        <v>11</v>
      </c>
      <c r="F558" s="26">
        <v>0.77900000000000003</v>
      </c>
      <c r="G558" s="18">
        <v>0</v>
      </c>
    </row>
    <row r="559" spans="1:14">
      <c r="A559" s="15">
        <v>15</v>
      </c>
      <c r="B559" s="78">
        <v>41955</v>
      </c>
      <c r="C559" s="15">
        <v>2014</v>
      </c>
      <c r="D559" s="11" t="s">
        <v>37</v>
      </c>
      <c r="E559" s="15">
        <v>11</v>
      </c>
      <c r="F559" s="26">
        <v>1.903</v>
      </c>
      <c r="G559" s="18">
        <v>0</v>
      </c>
      <c r="I559" s="18">
        <f>AVERAGE(F557:F559)</f>
        <v>1.8956666666666664</v>
      </c>
      <c r="J559" s="18">
        <f>AVERAGE(G557:G559)</f>
        <v>0</v>
      </c>
      <c r="L559">
        <f>+J559/I559</f>
        <v>0</v>
      </c>
      <c r="M559">
        <f>+(L559-$L$927)/$L$928</f>
        <v>-0.43968697805051538</v>
      </c>
      <c r="N559">
        <f>+N556+M559</f>
        <v>-0.72487029574514894</v>
      </c>
    </row>
    <row r="560" spans="1:14">
      <c r="A560" s="15">
        <v>6</v>
      </c>
      <c r="B560" s="78">
        <v>41988</v>
      </c>
      <c r="C560" s="15">
        <v>2014</v>
      </c>
      <c r="D560" s="11" t="s">
        <v>38</v>
      </c>
      <c r="E560" s="15">
        <v>12</v>
      </c>
      <c r="F560" s="26">
        <v>3.819</v>
      </c>
      <c r="G560" s="18">
        <v>0</v>
      </c>
    </row>
    <row r="561" spans="1:14">
      <c r="A561" s="15">
        <v>8</v>
      </c>
      <c r="B561" s="78">
        <v>41992</v>
      </c>
      <c r="C561" s="15">
        <v>2014</v>
      </c>
      <c r="D561" s="11" t="s">
        <v>38</v>
      </c>
      <c r="E561" s="15">
        <v>12</v>
      </c>
      <c r="F561" s="26">
        <v>1.2869999999999999</v>
      </c>
      <c r="G561" s="18">
        <v>0</v>
      </c>
    </row>
    <row r="562" spans="1:14">
      <c r="A562" s="15">
        <v>15</v>
      </c>
      <c r="B562" s="78">
        <v>41992</v>
      </c>
      <c r="C562" s="15">
        <v>2014</v>
      </c>
      <c r="D562" s="11" t="s">
        <v>38</v>
      </c>
      <c r="E562" s="15">
        <v>12</v>
      </c>
      <c r="F562" s="26">
        <v>2.2200000000000002</v>
      </c>
      <c r="G562" s="18">
        <v>0</v>
      </c>
      <c r="I562" s="18">
        <f>AVERAGE(F560:F562)</f>
        <v>2.4420000000000002</v>
      </c>
      <c r="J562" s="18">
        <f>AVERAGE(G560:G562)</f>
        <v>0</v>
      </c>
      <c r="L562">
        <f>+J562/I562</f>
        <v>0</v>
      </c>
      <c r="M562">
        <f>+(L562-$L$927)/$L$928</f>
        <v>-0.43968697805051538</v>
      </c>
      <c r="N562">
        <f>+N559+M562</f>
        <v>-1.1645572737956642</v>
      </c>
    </row>
    <row r="563" spans="1:14">
      <c r="A563" s="8">
        <v>6</v>
      </c>
      <c r="B563" s="73">
        <v>42014</v>
      </c>
      <c r="E563" s="10">
        <v>1</v>
      </c>
      <c r="F563" s="83">
        <v>3.9870000000000001</v>
      </c>
      <c r="G563" s="84">
        <v>8.0000000000000002E-3</v>
      </c>
    </row>
    <row r="564" spans="1:14">
      <c r="A564" s="8">
        <v>8</v>
      </c>
      <c r="B564" s="73">
        <v>42009</v>
      </c>
      <c r="E564" s="10">
        <v>1</v>
      </c>
      <c r="F564" s="83">
        <v>4.7270000000000003</v>
      </c>
      <c r="G564" s="84">
        <v>1.2E-2</v>
      </c>
    </row>
    <row r="565" spans="1:14">
      <c r="A565" s="8">
        <v>15</v>
      </c>
      <c r="B565" s="73">
        <v>42009</v>
      </c>
      <c r="E565" s="10">
        <v>1</v>
      </c>
      <c r="F565" s="83">
        <v>1.9930000000000001</v>
      </c>
      <c r="G565" s="84">
        <v>3.0000000000000001E-3</v>
      </c>
      <c r="I565" s="18">
        <f>AVERAGE(F563:F565)</f>
        <v>3.5690000000000004</v>
      </c>
      <c r="J565" s="18">
        <f>AVERAGE(G563:G565)</f>
        <v>7.6666666666666662E-3</v>
      </c>
      <c r="L565">
        <f>+J565/I565</f>
        <v>2.1481273932941062E-3</v>
      </c>
      <c r="M565">
        <f>+(L565-$L$927)/$L$928</f>
        <v>-0.38985152598243683</v>
      </c>
      <c r="N565">
        <f>+N562+M565</f>
        <v>-1.5544087997781011</v>
      </c>
    </row>
    <row r="566" spans="1:14">
      <c r="A566" s="8">
        <v>6</v>
      </c>
      <c r="B566" s="74">
        <v>42036</v>
      </c>
      <c r="E566" s="12">
        <v>2</v>
      </c>
    </row>
    <row r="567" spans="1:14">
      <c r="A567" s="8">
        <v>8</v>
      </c>
      <c r="B567" s="74">
        <v>42036</v>
      </c>
      <c r="E567" s="12">
        <v>2</v>
      </c>
    </row>
    <row r="568" spans="1:14">
      <c r="A568" s="8">
        <v>15</v>
      </c>
      <c r="B568" s="74">
        <v>42036</v>
      </c>
      <c r="E568" s="12">
        <v>2</v>
      </c>
      <c r="I568" s="18"/>
      <c r="J568" s="18"/>
    </row>
    <row r="569" spans="1:14">
      <c r="A569" s="8">
        <v>6</v>
      </c>
      <c r="B569" s="74">
        <v>42064</v>
      </c>
      <c r="E569" s="12">
        <v>3</v>
      </c>
      <c r="F569" s="83">
        <v>10.461</v>
      </c>
      <c r="G569" s="84">
        <v>7.1999999999999995E-2</v>
      </c>
    </row>
    <row r="570" spans="1:14">
      <c r="A570" s="8">
        <v>8</v>
      </c>
      <c r="B570" s="74">
        <v>42064</v>
      </c>
      <c r="E570" s="12">
        <v>3</v>
      </c>
      <c r="F570" s="83">
        <v>9.5190000000000001</v>
      </c>
      <c r="G570" s="84">
        <v>1.0999999999999999E-2</v>
      </c>
    </row>
    <row r="571" spans="1:14">
      <c r="A571" s="8">
        <v>15</v>
      </c>
      <c r="B571" s="74">
        <v>42064</v>
      </c>
      <c r="E571" s="12">
        <v>3</v>
      </c>
      <c r="F571" s="83">
        <v>7.3259999999999996</v>
      </c>
      <c r="G571" s="84">
        <v>2.1999999999999999E-2</v>
      </c>
      <c r="I571" s="18">
        <f>AVERAGE(F569:F571)</f>
        <v>9.1020000000000003</v>
      </c>
      <c r="J571" s="18">
        <f>AVERAGE(G569:G571)</f>
        <v>3.4999999999999996E-2</v>
      </c>
      <c r="L571">
        <f>+J571/I571</f>
        <v>3.8453087233575032E-3</v>
      </c>
      <c r="M571">
        <f>+(L571-$L$927)/$L$928</f>
        <v>-0.35047779093802167</v>
      </c>
      <c r="N571">
        <f>+N565+M571</f>
        <v>-1.9048865907161228</v>
      </c>
    </row>
    <row r="572" spans="1:14">
      <c r="A572" s="8">
        <v>6</v>
      </c>
      <c r="B572" s="74">
        <v>42095</v>
      </c>
      <c r="E572" s="12">
        <v>4</v>
      </c>
      <c r="F572" s="83">
        <v>3.7189999999999999</v>
      </c>
      <c r="G572" s="84">
        <v>2.9000000000000001E-2</v>
      </c>
    </row>
    <row r="573" spans="1:14">
      <c r="A573" s="8">
        <v>8</v>
      </c>
      <c r="B573" s="74">
        <v>42095</v>
      </c>
      <c r="E573" s="12">
        <v>4</v>
      </c>
      <c r="F573" s="83">
        <v>0.97899999999999998</v>
      </c>
      <c r="G573" s="84">
        <v>5.0000000000000001E-3</v>
      </c>
    </row>
    <row r="574" spans="1:14">
      <c r="A574" s="8">
        <v>15</v>
      </c>
      <c r="B574" s="74">
        <v>42095</v>
      </c>
      <c r="E574" s="12">
        <v>4</v>
      </c>
      <c r="F574" s="83">
        <v>1.6140000000000001</v>
      </c>
      <c r="G574" s="84">
        <v>1.9E-2</v>
      </c>
      <c r="I574" s="18">
        <f>AVERAGE(F572:F574)</f>
        <v>2.1039999999999996</v>
      </c>
      <c r="J574" s="18">
        <f>AVERAGE(G572:G574)</f>
        <v>1.7666666666666667E-2</v>
      </c>
      <c r="L574">
        <f>+J574/I574</f>
        <v>8.3967046894803561E-3</v>
      </c>
      <c r="M574">
        <f>+(L574-$L$927)/$L$928</f>
        <v>-0.24488774249832604</v>
      </c>
      <c r="N574">
        <f>+N571+M574</f>
        <v>-2.1497743332144488</v>
      </c>
    </row>
    <row r="575" spans="1:14">
      <c r="A575" s="8">
        <v>6</v>
      </c>
      <c r="B575" s="74">
        <v>42125</v>
      </c>
      <c r="E575" s="12">
        <v>5</v>
      </c>
      <c r="F575" s="83">
        <v>4.6970000000000001</v>
      </c>
      <c r="G575" s="84">
        <v>8.0000000000000002E-3</v>
      </c>
    </row>
    <row r="576" spans="1:14">
      <c r="A576" s="8">
        <v>8</v>
      </c>
      <c r="B576" s="74">
        <v>42125</v>
      </c>
      <c r="E576" s="12">
        <v>5</v>
      </c>
      <c r="F576" s="83">
        <v>2.3340000000000001</v>
      </c>
      <c r="G576" s="84">
        <v>9.9989999999999996E-4</v>
      </c>
    </row>
    <row r="577" spans="1:14">
      <c r="A577" s="8">
        <v>15</v>
      </c>
      <c r="B577" s="74">
        <v>42125</v>
      </c>
      <c r="E577" s="12">
        <v>5</v>
      </c>
      <c r="F577" s="83">
        <v>3.5310000000000001</v>
      </c>
      <c r="G577" s="84">
        <v>4.0000000000000001E-3</v>
      </c>
      <c r="I577" s="18">
        <f>AVERAGE(F575:F577)</f>
        <v>3.5206666666666671</v>
      </c>
      <c r="J577" s="18">
        <f>AVERAGE(G575:G577)</f>
        <v>4.3333E-3</v>
      </c>
      <c r="L577">
        <f>+J577/I577</f>
        <v>1.2308180268888467E-3</v>
      </c>
      <c r="M577">
        <f>+(L577-$L$927)/$L$928</f>
        <v>-0.41113263207688805</v>
      </c>
      <c r="N577">
        <f>+N574+M577</f>
        <v>-2.5609069652913368</v>
      </c>
    </row>
    <row r="578" spans="1:14">
      <c r="A578" s="8">
        <v>6</v>
      </c>
      <c r="B578" s="74">
        <v>42156</v>
      </c>
      <c r="E578" s="12">
        <v>6</v>
      </c>
      <c r="F578" s="83">
        <v>3.234</v>
      </c>
      <c r="G578" s="84">
        <v>5.0000000000000001E-3</v>
      </c>
    </row>
    <row r="579" spans="1:14">
      <c r="A579" s="8">
        <v>8</v>
      </c>
      <c r="B579" s="74">
        <v>42156</v>
      </c>
      <c r="E579" s="12">
        <v>6</v>
      </c>
      <c r="F579" s="83">
        <v>4.1740000000000004</v>
      </c>
      <c r="G579" s="84">
        <v>6.0000000000000001E-3</v>
      </c>
    </row>
    <row r="580" spans="1:14">
      <c r="A580" s="8">
        <v>15</v>
      </c>
      <c r="B580" s="74">
        <v>42156</v>
      </c>
      <c r="E580" s="12">
        <v>6</v>
      </c>
      <c r="F580" s="83">
        <v>1.8779999999999999</v>
      </c>
      <c r="G580" s="84">
        <v>7.0000000000000001E-3</v>
      </c>
      <c r="I580" s="18">
        <f>AVERAGE(F578:F580)</f>
        <v>3.095333333333333</v>
      </c>
      <c r="J580" s="18">
        <f>AVERAGE(G578:G580)</f>
        <v>5.9999999999999993E-3</v>
      </c>
      <c r="L580">
        <f>+J580/I580</f>
        <v>1.9384018953262977E-3</v>
      </c>
      <c r="M580">
        <f>+(L580-$L$927)/$L$928</f>
        <v>-0.39471704980288447</v>
      </c>
      <c r="N580">
        <f>+N577+M580</f>
        <v>-2.9556240150942212</v>
      </c>
    </row>
    <row r="581" spans="1:14">
      <c r="A581" s="8">
        <v>6</v>
      </c>
      <c r="B581" s="74">
        <v>42186</v>
      </c>
      <c r="E581" s="12">
        <v>7</v>
      </c>
      <c r="F581" s="83">
        <v>7.84</v>
      </c>
      <c r="G581" s="84">
        <v>0.309</v>
      </c>
    </row>
    <row r="582" spans="1:14">
      <c r="A582" s="8">
        <v>8</v>
      </c>
      <c r="B582" s="74">
        <v>42186</v>
      </c>
      <c r="E582" s="12">
        <v>7</v>
      </c>
      <c r="F582" s="83">
        <v>1.8819999999999999</v>
      </c>
      <c r="G582" s="84">
        <v>0.01</v>
      </c>
    </row>
    <row r="583" spans="1:14">
      <c r="A583" s="8">
        <v>15</v>
      </c>
      <c r="B583" s="74">
        <v>42186</v>
      </c>
      <c r="E583" s="12">
        <v>7</v>
      </c>
      <c r="F583" s="83">
        <v>2.536</v>
      </c>
      <c r="G583" s="84">
        <v>7.0000000000000001E-3</v>
      </c>
      <c r="I583" s="18">
        <f>AVERAGE(F581:F583)</f>
        <v>4.0859999999999994</v>
      </c>
      <c r="J583" s="18">
        <f>AVERAGE(G581:G583)</f>
        <v>0.10866666666666668</v>
      </c>
      <c r="L583">
        <f>+J583/I583</f>
        <v>2.6594876815141139E-2</v>
      </c>
      <c r="M583">
        <f>+(L583-$L$927)/$L$928</f>
        <v>0.17730050272686945</v>
      </c>
      <c r="N583">
        <f>+N580+M583</f>
        <v>-2.778323512367352</v>
      </c>
    </row>
    <row r="584" spans="1:14">
      <c r="A584" s="8">
        <v>6</v>
      </c>
      <c r="B584" s="74">
        <v>42217</v>
      </c>
      <c r="E584" s="12">
        <v>8</v>
      </c>
      <c r="F584" s="83">
        <v>5.6269999999999998</v>
      </c>
      <c r="G584" s="84">
        <v>2.7E-2</v>
      </c>
    </row>
    <row r="585" spans="1:14">
      <c r="A585" s="8">
        <v>8</v>
      </c>
      <c r="B585" s="74">
        <v>42217</v>
      </c>
      <c r="E585" s="12">
        <v>8</v>
      </c>
      <c r="F585" s="83">
        <v>8.9949999999999992</v>
      </c>
      <c r="G585" s="84">
        <v>8.0000000000000002E-3</v>
      </c>
    </row>
    <row r="586" spans="1:14">
      <c r="A586" s="8">
        <v>15</v>
      </c>
      <c r="B586" s="74">
        <v>42217</v>
      </c>
      <c r="E586" s="12">
        <v>8</v>
      </c>
      <c r="F586" s="83">
        <v>6.1379999999999999</v>
      </c>
      <c r="G586" s="84">
        <v>1.7999999999999999E-2</v>
      </c>
      <c r="I586" s="18">
        <f>AVERAGE(F584:F586)</f>
        <v>6.919999999999999</v>
      </c>
      <c r="J586" s="18">
        <f>AVERAGE(G584:G586)</f>
        <v>1.7666666666666667E-2</v>
      </c>
      <c r="L586">
        <f>+J586/I586</f>
        <v>2.5529865125240854E-3</v>
      </c>
      <c r="M586">
        <f>+(L586-$L$927)/$L$928</f>
        <v>-0.38045900238551444</v>
      </c>
      <c r="N586">
        <f>+N583+M586</f>
        <v>-3.1587825147528665</v>
      </c>
    </row>
    <row r="587" spans="1:14">
      <c r="A587" s="8">
        <v>6</v>
      </c>
      <c r="B587" s="74">
        <v>42248</v>
      </c>
      <c r="E587" s="12">
        <v>9</v>
      </c>
      <c r="F587" s="83">
        <v>10.029999999999999</v>
      </c>
      <c r="G587" s="84">
        <v>5.6000000000000001E-2</v>
      </c>
    </row>
    <row r="588" spans="1:14">
      <c r="A588" s="8">
        <v>8</v>
      </c>
      <c r="B588" s="74">
        <v>42248</v>
      </c>
      <c r="E588" s="12">
        <v>9</v>
      </c>
      <c r="F588" s="83">
        <v>2.4670000000000001</v>
      </c>
      <c r="G588" s="84">
        <v>1.2999999999999999E-2</v>
      </c>
    </row>
    <row r="589" spans="1:14">
      <c r="A589" s="8">
        <v>15</v>
      </c>
      <c r="B589" s="74">
        <v>42248</v>
      </c>
      <c r="E589" s="12">
        <v>9</v>
      </c>
      <c r="F589" s="83">
        <v>7.7430000000000003</v>
      </c>
      <c r="G589" s="84">
        <v>1.4999999999999999E-2</v>
      </c>
      <c r="I589" s="18">
        <f>AVERAGE(F587:F589)</f>
        <v>6.746666666666667</v>
      </c>
      <c r="J589" s="18">
        <f>AVERAGE(G587:G589)</f>
        <v>2.8000000000000001E-2</v>
      </c>
      <c r="L589">
        <f>+J589/I589</f>
        <v>4.1501976284584975E-3</v>
      </c>
      <c r="M589">
        <f>+(L589-$L$927)/$L$928</f>
        <v>-0.34340452495590057</v>
      </c>
      <c r="N589">
        <f>+N586+M589</f>
        <v>-3.5021870397087671</v>
      </c>
    </row>
    <row r="590" spans="1:14">
      <c r="A590" s="8">
        <v>6</v>
      </c>
      <c r="B590" s="74">
        <v>42278</v>
      </c>
      <c r="E590" s="12">
        <v>10</v>
      </c>
      <c r="F590" s="83">
        <v>6.0460000000000003</v>
      </c>
      <c r="G590" s="84">
        <v>2.7E-2</v>
      </c>
    </row>
    <row r="591" spans="1:14">
      <c r="A591" s="8">
        <v>8</v>
      </c>
      <c r="B591" s="74">
        <v>42278</v>
      </c>
      <c r="E591" s="12">
        <v>10</v>
      </c>
      <c r="F591" s="83">
        <v>1.417</v>
      </c>
      <c r="G591" s="84">
        <v>2E-3</v>
      </c>
    </row>
    <row r="592" spans="1:14">
      <c r="A592" s="8">
        <v>15</v>
      </c>
      <c r="B592" s="74">
        <v>42278</v>
      </c>
      <c r="E592" s="12">
        <v>10</v>
      </c>
      <c r="F592" s="83">
        <v>7.5430000000000001</v>
      </c>
      <c r="G592" s="84">
        <v>1.6E-2</v>
      </c>
      <c r="I592" s="18">
        <f>AVERAGE(F590:F592)</f>
        <v>5.0019999999999998</v>
      </c>
      <c r="J592" s="18">
        <f>AVERAGE(G590:G592)</f>
        <v>1.4999999999999999E-2</v>
      </c>
      <c r="L592">
        <f>+J592/I592</f>
        <v>2.9988004798080768E-3</v>
      </c>
      <c r="M592">
        <f>+(L592-$L$927)/$L$928</f>
        <v>-0.37011634735154481</v>
      </c>
      <c r="N592">
        <f>+N589+M592</f>
        <v>-3.8723033870603119</v>
      </c>
    </row>
    <row r="593" spans="1:14">
      <c r="A593" s="8">
        <v>6</v>
      </c>
      <c r="B593" s="74">
        <v>42309</v>
      </c>
      <c r="E593" s="12">
        <v>11</v>
      </c>
      <c r="F593" s="83">
        <v>0.97499999999999998</v>
      </c>
      <c r="G593" s="84">
        <v>0.01</v>
      </c>
    </row>
    <row r="594" spans="1:14">
      <c r="A594" s="8">
        <v>8</v>
      </c>
      <c r="B594" s="74">
        <v>42309</v>
      </c>
      <c r="E594" s="12">
        <v>11</v>
      </c>
      <c r="F594" s="83">
        <v>0.56899999999999995</v>
      </c>
      <c r="G594" s="85">
        <v>9.9989999999999996E-4</v>
      </c>
    </row>
    <row r="595" spans="1:14">
      <c r="A595" s="8">
        <v>15</v>
      </c>
      <c r="B595" s="74">
        <v>42309</v>
      </c>
      <c r="E595" s="12">
        <v>11</v>
      </c>
      <c r="F595" s="83">
        <v>2.7330000000000001</v>
      </c>
      <c r="G595" s="84">
        <v>0.128</v>
      </c>
      <c r="I595" s="18">
        <f>AVERAGE(F593:F595)</f>
        <v>1.4256666666666666</v>
      </c>
      <c r="J595" s="18">
        <f>AVERAGE(G593:G595)</f>
        <v>4.6333300000000001E-2</v>
      </c>
      <c r="L595">
        <f>+J595/I595</f>
        <v>3.2499392097264442E-2</v>
      </c>
      <c r="M595">
        <f>+(L595-$L$927)/$L$928</f>
        <v>0.31428222422349872</v>
      </c>
      <c r="N595">
        <f>+N592+M595</f>
        <v>-3.558021162836813</v>
      </c>
    </row>
    <row r="596" spans="1:14">
      <c r="A596" s="8">
        <v>6</v>
      </c>
      <c r="B596" s="75">
        <v>42339</v>
      </c>
      <c r="E596" s="12">
        <v>12</v>
      </c>
      <c r="F596" s="83">
        <v>3.2559999999999998</v>
      </c>
      <c r="G596" s="84">
        <v>9.9989999999999996E-4</v>
      </c>
    </row>
    <row r="597" spans="1:14">
      <c r="A597" s="8">
        <v>8</v>
      </c>
      <c r="B597" s="74">
        <v>42339</v>
      </c>
      <c r="E597" s="12">
        <v>12</v>
      </c>
      <c r="F597" s="83">
        <v>0.64300000000000002</v>
      </c>
      <c r="G597" s="84">
        <v>9.9989999999999996E-4</v>
      </c>
    </row>
    <row r="598" spans="1:14">
      <c r="A598" s="8">
        <v>15</v>
      </c>
      <c r="B598" s="74">
        <v>42339</v>
      </c>
      <c r="E598" s="12">
        <v>12</v>
      </c>
      <c r="F598" s="83">
        <v>2.294</v>
      </c>
      <c r="G598" s="84">
        <v>2.3E-2</v>
      </c>
      <c r="I598" s="18">
        <f>AVERAGE(F596:F598)</f>
        <v>2.0643333333333334</v>
      </c>
      <c r="J598" s="18">
        <f>AVERAGE(G596:G598)</f>
        <v>8.3332666666666669E-3</v>
      </c>
      <c r="L598">
        <f>+J598/I598</f>
        <v>4.0367834652026485E-3</v>
      </c>
      <c r="M598">
        <f>+(L598-$L$927)/$L$928</f>
        <v>-0.34603567528451812</v>
      </c>
      <c r="N598">
        <f>+N595+M598</f>
        <v>-3.9040568381213312</v>
      </c>
    </row>
    <row r="599" spans="1:14">
      <c r="A599" s="8">
        <v>6</v>
      </c>
      <c r="B599" s="73">
        <v>42379</v>
      </c>
      <c r="E599" s="10">
        <v>1</v>
      </c>
      <c r="F599" s="86">
        <v>3.8580000000000001</v>
      </c>
      <c r="G599" s="87">
        <v>3.4000000000000002E-2</v>
      </c>
    </row>
    <row r="600" spans="1:14">
      <c r="A600" s="8">
        <v>8</v>
      </c>
      <c r="B600" s="73">
        <v>42374</v>
      </c>
      <c r="E600" s="10">
        <v>1</v>
      </c>
      <c r="F600" s="86">
        <v>1.9019999999999999</v>
      </c>
      <c r="G600" s="88">
        <v>1.6E-2</v>
      </c>
    </row>
    <row r="601" spans="1:14">
      <c r="A601" s="8">
        <v>15</v>
      </c>
      <c r="B601" s="73">
        <v>42374</v>
      </c>
      <c r="E601" s="10">
        <v>1</v>
      </c>
      <c r="F601" s="86">
        <v>2.6739999999999999</v>
      </c>
      <c r="G601" s="88">
        <v>1.2E-2</v>
      </c>
      <c r="I601" s="18">
        <f>AVERAGE(F599:F601)</f>
        <v>2.8113333333333332</v>
      </c>
      <c r="J601" s="18">
        <f>AVERAGE(G599:G601)</f>
        <v>2.0666666666666667E-2</v>
      </c>
      <c r="L601">
        <f>+J601/I601</f>
        <v>7.3511975337917949E-3</v>
      </c>
      <c r="M601">
        <f>+(L601-$L$927)/$L$928</f>
        <v>-0.26914297145113553</v>
      </c>
      <c r="N601">
        <f>+N598+M601</f>
        <v>-4.1731998095724663</v>
      </c>
    </row>
    <row r="602" spans="1:14">
      <c r="A602" s="8">
        <v>6</v>
      </c>
      <c r="B602" s="74">
        <v>42401</v>
      </c>
      <c r="E602" s="12">
        <v>2</v>
      </c>
      <c r="F602" s="86">
        <v>2.6349999999999998</v>
      </c>
      <c r="G602" s="88">
        <v>8.9999999999999993E-3</v>
      </c>
    </row>
    <row r="603" spans="1:14">
      <c r="A603" s="8">
        <v>8</v>
      </c>
      <c r="B603" s="74">
        <v>42401</v>
      </c>
      <c r="E603" s="12">
        <v>2</v>
      </c>
      <c r="F603" s="86">
        <v>5.01</v>
      </c>
      <c r="G603" s="88">
        <v>1.0999999999999999E-2</v>
      </c>
    </row>
    <row r="604" spans="1:14">
      <c r="A604" s="8">
        <v>15</v>
      </c>
      <c r="B604" s="74">
        <v>42401</v>
      </c>
      <c r="E604" s="12">
        <v>2</v>
      </c>
      <c r="F604" s="86">
        <v>3.0190000000000001</v>
      </c>
      <c r="G604" s="88">
        <v>8.0000000000000002E-3</v>
      </c>
      <c r="I604" s="18">
        <f>AVERAGE(F602:F604)</f>
        <v>3.5546666666666664</v>
      </c>
      <c r="J604" s="18">
        <f>AVERAGE(G602:G604)</f>
        <v>9.3333333333333324E-3</v>
      </c>
      <c r="L604">
        <f>+J604/I604</f>
        <v>2.6256564141035259E-3</v>
      </c>
      <c r="M604">
        <f>+(L604-$L$927)/$L$928</f>
        <v>-0.37877309799815845</v>
      </c>
      <c r="N604">
        <f>+N601+M604</f>
        <v>-4.551972907570625</v>
      </c>
    </row>
    <row r="605" spans="1:14">
      <c r="A605" s="8">
        <v>6</v>
      </c>
      <c r="B605" s="74">
        <v>42430</v>
      </c>
      <c r="E605" s="12">
        <v>3</v>
      </c>
      <c r="F605" s="86">
        <v>1.98</v>
      </c>
      <c r="G605" s="88">
        <v>0.02</v>
      </c>
    </row>
    <row r="606" spans="1:14">
      <c r="A606" s="8">
        <v>8</v>
      </c>
      <c r="B606" s="74">
        <v>42430</v>
      </c>
      <c r="E606" s="12">
        <v>3</v>
      </c>
      <c r="F606" s="86">
        <v>0.80100000000000005</v>
      </c>
      <c r="G606" s="88">
        <v>1E-3</v>
      </c>
    </row>
    <row r="607" spans="1:14">
      <c r="A607" s="8">
        <v>15</v>
      </c>
      <c r="B607" s="74">
        <v>42430</v>
      </c>
      <c r="E607" s="12">
        <v>3</v>
      </c>
      <c r="F607" s="86">
        <v>1.99</v>
      </c>
      <c r="G607" s="88">
        <v>1E-3</v>
      </c>
      <c r="I607" s="18">
        <f>AVERAGE(F605:F607)</f>
        <v>1.5903333333333334</v>
      </c>
      <c r="J607" s="18">
        <f>AVERAGE(G605:G607)</f>
        <v>7.3333333333333341E-3</v>
      </c>
      <c r="L607">
        <f>+J607/I607</f>
        <v>4.6111926220918052E-3</v>
      </c>
      <c r="M607">
        <f>+(L607-$L$927)/$L$928</f>
        <v>-0.33270967790886075</v>
      </c>
      <c r="N607">
        <f>+N604+M607</f>
        <v>-4.884682585479486</v>
      </c>
    </row>
    <row r="608" spans="1:14">
      <c r="A608" s="8">
        <v>6</v>
      </c>
      <c r="B608" s="74">
        <v>42461</v>
      </c>
      <c r="E608" s="12">
        <v>4</v>
      </c>
      <c r="F608" s="86">
        <v>4.5380000000000003</v>
      </c>
      <c r="G608" s="88">
        <v>1.7999999999999999E-2</v>
      </c>
    </row>
    <row r="609" spans="1:14">
      <c r="A609" s="8">
        <v>8</v>
      </c>
      <c r="B609" s="74">
        <v>42461</v>
      </c>
      <c r="E609" s="12">
        <v>4</v>
      </c>
      <c r="F609" s="86">
        <v>0.54300000000000004</v>
      </c>
      <c r="G609" s="88">
        <v>1E-3</v>
      </c>
    </row>
    <row r="610" spans="1:14">
      <c r="A610" s="8">
        <v>15</v>
      </c>
      <c r="B610" s="74">
        <v>42461</v>
      </c>
      <c r="E610" s="12">
        <v>4</v>
      </c>
      <c r="F610" s="86">
        <v>1.58</v>
      </c>
      <c r="G610" s="88">
        <v>7.0000000000000001E-3</v>
      </c>
      <c r="I610" s="18">
        <f>AVERAGE(F608:F610)</f>
        <v>2.2203333333333335</v>
      </c>
      <c r="J610" s="18">
        <f>AVERAGE(G608:G610)</f>
        <v>8.6666666666666663E-3</v>
      </c>
      <c r="L610">
        <f>+J610/I610</f>
        <v>3.9033178201471246E-3</v>
      </c>
      <c r="M610">
        <f>+(L610-$L$927)/$L$928</f>
        <v>-0.34913200969078451</v>
      </c>
      <c r="N610">
        <f>+N607+M610</f>
        <v>-5.2338145951702701</v>
      </c>
    </row>
    <row r="611" spans="1:14">
      <c r="A611" s="8">
        <v>6</v>
      </c>
      <c r="B611" s="74">
        <v>42491</v>
      </c>
      <c r="E611" s="12">
        <v>5</v>
      </c>
      <c r="F611" s="86">
        <v>4.0369999999999999</v>
      </c>
      <c r="G611" s="88">
        <v>0.873</v>
      </c>
    </row>
    <row r="612" spans="1:14">
      <c r="A612" s="8">
        <v>8</v>
      </c>
      <c r="B612" s="74">
        <v>42491</v>
      </c>
      <c r="E612" s="12">
        <v>5</v>
      </c>
      <c r="F612" s="86">
        <v>6.3419999999999996</v>
      </c>
      <c r="G612" s="88">
        <v>0.26600000000000001</v>
      </c>
    </row>
    <row r="613" spans="1:14">
      <c r="A613" s="8">
        <v>15</v>
      </c>
      <c r="B613" s="74">
        <v>42491</v>
      </c>
      <c r="E613" s="12">
        <v>5</v>
      </c>
      <c r="F613" s="86">
        <v>9.5250000000000004</v>
      </c>
      <c r="G613" s="88">
        <v>1.8009999999999999</v>
      </c>
      <c r="I613" s="18">
        <f>AVERAGE(F611:F613)</f>
        <v>6.6346666666666669</v>
      </c>
      <c r="J613" s="18">
        <f>AVERAGE(G611:G613)</f>
        <v>0.98</v>
      </c>
      <c r="L613">
        <f>+J613/I613</f>
        <v>0.14770900321543406</v>
      </c>
      <c r="M613">
        <f>+(L613-$L$927)/$L$928</f>
        <v>2.9870860209559722</v>
      </c>
      <c r="N613">
        <f>+N610+M613</f>
        <v>-2.2467285742142979</v>
      </c>
    </row>
    <row r="614" spans="1:14">
      <c r="A614" s="8">
        <v>6</v>
      </c>
      <c r="B614" s="74">
        <v>42522</v>
      </c>
      <c r="E614" s="12">
        <v>6</v>
      </c>
      <c r="F614" s="86">
        <v>10.295999999999999</v>
      </c>
      <c r="G614" s="88">
        <v>2.3380000000000001</v>
      </c>
    </row>
    <row r="615" spans="1:14">
      <c r="A615" s="8">
        <v>8</v>
      </c>
      <c r="B615" s="74">
        <v>42522</v>
      </c>
      <c r="E615" s="12">
        <v>6</v>
      </c>
      <c r="F615" s="86">
        <v>3.5720000000000001</v>
      </c>
      <c r="G615" s="88">
        <v>0.17100000000000001</v>
      </c>
    </row>
    <row r="616" spans="1:14">
      <c r="A616" s="8">
        <v>15</v>
      </c>
      <c r="B616" s="74">
        <v>42522</v>
      </c>
      <c r="E616" s="12">
        <v>6</v>
      </c>
      <c r="F616" s="86">
        <v>19.372</v>
      </c>
      <c r="G616" s="88">
        <v>2.31</v>
      </c>
      <c r="I616" s="18">
        <f>AVERAGE(F614:F616)</f>
        <v>11.079999999999998</v>
      </c>
      <c r="J616" s="18">
        <f>AVERAGE(G614:G616)</f>
        <v>1.6063333333333334</v>
      </c>
      <c r="L616">
        <f>+J616/I616</f>
        <v>0.1449759326113117</v>
      </c>
      <c r="M616">
        <f>+(L616-$L$927)/$L$928</f>
        <v>2.9236801868720126</v>
      </c>
      <c r="N616">
        <f>+N613+M616</f>
        <v>0.67695161265771464</v>
      </c>
    </row>
    <row r="617" spans="1:14">
      <c r="A617" s="8">
        <v>6</v>
      </c>
      <c r="B617" s="74">
        <v>42552</v>
      </c>
      <c r="E617" s="12">
        <v>7</v>
      </c>
      <c r="F617" s="86">
        <v>7.4660000000000002</v>
      </c>
      <c r="G617" s="88">
        <v>1.9E-2</v>
      </c>
    </row>
    <row r="618" spans="1:14">
      <c r="A618" s="8">
        <v>8</v>
      </c>
      <c r="B618" s="74">
        <v>42552</v>
      </c>
      <c r="E618" s="12">
        <v>7</v>
      </c>
      <c r="F618" s="86">
        <v>7.5570000000000004</v>
      </c>
      <c r="G618" s="88">
        <v>2.3E-2</v>
      </c>
    </row>
    <row r="619" spans="1:14">
      <c r="A619" s="8">
        <v>15</v>
      </c>
      <c r="B619" s="74">
        <v>42552</v>
      </c>
      <c r="E619" s="12">
        <v>7</v>
      </c>
      <c r="F619" s="86">
        <v>6.8620000000000001</v>
      </c>
      <c r="G619" s="88">
        <v>4.2999999999999997E-2</v>
      </c>
      <c r="I619" s="18">
        <f>AVERAGE(F617:F619)</f>
        <v>7.294999999999999</v>
      </c>
      <c r="J619" s="18">
        <f>AVERAGE(G617:G619)</f>
        <v>2.8333333333333332E-2</v>
      </c>
      <c r="L619">
        <f>+J619/I619</f>
        <v>3.8839387708476127E-3</v>
      </c>
      <c r="M619">
        <f>+(L619-$L$927)/$L$928</f>
        <v>-0.34958159367984654</v>
      </c>
      <c r="N619">
        <f>+N616+M619</f>
        <v>0.3273700189778681</v>
      </c>
    </row>
    <row r="620" spans="1:14">
      <c r="A620" s="8">
        <v>6</v>
      </c>
      <c r="B620" s="74">
        <v>42583</v>
      </c>
      <c r="E620" s="12">
        <v>8</v>
      </c>
      <c r="F620" s="86">
        <v>5.8949999999999996</v>
      </c>
      <c r="G620" s="88">
        <v>4.0000000000000001E-3</v>
      </c>
    </row>
    <row r="621" spans="1:14">
      <c r="A621" s="8">
        <v>8</v>
      </c>
      <c r="B621" s="74">
        <v>42583</v>
      </c>
      <c r="E621" s="12">
        <v>8</v>
      </c>
      <c r="F621" s="86">
        <v>2.8050000000000002</v>
      </c>
      <c r="G621" s="88">
        <v>4.0000000000000001E-3</v>
      </c>
    </row>
    <row r="622" spans="1:14">
      <c r="A622" s="8">
        <v>15</v>
      </c>
      <c r="B622" s="74">
        <v>42583</v>
      </c>
      <c r="E622" s="12">
        <v>8</v>
      </c>
      <c r="F622" s="86">
        <v>5.9660000000000002</v>
      </c>
      <c r="G622" s="88">
        <v>8.9999999999999993E-3</v>
      </c>
      <c r="I622" s="18">
        <f>AVERAGE(F620:F622)</f>
        <v>4.8886666666666665</v>
      </c>
      <c r="J622" s="18">
        <f>AVERAGE(G620:G622)</f>
        <v>5.6666666666666671E-3</v>
      </c>
      <c r="L622">
        <f>+J622/I622</f>
        <v>1.1591435974362472E-3</v>
      </c>
      <c r="M622">
        <f>+(L622-$L$927)/$L$928</f>
        <v>-0.41279544202225837</v>
      </c>
      <c r="N622">
        <f>+N619+M622</f>
        <v>-8.542542304439027E-2</v>
      </c>
    </row>
    <row r="623" spans="1:14">
      <c r="A623" s="8">
        <v>6</v>
      </c>
      <c r="B623" s="74">
        <v>42614</v>
      </c>
      <c r="E623" s="12">
        <v>9</v>
      </c>
      <c r="F623" s="86">
        <v>16.298999999999999</v>
      </c>
      <c r="G623" s="88">
        <v>2.7E-2</v>
      </c>
    </row>
    <row r="624" spans="1:14">
      <c r="A624" s="8">
        <v>8</v>
      </c>
      <c r="B624" s="74">
        <v>42614</v>
      </c>
      <c r="E624" s="12">
        <v>9</v>
      </c>
      <c r="F624" s="86">
        <v>6.4720000000000004</v>
      </c>
      <c r="G624" s="88">
        <v>1.6E-2</v>
      </c>
    </row>
    <row r="625" spans="1:14">
      <c r="A625" s="8">
        <v>15</v>
      </c>
      <c r="B625" s="74">
        <v>42614</v>
      </c>
      <c r="E625" s="12">
        <v>9</v>
      </c>
      <c r="F625" s="86">
        <v>8.6649999999999991</v>
      </c>
      <c r="G625" s="88">
        <v>2.5999999999999999E-2</v>
      </c>
      <c r="I625" s="18">
        <f>AVERAGE(F623:F625)</f>
        <v>10.478666666666667</v>
      </c>
      <c r="J625" s="18">
        <f>AVERAGE(G623:G625)</f>
        <v>2.2999999999999996E-2</v>
      </c>
      <c r="L625">
        <f>+J625/I625</f>
        <v>2.1949357424608726E-3</v>
      </c>
      <c r="M625">
        <f>+(L625-$L$927)/$L$928</f>
        <v>-0.38876559632641716</v>
      </c>
      <c r="N625">
        <f>+N622+M625</f>
        <v>-0.47419101937080743</v>
      </c>
    </row>
    <row r="626" spans="1:14">
      <c r="A626" s="8">
        <v>6</v>
      </c>
      <c r="B626" s="74">
        <v>42644</v>
      </c>
      <c r="E626" s="12">
        <v>10</v>
      </c>
      <c r="F626" s="86">
        <v>6.2480000000000002</v>
      </c>
      <c r="G626" s="88">
        <v>1E-3</v>
      </c>
    </row>
    <row r="627" spans="1:14">
      <c r="A627" s="8">
        <v>8</v>
      </c>
      <c r="B627" s="74">
        <v>42644</v>
      </c>
      <c r="E627" s="12">
        <v>10</v>
      </c>
      <c r="F627" s="86">
        <v>3.7010000000000001</v>
      </c>
      <c r="G627" s="88">
        <v>1.2E-2</v>
      </c>
    </row>
    <row r="628" spans="1:14">
      <c r="A628" s="8">
        <v>15</v>
      </c>
      <c r="B628" s="74">
        <v>42644</v>
      </c>
      <c r="E628" s="12">
        <v>10</v>
      </c>
      <c r="F628" s="86">
        <v>4.4660000000000002</v>
      </c>
      <c r="G628" s="88">
        <v>1.7000000000000001E-2</v>
      </c>
      <c r="I628" s="18">
        <f>AVERAGE(F626:F628)</f>
        <v>4.8049999999999997</v>
      </c>
      <c r="J628" s="18">
        <f>AVERAGE(G626:G628)</f>
        <v>0.01</v>
      </c>
      <c r="L628">
        <f>+J628/I628</f>
        <v>2.0811654526534861E-3</v>
      </c>
      <c r="M628">
        <f>+(L628-$L$927)/$L$928</f>
        <v>-0.39140500860809418</v>
      </c>
      <c r="N628">
        <f>+N625+M628</f>
        <v>-0.86559602797890167</v>
      </c>
    </row>
    <row r="629" spans="1:14">
      <c r="A629" s="8">
        <v>6</v>
      </c>
      <c r="B629" s="74">
        <v>42675</v>
      </c>
      <c r="E629" s="12">
        <v>11</v>
      </c>
      <c r="F629" s="86">
        <v>1.3</v>
      </c>
      <c r="G629" s="88">
        <v>1E-3</v>
      </c>
    </row>
    <row r="630" spans="1:14">
      <c r="A630" s="8">
        <v>8</v>
      </c>
      <c r="B630" s="74">
        <v>42675</v>
      </c>
      <c r="E630" s="12">
        <v>11</v>
      </c>
      <c r="F630" s="86">
        <v>0.68300000000000005</v>
      </c>
      <c r="G630" s="88">
        <v>5.0000000000000001E-3</v>
      </c>
    </row>
    <row r="631" spans="1:14">
      <c r="A631" s="8">
        <v>15</v>
      </c>
      <c r="B631" s="74">
        <v>42675</v>
      </c>
      <c r="E631" s="12">
        <v>11</v>
      </c>
      <c r="F631" s="86">
        <v>2.0070000000000001</v>
      </c>
      <c r="G631" s="88">
        <v>1.0999999999999999E-2</v>
      </c>
      <c r="I631" s="18">
        <f>AVERAGE(F629:F631)</f>
        <v>1.33</v>
      </c>
      <c r="J631" s="18">
        <f>AVERAGE(G629:G631)</f>
        <v>5.6666666666666671E-3</v>
      </c>
      <c r="L631">
        <f>+J631/I631</f>
        <v>4.2606516290726818E-3</v>
      </c>
      <c r="M631">
        <f>+(L631-$L$927)/$L$928</f>
        <v>-0.3408420488799847</v>
      </c>
      <c r="N631">
        <f>+N628+M631</f>
        <v>-1.2064380768588863</v>
      </c>
    </row>
    <row r="632" spans="1:14">
      <c r="A632" s="8">
        <v>6</v>
      </c>
      <c r="B632" s="75">
        <v>42705</v>
      </c>
      <c r="E632" s="12">
        <v>12</v>
      </c>
      <c r="F632" s="86">
        <v>1.9239999999999999</v>
      </c>
      <c r="G632" s="88">
        <v>8.0000000000000002E-3</v>
      </c>
    </row>
    <row r="633" spans="1:14">
      <c r="A633" s="8">
        <v>8</v>
      </c>
      <c r="B633" s="74">
        <v>42705</v>
      </c>
      <c r="E633" s="12">
        <v>12</v>
      </c>
      <c r="F633" s="86">
        <v>1.639</v>
      </c>
      <c r="G633" s="88">
        <v>1.2E-2</v>
      </c>
    </row>
    <row r="634" spans="1:14">
      <c r="A634" s="8">
        <v>15</v>
      </c>
      <c r="B634" s="74">
        <v>42705</v>
      </c>
      <c r="E634" s="12">
        <v>12</v>
      </c>
      <c r="F634" s="86">
        <v>2.9009999999999998</v>
      </c>
      <c r="G634" s="88">
        <v>0.01</v>
      </c>
      <c r="I634" s="18">
        <f>AVERAGE(F632:F634)</f>
        <v>2.1546666666666665</v>
      </c>
      <c r="J634" s="18">
        <f>AVERAGE(G632:G634)</f>
        <v>0.01</v>
      </c>
      <c r="L634">
        <f>+J634/I634</f>
        <v>4.6410891089108917E-3</v>
      </c>
      <c r="M634">
        <f>+(L634-$L$927)/$L$928</f>
        <v>-0.33201609477197247</v>
      </c>
      <c r="N634">
        <f>+N631+M634</f>
        <v>-1.5384541716308586</v>
      </c>
    </row>
    <row r="635" spans="1:14">
      <c r="A635" s="8">
        <v>6</v>
      </c>
      <c r="B635" s="73">
        <v>42745</v>
      </c>
      <c r="E635" s="10">
        <v>1</v>
      </c>
    </row>
    <row r="636" spans="1:14">
      <c r="A636" s="8">
        <v>8</v>
      </c>
      <c r="B636" s="73">
        <v>42740</v>
      </c>
      <c r="E636" s="10">
        <v>1</v>
      </c>
    </row>
    <row r="637" spans="1:14">
      <c r="A637" s="8">
        <v>15</v>
      </c>
      <c r="B637" s="73">
        <v>42740</v>
      </c>
      <c r="E637" s="10">
        <v>1</v>
      </c>
    </row>
    <row r="638" spans="1:14">
      <c r="A638" s="8">
        <v>6</v>
      </c>
      <c r="B638" s="74">
        <v>42767</v>
      </c>
      <c r="E638" s="12">
        <v>2</v>
      </c>
    </row>
    <row r="639" spans="1:14">
      <c r="A639" s="8">
        <v>8</v>
      </c>
      <c r="B639" s="74">
        <v>42767</v>
      </c>
      <c r="E639" s="12">
        <v>2</v>
      </c>
    </row>
    <row r="640" spans="1:14">
      <c r="A640" s="8">
        <v>15</v>
      </c>
      <c r="B640" s="74">
        <v>42767</v>
      </c>
      <c r="E640" s="12">
        <v>2</v>
      </c>
    </row>
    <row r="641" spans="1:14">
      <c r="A641" s="8">
        <v>6</v>
      </c>
      <c r="B641" s="74">
        <v>42795</v>
      </c>
      <c r="E641" s="12">
        <v>3</v>
      </c>
      <c r="F641" s="86">
        <v>1.609</v>
      </c>
      <c r="G641" s="86">
        <v>5.3999999999999999E-2</v>
      </c>
    </row>
    <row r="642" spans="1:14">
      <c r="A642" s="8">
        <v>8</v>
      </c>
      <c r="B642" s="74">
        <v>42795</v>
      </c>
      <c r="E642" s="12">
        <v>3</v>
      </c>
      <c r="F642" s="86">
        <v>1.3740000000000001</v>
      </c>
      <c r="G642" s="86">
        <v>3.9E-2</v>
      </c>
    </row>
    <row r="643" spans="1:14">
      <c r="A643" s="8">
        <v>15</v>
      </c>
      <c r="B643" s="74">
        <v>42795</v>
      </c>
      <c r="E643" s="12">
        <v>3</v>
      </c>
      <c r="F643" s="86">
        <v>2.113</v>
      </c>
      <c r="G643" s="86">
        <v>0.20899999999999999</v>
      </c>
      <c r="I643" s="18">
        <f>AVERAGE(F641:F643)</f>
        <v>1.6986666666666668</v>
      </c>
      <c r="J643" s="18">
        <f>AVERAGE(G641:G643)</f>
        <v>0.10066666666666667</v>
      </c>
      <c r="L643">
        <f>+J643/I643</f>
        <v>5.9262166405023547E-2</v>
      </c>
      <c r="M643">
        <f>+(L643-$L$927)/$L$928</f>
        <v>0.93516484058354676</v>
      </c>
      <c r="N643">
        <f>+N634+M643</f>
        <v>-0.60328933104731186</v>
      </c>
    </row>
    <row r="644" spans="1:14">
      <c r="A644" s="8">
        <v>6</v>
      </c>
      <c r="B644" s="74">
        <v>42826</v>
      </c>
      <c r="E644" s="12">
        <v>4</v>
      </c>
    </row>
    <row r="645" spans="1:14">
      <c r="A645" s="8">
        <v>8</v>
      </c>
      <c r="B645" s="74">
        <v>42826</v>
      </c>
      <c r="E645" s="12">
        <v>4</v>
      </c>
      <c r="F645" s="86">
        <v>3.9209999999999998</v>
      </c>
      <c r="G645" s="86">
        <v>0.438</v>
      </c>
    </row>
    <row r="646" spans="1:14">
      <c r="A646" s="8">
        <v>15</v>
      </c>
      <c r="B646" s="74">
        <v>42826</v>
      </c>
      <c r="E646" s="12">
        <v>4</v>
      </c>
      <c r="F646" s="86">
        <v>3.8730000000000002</v>
      </c>
      <c r="G646" s="86">
        <v>0.498</v>
      </c>
      <c r="I646" s="18">
        <f>AVERAGE(F644:F646)</f>
        <v>3.8970000000000002</v>
      </c>
      <c r="J646" s="18">
        <f>AVERAGE(G644:G646)</f>
        <v>0.46799999999999997</v>
      </c>
      <c r="L646">
        <f>+J646/I646</f>
        <v>0.12009237875288682</v>
      </c>
      <c r="M646">
        <f>+(L646-$L$927)/$L$928</f>
        <v>2.3463945196130771</v>
      </c>
      <c r="N646">
        <f>+N643+M646</f>
        <v>1.7431051885657651</v>
      </c>
    </row>
    <row r="647" spans="1:14">
      <c r="A647" s="8">
        <v>6</v>
      </c>
      <c r="B647" s="74">
        <v>42856</v>
      </c>
      <c r="E647" s="12">
        <v>5</v>
      </c>
      <c r="F647" s="86">
        <v>14.352</v>
      </c>
      <c r="G647" s="86">
        <v>2.5089999999999999</v>
      </c>
    </row>
    <row r="648" spans="1:14">
      <c r="A648" s="8">
        <v>8</v>
      </c>
      <c r="B648" s="74">
        <v>42856</v>
      </c>
      <c r="E648" s="12">
        <v>5</v>
      </c>
      <c r="F648" s="86">
        <v>7.2270000000000003</v>
      </c>
      <c r="G648" s="86">
        <v>1.145</v>
      </c>
    </row>
    <row r="649" spans="1:14">
      <c r="A649" s="8">
        <v>15</v>
      </c>
      <c r="B649" s="74">
        <v>42856</v>
      </c>
      <c r="E649" s="12">
        <v>5</v>
      </c>
      <c r="F649" s="86">
        <v>7.1390000000000002</v>
      </c>
      <c r="G649" s="86">
        <v>1.33</v>
      </c>
      <c r="I649" s="18">
        <f>AVERAGE(F647:F649)</f>
        <v>9.5726666666666667</v>
      </c>
      <c r="J649" s="18">
        <f>AVERAGE(G647:G649)</f>
        <v>1.6613333333333333</v>
      </c>
      <c r="L649">
        <f>+J649/I649</f>
        <v>0.17354969008983911</v>
      </c>
      <c r="M649">
        <f>+(L649-$L$927)/$L$928</f>
        <v>3.5865766825227685</v>
      </c>
      <c r="N649">
        <f>+N646+M649</f>
        <v>5.3296818710885336</v>
      </c>
    </row>
    <row r="650" spans="1:14">
      <c r="A650" s="8">
        <v>6</v>
      </c>
      <c r="B650" s="74">
        <v>42887</v>
      </c>
      <c r="E650" s="12">
        <v>6</v>
      </c>
      <c r="F650" s="86">
        <v>5.657</v>
      </c>
      <c r="G650" s="86">
        <v>5.5E-2</v>
      </c>
    </row>
    <row r="651" spans="1:14">
      <c r="A651" s="8">
        <v>8</v>
      </c>
      <c r="B651" s="74">
        <v>42887</v>
      </c>
      <c r="E651" s="12">
        <v>6</v>
      </c>
      <c r="F651" s="86">
        <v>3.6970000000000001</v>
      </c>
      <c r="G651" s="86">
        <v>9.9989999999999996E-4</v>
      </c>
    </row>
    <row r="652" spans="1:14">
      <c r="A652" s="8">
        <v>15</v>
      </c>
      <c r="B652" s="74">
        <v>42887</v>
      </c>
      <c r="E652" s="12">
        <v>6</v>
      </c>
      <c r="F652" s="86">
        <v>2.2309999999999999</v>
      </c>
      <c r="G652" s="86">
        <v>9.9989999999999996E-4</v>
      </c>
      <c r="I652" s="18">
        <f>AVERAGE(F650:F652)</f>
        <v>3.8616666666666664</v>
      </c>
      <c r="J652" s="18">
        <f>AVERAGE(G650:G652)</f>
        <v>1.8999933333333333E-2</v>
      </c>
      <c r="L652">
        <f>+J652/I652</f>
        <v>4.9201381096245144E-3</v>
      </c>
      <c r="M652">
        <f>+(L652-$L$927)/$L$928</f>
        <v>-0.32554230129812095</v>
      </c>
      <c r="N652">
        <f>+N649+M652</f>
        <v>5.0041395697904125</v>
      </c>
    </row>
    <row r="653" spans="1:14">
      <c r="A653" s="8">
        <v>6</v>
      </c>
      <c r="B653" s="74">
        <v>42917</v>
      </c>
      <c r="E653" s="12">
        <v>7</v>
      </c>
      <c r="F653" s="86">
        <v>2.9420000000000002</v>
      </c>
      <c r="G653" s="86">
        <v>0.01</v>
      </c>
    </row>
    <row r="654" spans="1:14">
      <c r="A654" s="8">
        <v>8</v>
      </c>
      <c r="B654" s="74">
        <v>42917</v>
      </c>
      <c r="E654" s="12">
        <v>7</v>
      </c>
      <c r="F654" s="86">
        <v>0.92100000000000004</v>
      </c>
      <c r="G654" s="86">
        <v>9.9989999999999996E-4</v>
      </c>
    </row>
    <row r="655" spans="1:14">
      <c r="A655" s="8">
        <v>15</v>
      </c>
      <c r="B655" s="74">
        <v>42917</v>
      </c>
      <c r="E655" s="12">
        <v>7</v>
      </c>
      <c r="F655" s="86">
        <v>2.2549999999999999</v>
      </c>
      <c r="G655" s="86">
        <v>9.9989999999999996E-4</v>
      </c>
      <c r="I655" s="18">
        <f>AVERAGE(F653:F655)</f>
        <v>2.0393333333333334</v>
      </c>
      <c r="J655" s="18">
        <f>AVERAGE(G653:G655)</f>
        <v>3.9999333333333329E-3</v>
      </c>
      <c r="L655">
        <f>+J655/I655</f>
        <v>1.9613926119646939E-3</v>
      </c>
      <c r="M655">
        <f>+(L655-$L$927)/$L$928</f>
        <v>-0.39418367698681206</v>
      </c>
      <c r="N655">
        <f>+N652+M655</f>
        <v>4.6099558928036002</v>
      </c>
    </row>
    <row r="656" spans="1:14">
      <c r="A656" s="8">
        <v>6</v>
      </c>
      <c r="B656" s="74">
        <v>42948</v>
      </c>
      <c r="E656" s="12">
        <v>8</v>
      </c>
    </row>
    <row r="657" spans="1:14">
      <c r="A657" s="8">
        <v>8</v>
      </c>
      <c r="B657" s="74">
        <v>42948</v>
      </c>
      <c r="E657" s="12">
        <v>8</v>
      </c>
    </row>
    <row r="658" spans="1:14">
      <c r="A658" s="8">
        <v>15</v>
      </c>
      <c r="B658" s="74">
        <v>42948</v>
      </c>
      <c r="E658" s="12">
        <v>8</v>
      </c>
      <c r="I658" s="18"/>
      <c r="J658" s="18"/>
    </row>
    <row r="659" spans="1:14">
      <c r="A659" s="8">
        <v>6</v>
      </c>
      <c r="B659" s="74">
        <v>42979</v>
      </c>
      <c r="E659" s="12">
        <v>9</v>
      </c>
      <c r="F659" s="86">
        <v>4.4960000000000004</v>
      </c>
      <c r="G659" s="86">
        <v>1.4999999999999999E-2</v>
      </c>
    </row>
    <row r="660" spans="1:14">
      <c r="A660" s="8">
        <v>8</v>
      </c>
      <c r="B660" s="74">
        <v>42979</v>
      </c>
      <c r="E660" s="12">
        <v>9</v>
      </c>
      <c r="F660" s="86">
        <v>1.0920000000000001</v>
      </c>
      <c r="G660" s="86">
        <v>1.4E-2</v>
      </c>
    </row>
    <row r="661" spans="1:14">
      <c r="A661" s="8">
        <v>15</v>
      </c>
      <c r="B661" s="74">
        <v>42979</v>
      </c>
      <c r="E661" s="12">
        <v>9</v>
      </c>
      <c r="F661" s="86">
        <v>1.2729999999999999</v>
      </c>
      <c r="G661" s="86">
        <v>9.9989999999999996E-4</v>
      </c>
      <c r="I661" s="18">
        <f>AVERAGE(F659:F661)</f>
        <v>2.2870000000000004</v>
      </c>
      <c r="J661" s="18">
        <f>AVERAGE(G659:G661)</f>
        <v>9.9999666666666671E-3</v>
      </c>
      <c r="L661">
        <f>+J661/I661</f>
        <v>4.3725258708643047E-3</v>
      </c>
      <c r="M661">
        <f>+(L661-$L$927)/$L$928</f>
        <v>-0.3382466239383059</v>
      </c>
      <c r="N661">
        <f>+N655+M661</f>
        <v>4.271709268865294</v>
      </c>
    </row>
    <row r="662" spans="1:14">
      <c r="A662" s="8">
        <v>6</v>
      </c>
      <c r="B662" s="74">
        <v>43009</v>
      </c>
      <c r="E662" s="12">
        <v>10</v>
      </c>
      <c r="F662" s="86">
        <v>2.2679999999999998</v>
      </c>
      <c r="G662" s="86">
        <v>4.2999999999999997E-2</v>
      </c>
    </row>
    <row r="663" spans="1:14">
      <c r="A663" s="8">
        <v>8</v>
      </c>
      <c r="B663" s="74">
        <v>43009</v>
      </c>
      <c r="E663" s="12">
        <v>10</v>
      </c>
      <c r="F663" s="86">
        <v>0.34799999999999998</v>
      </c>
      <c r="G663" s="86">
        <v>9.9989999999999996E-4</v>
      </c>
    </row>
    <row r="664" spans="1:14">
      <c r="A664" s="8">
        <v>15</v>
      </c>
      <c r="B664" s="74">
        <v>43009</v>
      </c>
      <c r="E664" s="12">
        <v>10</v>
      </c>
      <c r="F664" s="86">
        <v>1.5429999999999999</v>
      </c>
      <c r="G664" s="86">
        <v>1.2999999999999999E-2</v>
      </c>
      <c r="I664" s="18">
        <f>AVERAGE(F662:F664)</f>
        <v>1.3863333333333332</v>
      </c>
      <c r="J664" s="18">
        <f>AVERAGE(G662:G664)</f>
        <v>1.8999966666666663E-2</v>
      </c>
      <c r="L664">
        <f>+J664/I664</f>
        <v>1.3705193556143302E-2</v>
      </c>
      <c r="M664">
        <f>+(L664-$L$927)/$L$928</f>
        <v>-0.12173352767178955</v>
      </c>
      <c r="N664">
        <f>+N661+M664</f>
        <v>4.1499757411935043</v>
      </c>
    </row>
    <row r="665" spans="1:14">
      <c r="A665" s="8">
        <v>6</v>
      </c>
      <c r="B665" s="74">
        <v>43040</v>
      </c>
      <c r="E665" s="12">
        <v>11</v>
      </c>
    </row>
    <row r="666" spans="1:14">
      <c r="A666" s="8">
        <v>8</v>
      </c>
      <c r="B666" s="74">
        <v>43040</v>
      </c>
      <c r="E666" s="12">
        <v>11</v>
      </c>
    </row>
    <row r="667" spans="1:14">
      <c r="A667" s="8">
        <v>15</v>
      </c>
      <c r="B667" s="74">
        <v>43040</v>
      </c>
      <c r="E667" s="12">
        <v>11</v>
      </c>
      <c r="I667" s="18"/>
      <c r="J667" s="18"/>
    </row>
    <row r="668" spans="1:14">
      <c r="A668" s="8">
        <v>6</v>
      </c>
      <c r="B668" s="75">
        <v>43070</v>
      </c>
      <c r="E668" s="12">
        <v>12</v>
      </c>
      <c r="F668" s="86">
        <v>2.6429999999999998</v>
      </c>
      <c r="G668" s="86">
        <v>9.9989999999999996E-4</v>
      </c>
    </row>
    <row r="669" spans="1:14">
      <c r="A669" s="8">
        <v>8</v>
      </c>
      <c r="B669" s="74">
        <v>43070</v>
      </c>
      <c r="E669" s="12">
        <v>12</v>
      </c>
      <c r="F669" s="86">
        <v>1.196</v>
      </c>
      <c r="G669" s="86">
        <v>1.2999999999999999E-2</v>
      </c>
    </row>
    <row r="670" spans="1:14">
      <c r="A670" s="8">
        <v>15</v>
      </c>
      <c r="B670" s="74">
        <v>43070</v>
      </c>
      <c r="E670" s="12">
        <v>12</v>
      </c>
      <c r="F670" s="86">
        <v>3.036</v>
      </c>
      <c r="G670" s="86">
        <v>7.0000000000000001E-3</v>
      </c>
      <c r="I670" s="18">
        <f>AVERAGE(F668:F670)</f>
        <v>2.2916666666666665</v>
      </c>
      <c r="J670" s="18">
        <f>AVERAGE(G668:G670)</f>
        <v>6.9999666666666661E-3</v>
      </c>
      <c r="L670">
        <f>+J670/I670</f>
        <v>3.0545309090909091E-3</v>
      </c>
      <c r="M670">
        <f>+(L670-$L$927)/$L$928</f>
        <v>-0.3688234300199526</v>
      </c>
      <c r="N670">
        <f>+N664+M670</f>
        <v>3.7811523111735519</v>
      </c>
    </row>
    <row r="671" spans="1:14">
      <c r="A671" s="8">
        <v>6</v>
      </c>
      <c r="B671" s="73">
        <v>43110</v>
      </c>
      <c r="E671" s="10">
        <v>1</v>
      </c>
      <c r="F671" s="81">
        <v>4.03</v>
      </c>
      <c r="G671" s="81">
        <v>0.01</v>
      </c>
    </row>
    <row r="672" spans="1:14">
      <c r="A672" s="8">
        <v>8</v>
      </c>
      <c r="B672" s="73">
        <v>43105</v>
      </c>
      <c r="E672" s="10">
        <v>1</v>
      </c>
      <c r="F672" s="81">
        <v>7.7279999999999998</v>
      </c>
      <c r="G672" s="81">
        <v>4.1000000000000002E-2</v>
      </c>
    </row>
    <row r="673" spans="1:14">
      <c r="A673" s="8">
        <v>15</v>
      </c>
      <c r="B673" s="73">
        <v>43105</v>
      </c>
      <c r="E673" s="10">
        <v>1</v>
      </c>
      <c r="F673" s="81">
        <v>5.9379999999999997</v>
      </c>
      <c r="G673" s="81">
        <v>4.5999999999999999E-2</v>
      </c>
      <c r="I673">
        <v>5.8986666666666663</v>
      </c>
      <c r="J673">
        <v>3.2333333333333332E-2</v>
      </c>
      <c r="L673">
        <v>5.4814647377938522E-3</v>
      </c>
      <c r="M673">
        <f>+(L673-$L$927)/$L$928</f>
        <v>-0.31251981186849187</v>
      </c>
      <c r="N673">
        <f>+N670+M673</f>
        <v>3.4686324993050599</v>
      </c>
    </row>
    <row r="674" spans="1:14">
      <c r="A674" s="8">
        <v>6</v>
      </c>
      <c r="B674" s="74">
        <v>43132</v>
      </c>
      <c r="E674" s="12">
        <v>2</v>
      </c>
      <c r="F674" s="81">
        <v>1.829</v>
      </c>
      <c r="G674" s="81">
        <v>7.0000000000000001E-3</v>
      </c>
    </row>
    <row r="675" spans="1:14">
      <c r="A675" s="8">
        <v>8</v>
      </c>
      <c r="B675" s="74">
        <v>43132</v>
      </c>
      <c r="E675" s="12">
        <v>2</v>
      </c>
      <c r="F675" s="81">
        <v>1.119</v>
      </c>
      <c r="G675" s="81">
        <v>9.9989999999999996E-4</v>
      </c>
    </row>
    <row r="676" spans="1:14">
      <c r="A676" s="8">
        <v>15</v>
      </c>
      <c r="B676" s="74">
        <v>43132</v>
      </c>
      <c r="E676" s="12">
        <v>2</v>
      </c>
      <c r="F676" s="81">
        <v>1.149</v>
      </c>
      <c r="G676" s="81">
        <v>9.9989999999999996E-4</v>
      </c>
      <c r="I676">
        <v>1.3656666666666666</v>
      </c>
      <c r="J676">
        <v>2.9999333333333334E-3</v>
      </c>
      <c r="L676">
        <v>2.1966804979253116E-3</v>
      </c>
      <c r="M676">
        <f>+(L676-$L$927)/$L$928</f>
        <v>-0.38872511889589323</v>
      </c>
      <c r="N676">
        <f>+N673+M676</f>
        <v>3.0799073804091668</v>
      </c>
    </row>
    <row r="677" spans="1:14">
      <c r="A677" s="8">
        <v>6</v>
      </c>
      <c r="B677" s="74">
        <v>43160</v>
      </c>
      <c r="E677" s="12">
        <v>3</v>
      </c>
      <c r="F677" s="81">
        <v>4.4370000000000003</v>
      </c>
      <c r="G677" s="81">
        <v>1.7999999999999999E-2</v>
      </c>
    </row>
    <row r="678" spans="1:14">
      <c r="A678" s="8">
        <v>8</v>
      </c>
      <c r="B678" s="74">
        <v>43160</v>
      </c>
      <c r="E678" s="12">
        <v>3</v>
      </c>
      <c r="F678" s="81">
        <v>3.7730000000000001</v>
      </c>
      <c r="G678" s="81">
        <v>1.4E-2</v>
      </c>
    </row>
    <row r="679" spans="1:14">
      <c r="A679" s="8">
        <v>15</v>
      </c>
      <c r="B679" s="74">
        <v>43160</v>
      </c>
      <c r="E679" s="12">
        <v>3</v>
      </c>
      <c r="F679" s="81">
        <v>3.5169999999999999</v>
      </c>
      <c r="G679" s="81">
        <v>1.4E-2</v>
      </c>
      <c r="I679">
        <v>3.9090000000000003</v>
      </c>
      <c r="J679">
        <v>1.5333333333333332E-2</v>
      </c>
      <c r="L679">
        <v>3.9225718427560322E-3</v>
      </c>
      <c r="M679">
        <f>+(L679-$L$927)/$L$928</f>
        <v>-0.34868532625672033</v>
      </c>
      <c r="N679">
        <f>+N676+M679</f>
        <v>2.7312220541524463</v>
      </c>
    </row>
    <row r="680" spans="1:14">
      <c r="A680" s="8">
        <v>6</v>
      </c>
      <c r="B680" s="74">
        <v>43191</v>
      </c>
      <c r="E680" s="12">
        <v>4</v>
      </c>
      <c r="F680" s="81">
        <v>3.8260000000000001</v>
      </c>
      <c r="G680" s="81">
        <v>0.27500000000000002</v>
      </c>
    </row>
    <row r="681" spans="1:14">
      <c r="A681" s="8">
        <v>8</v>
      </c>
      <c r="B681" s="74">
        <v>43191</v>
      </c>
      <c r="E681" s="12">
        <v>4</v>
      </c>
      <c r="F681" s="81">
        <v>1.375</v>
      </c>
      <c r="G681" s="81">
        <v>1.2999999999999999E-2</v>
      </c>
    </row>
    <row r="682" spans="1:14">
      <c r="A682" s="8">
        <v>15</v>
      </c>
      <c r="B682" s="74">
        <v>43191</v>
      </c>
      <c r="E682" s="12">
        <v>4</v>
      </c>
      <c r="F682" s="82">
        <v>0.83899999999999997</v>
      </c>
      <c r="G682" s="82">
        <v>1.4999999999999999E-2</v>
      </c>
      <c r="I682">
        <v>2.0133333333333336</v>
      </c>
      <c r="J682">
        <v>0.10100000000000002</v>
      </c>
      <c r="L682">
        <v>5.0165562913907287E-2</v>
      </c>
      <c r="M682">
        <f>+(L682-$L$927)/$L$928</f>
        <v>0.72412831235946218</v>
      </c>
      <c r="N682">
        <f>+N679+M682</f>
        <v>3.4553503665119085</v>
      </c>
    </row>
    <row r="683" spans="1:14">
      <c r="A683" s="8">
        <v>6</v>
      </c>
      <c r="B683" s="74">
        <v>43221</v>
      </c>
      <c r="E683" s="12">
        <v>5</v>
      </c>
      <c r="F683" s="82">
        <v>11.643000000000001</v>
      </c>
      <c r="G683" s="82">
        <v>1.6930000000000001</v>
      </c>
    </row>
    <row r="684" spans="1:14">
      <c r="A684" s="8">
        <v>8</v>
      </c>
      <c r="B684" s="74">
        <v>43221</v>
      </c>
      <c r="E684" s="12">
        <v>5</v>
      </c>
      <c r="F684" s="82">
        <v>2.782</v>
      </c>
      <c r="G684" s="82">
        <v>3.2000000000000001E-2</v>
      </c>
    </row>
    <row r="685" spans="1:14">
      <c r="A685" s="8">
        <v>15</v>
      </c>
      <c r="B685" s="74">
        <v>43221</v>
      </c>
      <c r="E685" s="12">
        <v>5</v>
      </c>
      <c r="F685" s="82">
        <v>6.2859999999999996</v>
      </c>
      <c r="G685" s="82">
        <v>0.84099999999999997</v>
      </c>
      <c r="I685">
        <v>6.9036666666666662</v>
      </c>
      <c r="J685">
        <v>0.85533333333333328</v>
      </c>
      <c r="L685">
        <v>0.12389551446091449</v>
      </c>
      <c r="M685">
        <f>+(L685-$L$927)/$L$928</f>
        <v>2.4346253144334766</v>
      </c>
      <c r="N685">
        <f>+N682+M685</f>
        <v>5.8899756809453852</v>
      </c>
    </row>
    <row r="686" spans="1:14">
      <c r="A686" s="8">
        <v>6</v>
      </c>
      <c r="B686" s="74">
        <v>43252</v>
      </c>
      <c r="E686" s="12">
        <v>6</v>
      </c>
      <c r="F686" s="82">
        <v>4.6680000000000001</v>
      </c>
      <c r="G686" s="82">
        <v>7.0999999999999994E-2</v>
      </c>
    </row>
    <row r="687" spans="1:14">
      <c r="A687" s="8">
        <v>8</v>
      </c>
      <c r="B687" s="74">
        <v>43252</v>
      </c>
      <c r="E687" s="12">
        <v>6</v>
      </c>
      <c r="F687" s="82">
        <v>2.66</v>
      </c>
      <c r="G687" s="82">
        <v>1.2999999999999999E-2</v>
      </c>
    </row>
    <row r="688" spans="1:14">
      <c r="A688" s="8">
        <v>15</v>
      </c>
      <c r="B688" s="74">
        <v>43252</v>
      </c>
      <c r="E688" s="12">
        <v>6</v>
      </c>
      <c r="F688" s="82">
        <v>5.0890000000000004</v>
      </c>
      <c r="G688" s="82">
        <v>9.1999999999999998E-2</v>
      </c>
      <c r="I688">
        <v>4.1390000000000002</v>
      </c>
      <c r="J688">
        <v>5.8666666666666666E-2</v>
      </c>
      <c r="L688">
        <v>1.4174116131110573E-2</v>
      </c>
      <c r="M688">
        <f>+(L688-$L$927)/$L$928</f>
        <v>-0.11085476481006486</v>
      </c>
      <c r="N688">
        <f>+N685+M688</f>
        <v>5.7791209161353203</v>
      </c>
    </row>
    <row r="689" spans="1:14">
      <c r="A689" s="8">
        <v>6</v>
      </c>
      <c r="B689" s="74">
        <v>43282</v>
      </c>
      <c r="E689" s="12">
        <v>7</v>
      </c>
      <c r="F689" s="82">
        <v>17.873000000000001</v>
      </c>
      <c r="G689" s="82">
        <v>5.6000000000000001E-2</v>
      </c>
    </row>
    <row r="690" spans="1:14">
      <c r="A690" s="8">
        <v>8</v>
      </c>
      <c r="B690" s="74">
        <v>43282</v>
      </c>
      <c r="E690" s="12">
        <v>7</v>
      </c>
      <c r="F690" s="82">
        <v>4.2279999999999998</v>
      </c>
      <c r="G690" s="82">
        <v>8.9999999999999993E-3</v>
      </c>
    </row>
    <row r="691" spans="1:14">
      <c r="A691" s="8">
        <v>15</v>
      </c>
      <c r="B691" s="74">
        <v>43282</v>
      </c>
      <c r="E691" s="12">
        <v>7</v>
      </c>
      <c r="F691" s="82">
        <v>2.0680000000000001</v>
      </c>
      <c r="G691" s="82">
        <v>6.0000000000000001E-3</v>
      </c>
      <c r="I691">
        <v>8.0563333333333329</v>
      </c>
      <c r="J691">
        <v>2.3666666666666669E-2</v>
      </c>
      <c r="L691">
        <v>2.937647399561422E-3</v>
      </c>
      <c r="M691">
        <f>+(L691-$L$927)/$L$928</f>
        <v>-0.37153506739997466</v>
      </c>
      <c r="N691">
        <f>+N688+M691</f>
        <v>5.4075858487353461</v>
      </c>
    </row>
    <row r="692" spans="1:14">
      <c r="A692" s="8">
        <v>6</v>
      </c>
      <c r="B692" s="74">
        <v>43313</v>
      </c>
      <c r="E692" s="12">
        <v>8</v>
      </c>
      <c r="F692" s="82">
        <v>2.2989999999999999</v>
      </c>
      <c r="G692" s="82">
        <v>8.0000000000000002E-3</v>
      </c>
    </row>
    <row r="693" spans="1:14">
      <c r="A693" s="8">
        <v>8</v>
      </c>
      <c r="B693" s="74">
        <v>43313</v>
      </c>
      <c r="E693" s="12">
        <v>8</v>
      </c>
      <c r="F693" s="82">
        <v>2.919</v>
      </c>
      <c r="G693" s="82">
        <v>1.9E-2</v>
      </c>
    </row>
    <row r="694" spans="1:14">
      <c r="A694" s="8">
        <v>15</v>
      </c>
      <c r="B694" s="74">
        <v>43313</v>
      </c>
      <c r="E694" s="12">
        <v>8</v>
      </c>
      <c r="F694" s="82">
        <v>1.7390000000000001</v>
      </c>
      <c r="G694" s="82">
        <v>9.9989999999999996E-4</v>
      </c>
      <c r="I694">
        <v>2.319</v>
      </c>
      <c r="J694">
        <v>9.333300000000001E-3</v>
      </c>
      <c r="L694">
        <v>4.0247089262613204E-3</v>
      </c>
      <c r="M694">
        <f>+(L694-$L$927)/$L$928</f>
        <v>-0.34631579838547255</v>
      </c>
      <c r="N694">
        <f>+N691+M694</f>
        <v>5.061270050349874</v>
      </c>
    </row>
    <row r="695" spans="1:14">
      <c r="A695" s="8">
        <v>6</v>
      </c>
      <c r="B695" s="74">
        <v>43344</v>
      </c>
      <c r="E695" s="12">
        <v>9</v>
      </c>
      <c r="F695" s="82">
        <v>7.1219999999999999</v>
      </c>
      <c r="G695" s="82">
        <v>2.1000000000000001E-2</v>
      </c>
    </row>
    <row r="696" spans="1:14">
      <c r="A696" s="8">
        <v>8</v>
      </c>
      <c r="B696" s="74">
        <v>43344</v>
      </c>
      <c r="E696" s="12">
        <v>9</v>
      </c>
      <c r="F696" s="82">
        <v>2.97</v>
      </c>
      <c r="G696" s="82">
        <v>0.01</v>
      </c>
    </row>
    <row r="697" spans="1:14">
      <c r="A697" s="8">
        <v>15</v>
      </c>
      <c r="B697" s="74">
        <v>43344</v>
      </c>
      <c r="E697" s="12">
        <v>9</v>
      </c>
      <c r="F697" s="82">
        <v>5.1970000000000001</v>
      </c>
      <c r="G697" s="82">
        <v>1.9E-2</v>
      </c>
      <c r="I697">
        <v>5.0963333333333338</v>
      </c>
      <c r="J697">
        <v>1.6666666666666666E-2</v>
      </c>
      <c r="L697">
        <v>3.2703250703119886E-3</v>
      </c>
      <c r="M697">
        <f>+(L697-$L$927)/$L$928</f>
        <v>-0.36381711632939767</v>
      </c>
      <c r="N697">
        <f>+N694+M697</f>
        <v>4.6974529340204763</v>
      </c>
    </row>
    <row r="698" spans="1:14">
      <c r="A698" s="8">
        <v>6</v>
      </c>
      <c r="B698" s="74">
        <v>43374</v>
      </c>
      <c r="E698" s="12">
        <v>10</v>
      </c>
      <c r="F698" s="82">
        <v>2.7970000000000002</v>
      </c>
      <c r="G698" s="82">
        <v>0.02</v>
      </c>
    </row>
    <row r="699" spans="1:14">
      <c r="A699" s="8">
        <v>8</v>
      </c>
      <c r="B699" s="74">
        <v>43374</v>
      </c>
      <c r="E699" s="12">
        <v>10</v>
      </c>
      <c r="F699" s="82">
        <v>0.69499999999999995</v>
      </c>
      <c r="G699" s="82">
        <v>9.9989999999999996E-4</v>
      </c>
    </row>
    <row r="700" spans="1:14">
      <c r="A700" s="8">
        <v>15</v>
      </c>
      <c r="B700" s="74">
        <v>43374</v>
      </c>
      <c r="E700" s="12">
        <v>10</v>
      </c>
      <c r="F700" s="82">
        <v>3.7160000000000002</v>
      </c>
      <c r="G700" s="82">
        <v>3.9E-2</v>
      </c>
      <c r="I700">
        <v>2.4026666666666667</v>
      </c>
      <c r="J700">
        <v>1.9999966666666667E-2</v>
      </c>
      <c r="L700">
        <v>8.3240704772475031E-3</v>
      </c>
      <c r="M700">
        <f>+(L700-$L$927)/$L$928</f>
        <v>-0.24657281891117425</v>
      </c>
      <c r="N700">
        <f>+N697+M700</f>
        <v>4.4508801151093023</v>
      </c>
    </row>
    <row r="701" spans="1:14">
      <c r="A701" s="8">
        <v>6</v>
      </c>
      <c r="B701" s="74">
        <v>43405</v>
      </c>
      <c r="E701" s="12">
        <v>11</v>
      </c>
      <c r="F701" s="82">
        <v>3.2709999999999999</v>
      </c>
      <c r="G701" s="82">
        <v>9.9989999999999996E-4</v>
      </c>
      <c r="I701">
        <v>3.2709999999999999</v>
      </c>
      <c r="J701">
        <v>9.9989999999999996E-4</v>
      </c>
      <c r="L701">
        <v>3.0568633445429531E-4</v>
      </c>
      <c r="M701">
        <f>+(L701-$L$927)/$L$928</f>
        <v>-0.43259521211702356</v>
      </c>
      <c r="N701">
        <f>+N700+M701</f>
        <v>4.0182849029922787</v>
      </c>
    </row>
    <row r="702" spans="1:14">
      <c r="A702" s="8">
        <v>8</v>
      </c>
      <c r="B702" s="74">
        <v>43405</v>
      </c>
      <c r="E702" s="12">
        <v>11</v>
      </c>
    </row>
    <row r="703" spans="1:14">
      <c r="A703" s="8">
        <v>15</v>
      </c>
      <c r="B703" s="74">
        <v>43405</v>
      </c>
      <c r="E703" s="12">
        <v>11</v>
      </c>
    </row>
    <row r="704" spans="1:14">
      <c r="A704" s="8">
        <v>6</v>
      </c>
      <c r="B704" s="75">
        <v>43435</v>
      </c>
      <c r="E704" s="12">
        <v>12</v>
      </c>
    </row>
    <row r="705" spans="1:14">
      <c r="A705" s="8">
        <v>8</v>
      </c>
      <c r="B705" s="74">
        <v>43435</v>
      </c>
      <c r="E705" s="12">
        <v>12</v>
      </c>
    </row>
    <row r="706" spans="1:14">
      <c r="A706" s="8">
        <v>15</v>
      </c>
      <c r="B706" s="74">
        <v>43435</v>
      </c>
      <c r="E706" s="12">
        <v>12</v>
      </c>
    </row>
    <row r="707" spans="1:14">
      <c r="A707" s="8">
        <v>6</v>
      </c>
      <c r="B707" s="73">
        <v>43475</v>
      </c>
      <c r="E707" s="10">
        <v>1</v>
      </c>
    </row>
    <row r="708" spans="1:14">
      <c r="A708" s="8">
        <v>8</v>
      </c>
      <c r="B708" s="73">
        <v>43470</v>
      </c>
      <c r="E708" s="10">
        <v>1</v>
      </c>
    </row>
    <row r="709" spans="1:14">
      <c r="A709" s="8">
        <v>15</v>
      </c>
      <c r="B709" s="73">
        <v>43470</v>
      </c>
      <c r="E709" s="10">
        <v>1</v>
      </c>
    </row>
    <row r="710" spans="1:14">
      <c r="A710" s="8">
        <v>6</v>
      </c>
      <c r="B710" s="74">
        <v>43497</v>
      </c>
      <c r="E710" s="12">
        <v>2</v>
      </c>
    </row>
    <row r="711" spans="1:14">
      <c r="A711" s="8">
        <v>8</v>
      </c>
      <c r="B711" s="74">
        <v>43497</v>
      </c>
      <c r="E711" s="12">
        <v>2</v>
      </c>
    </row>
    <row r="712" spans="1:14">
      <c r="A712" s="8">
        <v>15</v>
      </c>
      <c r="B712" s="74">
        <v>43497</v>
      </c>
      <c r="E712" s="12">
        <v>2</v>
      </c>
    </row>
    <row r="713" spans="1:14">
      <c r="A713" s="8">
        <v>6</v>
      </c>
      <c r="B713" s="74">
        <v>43525</v>
      </c>
      <c r="E713" s="12">
        <v>3</v>
      </c>
      <c r="F713" s="85">
        <v>0.65200000000000002</v>
      </c>
      <c r="G713" s="84">
        <v>1.4999999999999999E-2</v>
      </c>
    </row>
    <row r="714" spans="1:14">
      <c r="A714" s="8">
        <v>8</v>
      </c>
      <c r="B714" s="74">
        <v>43525</v>
      </c>
      <c r="E714" s="12">
        <v>3</v>
      </c>
      <c r="F714" s="85">
        <v>0.38100000000000001</v>
      </c>
      <c r="G714" s="84">
        <v>9.9989999999999996E-4</v>
      </c>
    </row>
    <row r="715" spans="1:14">
      <c r="A715" s="8">
        <v>15</v>
      </c>
      <c r="B715" s="74">
        <v>43525</v>
      </c>
      <c r="E715" s="12">
        <v>3</v>
      </c>
      <c r="F715" s="85">
        <v>0.67500000000000004</v>
      </c>
      <c r="G715" s="84">
        <v>3.5999999999999997E-2</v>
      </c>
      <c r="I715" s="18">
        <f>AVERAGE(F713:F715)</f>
        <v>0.56933333333333336</v>
      </c>
      <c r="J715" s="18">
        <f>AVERAGE(G713:G715)</f>
        <v>1.7333299999999999E-2</v>
      </c>
      <c r="L715">
        <f>+J715/I715</f>
        <v>3.0444906323185011E-2</v>
      </c>
      <c r="M715">
        <f>+(L715-$L$927)/$L$928</f>
        <v>0.26661920961910052</v>
      </c>
      <c r="N715">
        <f>+N701+M715</f>
        <v>4.2849041126113789</v>
      </c>
    </row>
    <row r="716" spans="1:14">
      <c r="A716" s="8">
        <v>6</v>
      </c>
      <c r="B716" s="74">
        <v>43556</v>
      </c>
      <c r="E716" s="12">
        <v>4</v>
      </c>
      <c r="F716" s="81">
        <v>1.5649999999999999</v>
      </c>
      <c r="G716" s="84">
        <v>0.11</v>
      </c>
    </row>
    <row r="717" spans="1:14">
      <c r="A717" s="8">
        <v>8</v>
      </c>
      <c r="B717" s="74">
        <v>43556</v>
      </c>
      <c r="E717" s="12">
        <v>4</v>
      </c>
      <c r="F717" s="81">
        <v>1.157</v>
      </c>
      <c r="G717" s="84">
        <v>9.9989999999999996E-4</v>
      </c>
    </row>
    <row r="718" spans="1:14">
      <c r="A718" s="8">
        <v>15</v>
      </c>
      <c r="B718" s="74">
        <v>43556</v>
      </c>
      <c r="E718" s="12">
        <v>4</v>
      </c>
      <c r="F718" s="81">
        <v>0.80500000000000005</v>
      </c>
      <c r="G718" s="84">
        <v>1.4999999999999999E-2</v>
      </c>
      <c r="I718" s="18">
        <f>AVERAGE(F716:F718)</f>
        <v>1.1756666666666666</v>
      </c>
      <c r="J718" s="18">
        <f>AVERAGE(G716:G718)</f>
        <v>4.1999966666666666E-2</v>
      </c>
      <c r="L718">
        <f>+J718/I718</f>
        <v>3.5724383328607882E-2</v>
      </c>
      <c r="M718">
        <f>+(L718-$L$927)/$L$928</f>
        <v>0.38910036416776478</v>
      </c>
      <c r="N718">
        <f>+N715+M718</f>
        <v>4.6740044767791433</v>
      </c>
    </row>
    <row r="719" spans="1:14">
      <c r="A719" s="8">
        <v>6</v>
      </c>
      <c r="B719" s="74">
        <v>43586</v>
      </c>
      <c r="E719" s="12">
        <v>5</v>
      </c>
      <c r="F719" s="81">
        <v>6.4119999999999999</v>
      </c>
      <c r="G719" s="84">
        <v>1.4239999999999999</v>
      </c>
    </row>
    <row r="720" spans="1:14">
      <c r="A720" s="8">
        <v>8</v>
      </c>
      <c r="B720" s="74">
        <v>43586</v>
      </c>
      <c r="E720" s="12">
        <v>5</v>
      </c>
      <c r="F720" s="81">
        <v>1.66</v>
      </c>
      <c r="G720" s="84">
        <v>5.6000000000000001E-2</v>
      </c>
    </row>
    <row r="721" spans="1:14">
      <c r="A721" s="8">
        <v>15</v>
      </c>
      <c r="B721" s="74">
        <v>43586</v>
      </c>
      <c r="E721" s="12">
        <v>5</v>
      </c>
      <c r="F721" s="81">
        <v>3.5920000000000001</v>
      </c>
      <c r="G721" s="84">
        <v>0.61099999999999999</v>
      </c>
      <c r="I721" s="18">
        <f>AVERAGE(F719:F721)</f>
        <v>3.8879999999999999</v>
      </c>
      <c r="J721" s="18">
        <f>AVERAGE(G719:G721)</f>
        <v>0.69700000000000006</v>
      </c>
      <c r="L721">
        <f>+J721/I721</f>
        <v>0.17926954732510289</v>
      </c>
      <c r="M721">
        <f>+(L721-$L$927)/$L$928</f>
        <v>3.7192744321879405</v>
      </c>
      <c r="N721">
        <f>+N718+M721</f>
        <v>8.3932789089670834</v>
      </c>
    </row>
    <row r="722" spans="1:14">
      <c r="A722" s="8">
        <v>6</v>
      </c>
      <c r="B722" s="74">
        <v>43617</v>
      </c>
      <c r="E722" s="12">
        <v>6</v>
      </c>
      <c r="F722" s="81">
        <v>5.2050000000000001</v>
      </c>
      <c r="G722" s="84">
        <v>0.74199999999999999</v>
      </c>
    </row>
    <row r="723" spans="1:14">
      <c r="A723" s="8">
        <v>8</v>
      </c>
      <c r="B723" s="74">
        <v>43617</v>
      </c>
      <c r="E723" s="12">
        <v>6</v>
      </c>
      <c r="F723" s="82">
        <v>2.4590000000000001</v>
      </c>
      <c r="G723" s="82">
        <v>8.0000000000000002E-3</v>
      </c>
    </row>
    <row r="724" spans="1:14">
      <c r="A724" s="8">
        <v>15</v>
      </c>
      <c r="B724" s="74">
        <v>43617</v>
      </c>
      <c r="E724" s="12">
        <v>6</v>
      </c>
      <c r="F724" s="82">
        <v>2.0099999999999998</v>
      </c>
      <c r="G724" s="82">
        <v>1.4999999999999999E-2</v>
      </c>
      <c r="I724" s="18">
        <f>AVERAGE(F722:F724)</f>
        <v>3.2246666666666663</v>
      </c>
      <c r="J724" s="18">
        <f>AVERAGE(G722:G724)</f>
        <v>0.255</v>
      </c>
      <c r="L724">
        <f>+J724/I724</f>
        <v>7.9077940872441604E-2</v>
      </c>
      <c r="M724">
        <f>+(L724-$L$927)/$L$928</f>
        <v>1.3948806292028222</v>
      </c>
      <c r="N724">
        <f>+N721+M724</f>
        <v>9.7881595381699054</v>
      </c>
    </row>
    <row r="725" spans="1:14">
      <c r="A725" s="8">
        <v>6</v>
      </c>
      <c r="B725" s="74">
        <v>43647</v>
      </c>
      <c r="E725" s="12">
        <v>7</v>
      </c>
    </row>
    <row r="726" spans="1:14">
      <c r="A726" s="8">
        <v>8</v>
      </c>
      <c r="B726" s="74">
        <v>43647</v>
      </c>
      <c r="E726" s="12">
        <v>7</v>
      </c>
      <c r="F726" s="82">
        <v>4.9550000000000001</v>
      </c>
      <c r="G726" s="90">
        <v>0.01</v>
      </c>
    </row>
    <row r="727" spans="1:14">
      <c r="A727" s="8">
        <v>15</v>
      </c>
      <c r="B727" s="74">
        <v>43647</v>
      </c>
      <c r="E727" s="12">
        <v>7</v>
      </c>
      <c r="F727" s="82">
        <v>1.256</v>
      </c>
      <c r="G727" s="91">
        <v>1E-3</v>
      </c>
      <c r="I727" s="18">
        <f>AVERAGE(F725:F727)</f>
        <v>3.1055000000000001</v>
      </c>
      <c r="J727" s="18">
        <f>AVERAGE(G725:G727)</f>
        <v>5.4999999999999997E-3</v>
      </c>
      <c r="L727">
        <f>+J727/I727</f>
        <v>1.7710513604894541E-3</v>
      </c>
      <c r="M727">
        <f>+(L727-$L$927)/$L$928</f>
        <v>-0.39859949624598839</v>
      </c>
      <c r="N727">
        <f>+N724+M727</f>
        <v>9.3895600419239162</v>
      </c>
    </row>
    <row r="728" spans="1:14">
      <c r="A728" s="8">
        <v>6</v>
      </c>
      <c r="B728" s="74">
        <v>43678</v>
      </c>
      <c r="E728" s="12">
        <v>8</v>
      </c>
      <c r="F728" s="89">
        <v>3.0449999999999999</v>
      </c>
      <c r="G728" s="91">
        <v>4.0000000000000001E-3</v>
      </c>
    </row>
    <row r="729" spans="1:14">
      <c r="A729" s="8">
        <v>8</v>
      </c>
      <c r="B729" s="74">
        <v>43678</v>
      </c>
      <c r="E729" s="12">
        <v>8</v>
      </c>
    </row>
    <row r="730" spans="1:14">
      <c r="A730" s="8">
        <v>15</v>
      </c>
      <c r="B730" s="74">
        <v>43678</v>
      </c>
      <c r="E730" s="12">
        <v>8</v>
      </c>
      <c r="I730" s="18">
        <f>AVERAGE(F728:F730)</f>
        <v>3.0449999999999999</v>
      </c>
      <c r="J730" s="18">
        <f>AVERAGE(G728:G730)</f>
        <v>4.0000000000000001E-3</v>
      </c>
      <c r="L730">
        <f>+J730/I730</f>
        <v>1.3136288998357964E-3</v>
      </c>
      <c r="M730">
        <f>+(L730-$L$927)/$L$928</f>
        <v>-0.40921146236304956</v>
      </c>
      <c r="N730">
        <f>+N727+M730</f>
        <v>8.9803485795608662</v>
      </c>
    </row>
    <row r="731" spans="1:14">
      <c r="A731" s="8">
        <v>6</v>
      </c>
      <c r="B731" s="74">
        <v>43709</v>
      </c>
      <c r="E731" s="12">
        <v>9</v>
      </c>
      <c r="F731" s="82">
        <v>2.77</v>
      </c>
      <c r="G731" s="82">
        <v>1.0999999999999999E-2</v>
      </c>
    </row>
    <row r="732" spans="1:14">
      <c r="A732" s="8">
        <v>8</v>
      </c>
      <c r="B732" s="74">
        <v>43709</v>
      </c>
      <c r="E732" s="12">
        <v>9</v>
      </c>
      <c r="F732" s="82">
        <v>1.7789999999999999</v>
      </c>
      <c r="G732" s="82">
        <v>1.4E-2</v>
      </c>
    </row>
    <row r="733" spans="1:14">
      <c r="A733" s="8">
        <v>15</v>
      </c>
      <c r="B733" s="74">
        <v>43709</v>
      </c>
      <c r="E733" s="12">
        <v>9</v>
      </c>
      <c r="F733" s="82">
        <v>2.2629999999999999</v>
      </c>
      <c r="G733" s="82">
        <v>1.4E-2</v>
      </c>
      <c r="I733" s="18">
        <f>AVERAGE(F731:F733)</f>
        <v>2.2706666666666666</v>
      </c>
      <c r="J733" s="18">
        <f>AVERAGE(G731:G733)</f>
        <v>1.2999999999999999E-2</v>
      </c>
      <c r="L733">
        <f>+J733/I733</f>
        <v>5.7251908396946565E-3</v>
      </c>
      <c r="M733">
        <f>+(L733-$L$927)/$L$928</f>
        <v>-0.30686549150232811</v>
      </c>
      <c r="N733">
        <f>+N730+M733</f>
        <v>8.6734830880585374</v>
      </c>
    </row>
    <row r="734" spans="1:14">
      <c r="A734" s="8">
        <v>6</v>
      </c>
      <c r="B734" s="74">
        <v>43739</v>
      </c>
      <c r="E734" s="12">
        <v>10</v>
      </c>
      <c r="F734" s="82">
        <v>1.4550000000000001</v>
      </c>
      <c r="G734" s="82">
        <v>9.9989999999999996E-4</v>
      </c>
    </row>
    <row r="735" spans="1:14">
      <c r="A735" s="8">
        <v>8</v>
      </c>
      <c r="B735" s="74">
        <v>43739</v>
      </c>
      <c r="E735" s="12">
        <v>10</v>
      </c>
      <c r="F735" s="82">
        <v>1.024</v>
      </c>
      <c r="G735" s="82">
        <v>9.9989999999999996E-4</v>
      </c>
    </row>
    <row r="736" spans="1:14">
      <c r="A736" s="8">
        <v>15</v>
      </c>
      <c r="B736" s="74">
        <v>43739</v>
      </c>
      <c r="E736" s="12">
        <v>10</v>
      </c>
      <c r="F736" s="82">
        <v>1.47</v>
      </c>
      <c r="G736" s="82">
        <v>9.9989999999999996E-4</v>
      </c>
      <c r="I736" s="18">
        <f>AVERAGE(F734:F736)</f>
        <v>1.3163333333333334</v>
      </c>
      <c r="J736" s="18">
        <f>AVERAGE(G734:G736)</f>
        <v>9.9989999999999996E-4</v>
      </c>
      <c r="L736">
        <f>+J736/I736</f>
        <v>7.5961002785515316E-4</v>
      </c>
      <c r="M736">
        <f>+(L736-$L$927)/$L$928</f>
        <v>-0.42206441560297048</v>
      </c>
      <c r="N736">
        <f>+N733+M736</f>
        <v>8.2514186724555678</v>
      </c>
    </row>
    <row r="737" spans="1:14">
      <c r="A737" s="8">
        <v>6</v>
      </c>
      <c r="B737" s="74">
        <v>43770</v>
      </c>
      <c r="E737" s="12">
        <v>11</v>
      </c>
      <c r="F737" s="82"/>
      <c r="G737" s="82"/>
    </row>
    <row r="738" spans="1:14">
      <c r="A738" s="8">
        <v>8</v>
      </c>
      <c r="B738" s="74">
        <v>43770</v>
      </c>
      <c r="E738" s="12">
        <v>11</v>
      </c>
      <c r="F738" s="82"/>
      <c r="G738" s="82"/>
    </row>
    <row r="739" spans="1:14">
      <c r="A739" s="8">
        <v>15</v>
      </c>
      <c r="B739" s="74">
        <v>43770</v>
      </c>
      <c r="E739" s="12">
        <v>11</v>
      </c>
      <c r="F739" s="82"/>
      <c r="G739" s="82"/>
      <c r="I739" s="18"/>
      <c r="J739" s="18"/>
    </row>
    <row r="740" spans="1:14">
      <c r="A740" s="8">
        <v>6</v>
      </c>
      <c r="B740" s="75">
        <v>43800</v>
      </c>
      <c r="E740" s="12">
        <v>12</v>
      </c>
      <c r="F740" s="82">
        <v>0.65400000000000003</v>
      </c>
      <c r="G740" s="82">
        <v>9.9989999999999996E-4</v>
      </c>
    </row>
    <row r="741" spans="1:14">
      <c r="A741" s="8">
        <v>8</v>
      </c>
      <c r="B741" s="74">
        <v>43800</v>
      </c>
      <c r="E741" s="12">
        <v>12</v>
      </c>
      <c r="F741" s="82">
        <v>2.3490000000000002</v>
      </c>
      <c r="G741" s="82">
        <v>1.6E-2</v>
      </c>
    </row>
    <row r="742" spans="1:14">
      <c r="A742" s="8">
        <v>15</v>
      </c>
      <c r="B742" s="74">
        <v>43800</v>
      </c>
      <c r="E742" s="12">
        <v>12</v>
      </c>
      <c r="F742" s="82">
        <v>0.68200000000000005</v>
      </c>
      <c r="G742" s="82">
        <v>9.9989999999999996E-4</v>
      </c>
      <c r="I742" s="18">
        <f>AVERAGE(F740:F742)</f>
        <v>1.2283333333333333</v>
      </c>
      <c r="J742" s="18">
        <f>AVERAGE(G740:G742)</f>
        <v>5.9999333333333347E-3</v>
      </c>
      <c r="L742">
        <f>+J742/I742</f>
        <v>4.8846132971506117E-3</v>
      </c>
      <c r="M742">
        <f>+(L742-$L$927)/$L$928</f>
        <v>-0.32636645869902625</v>
      </c>
      <c r="N742">
        <f>+N736+M742</f>
        <v>7.9250522137565413</v>
      </c>
    </row>
    <row r="743" spans="1:14">
      <c r="A743" s="97">
        <v>6</v>
      </c>
      <c r="B743" s="93">
        <v>43840</v>
      </c>
      <c r="C743" s="94">
        <v>2020</v>
      </c>
      <c r="D743" s="95" t="s">
        <v>39</v>
      </c>
      <c r="E743" s="96">
        <v>1</v>
      </c>
    </row>
    <row r="744" spans="1:14">
      <c r="A744" s="8">
        <v>8</v>
      </c>
      <c r="B744" s="76">
        <v>43835</v>
      </c>
      <c r="C744">
        <v>2020</v>
      </c>
      <c r="D744" s="11" t="s">
        <v>39</v>
      </c>
      <c r="E744" s="15">
        <v>1</v>
      </c>
    </row>
    <row r="745" spans="1:14">
      <c r="A745" s="8">
        <v>15</v>
      </c>
      <c r="B745" s="76">
        <v>43835</v>
      </c>
      <c r="C745">
        <v>2020</v>
      </c>
      <c r="D745" s="11" t="s">
        <v>39</v>
      </c>
      <c r="E745" s="15">
        <v>1</v>
      </c>
    </row>
    <row r="746" spans="1:14">
      <c r="A746" s="8">
        <v>6</v>
      </c>
      <c r="B746" s="74">
        <v>43862</v>
      </c>
      <c r="C746">
        <v>2020</v>
      </c>
      <c r="D746" s="11" t="s">
        <v>28</v>
      </c>
      <c r="E746" s="15">
        <v>2</v>
      </c>
      <c r="F746" s="98">
        <v>1.083</v>
      </c>
      <c r="G746" s="98">
        <v>9.9989999999999996E-4</v>
      </c>
    </row>
    <row r="747" spans="1:14">
      <c r="A747" s="8">
        <v>8</v>
      </c>
      <c r="B747" s="74">
        <v>43862</v>
      </c>
      <c r="C747">
        <v>2020</v>
      </c>
      <c r="D747" s="11" t="s">
        <v>28</v>
      </c>
      <c r="E747" s="15">
        <v>2</v>
      </c>
      <c r="F747" s="98">
        <v>0.52400000000000002</v>
      </c>
      <c r="G747" s="98">
        <v>9.9989999999999996E-4</v>
      </c>
    </row>
    <row r="748" spans="1:14">
      <c r="A748" s="8">
        <v>15</v>
      </c>
      <c r="B748" s="74">
        <v>43862</v>
      </c>
      <c r="C748">
        <v>2020</v>
      </c>
      <c r="D748" s="11" t="s">
        <v>28</v>
      </c>
      <c r="E748" s="15">
        <v>2</v>
      </c>
      <c r="F748" s="98">
        <v>0.94799999999999995</v>
      </c>
      <c r="G748" s="98">
        <v>9.9989999999999996E-4</v>
      </c>
      <c r="I748" s="18">
        <f>AVERAGE(F746:F748)</f>
        <v>0.85166666666666657</v>
      </c>
      <c r="J748" s="18">
        <f>AVERAGE(G746:G748)</f>
        <v>9.9989999999999996E-4</v>
      </c>
      <c r="L748">
        <f>+J748/I748</f>
        <v>1.1740508806262233E-3</v>
      </c>
      <c r="M748">
        <f>+(L748-$L$927)/$L$928</f>
        <v>-0.41244960070986764</v>
      </c>
      <c r="N748">
        <f>+N742+M748</f>
        <v>7.5126026130466741</v>
      </c>
    </row>
    <row r="749" spans="1:14">
      <c r="A749" s="8">
        <v>6</v>
      </c>
      <c r="B749" s="74">
        <v>43891</v>
      </c>
      <c r="C749">
        <v>2020</v>
      </c>
      <c r="D749" s="11" t="s">
        <v>29</v>
      </c>
      <c r="E749" s="15">
        <v>3</v>
      </c>
    </row>
    <row r="750" spans="1:14">
      <c r="A750" s="8">
        <v>8</v>
      </c>
      <c r="B750" s="74">
        <v>43891</v>
      </c>
      <c r="C750">
        <v>2020</v>
      </c>
      <c r="D750" s="11" t="s">
        <v>29</v>
      </c>
      <c r="E750" s="15">
        <v>3</v>
      </c>
    </row>
    <row r="751" spans="1:14">
      <c r="A751" s="8">
        <v>15</v>
      </c>
      <c r="B751" s="74">
        <v>43891</v>
      </c>
      <c r="C751">
        <v>2020</v>
      </c>
      <c r="D751" s="11" t="s">
        <v>29</v>
      </c>
      <c r="E751" s="15">
        <v>3</v>
      </c>
    </row>
    <row r="752" spans="1:14">
      <c r="A752" s="8">
        <v>6</v>
      </c>
      <c r="B752" s="74">
        <v>43922</v>
      </c>
      <c r="C752">
        <v>2020</v>
      </c>
      <c r="D752" s="11" t="s">
        <v>30</v>
      </c>
      <c r="E752" s="15">
        <v>4</v>
      </c>
    </row>
    <row r="753" spans="1:14">
      <c r="A753" s="8">
        <v>8</v>
      </c>
      <c r="B753" s="74">
        <v>43922</v>
      </c>
      <c r="C753">
        <v>2020</v>
      </c>
      <c r="D753" s="11" t="s">
        <v>30</v>
      </c>
      <c r="E753" s="15">
        <v>4</v>
      </c>
    </row>
    <row r="754" spans="1:14">
      <c r="A754" s="8">
        <v>15</v>
      </c>
      <c r="B754" s="74">
        <v>43922</v>
      </c>
      <c r="C754">
        <v>2020</v>
      </c>
      <c r="D754" s="11" t="s">
        <v>30</v>
      </c>
      <c r="E754" s="15">
        <v>4</v>
      </c>
    </row>
    <row r="755" spans="1:14">
      <c r="A755" s="8">
        <v>6</v>
      </c>
      <c r="B755" s="74">
        <v>43952</v>
      </c>
      <c r="C755">
        <v>2020</v>
      </c>
      <c r="D755" s="11" t="s">
        <v>31</v>
      </c>
      <c r="E755" s="15">
        <v>5</v>
      </c>
    </row>
    <row r="756" spans="1:14">
      <c r="A756" s="8">
        <v>8</v>
      </c>
      <c r="B756" s="74">
        <v>43952</v>
      </c>
      <c r="C756">
        <v>2020</v>
      </c>
      <c r="D756" s="11" t="s">
        <v>31</v>
      </c>
      <c r="E756" s="15">
        <v>5</v>
      </c>
    </row>
    <row r="757" spans="1:14">
      <c r="A757" s="8">
        <v>15</v>
      </c>
      <c r="B757" s="74">
        <v>43952</v>
      </c>
      <c r="C757">
        <v>2020</v>
      </c>
      <c r="D757" s="11" t="s">
        <v>31</v>
      </c>
      <c r="E757" s="15">
        <v>5</v>
      </c>
    </row>
    <row r="758" spans="1:14">
      <c r="A758" s="8">
        <v>6</v>
      </c>
      <c r="B758" s="74">
        <v>43983</v>
      </c>
      <c r="C758">
        <v>2020</v>
      </c>
      <c r="D758" s="11" t="s">
        <v>32</v>
      </c>
      <c r="E758" s="15">
        <v>6</v>
      </c>
      <c r="F758" s="98">
        <v>1.4039999999999999</v>
      </c>
      <c r="G758" s="98">
        <v>9.9989999999999996E-4</v>
      </c>
    </row>
    <row r="759" spans="1:14">
      <c r="A759" s="8">
        <v>8</v>
      </c>
      <c r="B759" s="74">
        <v>43983</v>
      </c>
      <c r="C759">
        <v>2020</v>
      </c>
      <c r="D759" s="11" t="s">
        <v>32</v>
      </c>
      <c r="E759" s="15">
        <v>6</v>
      </c>
      <c r="F759" s="98">
        <v>1.3180000000000001</v>
      </c>
      <c r="G759" s="98">
        <v>9.9989999999999996E-4</v>
      </c>
    </row>
    <row r="760" spans="1:14">
      <c r="A760" s="8">
        <v>15</v>
      </c>
      <c r="B760" s="74">
        <v>43983</v>
      </c>
      <c r="C760">
        <v>2020</v>
      </c>
      <c r="D760" s="11" t="s">
        <v>32</v>
      </c>
      <c r="E760" s="15">
        <v>6</v>
      </c>
      <c r="F760" s="98">
        <v>1.875</v>
      </c>
      <c r="G760" s="98">
        <v>9.9989999999999996E-4</v>
      </c>
      <c r="I760" s="18">
        <f>AVERAGE(F758:F760)</f>
        <v>1.5323333333333331</v>
      </c>
      <c r="J760" s="18">
        <f>AVERAGE(G758:G760)</f>
        <v>9.9989999999999996E-4</v>
      </c>
      <c r="L760">
        <f>+J760/I760</f>
        <v>6.5253426147487503E-4</v>
      </c>
      <c r="M760">
        <f>+(L760-$L$927)/$L$928</f>
        <v>-0.42454851838000091</v>
      </c>
      <c r="N760">
        <f>+N748+M760</f>
        <v>7.0880540946666732</v>
      </c>
    </row>
    <row r="761" spans="1:14">
      <c r="A761" s="8">
        <v>6</v>
      </c>
      <c r="B761" s="74">
        <v>44013</v>
      </c>
      <c r="C761">
        <v>2020</v>
      </c>
      <c r="D761" s="11" t="s">
        <v>33</v>
      </c>
      <c r="E761" s="15">
        <v>7</v>
      </c>
      <c r="F761" s="98">
        <v>2.8940000000000001</v>
      </c>
      <c r="G761" s="98">
        <v>9.9989999999999996E-4</v>
      </c>
    </row>
    <row r="762" spans="1:14">
      <c r="A762" s="8">
        <v>8</v>
      </c>
      <c r="B762" s="74">
        <v>44013</v>
      </c>
      <c r="C762">
        <v>2020</v>
      </c>
      <c r="D762" s="11" t="s">
        <v>33</v>
      </c>
      <c r="E762" s="15">
        <v>7</v>
      </c>
      <c r="F762" s="98">
        <v>1.2949999999999999</v>
      </c>
      <c r="G762" s="98">
        <v>1.0999999999999999E-2</v>
      </c>
    </row>
    <row r="763" spans="1:14">
      <c r="A763" s="8">
        <v>15</v>
      </c>
      <c r="B763" s="74">
        <v>44013</v>
      </c>
      <c r="C763">
        <v>2020</v>
      </c>
      <c r="D763" s="11" t="s">
        <v>33</v>
      </c>
      <c r="E763" s="15">
        <v>7</v>
      </c>
      <c r="F763" s="98">
        <v>1.96</v>
      </c>
      <c r="G763" s="98">
        <v>1.6E-2</v>
      </c>
      <c r="I763" s="18">
        <f t="shared" ref="I763:J763" si="0">AVERAGE(F761:F763)</f>
        <v>2.0496666666666665</v>
      </c>
      <c r="J763" s="18">
        <f t="shared" si="0"/>
        <v>9.333300000000001E-3</v>
      </c>
      <c r="L763">
        <f t="shared" ref="L763" si="1">+J763/I763</f>
        <v>4.5535696861278268E-3</v>
      </c>
      <c r="M763">
        <f t="shared" ref="M763" si="2">+(L763-$L$927)/$L$928</f>
        <v>-0.33404650042330725</v>
      </c>
      <c r="N763">
        <f>+N760+M763</f>
        <v>6.7540075942433662</v>
      </c>
    </row>
    <row r="764" spans="1:14">
      <c r="A764" s="8">
        <v>6</v>
      </c>
      <c r="B764" s="74">
        <v>44044</v>
      </c>
      <c r="C764">
        <v>2020</v>
      </c>
      <c r="D764" s="11" t="s">
        <v>34</v>
      </c>
      <c r="E764" s="15">
        <v>8</v>
      </c>
      <c r="F764" s="98">
        <v>3.5720000000000001</v>
      </c>
      <c r="G764" s="98">
        <v>1.0999999999999999E-2</v>
      </c>
    </row>
    <row r="765" spans="1:14">
      <c r="A765" s="8">
        <v>8</v>
      </c>
      <c r="B765" s="74">
        <v>44044</v>
      </c>
      <c r="C765">
        <v>2020</v>
      </c>
      <c r="D765" s="11" t="s">
        <v>34</v>
      </c>
      <c r="E765" s="15">
        <v>8</v>
      </c>
      <c r="F765" s="98">
        <v>3.8380000000000001</v>
      </c>
      <c r="G765" s="98">
        <v>2.9000000000000001E-2</v>
      </c>
    </row>
    <row r="766" spans="1:14">
      <c r="A766" s="8">
        <v>15</v>
      </c>
      <c r="B766" s="74">
        <v>44044</v>
      </c>
      <c r="C766">
        <v>2020</v>
      </c>
      <c r="D766" s="11" t="s">
        <v>34</v>
      </c>
      <c r="E766" s="15">
        <v>8</v>
      </c>
      <c r="F766" s="98">
        <v>5.1539999999999999</v>
      </c>
      <c r="G766" s="98">
        <v>2.3E-2</v>
      </c>
      <c r="I766" s="18">
        <f t="shared" ref="I766:J766" si="3">AVERAGE(F764:F766)</f>
        <v>4.1879999999999997</v>
      </c>
      <c r="J766" s="18">
        <f t="shared" si="3"/>
        <v>2.1000000000000001E-2</v>
      </c>
      <c r="L766">
        <f t="shared" ref="L766" si="4">+J766/I766</f>
        <v>5.0143266475644703E-3</v>
      </c>
      <c r="M766">
        <f t="shared" ref="M766" si="5">+(L766-$L$927)/$L$928</f>
        <v>-0.32335717560095689</v>
      </c>
      <c r="N766">
        <f t="shared" ref="N766" si="6">+N763+M766</f>
        <v>6.4306504186424096</v>
      </c>
    </row>
    <row r="767" spans="1:14">
      <c r="A767" s="8">
        <v>6</v>
      </c>
      <c r="B767" s="74">
        <v>44075</v>
      </c>
      <c r="C767">
        <v>2020</v>
      </c>
      <c r="D767" s="11" t="s">
        <v>40</v>
      </c>
      <c r="E767" s="15">
        <v>9</v>
      </c>
      <c r="F767" s="98">
        <v>4.6669999999999998</v>
      </c>
      <c r="G767" s="98">
        <v>1.4999999999999999E-2</v>
      </c>
    </row>
    <row r="768" spans="1:14">
      <c r="A768" s="8">
        <v>8</v>
      </c>
      <c r="B768" s="74">
        <v>44075</v>
      </c>
      <c r="C768">
        <v>2020</v>
      </c>
      <c r="D768" s="11" t="s">
        <v>40</v>
      </c>
      <c r="E768" s="15">
        <v>9</v>
      </c>
      <c r="F768" s="98">
        <v>0.877</v>
      </c>
      <c r="G768" s="98">
        <v>9.9989999999999996E-4</v>
      </c>
    </row>
    <row r="769" spans="1:14">
      <c r="A769" s="8">
        <v>15</v>
      </c>
      <c r="B769" s="74">
        <v>44075</v>
      </c>
      <c r="C769">
        <v>2020</v>
      </c>
      <c r="D769" s="11" t="s">
        <v>40</v>
      </c>
      <c r="E769" s="15">
        <v>9</v>
      </c>
      <c r="F769" s="98">
        <v>1.0820000000000001</v>
      </c>
      <c r="G769" s="98">
        <v>8.0000000000000002E-3</v>
      </c>
      <c r="I769" s="18">
        <f t="shared" ref="I769:J769" si="7">AVERAGE(F767:F769)</f>
        <v>2.2086666666666663</v>
      </c>
      <c r="J769" s="18">
        <f t="shared" si="7"/>
        <v>7.999966666666667E-3</v>
      </c>
      <c r="L769">
        <f t="shared" ref="L769" si="8">+J769/I769</f>
        <v>3.62207968608512E-3</v>
      </c>
      <c r="M769">
        <f t="shared" ref="M769" si="9">+(L769-$L$927)/$L$928</f>
        <v>-0.35565658993379801</v>
      </c>
      <c r="N769">
        <f t="shared" ref="N769" si="10">+N766+M769</f>
        <v>6.074993828708612</v>
      </c>
    </row>
    <row r="770" spans="1:14">
      <c r="A770" s="8">
        <v>6</v>
      </c>
      <c r="B770" s="74">
        <v>44105</v>
      </c>
      <c r="C770">
        <v>2020</v>
      </c>
      <c r="D770" s="11" t="s">
        <v>36</v>
      </c>
      <c r="E770" s="15">
        <v>10</v>
      </c>
      <c r="F770" s="98">
        <v>1.3939999999999999</v>
      </c>
      <c r="G770" s="98">
        <v>9.9989999999999996E-4</v>
      </c>
    </row>
    <row r="771" spans="1:14">
      <c r="A771" s="8">
        <v>8</v>
      </c>
      <c r="B771" s="74">
        <v>44105</v>
      </c>
      <c r="C771">
        <v>2020</v>
      </c>
      <c r="D771" s="11" t="s">
        <v>36</v>
      </c>
      <c r="E771" s="15">
        <v>10</v>
      </c>
      <c r="F771" s="98">
        <v>0.89</v>
      </c>
      <c r="G771" s="98">
        <v>9.9989999999999996E-4</v>
      </c>
    </row>
    <row r="772" spans="1:14">
      <c r="A772" s="8">
        <v>15</v>
      </c>
      <c r="B772" s="74">
        <v>44105</v>
      </c>
      <c r="C772">
        <v>2020</v>
      </c>
      <c r="D772" s="11" t="s">
        <v>36</v>
      </c>
      <c r="E772" s="15">
        <v>10</v>
      </c>
      <c r="F772" s="98">
        <v>1.417</v>
      </c>
      <c r="G772" s="98">
        <v>5.0000000000000001E-3</v>
      </c>
      <c r="I772" s="18">
        <f t="shared" ref="I772:J772" si="11">AVERAGE(F770:F772)</f>
        <v>1.2336666666666665</v>
      </c>
      <c r="J772" s="18">
        <f t="shared" si="11"/>
        <v>2.3332666666666668E-3</v>
      </c>
      <c r="L772">
        <f t="shared" ref="L772" si="12">+J772/I772</f>
        <v>1.891326668467982E-3</v>
      </c>
      <c r="M772">
        <f t="shared" ref="M772" si="13">+(L772-$L$927)/$L$928</f>
        <v>-0.3958091708842576</v>
      </c>
      <c r="N772">
        <f t="shared" ref="N772" si="14">+N769+M772</f>
        <v>5.6791846578243543</v>
      </c>
    </row>
    <row r="773" spans="1:14">
      <c r="A773" s="8">
        <v>6</v>
      </c>
      <c r="B773" s="74">
        <v>44136</v>
      </c>
      <c r="C773">
        <v>2020</v>
      </c>
      <c r="D773" s="11" t="s">
        <v>37</v>
      </c>
      <c r="E773" s="15">
        <v>11</v>
      </c>
      <c r="F773" s="98">
        <v>1.1379999999999999</v>
      </c>
      <c r="G773" s="98">
        <v>9.9989999999999996E-4</v>
      </c>
    </row>
    <row r="774" spans="1:14">
      <c r="A774" s="8">
        <v>8</v>
      </c>
      <c r="B774" s="74">
        <v>44136</v>
      </c>
      <c r="C774">
        <v>2020</v>
      </c>
      <c r="D774" s="11" t="s">
        <v>37</v>
      </c>
      <c r="E774" s="15">
        <v>11</v>
      </c>
      <c r="F774" s="98">
        <v>0.64400000000000002</v>
      </c>
      <c r="G774" s="98">
        <v>9.9989999999999996E-4</v>
      </c>
    </row>
    <row r="775" spans="1:14">
      <c r="A775" s="8">
        <v>15</v>
      </c>
      <c r="B775" s="74">
        <v>44136</v>
      </c>
      <c r="C775">
        <v>2020</v>
      </c>
      <c r="D775" s="11" t="s">
        <v>37</v>
      </c>
      <c r="E775" s="15">
        <v>11</v>
      </c>
      <c r="F775" s="98">
        <v>1.998</v>
      </c>
      <c r="G775" s="98">
        <v>9.9989999999999996E-4</v>
      </c>
      <c r="I775" s="18">
        <f t="shared" ref="I775:J775" si="15">AVERAGE(F773:F775)</f>
        <v>1.26</v>
      </c>
      <c r="J775" s="18">
        <f t="shared" si="15"/>
        <v>9.9989999999999996E-4</v>
      </c>
      <c r="L775">
        <f t="shared" ref="L775" si="16">+J775/I775</f>
        <v>7.9357142857142853E-4</v>
      </c>
      <c r="M775">
        <f t="shared" ref="M775" si="17">+(L775-$L$927)/$L$928</f>
        <v>-0.42127652855174424</v>
      </c>
      <c r="N775">
        <f t="shared" ref="N775" si="18">+N772+M775</f>
        <v>5.25790812927261</v>
      </c>
    </row>
    <row r="776" spans="1:14">
      <c r="A776" s="8">
        <v>6</v>
      </c>
      <c r="B776" s="75">
        <v>44166</v>
      </c>
      <c r="C776">
        <v>2020</v>
      </c>
      <c r="D776" s="11" t="s">
        <v>38</v>
      </c>
      <c r="E776" s="15">
        <v>12</v>
      </c>
    </row>
    <row r="777" spans="1:14">
      <c r="A777" s="8">
        <v>8</v>
      </c>
      <c r="B777" s="74">
        <v>44166</v>
      </c>
      <c r="C777">
        <v>2020</v>
      </c>
      <c r="D777" s="11" t="s">
        <v>38</v>
      </c>
      <c r="E777" s="15">
        <v>12</v>
      </c>
    </row>
    <row r="778" spans="1:14">
      <c r="A778" s="8">
        <v>15</v>
      </c>
      <c r="B778" s="74">
        <v>44166</v>
      </c>
      <c r="C778">
        <v>2020</v>
      </c>
      <c r="D778" s="11" t="s">
        <v>38</v>
      </c>
      <c r="E778" s="15">
        <v>12</v>
      </c>
      <c r="I778" s="18"/>
      <c r="J778" s="18"/>
    </row>
    <row r="779" spans="1:14">
      <c r="A779" s="97">
        <v>6</v>
      </c>
      <c r="B779" s="93">
        <v>44206</v>
      </c>
      <c r="C779" s="94">
        <v>2021</v>
      </c>
      <c r="D779" s="95" t="s">
        <v>39</v>
      </c>
      <c r="E779" s="96">
        <v>1</v>
      </c>
    </row>
    <row r="780" spans="1:14">
      <c r="A780" s="8">
        <v>8</v>
      </c>
      <c r="B780" s="76">
        <v>44201</v>
      </c>
      <c r="C780">
        <v>2021</v>
      </c>
      <c r="D780" s="11" t="s">
        <v>39</v>
      </c>
      <c r="E780" s="15">
        <v>1</v>
      </c>
    </row>
    <row r="781" spans="1:14">
      <c r="A781" s="8">
        <v>15</v>
      </c>
      <c r="B781" s="76">
        <v>44201</v>
      </c>
      <c r="C781">
        <v>2021</v>
      </c>
      <c r="D781" s="11" t="s">
        <v>39</v>
      </c>
      <c r="E781" s="15">
        <v>1</v>
      </c>
      <c r="I781" s="18"/>
      <c r="J781" s="18"/>
    </row>
    <row r="782" spans="1:14">
      <c r="A782" s="8">
        <v>6</v>
      </c>
      <c r="B782" s="74">
        <v>44228</v>
      </c>
      <c r="C782">
        <v>2021</v>
      </c>
      <c r="D782" s="11" t="s">
        <v>28</v>
      </c>
      <c r="E782" s="15">
        <v>2</v>
      </c>
      <c r="F782" s="98">
        <v>2.1869999999999998</v>
      </c>
      <c r="G782" s="98">
        <v>1.0999999999999999E-2</v>
      </c>
    </row>
    <row r="783" spans="1:14">
      <c r="A783" s="8">
        <v>8</v>
      </c>
      <c r="B783" s="74">
        <v>44228</v>
      </c>
      <c r="C783">
        <v>2021</v>
      </c>
      <c r="D783" s="11" t="s">
        <v>28</v>
      </c>
      <c r="E783" s="15">
        <v>2</v>
      </c>
      <c r="F783" s="98">
        <v>4.0350000000000001</v>
      </c>
      <c r="G783" s="98">
        <v>1.7999999999999999E-2</v>
      </c>
    </row>
    <row r="784" spans="1:14">
      <c r="A784" s="8">
        <v>15</v>
      </c>
      <c r="B784" s="74">
        <v>44228</v>
      </c>
      <c r="C784">
        <v>2021</v>
      </c>
      <c r="D784" s="11" t="s">
        <v>28</v>
      </c>
      <c r="E784" s="15">
        <v>2</v>
      </c>
      <c r="F784" s="98">
        <v>4.0049999999999999</v>
      </c>
      <c r="G784" s="98">
        <v>1.4E-2</v>
      </c>
      <c r="I784" s="18">
        <f t="shared" ref="I784:J784" si="19">AVERAGE(F782:F784)</f>
        <v>3.4090000000000003</v>
      </c>
      <c r="J784" s="18">
        <f t="shared" si="19"/>
        <v>1.4333333333333332E-2</v>
      </c>
      <c r="L784">
        <f t="shared" ref="L784" si="20">+J784/I784</f>
        <v>4.2045565659528687E-3</v>
      </c>
      <c r="M784">
        <f t="shared" ref="M784" si="21">+(L784-$L$927)/$L$928</f>
        <v>-0.34214342552928872</v>
      </c>
      <c r="N784">
        <f>+N775+M784</f>
        <v>4.9157647037433216</v>
      </c>
    </row>
    <row r="785" spans="1:14">
      <c r="A785" s="8">
        <v>6</v>
      </c>
      <c r="B785" s="74">
        <v>44256</v>
      </c>
      <c r="C785">
        <v>2021</v>
      </c>
      <c r="D785" s="11" t="s">
        <v>29</v>
      </c>
      <c r="E785" s="15">
        <v>3</v>
      </c>
      <c r="F785" s="98">
        <v>1.544</v>
      </c>
      <c r="G785" s="98">
        <v>0.01</v>
      </c>
    </row>
    <row r="786" spans="1:14">
      <c r="A786" s="8">
        <v>8</v>
      </c>
      <c r="B786" s="74">
        <v>44256</v>
      </c>
      <c r="C786">
        <v>2021</v>
      </c>
      <c r="D786" s="11" t="s">
        <v>29</v>
      </c>
      <c r="E786" s="15">
        <v>3</v>
      </c>
      <c r="F786" s="98">
        <v>1.1639999999999999</v>
      </c>
      <c r="G786" s="98">
        <v>9.9989999999999996E-4</v>
      </c>
    </row>
    <row r="787" spans="1:14">
      <c r="A787" s="8">
        <v>15</v>
      </c>
      <c r="B787" s="74">
        <v>44256</v>
      </c>
      <c r="C787">
        <v>2021</v>
      </c>
      <c r="D787" s="11" t="s">
        <v>29</v>
      </c>
      <c r="E787" s="15">
        <v>3</v>
      </c>
      <c r="F787" s="98">
        <v>1.7290000000000001</v>
      </c>
      <c r="G787" s="98">
        <v>9.9989999999999996E-4</v>
      </c>
      <c r="I787" s="18">
        <f t="shared" ref="I787:J787" si="22">AVERAGE(F785:F787)</f>
        <v>1.4790000000000001</v>
      </c>
      <c r="J787" s="18">
        <f t="shared" si="22"/>
        <v>3.9999333333333329E-3</v>
      </c>
      <c r="L787">
        <f t="shared" ref="L787" si="23">+J787/I787</f>
        <v>2.7044850123957623E-3</v>
      </c>
      <c r="M787">
        <f t="shared" ref="M787" si="24">+(L787-$L$927)/$L$928</f>
        <v>-0.37694431501068287</v>
      </c>
      <c r="N787">
        <f t="shared" ref="N787" si="25">+N784+M787</f>
        <v>4.5388203887326384</v>
      </c>
    </row>
    <row r="788" spans="1:14">
      <c r="A788" s="8">
        <v>6</v>
      </c>
      <c r="B788" s="74">
        <v>44287</v>
      </c>
      <c r="C788">
        <v>2021</v>
      </c>
      <c r="D788" s="11" t="s">
        <v>30</v>
      </c>
      <c r="E788" s="15">
        <v>4</v>
      </c>
      <c r="F788" s="98">
        <v>0.67800000000000005</v>
      </c>
      <c r="G788" s="98">
        <v>9.9989999999999996E-4</v>
      </c>
    </row>
    <row r="789" spans="1:14">
      <c r="A789" s="8">
        <v>8</v>
      </c>
      <c r="B789" s="74">
        <v>44287</v>
      </c>
      <c r="C789">
        <v>2021</v>
      </c>
      <c r="D789" s="11" t="s">
        <v>30</v>
      </c>
      <c r="E789" s="15">
        <v>4</v>
      </c>
      <c r="F789" s="98">
        <v>0.56000000000000005</v>
      </c>
      <c r="G789" s="98">
        <v>9.9989999999999996E-4</v>
      </c>
    </row>
    <row r="790" spans="1:14">
      <c r="A790" s="8">
        <v>15</v>
      </c>
      <c r="B790" s="74">
        <v>44287</v>
      </c>
      <c r="C790">
        <v>2021</v>
      </c>
      <c r="D790" s="11" t="s">
        <v>30</v>
      </c>
      <c r="E790" s="15">
        <v>4</v>
      </c>
      <c r="F790" s="98">
        <v>1.1479999999999999</v>
      </c>
      <c r="G790" s="98">
        <v>9.9989999999999996E-4</v>
      </c>
      <c r="I790" s="18">
        <f t="shared" ref="I790:J790" si="26">AVERAGE(F788:F790)</f>
        <v>0.79533333333333334</v>
      </c>
      <c r="J790" s="18">
        <f t="shared" si="26"/>
        <v>9.9989999999999996E-4</v>
      </c>
      <c r="L790">
        <f t="shared" ref="L790" si="27">+J790/I790</f>
        <v>1.25720871751886E-3</v>
      </c>
      <c r="M790">
        <f t="shared" ref="M790" si="28">+(L790-$L$927)/$L$928</f>
        <v>-0.41052038161071869</v>
      </c>
      <c r="N790">
        <f t="shared" ref="N790" si="29">+N787+M790</f>
        <v>4.1283000071219194</v>
      </c>
    </row>
    <row r="791" spans="1:14">
      <c r="A791" s="8">
        <v>6</v>
      </c>
      <c r="B791" s="74">
        <v>44317</v>
      </c>
      <c r="C791">
        <v>2021</v>
      </c>
      <c r="D791" s="11" t="s">
        <v>31</v>
      </c>
      <c r="E791" s="15">
        <v>5</v>
      </c>
      <c r="F791" s="98">
        <v>1.7669999999999999</v>
      </c>
      <c r="G791" s="98">
        <v>9.9989999999999996E-4</v>
      </c>
    </row>
    <row r="792" spans="1:14">
      <c r="A792" s="8">
        <v>8</v>
      </c>
      <c r="B792" s="74">
        <v>44317</v>
      </c>
      <c r="C792">
        <v>2021</v>
      </c>
      <c r="D792" s="11" t="s">
        <v>31</v>
      </c>
      <c r="E792" s="15">
        <v>5</v>
      </c>
      <c r="F792" s="98">
        <v>1.22</v>
      </c>
      <c r="G792" s="98">
        <v>9.9989999999999996E-4</v>
      </c>
    </row>
    <row r="793" spans="1:14">
      <c r="A793" s="8">
        <v>15</v>
      </c>
      <c r="B793" s="74">
        <v>44317</v>
      </c>
      <c r="C793">
        <v>2021</v>
      </c>
      <c r="D793" s="11" t="s">
        <v>31</v>
      </c>
      <c r="E793" s="15">
        <v>5</v>
      </c>
      <c r="F793" s="98">
        <v>1.2649999999999999</v>
      </c>
      <c r="G793" s="98">
        <v>9.9989999999999996E-4</v>
      </c>
      <c r="I793" s="18">
        <f t="shared" ref="I793:J793" si="30">AVERAGE(F791:F793)</f>
        <v>1.4173333333333333</v>
      </c>
      <c r="J793" s="18">
        <f t="shared" si="30"/>
        <v>9.9989999999999996E-4</v>
      </c>
      <c r="L793">
        <f t="shared" ref="L793" si="31">+J793/I793</f>
        <v>7.0547977422389459E-4</v>
      </c>
      <c r="M793">
        <f t="shared" ref="M793" si="32">+(L793-$L$927)/$L$928</f>
        <v>-0.42332020968142908</v>
      </c>
      <c r="N793">
        <f t="shared" ref="N793" si="33">+N790+M793</f>
        <v>3.7049797974404903</v>
      </c>
    </row>
    <row r="794" spans="1:14">
      <c r="A794" s="8">
        <v>6</v>
      </c>
      <c r="B794" s="74">
        <v>44348</v>
      </c>
      <c r="C794">
        <v>2021</v>
      </c>
      <c r="D794" s="11" t="s">
        <v>32</v>
      </c>
      <c r="E794" s="15">
        <v>6</v>
      </c>
      <c r="F794" s="98">
        <v>2.4929999999999999</v>
      </c>
      <c r="G794" s="98">
        <v>9.9989999999999996E-4</v>
      </c>
    </row>
    <row r="795" spans="1:14">
      <c r="A795" s="8">
        <v>8</v>
      </c>
      <c r="B795" s="74">
        <v>44348</v>
      </c>
      <c r="C795">
        <v>2021</v>
      </c>
      <c r="D795" s="11" t="s">
        <v>32</v>
      </c>
      <c r="E795" s="15">
        <v>6</v>
      </c>
      <c r="F795" s="98">
        <v>2.9580000000000002</v>
      </c>
      <c r="G795" s="98">
        <v>9.9989999999999996E-4</v>
      </c>
    </row>
    <row r="796" spans="1:14">
      <c r="A796" s="8">
        <v>15</v>
      </c>
      <c r="B796" s="74">
        <v>44348</v>
      </c>
      <c r="C796">
        <v>2021</v>
      </c>
      <c r="D796" s="11" t="s">
        <v>32</v>
      </c>
      <c r="E796" s="15">
        <v>6</v>
      </c>
      <c r="F796" s="98">
        <v>3.5</v>
      </c>
      <c r="G796" s="98">
        <v>1.2999999999999999E-2</v>
      </c>
      <c r="I796" s="18">
        <f t="shared" ref="I796:J796" si="34">AVERAGE(F794:F796)</f>
        <v>2.9836666666666667</v>
      </c>
      <c r="J796" s="18">
        <f t="shared" si="34"/>
        <v>4.999933333333333E-3</v>
      </c>
      <c r="L796">
        <f t="shared" ref="L796" si="35">+J796/I796</f>
        <v>1.675768070606636E-3</v>
      </c>
      <c r="M796">
        <f t="shared" ref="M796" si="36">+(L796-$L$927)/$L$928</f>
        <v>-0.40081001962587154</v>
      </c>
      <c r="N796">
        <f t="shared" ref="N796" si="37">+N793+M796</f>
        <v>3.3041697778146188</v>
      </c>
    </row>
    <row r="797" spans="1:14">
      <c r="A797" s="8">
        <v>6</v>
      </c>
      <c r="B797" s="74">
        <v>44378</v>
      </c>
      <c r="C797">
        <v>2021</v>
      </c>
      <c r="D797" s="11" t="s">
        <v>33</v>
      </c>
      <c r="E797" s="15">
        <v>7</v>
      </c>
      <c r="H797" s="101" t="s">
        <v>91</v>
      </c>
    </row>
    <row r="798" spans="1:14">
      <c r="A798" s="8">
        <v>8</v>
      </c>
      <c r="B798" s="74">
        <v>44378</v>
      </c>
      <c r="C798">
        <v>2021</v>
      </c>
      <c r="D798" s="11" t="s">
        <v>33</v>
      </c>
      <c r="E798" s="15">
        <v>7</v>
      </c>
      <c r="H798" s="101" t="s">
        <v>92</v>
      </c>
    </row>
    <row r="799" spans="1:14">
      <c r="A799" s="8">
        <v>15</v>
      </c>
      <c r="B799" s="74">
        <v>44378</v>
      </c>
      <c r="C799">
        <v>2021</v>
      </c>
      <c r="D799" s="11" t="s">
        <v>33</v>
      </c>
      <c r="E799" s="15">
        <v>7</v>
      </c>
      <c r="I799" s="18"/>
      <c r="J799" s="18"/>
    </row>
    <row r="800" spans="1:14">
      <c r="A800" s="8">
        <v>6</v>
      </c>
      <c r="B800" s="74">
        <v>44409</v>
      </c>
      <c r="C800">
        <v>2021</v>
      </c>
      <c r="D800" s="11" t="s">
        <v>34</v>
      </c>
      <c r="E800" s="15">
        <v>8</v>
      </c>
      <c r="F800" s="98">
        <v>3.915</v>
      </c>
      <c r="G800" s="98">
        <v>9.9989999999999996E-4</v>
      </c>
    </row>
    <row r="801" spans="1:14">
      <c r="A801" s="8">
        <v>8</v>
      </c>
      <c r="B801" s="74">
        <v>44409</v>
      </c>
      <c r="C801">
        <v>2021</v>
      </c>
      <c r="D801" s="11" t="s">
        <v>34</v>
      </c>
      <c r="E801" s="15">
        <v>8</v>
      </c>
      <c r="F801" s="98">
        <v>1.6639999999999999</v>
      </c>
      <c r="G801" s="98">
        <v>9.9989999999999996E-4</v>
      </c>
    </row>
    <row r="802" spans="1:14">
      <c r="A802" s="8">
        <v>15</v>
      </c>
      <c r="B802" s="74">
        <v>44409</v>
      </c>
      <c r="C802">
        <v>2021</v>
      </c>
      <c r="D802" s="11" t="s">
        <v>34</v>
      </c>
      <c r="E802" s="15">
        <v>8</v>
      </c>
      <c r="F802" s="98">
        <v>1.4710000000000001</v>
      </c>
      <c r="G802" s="98">
        <v>9.9989999999999996E-4</v>
      </c>
      <c r="I802" s="18">
        <f t="shared" ref="I802:J802" si="38">AVERAGE(F800:F802)</f>
        <v>2.35</v>
      </c>
      <c r="J802" s="18">
        <f t="shared" si="38"/>
        <v>9.9989999999999996E-4</v>
      </c>
      <c r="L802">
        <f t="shared" ref="L802" si="39">+J802/I802</f>
        <v>4.2548936170212765E-4</v>
      </c>
      <c r="M802">
        <f t="shared" ref="M802" si="40">+(L802-$L$927)/$L$928</f>
        <v>-0.42981584342564233</v>
      </c>
      <c r="N802">
        <f>+N796+M802</f>
        <v>2.8743539343889766</v>
      </c>
    </row>
    <row r="803" spans="1:14">
      <c r="A803" s="8">
        <v>6</v>
      </c>
      <c r="B803" s="74">
        <v>44440</v>
      </c>
      <c r="C803">
        <v>2021</v>
      </c>
      <c r="D803" s="11" t="s">
        <v>40</v>
      </c>
      <c r="E803" s="15">
        <v>9</v>
      </c>
      <c r="F803" s="98">
        <v>1.972</v>
      </c>
      <c r="G803" s="98">
        <v>0.03</v>
      </c>
    </row>
    <row r="804" spans="1:14">
      <c r="A804" s="8">
        <v>8</v>
      </c>
      <c r="B804" s="74">
        <v>44440</v>
      </c>
      <c r="C804">
        <v>2021</v>
      </c>
      <c r="D804" s="11" t="s">
        <v>40</v>
      </c>
      <c r="E804" s="15">
        <v>9</v>
      </c>
      <c r="F804" s="98">
        <v>0.97699999999999998</v>
      </c>
      <c r="G804" s="98">
        <v>9.9989999999999996E-4</v>
      </c>
    </row>
    <row r="805" spans="1:14">
      <c r="A805" s="8">
        <v>15</v>
      </c>
      <c r="B805" s="74">
        <v>44440</v>
      </c>
      <c r="C805">
        <v>2021</v>
      </c>
      <c r="D805" s="11" t="s">
        <v>40</v>
      </c>
      <c r="E805" s="15">
        <v>9</v>
      </c>
      <c r="F805" s="98">
        <v>2.64</v>
      </c>
      <c r="G805" s="98">
        <v>1.4999999999999999E-2</v>
      </c>
      <c r="I805" s="18">
        <f t="shared" ref="I805:J805" si="41">AVERAGE(F803:F805)</f>
        <v>1.8630000000000002</v>
      </c>
      <c r="J805" s="18">
        <f t="shared" si="41"/>
        <v>1.5333299999999999E-2</v>
      </c>
      <c r="L805">
        <f t="shared" ref="L805" si="42">+J805/I805</f>
        <v>8.2304347826086949E-3</v>
      </c>
      <c r="M805">
        <f t="shared" ref="M805" si="43">+(L805-$L$927)/$L$928</f>
        <v>-0.24874511892773787</v>
      </c>
      <c r="N805">
        <f t="shared" ref="N805" si="44">+N802+M805</f>
        <v>2.6256088154612387</v>
      </c>
    </row>
    <row r="806" spans="1:14">
      <c r="A806" s="8">
        <v>6</v>
      </c>
      <c r="B806" s="74">
        <v>44470</v>
      </c>
      <c r="C806">
        <v>2021</v>
      </c>
      <c r="D806" s="11" t="s">
        <v>36</v>
      </c>
      <c r="E806" s="15">
        <v>10</v>
      </c>
      <c r="F806" s="98">
        <v>2.2690000000000001</v>
      </c>
      <c r="G806" s="98">
        <v>9.9989999999999996E-4</v>
      </c>
    </row>
    <row r="807" spans="1:14">
      <c r="A807" s="8">
        <v>8</v>
      </c>
      <c r="B807" s="74">
        <v>44470</v>
      </c>
      <c r="C807">
        <v>2021</v>
      </c>
      <c r="D807" s="11" t="s">
        <v>36</v>
      </c>
      <c r="E807" s="15">
        <v>10</v>
      </c>
      <c r="F807" s="98">
        <v>1.655</v>
      </c>
      <c r="G807" s="98">
        <v>8.0000000000000002E-3</v>
      </c>
    </row>
    <row r="808" spans="1:14">
      <c r="A808" s="8">
        <v>15</v>
      </c>
      <c r="B808" s="74">
        <v>44470</v>
      </c>
      <c r="C808">
        <v>2021</v>
      </c>
      <c r="D808" s="11" t="s">
        <v>36</v>
      </c>
      <c r="E808" s="15">
        <v>10</v>
      </c>
      <c r="F808" s="98">
        <v>2.1030000000000002</v>
      </c>
      <c r="G808" s="98">
        <v>9.9989999999999996E-4</v>
      </c>
      <c r="I808" s="18">
        <f t="shared" ref="I808:J808" si="45">AVERAGE(F806:F808)</f>
        <v>2.0090000000000003</v>
      </c>
      <c r="J808" s="18">
        <f t="shared" si="45"/>
        <v>3.3332666666666664E-3</v>
      </c>
      <c r="L808">
        <f t="shared" ref="L808" si="46">+J808/I808</f>
        <v>1.6591670814667327E-3</v>
      </c>
      <c r="M808">
        <f t="shared" ref="M808" si="47">+(L808-$L$927)/$L$928</f>
        <v>-0.40119515404627276</v>
      </c>
      <c r="N808">
        <f t="shared" ref="N808" si="48">+N805+M808</f>
        <v>2.2244136614149661</v>
      </c>
    </row>
    <row r="809" spans="1:14">
      <c r="A809" s="8">
        <v>6</v>
      </c>
      <c r="B809" s="74">
        <v>44501</v>
      </c>
      <c r="C809">
        <v>2021</v>
      </c>
      <c r="D809" s="11" t="s">
        <v>37</v>
      </c>
      <c r="E809" s="15">
        <v>11</v>
      </c>
      <c r="F809" s="98">
        <v>0.873</v>
      </c>
      <c r="G809" s="98">
        <v>9.9989999999999996E-4</v>
      </c>
    </row>
    <row r="810" spans="1:14">
      <c r="A810" s="8">
        <v>8</v>
      </c>
      <c r="B810" s="74">
        <v>44501</v>
      </c>
      <c r="C810">
        <v>2021</v>
      </c>
      <c r="D810" s="11" t="s">
        <v>37</v>
      </c>
      <c r="E810" s="15">
        <v>11</v>
      </c>
      <c r="F810" s="98">
        <v>0.90500000000000003</v>
      </c>
      <c r="G810" s="98">
        <v>9.9989999999999996E-4</v>
      </c>
    </row>
    <row r="811" spans="1:14">
      <c r="A811" s="8">
        <v>15</v>
      </c>
      <c r="B811" s="74">
        <v>44501</v>
      </c>
      <c r="C811">
        <v>2021</v>
      </c>
      <c r="D811" s="11" t="s">
        <v>37</v>
      </c>
      <c r="E811" s="15">
        <v>11</v>
      </c>
      <c r="F811" s="98">
        <v>0.92</v>
      </c>
      <c r="G811" s="98">
        <v>9.9989999999999996E-4</v>
      </c>
      <c r="I811" s="18">
        <f t="shared" ref="I811:J811" si="49">AVERAGE(F809:F811)</f>
        <v>0.89933333333333332</v>
      </c>
      <c r="J811" s="18">
        <f t="shared" si="49"/>
        <v>9.9989999999999996E-4</v>
      </c>
      <c r="L811">
        <f t="shared" ref="L811" si="50">+J811/I811</f>
        <v>1.1118235730170497E-3</v>
      </c>
      <c r="M811">
        <f t="shared" ref="M811" si="51">+(L811-$L$927)/$L$928</f>
        <v>-0.41389324228129565</v>
      </c>
      <c r="N811">
        <f t="shared" ref="N811" si="52">+N808+M811</f>
        <v>1.8105204191336703</v>
      </c>
    </row>
    <row r="812" spans="1:14">
      <c r="A812" s="8">
        <v>6</v>
      </c>
      <c r="B812" s="75">
        <v>44531</v>
      </c>
      <c r="C812">
        <v>2021</v>
      </c>
      <c r="D812" s="11" t="s">
        <v>38</v>
      </c>
      <c r="E812" s="15">
        <v>12</v>
      </c>
      <c r="F812" s="98">
        <v>0.75</v>
      </c>
      <c r="G812" s="98">
        <v>9.9989999999999996E-4</v>
      </c>
    </row>
    <row r="813" spans="1:14">
      <c r="A813" s="8">
        <v>8</v>
      </c>
      <c r="B813" s="74">
        <v>44531</v>
      </c>
      <c r="C813">
        <v>2021</v>
      </c>
      <c r="D813" s="11" t="s">
        <v>38</v>
      </c>
      <c r="E813" s="15">
        <v>12</v>
      </c>
      <c r="F813" s="98">
        <v>13.305</v>
      </c>
      <c r="G813" s="98">
        <v>8.0000000000000002E-3</v>
      </c>
    </row>
    <row r="814" spans="1:14">
      <c r="A814" s="8">
        <v>15</v>
      </c>
      <c r="B814" s="74">
        <v>44531</v>
      </c>
      <c r="C814">
        <v>2021</v>
      </c>
      <c r="D814" s="11" t="s">
        <v>38</v>
      </c>
      <c r="E814" s="15">
        <v>12</v>
      </c>
      <c r="F814" s="98">
        <v>0.76</v>
      </c>
      <c r="G814" s="98">
        <v>9.9989999999999996E-4</v>
      </c>
      <c r="I814" s="18">
        <f t="shared" ref="I814:J814" si="53">AVERAGE(F812:F814)</f>
        <v>4.9383333333333335</v>
      </c>
      <c r="J814" s="18">
        <f t="shared" si="53"/>
        <v>3.3332666666666664E-3</v>
      </c>
      <c r="L814">
        <f t="shared" ref="L814" si="54">+J814/I814</f>
        <v>6.749780627742152E-4</v>
      </c>
      <c r="M814">
        <f t="shared" ref="M814" si="55">+(L814-$L$927)/$L$928</f>
        <v>-0.42402783371885355</v>
      </c>
      <c r="N814">
        <f t="shared" ref="N814" si="56">+N811+M814</f>
        <v>1.3864925854148167</v>
      </c>
    </row>
    <row r="815" spans="1:14">
      <c r="A815" s="97">
        <v>6</v>
      </c>
      <c r="B815" s="93">
        <v>44571</v>
      </c>
      <c r="C815" s="94">
        <v>2022</v>
      </c>
      <c r="D815" s="95" t="s">
        <v>39</v>
      </c>
      <c r="E815" s="96">
        <v>1</v>
      </c>
      <c r="H815" s="101" t="s">
        <v>93</v>
      </c>
    </row>
    <row r="816" spans="1:14">
      <c r="A816" s="8">
        <v>8</v>
      </c>
      <c r="B816" s="76">
        <v>44566</v>
      </c>
      <c r="C816">
        <v>2022</v>
      </c>
      <c r="D816" s="11" t="s">
        <v>39</v>
      </c>
      <c r="E816" s="15">
        <v>1</v>
      </c>
      <c r="H816" s="101" t="s">
        <v>94</v>
      </c>
    </row>
    <row r="817" spans="1:8">
      <c r="A817" s="8">
        <v>15</v>
      </c>
      <c r="B817" s="76">
        <v>44566</v>
      </c>
      <c r="C817">
        <v>2022</v>
      </c>
      <c r="D817" s="11" t="s">
        <v>39</v>
      </c>
      <c r="E817" s="15">
        <v>1</v>
      </c>
      <c r="H817" s="101" t="s">
        <v>95</v>
      </c>
    </row>
    <row r="818" spans="1:8">
      <c r="A818" s="8">
        <v>6</v>
      </c>
      <c r="B818" s="74">
        <v>44593</v>
      </c>
      <c r="C818">
        <v>2022</v>
      </c>
      <c r="D818" s="11" t="s">
        <v>28</v>
      </c>
      <c r="E818" s="15">
        <v>2</v>
      </c>
    </row>
    <row r="819" spans="1:8">
      <c r="A819" s="8">
        <v>8</v>
      </c>
      <c r="B819" s="74">
        <v>44593</v>
      </c>
      <c r="C819">
        <v>2022</v>
      </c>
      <c r="D819" s="11" t="s">
        <v>28</v>
      </c>
      <c r="E819" s="15">
        <v>2</v>
      </c>
    </row>
    <row r="820" spans="1:8">
      <c r="A820" s="8">
        <v>15</v>
      </c>
      <c r="B820" s="74">
        <v>44593</v>
      </c>
      <c r="C820">
        <v>2022</v>
      </c>
      <c r="D820" s="11" t="s">
        <v>28</v>
      </c>
      <c r="E820" s="15">
        <v>2</v>
      </c>
    </row>
    <row r="821" spans="1:8">
      <c r="A821" s="8">
        <v>6</v>
      </c>
      <c r="B821" s="74">
        <v>44621</v>
      </c>
      <c r="C821">
        <v>2022</v>
      </c>
      <c r="D821" s="11" t="s">
        <v>29</v>
      </c>
      <c r="E821" s="15">
        <v>3</v>
      </c>
    </row>
    <row r="822" spans="1:8">
      <c r="A822" s="8">
        <v>8</v>
      </c>
      <c r="B822" s="74">
        <v>44621</v>
      </c>
      <c r="C822">
        <v>2022</v>
      </c>
      <c r="D822" s="11" t="s">
        <v>29</v>
      </c>
      <c r="E822" s="15">
        <v>3</v>
      </c>
    </row>
    <row r="823" spans="1:8">
      <c r="A823" s="8">
        <v>15</v>
      </c>
      <c r="B823" s="74">
        <v>44621</v>
      </c>
      <c r="C823">
        <v>2022</v>
      </c>
      <c r="D823" s="11" t="s">
        <v>29</v>
      </c>
      <c r="E823" s="15">
        <v>3</v>
      </c>
    </row>
    <row r="824" spans="1:8">
      <c r="A824" s="8">
        <v>6</v>
      </c>
      <c r="B824" s="74">
        <v>44652</v>
      </c>
      <c r="C824">
        <v>2022</v>
      </c>
      <c r="D824" s="11" t="s">
        <v>30</v>
      </c>
      <c r="E824" s="15">
        <v>4</v>
      </c>
    </row>
    <row r="825" spans="1:8">
      <c r="A825" s="8">
        <v>8</v>
      </c>
      <c r="B825" s="74">
        <v>44652</v>
      </c>
      <c r="C825">
        <v>2022</v>
      </c>
      <c r="D825" s="11" t="s">
        <v>30</v>
      </c>
      <c r="E825" s="15">
        <v>4</v>
      </c>
    </row>
    <row r="826" spans="1:8">
      <c r="A826" s="8">
        <v>15</v>
      </c>
      <c r="B826" s="74">
        <v>44652</v>
      </c>
      <c r="C826">
        <v>2022</v>
      </c>
      <c r="D826" s="11" t="s">
        <v>30</v>
      </c>
      <c r="E826" s="15">
        <v>4</v>
      </c>
    </row>
    <row r="827" spans="1:8">
      <c r="A827" s="8">
        <v>6</v>
      </c>
      <c r="B827" s="74">
        <v>44682</v>
      </c>
      <c r="C827">
        <v>2022</v>
      </c>
      <c r="D827" s="11" t="s">
        <v>31</v>
      </c>
      <c r="E827" s="15">
        <v>5</v>
      </c>
    </row>
    <row r="828" spans="1:8">
      <c r="A828" s="8">
        <v>8</v>
      </c>
      <c r="B828" s="74">
        <v>44682</v>
      </c>
      <c r="C828">
        <v>2022</v>
      </c>
      <c r="D828" s="11" t="s">
        <v>31</v>
      </c>
      <c r="E828" s="15">
        <v>5</v>
      </c>
    </row>
    <row r="829" spans="1:8">
      <c r="A829" s="8">
        <v>15</v>
      </c>
      <c r="B829" s="74">
        <v>44682</v>
      </c>
      <c r="C829">
        <v>2022</v>
      </c>
      <c r="D829" s="11" t="s">
        <v>31</v>
      </c>
      <c r="E829" s="15">
        <v>5</v>
      </c>
    </row>
    <row r="830" spans="1:8">
      <c r="A830" s="8">
        <v>6</v>
      </c>
      <c r="B830" s="74">
        <v>44713</v>
      </c>
      <c r="C830">
        <v>2022</v>
      </c>
      <c r="D830" s="11" t="s">
        <v>32</v>
      </c>
      <c r="E830" s="15">
        <v>6</v>
      </c>
    </row>
    <row r="831" spans="1:8">
      <c r="A831" s="8">
        <v>8</v>
      </c>
      <c r="B831" s="74">
        <v>44713</v>
      </c>
      <c r="C831">
        <v>2022</v>
      </c>
      <c r="D831" s="11" t="s">
        <v>32</v>
      </c>
      <c r="E831" s="15">
        <v>6</v>
      </c>
    </row>
    <row r="832" spans="1:8">
      <c r="A832" s="8">
        <v>15</v>
      </c>
      <c r="B832" s="74">
        <v>44713</v>
      </c>
      <c r="C832">
        <v>2022</v>
      </c>
      <c r="D832" s="11" t="s">
        <v>32</v>
      </c>
      <c r="E832" s="15">
        <v>6</v>
      </c>
    </row>
    <row r="833" spans="1:5">
      <c r="A833" s="8">
        <v>6</v>
      </c>
      <c r="B833" s="74">
        <v>44743</v>
      </c>
      <c r="C833">
        <v>2022</v>
      </c>
      <c r="D833" s="11" t="s">
        <v>33</v>
      </c>
      <c r="E833" s="15">
        <v>7</v>
      </c>
    </row>
    <row r="834" spans="1:5">
      <c r="A834" s="8">
        <v>8</v>
      </c>
      <c r="B834" s="74">
        <v>44743</v>
      </c>
      <c r="C834">
        <v>2022</v>
      </c>
      <c r="D834" s="11" t="s">
        <v>33</v>
      </c>
      <c r="E834" s="15">
        <v>7</v>
      </c>
    </row>
    <row r="835" spans="1:5">
      <c r="A835" s="8">
        <v>15</v>
      </c>
      <c r="B835" s="74">
        <v>44743</v>
      </c>
      <c r="C835">
        <v>2022</v>
      </c>
      <c r="D835" s="11" t="s">
        <v>33</v>
      </c>
      <c r="E835" s="15">
        <v>7</v>
      </c>
    </row>
    <row r="836" spans="1:5">
      <c r="A836" s="8">
        <v>6</v>
      </c>
      <c r="B836" s="74">
        <v>44774</v>
      </c>
      <c r="C836">
        <v>2022</v>
      </c>
      <c r="D836" s="11" t="s">
        <v>34</v>
      </c>
      <c r="E836" s="15">
        <v>8</v>
      </c>
    </row>
    <row r="837" spans="1:5">
      <c r="A837" s="8">
        <v>8</v>
      </c>
      <c r="B837" s="74">
        <v>44774</v>
      </c>
      <c r="C837">
        <v>2022</v>
      </c>
      <c r="D837" s="11" t="s">
        <v>34</v>
      </c>
      <c r="E837" s="15">
        <v>8</v>
      </c>
    </row>
    <row r="838" spans="1:5">
      <c r="A838" s="8">
        <v>15</v>
      </c>
      <c r="B838" s="74">
        <v>44774</v>
      </c>
      <c r="C838">
        <v>2022</v>
      </c>
      <c r="D838" s="11" t="s">
        <v>34</v>
      </c>
      <c r="E838" s="15">
        <v>8</v>
      </c>
    </row>
    <row r="839" spans="1:5">
      <c r="A839" s="8">
        <v>6</v>
      </c>
      <c r="B839" s="74">
        <v>44805</v>
      </c>
      <c r="C839">
        <v>2022</v>
      </c>
      <c r="D839" s="11" t="s">
        <v>40</v>
      </c>
      <c r="E839" s="15">
        <v>9</v>
      </c>
    </row>
    <row r="840" spans="1:5">
      <c r="A840" s="8">
        <v>8</v>
      </c>
      <c r="B840" s="74">
        <v>44805</v>
      </c>
      <c r="C840">
        <v>2022</v>
      </c>
      <c r="D840" s="11" t="s">
        <v>40</v>
      </c>
      <c r="E840" s="15">
        <v>9</v>
      </c>
    </row>
    <row r="841" spans="1:5">
      <c r="A841" s="8">
        <v>15</v>
      </c>
      <c r="B841" s="74">
        <v>44805</v>
      </c>
      <c r="C841">
        <v>2022</v>
      </c>
      <c r="D841" s="11" t="s">
        <v>40</v>
      </c>
      <c r="E841" s="15">
        <v>9</v>
      </c>
    </row>
    <row r="842" spans="1:5">
      <c r="A842" s="8">
        <v>6</v>
      </c>
      <c r="B842" s="74">
        <v>44835</v>
      </c>
      <c r="C842">
        <v>2022</v>
      </c>
      <c r="D842" s="11" t="s">
        <v>36</v>
      </c>
      <c r="E842" s="15">
        <v>10</v>
      </c>
    </row>
    <row r="843" spans="1:5">
      <c r="A843" s="8">
        <v>8</v>
      </c>
      <c r="B843" s="74">
        <v>44835</v>
      </c>
      <c r="C843">
        <v>2022</v>
      </c>
      <c r="D843" s="11" t="s">
        <v>36</v>
      </c>
      <c r="E843" s="15">
        <v>10</v>
      </c>
    </row>
    <row r="844" spans="1:5">
      <c r="A844" s="8">
        <v>15</v>
      </c>
      <c r="B844" s="74">
        <v>44835</v>
      </c>
      <c r="C844">
        <v>2022</v>
      </c>
      <c r="D844" s="11" t="s">
        <v>36</v>
      </c>
      <c r="E844" s="15">
        <v>10</v>
      </c>
    </row>
    <row r="845" spans="1:5">
      <c r="A845" s="8">
        <v>6</v>
      </c>
      <c r="B845" s="74">
        <v>44866</v>
      </c>
      <c r="C845">
        <v>2022</v>
      </c>
      <c r="D845" s="11" t="s">
        <v>37</v>
      </c>
      <c r="E845" s="15">
        <v>11</v>
      </c>
    </row>
    <row r="846" spans="1:5">
      <c r="A846" s="8">
        <v>8</v>
      </c>
      <c r="B846" s="74">
        <v>44866</v>
      </c>
      <c r="C846">
        <v>2022</v>
      </c>
      <c r="D846" s="11" t="s">
        <v>37</v>
      </c>
      <c r="E846" s="15">
        <v>11</v>
      </c>
    </row>
    <row r="847" spans="1:5">
      <c r="A847" s="8">
        <v>15</v>
      </c>
      <c r="B847" s="74">
        <v>44866</v>
      </c>
      <c r="C847">
        <v>2022</v>
      </c>
      <c r="D847" s="11" t="s">
        <v>37</v>
      </c>
      <c r="E847" s="15">
        <v>11</v>
      </c>
    </row>
    <row r="848" spans="1:5">
      <c r="A848" s="8">
        <v>6</v>
      </c>
      <c r="B848" s="75">
        <v>44896</v>
      </c>
      <c r="C848">
        <v>2022</v>
      </c>
      <c r="D848" s="11" t="s">
        <v>38</v>
      </c>
      <c r="E848" s="15">
        <v>12</v>
      </c>
    </row>
    <row r="849" spans="1:14">
      <c r="A849" s="8">
        <v>8</v>
      </c>
      <c r="B849" s="74">
        <v>44896</v>
      </c>
      <c r="C849">
        <v>2022</v>
      </c>
      <c r="D849" s="11" t="s">
        <v>38</v>
      </c>
      <c r="E849" s="15">
        <v>12</v>
      </c>
    </row>
    <row r="850" spans="1:14">
      <c r="A850" s="8">
        <v>15</v>
      </c>
      <c r="B850" s="74">
        <v>44896</v>
      </c>
      <c r="C850">
        <v>2022</v>
      </c>
      <c r="D850" s="11" t="s">
        <v>38</v>
      </c>
      <c r="E850" s="15">
        <v>12</v>
      </c>
    </row>
    <row r="851" spans="1:14">
      <c r="A851" s="97">
        <v>6</v>
      </c>
      <c r="B851" s="93">
        <v>44936</v>
      </c>
      <c r="C851" s="94">
        <v>2023</v>
      </c>
      <c r="D851" s="95" t="s">
        <v>39</v>
      </c>
      <c r="E851" s="96">
        <v>1</v>
      </c>
      <c r="F851" s="99">
        <v>7.2089999999999996</v>
      </c>
      <c r="G851" s="98">
        <v>5.0000000000000001E-3</v>
      </c>
    </row>
    <row r="852" spans="1:14">
      <c r="A852" s="8">
        <v>8</v>
      </c>
      <c r="B852" s="76">
        <v>44931</v>
      </c>
      <c r="C852">
        <v>2023</v>
      </c>
      <c r="D852" s="11" t="s">
        <v>39</v>
      </c>
      <c r="E852" s="15">
        <v>1</v>
      </c>
      <c r="F852" s="99">
        <v>2.8679999999999999</v>
      </c>
      <c r="G852" s="98">
        <v>7.0000000000000001E-3</v>
      </c>
    </row>
    <row r="853" spans="1:14">
      <c r="A853" s="8">
        <v>15</v>
      </c>
      <c r="B853" s="76">
        <v>44931</v>
      </c>
      <c r="C853">
        <v>2023</v>
      </c>
      <c r="D853" s="11" t="s">
        <v>39</v>
      </c>
      <c r="E853" s="15">
        <v>1</v>
      </c>
      <c r="I853" s="18">
        <f>AVERAGE(F851:F853)</f>
        <v>5.0385</v>
      </c>
      <c r="J853" s="18">
        <f>AVERAGE(G851:G853)</f>
        <v>6.0000000000000001E-3</v>
      </c>
      <c r="L853">
        <f>+J853/I853</f>
        <v>1.1908306043465317E-3</v>
      </c>
      <c r="M853">
        <f>+(L853-$L$927)/$L$928</f>
        <v>-0.41206031973901391</v>
      </c>
      <c r="N853">
        <f>+N814+M853</f>
        <v>0.97443226567580277</v>
      </c>
    </row>
    <row r="854" spans="1:14">
      <c r="A854" s="8">
        <v>6</v>
      </c>
      <c r="B854" s="74">
        <v>44958</v>
      </c>
      <c r="C854">
        <v>2023</v>
      </c>
      <c r="D854" s="11" t="s">
        <v>28</v>
      </c>
      <c r="E854" s="15">
        <v>2</v>
      </c>
      <c r="F854" s="82">
        <v>1.2170000000000001</v>
      </c>
      <c r="G854" s="82">
        <v>1.2E-2</v>
      </c>
    </row>
    <row r="855" spans="1:14">
      <c r="A855" s="8">
        <v>8</v>
      </c>
      <c r="B855" s="74">
        <v>44958</v>
      </c>
      <c r="C855">
        <v>2023</v>
      </c>
      <c r="D855" s="11" t="s">
        <v>28</v>
      </c>
      <c r="E855" s="15">
        <v>2</v>
      </c>
      <c r="F855" s="82">
        <v>3.633</v>
      </c>
      <c r="G855" s="82">
        <v>2.1999999999999999E-2</v>
      </c>
    </row>
    <row r="856" spans="1:14">
      <c r="A856" s="8">
        <v>15</v>
      </c>
      <c r="B856" s="74">
        <v>44958</v>
      </c>
      <c r="C856">
        <v>2023</v>
      </c>
      <c r="D856" s="11" t="s">
        <v>28</v>
      </c>
      <c r="E856" s="15">
        <v>2</v>
      </c>
      <c r="F856" s="82">
        <v>1.1779999999999999</v>
      </c>
      <c r="G856" s="82">
        <v>1.2E-2</v>
      </c>
      <c r="I856" s="18">
        <f t="shared" ref="I856:J856" si="57">AVERAGE(F854:F856)</f>
        <v>2.0093333333333332</v>
      </c>
      <c r="J856" s="18">
        <f t="shared" si="57"/>
        <v>1.5333333333333332E-2</v>
      </c>
      <c r="L856">
        <f t="shared" ref="L856" si="58">+J856/I856</f>
        <v>7.6310550763105511E-3</v>
      </c>
      <c r="M856">
        <f t="shared" ref="M856" si="59">+(L856-$L$927)/$L$928</f>
        <v>-0.2626504202227391</v>
      </c>
      <c r="N856">
        <f>+N853+M856</f>
        <v>0.71178184545306367</v>
      </c>
    </row>
    <row r="857" spans="1:14">
      <c r="A857" s="8">
        <v>6</v>
      </c>
      <c r="B857" s="74">
        <v>44986</v>
      </c>
      <c r="C857">
        <v>2023</v>
      </c>
      <c r="D857" s="11" t="s">
        <v>29</v>
      </c>
      <c r="E857" s="15">
        <v>3</v>
      </c>
      <c r="F857" s="82">
        <v>1.413</v>
      </c>
      <c r="G857" s="82">
        <v>1E-3</v>
      </c>
    </row>
    <row r="858" spans="1:14">
      <c r="A858" s="8">
        <v>8</v>
      </c>
      <c r="B858" s="74">
        <v>44986</v>
      </c>
      <c r="C858">
        <v>2023</v>
      </c>
      <c r="D858" s="11" t="s">
        <v>29</v>
      </c>
      <c r="E858" s="15">
        <v>3</v>
      </c>
      <c r="F858" s="82">
        <v>2.8460000000000001</v>
      </c>
      <c r="G858" s="82">
        <v>1.9E-2</v>
      </c>
    </row>
    <row r="859" spans="1:14">
      <c r="A859" s="8">
        <v>15</v>
      </c>
      <c r="B859" s="74">
        <v>44986</v>
      </c>
      <c r="C859">
        <v>2023</v>
      </c>
      <c r="D859" s="11" t="s">
        <v>29</v>
      </c>
      <c r="E859" s="15">
        <v>3</v>
      </c>
      <c r="F859" s="82">
        <v>1.7729999999999999</v>
      </c>
      <c r="G859" s="82">
        <v>1.4999999999999999E-2</v>
      </c>
      <c r="I859" s="18">
        <f t="shared" ref="I859:J859" si="60">AVERAGE(F857:F859)</f>
        <v>2.0106666666666668</v>
      </c>
      <c r="J859" s="18">
        <f t="shared" si="60"/>
        <v>1.1666666666666667E-2</v>
      </c>
      <c r="L859">
        <f t="shared" ref="L859" si="61">+J859/I859</f>
        <v>5.8023872679045093E-3</v>
      </c>
      <c r="M859">
        <f t="shared" ref="M859" si="62">+(L859-$L$927)/$L$928</f>
        <v>-0.30507457402234589</v>
      </c>
      <c r="N859">
        <f t="shared" ref="N859" si="63">+N856+M859</f>
        <v>0.40670727143071778</v>
      </c>
    </row>
    <row r="860" spans="1:14">
      <c r="A860" s="8">
        <v>6</v>
      </c>
      <c r="B860" s="74">
        <v>45017</v>
      </c>
      <c r="C860">
        <v>2023</v>
      </c>
      <c r="D860" s="11" t="s">
        <v>30</v>
      </c>
      <c r="E860" s="15">
        <v>4</v>
      </c>
      <c r="F860" s="82">
        <v>1.28</v>
      </c>
      <c r="G860" s="82">
        <v>1E-3</v>
      </c>
    </row>
    <row r="861" spans="1:14">
      <c r="A861" s="8">
        <v>8</v>
      </c>
      <c r="B861" s="74">
        <v>45017</v>
      </c>
      <c r="C861">
        <v>2023</v>
      </c>
      <c r="D861" s="11" t="s">
        <v>30</v>
      </c>
      <c r="E861" s="15">
        <v>4</v>
      </c>
      <c r="F861" s="82">
        <v>8.6859999999999999</v>
      </c>
      <c r="G861" s="82">
        <v>2.1999999999999999E-2</v>
      </c>
    </row>
    <row r="862" spans="1:14">
      <c r="A862" s="8">
        <v>15</v>
      </c>
      <c r="B862" s="74">
        <v>45017</v>
      </c>
      <c r="C862">
        <v>2023</v>
      </c>
      <c r="D862" s="11" t="s">
        <v>30</v>
      </c>
      <c r="E862" s="15">
        <v>4</v>
      </c>
      <c r="F862" s="82">
        <v>1.6379999999999999</v>
      </c>
      <c r="G862" s="82">
        <v>1.2999999999999999E-2</v>
      </c>
      <c r="I862" s="18">
        <f t="shared" ref="I862:J862" si="64">AVERAGE(F860:F862)</f>
        <v>3.8679999999999999</v>
      </c>
      <c r="J862" s="18">
        <f t="shared" si="64"/>
        <v>1.1999999999999999E-2</v>
      </c>
      <c r="L862">
        <f t="shared" ref="L862" si="65">+J862/I862</f>
        <v>3.1023784901758012E-3</v>
      </c>
      <c r="M862">
        <f t="shared" ref="M862" si="66">+(L862-$L$927)/$L$928</f>
        <v>-0.36771339071726811</v>
      </c>
      <c r="N862">
        <f t="shared" ref="N862" si="67">+N859+M862</f>
        <v>3.8993880713449669E-2</v>
      </c>
    </row>
    <row r="863" spans="1:14">
      <c r="A863" s="8">
        <v>6</v>
      </c>
      <c r="B863" s="74">
        <v>45047</v>
      </c>
      <c r="C863">
        <v>2023</v>
      </c>
      <c r="D863" s="11" t="s">
        <v>31</v>
      </c>
      <c r="E863" s="15">
        <v>5</v>
      </c>
      <c r="F863" s="82">
        <v>2.9079999999999999</v>
      </c>
      <c r="G863" s="82">
        <v>1.4E-2</v>
      </c>
    </row>
    <row r="864" spans="1:14">
      <c r="A864" s="8">
        <v>8</v>
      </c>
      <c r="B864" s="74">
        <v>45047</v>
      </c>
      <c r="C864">
        <v>2023</v>
      </c>
      <c r="D864" s="11" t="s">
        <v>31</v>
      </c>
      <c r="E864" s="15">
        <v>5</v>
      </c>
      <c r="F864" s="82">
        <v>6.0209999999999999</v>
      </c>
      <c r="G864" s="82">
        <v>3.3000000000000002E-2</v>
      </c>
    </row>
    <row r="865" spans="1:14">
      <c r="A865" s="8">
        <v>15</v>
      </c>
      <c r="B865" s="74">
        <v>45047</v>
      </c>
      <c r="C865">
        <v>2023</v>
      </c>
      <c r="D865" s="11" t="s">
        <v>31</v>
      </c>
      <c r="E865" s="15">
        <v>5</v>
      </c>
      <c r="F865" s="82">
        <v>5.5359999999999996</v>
      </c>
      <c r="G865" s="82">
        <v>6.5000000000000002E-2</v>
      </c>
      <c r="I865" s="18">
        <f t="shared" ref="I865:J865" si="68">AVERAGE(F863:F865)</f>
        <v>4.8216666666666663</v>
      </c>
      <c r="J865" s="18">
        <f t="shared" si="68"/>
        <v>3.7333333333333336E-2</v>
      </c>
      <c r="L865">
        <f t="shared" ref="L865" si="69">+J865/I865</f>
        <v>7.7428275146906337E-3</v>
      </c>
      <c r="M865">
        <f t="shared" ref="M865" si="70">+(L865-$L$927)/$L$928</f>
        <v>-0.26005735706791333</v>
      </c>
      <c r="N865">
        <f t="shared" ref="N865" si="71">+N862+M865</f>
        <v>-0.22106347635446366</v>
      </c>
    </row>
    <row r="866" spans="1:14">
      <c r="A866" s="8">
        <v>6</v>
      </c>
      <c r="B866" s="74">
        <v>45078</v>
      </c>
      <c r="C866">
        <v>2023</v>
      </c>
      <c r="D866" s="11" t="s">
        <v>32</v>
      </c>
      <c r="E866" s="15">
        <v>6</v>
      </c>
      <c r="F866" s="82">
        <v>2.2200000000000002</v>
      </c>
      <c r="G866" s="100">
        <v>9.9989999999999996E-4</v>
      </c>
    </row>
    <row r="867" spans="1:14">
      <c r="A867" s="8">
        <v>8</v>
      </c>
      <c r="B867" s="74">
        <v>45078</v>
      </c>
      <c r="C867">
        <v>2023</v>
      </c>
      <c r="D867" s="11" t="s">
        <v>32</v>
      </c>
      <c r="E867" s="15">
        <v>6</v>
      </c>
      <c r="F867" s="82">
        <v>1.5409999999999999</v>
      </c>
      <c r="G867" s="100">
        <v>9.9989999999999996E-4</v>
      </c>
    </row>
    <row r="868" spans="1:14">
      <c r="A868" s="8">
        <v>15</v>
      </c>
      <c r="B868" s="74">
        <v>45078</v>
      </c>
      <c r="C868">
        <v>2023</v>
      </c>
      <c r="D868" s="11" t="s">
        <v>32</v>
      </c>
      <c r="E868" s="15">
        <v>6</v>
      </c>
      <c r="F868" s="82">
        <v>1.954</v>
      </c>
      <c r="G868" s="100">
        <v>9.9989999999999996E-4</v>
      </c>
      <c r="I868" s="18">
        <f t="shared" ref="I868:J868" si="72">AVERAGE(F866:F868)</f>
        <v>1.905</v>
      </c>
      <c r="J868" s="18">
        <f t="shared" si="72"/>
        <v>9.9989999999999996E-4</v>
      </c>
      <c r="L868">
        <f t="shared" ref="L868" si="73">+J868/I868</f>
        <v>5.2488188976377952E-4</v>
      </c>
      <c r="M868">
        <f t="shared" ref="M868" si="74">+(L868-$L$927)/$L$928</f>
        <v>-0.42750998783085575</v>
      </c>
      <c r="N868">
        <f t="shared" ref="N868" si="75">+N865+M868</f>
        <v>-0.64857346418531936</v>
      </c>
    </row>
    <row r="869" spans="1:14">
      <c r="A869" s="8">
        <v>6</v>
      </c>
      <c r="B869" s="74">
        <v>45108</v>
      </c>
      <c r="C869">
        <v>2023</v>
      </c>
      <c r="D869" s="11" t="s">
        <v>33</v>
      </c>
      <c r="E869" s="15">
        <v>7</v>
      </c>
      <c r="F869" s="82">
        <v>2.0750000000000002</v>
      </c>
      <c r="G869" s="82">
        <v>0.01</v>
      </c>
    </row>
    <row r="870" spans="1:14">
      <c r="A870" s="8">
        <v>8</v>
      </c>
      <c r="B870" s="74">
        <v>45108</v>
      </c>
      <c r="C870">
        <v>2023</v>
      </c>
      <c r="D870" s="11" t="s">
        <v>33</v>
      </c>
      <c r="E870" s="15">
        <v>7</v>
      </c>
      <c r="F870" s="82">
        <v>3.8210000000000002</v>
      </c>
      <c r="G870" s="82">
        <v>0.01</v>
      </c>
    </row>
    <row r="871" spans="1:14">
      <c r="A871" s="8">
        <v>15</v>
      </c>
      <c r="B871" s="74">
        <v>45108</v>
      </c>
      <c r="C871">
        <v>2023</v>
      </c>
      <c r="D871" s="11" t="s">
        <v>33</v>
      </c>
      <c r="E871" s="15">
        <v>7</v>
      </c>
      <c r="F871" s="82">
        <v>2.8319999999999999</v>
      </c>
      <c r="G871" s="100">
        <v>9.9989999999999996E-4</v>
      </c>
      <c r="I871" s="18">
        <f t="shared" ref="I871:J871" si="76">AVERAGE(F869:F871)</f>
        <v>2.909333333333334</v>
      </c>
      <c r="J871" s="18">
        <f t="shared" si="76"/>
        <v>6.999966666666667E-3</v>
      </c>
      <c r="L871">
        <f t="shared" ref="L871" si="77">+J871/I871</f>
        <v>2.4060380384967914E-3</v>
      </c>
      <c r="M871">
        <f t="shared" ref="M871" si="78">+(L871-$L$927)/$L$928</f>
        <v>-0.38386813149802695</v>
      </c>
      <c r="N871">
        <f t="shared" ref="N871" si="79">+N868+M871</f>
        <v>-1.0324415956833464</v>
      </c>
    </row>
    <row r="872" spans="1:14">
      <c r="A872" s="8">
        <v>6</v>
      </c>
      <c r="B872" s="74">
        <v>45139</v>
      </c>
      <c r="C872">
        <v>2023</v>
      </c>
      <c r="D872" s="11" t="s">
        <v>34</v>
      </c>
      <c r="E872" s="15">
        <v>8</v>
      </c>
      <c r="F872" s="82">
        <v>2.1749999999999998</v>
      </c>
      <c r="G872" s="100">
        <v>9.9989999999999996E-4</v>
      </c>
    </row>
    <row r="873" spans="1:14">
      <c r="A873" s="8">
        <v>8</v>
      </c>
      <c r="B873" s="74">
        <v>45139</v>
      </c>
      <c r="C873">
        <v>2023</v>
      </c>
      <c r="D873" s="11" t="s">
        <v>34</v>
      </c>
      <c r="E873" s="15">
        <v>8</v>
      </c>
      <c r="F873" s="82">
        <v>4.1269999999999998</v>
      </c>
      <c r="G873" s="82">
        <v>1.7999999999999999E-2</v>
      </c>
    </row>
    <row r="874" spans="1:14">
      <c r="A874" s="8">
        <v>15</v>
      </c>
      <c r="B874" s="74">
        <v>45139</v>
      </c>
      <c r="C874">
        <v>2023</v>
      </c>
      <c r="D874" s="11" t="s">
        <v>34</v>
      </c>
      <c r="E874" s="15">
        <v>8</v>
      </c>
      <c r="F874" s="82">
        <v>1.47</v>
      </c>
      <c r="G874" s="100">
        <v>9.9989999999999996E-4</v>
      </c>
      <c r="I874" s="18">
        <f t="shared" ref="I874:J874" si="80">AVERAGE(F872:F874)</f>
        <v>2.5906666666666665</v>
      </c>
      <c r="J874" s="18">
        <f t="shared" si="80"/>
        <v>6.6666000000000008E-3</v>
      </c>
      <c r="L874">
        <f t="shared" ref="L874" si="81">+J874/I874</f>
        <v>2.5733144621718999E-3</v>
      </c>
      <c r="M874">
        <f t="shared" ref="M874" si="82">+(L874-$L$927)/$L$928</f>
        <v>-0.37998740439580569</v>
      </c>
      <c r="N874">
        <f t="shared" ref="N874" si="83">+N871+M874</f>
        <v>-1.4124290000791522</v>
      </c>
    </row>
    <row r="875" spans="1:14">
      <c r="A875" s="8">
        <v>6</v>
      </c>
      <c r="B875" s="74">
        <v>45170</v>
      </c>
      <c r="C875">
        <v>2023</v>
      </c>
      <c r="D875" s="11" t="s">
        <v>40</v>
      </c>
      <c r="E875" s="15">
        <v>9</v>
      </c>
      <c r="F875" s="82">
        <v>3.113</v>
      </c>
      <c r="G875" s="100">
        <v>9.9989999999999996E-4</v>
      </c>
    </row>
    <row r="876" spans="1:14">
      <c r="A876" s="8">
        <v>8</v>
      </c>
      <c r="B876" s="74">
        <v>45170</v>
      </c>
      <c r="C876">
        <v>2023</v>
      </c>
      <c r="D876" s="11" t="s">
        <v>40</v>
      </c>
      <c r="E876" s="15">
        <v>9</v>
      </c>
      <c r="F876" s="82">
        <v>1.782</v>
      </c>
      <c r="G876" s="100">
        <v>9.9989999999999996E-4</v>
      </c>
    </row>
    <row r="877" spans="1:14">
      <c r="A877" s="8">
        <v>15</v>
      </c>
      <c r="B877" s="74">
        <v>45170</v>
      </c>
      <c r="C877">
        <v>2023</v>
      </c>
      <c r="D877" s="11" t="s">
        <v>40</v>
      </c>
      <c r="E877" s="15">
        <v>9</v>
      </c>
      <c r="F877" s="82">
        <v>2.3119999999999998</v>
      </c>
      <c r="G877" s="100">
        <v>9.9989999999999996E-4</v>
      </c>
      <c r="I877" s="18">
        <f t="shared" ref="I877:J877" si="84">AVERAGE(F875:F877)</f>
        <v>2.402333333333333</v>
      </c>
      <c r="J877" s="18">
        <f t="shared" si="84"/>
        <v>9.9989999999999996E-4</v>
      </c>
      <c r="L877">
        <f t="shared" ref="L877" si="85">+J877/I877</f>
        <v>4.1622034133481341E-4</v>
      </c>
      <c r="M877">
        <f t="shared" ref="M877" si="86">+(L877-$L$927)/$L$928</f>
        <v>-0.43003087993682665</v>
      </c>
      <c r="N877">
        <f t="shared" ref="N877" si="87">+N874+M877</f>
        <v>-1.8424598800159788</v>
      </c>
    </row>
    <row r="878" spans="1:14">
      <c r="A878" s="8">
        <v>6</v>
      </c>
      <c r="B878" s="74">
        <v>45200</v>
      </c>
      <c r="C878">
        <v>2023</v>
      </c>
      <c r="D878" s="11" t="s">
        <v>36</v>
      </c>
      <c r="E878" s="15">
        <v>10</v>
      </c>
      <c r="F878" s="100">
        <v>1.2150000000000001</v>
      </c>
      <c r="G878" s="82">
        <v>0.03</v>
      </c>
    </row>
    <row r="879" spans="1:14">
      <c r="A879" s="8">
        <v>8</v>
      </c>
      <c r="B879" s="74">
        <v>45200</v>
      </c>
      <c r="C879">
        <v>2023</v>
      </c>
      <c r="D879" s="11" t="s">
        <v>36</v>
      </c>
      <c r="E879" s="15">
        <v>10</v>
      </c>
      <c r="F879" s="82">
        <v>0.91900000000000004</v>
      </c>
      <c r="G879" s="100">
        <v>9.9989999999999996E-4</v>
      </c>
    </row>
    <row r="880" spans="1:14">
      <c r="A880" s="8">
        <v>15</v>
      </c>
      <c r="B880" s="74">
        <v>45200</v>
      </c>
      <c r="C880">
        <v>2023</v>
      </c>
      <c r="D880" s="11" t="s">
        <v>36</v>
      </c>
      <c r="E880" s="15">
        <v>10</v>
      </c>
      <c r="F880" s="82">
        <v>1.343</v>
      </c>
      <c r="G880" s="100">
        <v>9.9989999999999996E-4</v>
      </c>
      <c r="I880" s="18">
        <f t="shared" ref="I880:J880" si="88">AVERAGE(F878:F880)</f>
        <v>1.159</v>
      </c>
      <c r="J880" s="18">
        <f t="shared" si="88"/>
        <v>1.06666E-2</v>
      </c>
      <c r="L880">
        <f t="shared" ref="L880" si="89">+J880/I880</f>
        <v>9.2032786885245903E-3</v>
      </c>
      <c r="M880">
        <f t="shared" ref="M880" si="90">+(L880-$L$927)/$L$928</f>
        <v>-0.2261756400437841</v>
      </c>
      <c r="N880">
        <f t="shared" ref="N880" si="91">+N877+M880</f>
        <v>-2.0686355200597628</v>
      </c>
    </row>
    <row r="881" spans="1:14">
      <c r="A881" s="8">
        <v>6</v>
      </c>
      <c r="B881" s="74">
        <v>45231</v>
      </c>
      <c r="C881">
        <v>2023</v>
      </c>
      <c r="D881" s="11" t="s">
        <v>37</v>
      </c>
      <c r="E881" s="15">
        <v>11</v>
      </c>
      <c r="F881" s="82">
        <v>0.46800000000000003</v>
      </c>
      <c r="G881" s="100">
        <v>9.9989999999999996E-4</v>
      </c>
    </row>
    <row r="882" spans="1:14">
      <c r="A882" s="8">
        <v>8</v>
      </c>
      <c r="B882" s="74">
        <v>45231</v>
      </c>
      <c r="C882">
        <v>2023</v>
      </c>
      <c r="D882" s="11" t="s">
        <v>37</v>
      </c>
      <c r="E882" s="15">
        <v>11</v>
      </c>
      <c r="F882" s="82">
        <v>1.262</v>
      </c>
      <c r="G882" s="100">
        <v>9.9989999999999996E-4</v>
      </c>
    </row>
    <row r="883" spans="1:14">
      <c r="A883" s="8">
        <v>15</v>
      </c>
      <c r="B883" s="74">
        <v>45231</v>
      </c>
      <c r="C883">
        <v>2023</v>
      </c>
      <c r="D883" s="11" t="s">
        <v>37</v>
      </c>
      <c r="E883" s="15">
        <v>11</v>
      </c>
      <c r="F883" s="82">
        <v>0.68700000000000006</v>
      </c>
      <c r="G883" s="100">
        <v>9.9989999999999996E-4</v>
      </c>
      <c r="I883" s="18">
        <f t="shared" ref="I883:J883" si="92">AVERAGE(F881:F883)</f>
        <v>0.80566666666666664</v>
      </c>
      <c r="J883" s="18">
        <f t="shared" si="92"/>
        <v>9.9989999999999996E-4</v>
      </c>
      <c r="L883">
        <f t="shared" ref="L883" si="93">+J883/I883</f>
        <v>1.241083988415391E-3</v>
      </c>
      <c r="M883">
        <f t="shared" ref="M883" si="94">+(L883-$L$927)/$L$928</f>
        <v>-0.41089446704292126</v>
      </c>
      <c r="N883">
        <f t="shared" ref="N883" si="95">+N880+M883</f>
        <v>-2.4795299871026839</v>
      </c>
    </row>
    <row r="884" spans="1:14">
      <c r="A884" s="8">
        <v>6</v>
      </c>
      <c r="B884" s="75">
        <v>45261</v>
      </c>
      <c r="C884">
        <v>2023</v>
      </c>
      <c r="D884" s="11" t="s">
        <v>38</v>
      </c>
      <c r="E884" s="15">
        <v>12</v>
      </c>
      <c r="F884" s="82">
        <v>1.716</v>
      </c>
      <c r="G884" s="82">
        <v>1.4E-2</v>
      </c>
    </row>
    <row r="885" spans="1:14">
      <c r="A885" s="8">
        <v>8</v>
      </c>
      <c r="B885" s="74">
        <v>45261</v>
      </c>
      <c r="C885">
        <v>2023</v>
      </c>
      <c r="D885" s="11" t="s">
        <v>38</v>
      </c>
      <c r="E885" s="15">
        <v>12</v>
      </c>
      <c r="F885" s="82">
        <v>0.36099999999999999</v>
      </c>
      <c r="G885" s="82">
        <v>0.01</v>
      </c>
    </row>
    <row r="886" spans="1:14">
      <c r="A886" s="8">
        <v>15</v>
      </c>
      <c r="B886" s="74">
        <v>45261</v>
      </c>
      <c r="C886">
        <v>2023</v>
      </c>
      <c r="D886" s="11" t="s">
        <v>38</v>
      </c>
      <c r="E886" s="15">
        <v>12</v>
      </c>
      <c r="F886" s="82">
        <v>1.167</v>
      </c>
      <c r="G886" s="82">
        <v>0.01</v>
      </c>
      <c r="I886" s="18">
        <f t="shared" ref="I886:J886" si="96">AVERAGE(F884:F886)</f>
        <v>1.0813333333333333</v>
      </c>
      <c r="J886" s="18">
        <f t="shared" si="96"/>
        <v>1.1333333333333334E-2</v>
      </c>
      <c r="L886">
        <f t="shared" ref="L886" si="97">+J886/I886</f>
        <v>1.0480887792848337E-2</v>
      </c>
      <c r="M886">
        <f t="shared" ref="M886" si="98">+(L886-$L$927)/$L$928</f>
        <v>-0.19653576510944418</v>
      </c>
      <c r="N886">
        <f t="shared" ref="N886" si="99">+N883+M886</f>
        <v>-2.6760657522121281</v>
      </c>
    </row>
    <row r="887" spans="1:14">
      <c r="A887" s="97">
        <v>6</v>
      </c>
      <c r="B887" s="93">
        <v>45292</v>
      </c>
      <c r="C887" s="94">
        <v>2024</v>
      </c>
      <c r="D887" s="95" t="s">
        <v>39</v>
      </c>
      <c r="E887" s="96">
        <v>1</v>
      </c>
      <c r="F887" s="82">
        <v>1.3340000000000001</v>
      </c>
      <c r="G887" s="82">
        <v>0.01</v>
      </c>
    </row>
    <row r="888" spans="1:14">
      <c r="A888" s="8">
        <v>8</v>
      </c>
      <c r="B888" s="76">
        <v>45292</v>
      </c>
      <c r="C888">
        <v>2024</v>
      </c>
      <c r="D888" s="11" t="s">
        <v>39</v>
      </c>
      <c r="E888" s="15">
        <v>1</v>
      </c>
      <c r="F888" s="82">
        <v>1.147</v>
      </c>
      <c r="G888" s="82">
        <v>8.0000000000000002E-3</v>
      </c>
    </row>
    <row r="889" spans="1:14">
      <c r="A889" s="8">
        <v>15</v>
      </c>
      <c r="B889" s="76">
        <v>45292</v>
      </c>
      <c r="C889">
        <v>2024</v>
      </c>
      <c r="D889" s="11" t="s">
        <v>39</v>
      </c>
      <c r="E889" s="15">
        <v>1</v>
      </c>
      <c r="F889" s="82">
        <v>0.875</v>
      </c>
      <c r="G889" s="82">
        <v>8.9999999999999993E-3</v>
      </c>
      <c r="I889" s="18">
        <f t="shared" ref="I889:J889" si="100">AVERAGE(F887:F889)</f>
        <v>1.1186666666666667</v>
      </c>
      <c r="J889" s="18">
        <f t="shared" si="100"/>
        <v>9.0000000000000011E-3</v>
      </c>
      <c r="L889">
        <f t="shared" ref="L889" si="101">+J889/I889</f>
        <v>8.045292014302742E-3</v>
      </c>
      <c r="M889">
        <f t="shared" ref="M889" si="102">+(L889-$L$927)/$L$928</f>
        <v>-0.25304033604775877</v>
      </c>
      <c r="N889">
        <f t="shared" ref="N889" si="103">+N886+M889</f>
        <v>-2.9291060882598869</v>
      </c>
    </row>
    <row r="890" spans="1:14">
      <c r="A890" s="8">
        <v>6</v>
      </c>
      <c r="B890" s="74">
        <v>45323</v>
      </c>
      <c r="C890">
        <v>2024</v>
      </c>
      <c r="D890" s="11" t="s">
        <v>28</v>
      </c>
      <c r="E890" s="15">
        <v>2</v>
      </c>
    </row>
    <row r="891" spans="1:14">
      <c r="A891" s="8">
        <v>8</v>
      </c>
      <c r="B891" s="74">
        <v>45323</v>
      </c>
      <c r="C891">
        <v>2024</v>
      </c>
      <c r="D891" s="11" t="s">
        <v>28</v>
      </c>
      <c r="E891" s="15">
        <v>2</v>
      </c>
    </row>
    <row r="892" spans="1:14">
      <c r="A892" s="8">
        <v>15</v>
      </c>
      <c r="B892" s="74">
        <v>45323</v>
      </c>
      <c r="C892">
        <v>2024</v>
      </c>
      <c r="D892" s="11" t="s">
        <v>28</v>
      </c>
      <c r="E892" s="15">
        <v>2</v>
      </c>
      <c r="I892" s="18"/>
      <c r="J892" s="18"/>
    </row>
    <row r="893" spans="1:14">
      <c r="A893" s="8">
        <v>6</v>
      </c>
      <c r="B893" s="74">
        <v>45352</v>
      </c>
      <c r="C893">
        <v>2024</v>
      </c>
      <c r="D893" s="11" t="s">
        <v>29</v>
      </c>
      <c r="E893" s="15">
        <v>3</v>
      </c>
    </row>
    <row r="894" spans="1:14">
      <c r="A894" s="8">
        <v>8</v>
      </c>
      <c r="B894" s="74">
        <v>45352</v>
      </c>
      <c r="C894">
        <v>2024</v>
      </c>
      <c r="D894" s="11" t="s">
        <v>29</v>
      </c>
      <c r="E894" s="15">
        <v>3</v>
      </c>
      <c r="F894" s="82">
        <v>0.51300000000000001</v>
      </c>
      <c r="G894" s="100">
        <v>9.9989999999999996E-4</v>
      </c>
    </row>
    <row r="895" spans="1:14">
      <c r="A895" s="8">
        <v>15</v>
      </c>
      <c r="B895" s="74">
        <v>45352</v>
      </c>
      <c r="C895">
        <v>2024</v>
      </c>
      <c r="D895" s="11" t="s">
        <v>29</v>
      </c>
      <c r="E895" s="15">
        <v>3</v>
      </c>
      <c r="I895" s="18">
        <f t="shared" ref="I895:I901" si="104">AVERAGE(F893:F895)</f>
        <v>0.51300000000000001</v>
      </c>
      <c r="J895" s="18">
        <f t="shared" ref="J895" si="105">AVERAGE(G893:G895)</f>
        <v>9.9989999999999996E-4</v>
      </c>
      <c r="L895">
        <f t="shared" ref="L895" si="106">+J895/I895</f>
        <v>1.9491228070175437E-3</v>
      </c>
      <c r="M895">
        <f t="shared" ref="M895" si="107">+(L895-$L$927)/$L$928</f>
        <v>-0.39446833015879673</v>
      </c>
      <c r="N895">
        <f>+N889+M895</f>
        <v>-3.3235744184186835</v>
      </c>
    </row>
    <row r="896" spans="1:14">
      <c r="A896" s="8">
        <v>6</v>
      </c>
      <c r="B896" s="74">
        <v>45383</v>
      </c>
      <c r="C896">
        <v>2024</v>
      </c>
      <c r="D896" s="11" t="s">
        <v>30</v>
      </c>
      <c r="E896" s="15">
        <v>4</v>
      </c>
      <c r="F896" s="82">
        <v>0.79700000000000004</v>
      </c>
      <c r="G896" s="82">
        <v>8.0000000000000002E-3</v>
      </c>
    </row>
    <row r="897" spans="1:14">
      <c r="A897" s="8">
        <v>8</v>
      </c>
      <c r="B897" s="74">
        <v>45383</v>
      </c>
      <c r="C897">
        <v>2024</v>
      </c>
      <c r="D897" s="11" t="s">
        <v>30</v>
      </c>
      <c r="E897" s="15">
        <v>4</v>
      </c>
      <c r="F897" s="82">
        <v>0.436</v>
      </c>
      <c r="G897" s="100">
        <v>9.9989999999999996E-4</v>
      </c>
    </row>
    <row r="898" spans="1:14">
      <c r="A898" s="8">
        <v>15</v>
      </c>
      <c r="B898" s="74">
        <v>45383</v>
      </c>
      <c r="C898">
        <v>2024</v>
      </c>
      <c r="D898" s="11" t="s">
        <v>30</v>
      </c>
      <c r="E898" s="15">
        <v>4</v>
      </c>
      <c r="F898" s="82">
        <v>0.55400000000000005</v>
      </c>
      <c r="G898" s="100">
        <v>9.9989999999999996E-4</v>
      </c>
      <c r="I898" s="18">
        <f t="shared" si="104"/>
        <v>0.59566666666666668</v>
      </c>
      <c r="J898" s="18">
        <f t="shared" ref="J898" si="108">AVERAGE(G896:G898)</f>
        <v>3.3332666666666664E-3</v>
      </c>
      <c r="L898">
        <f t="shared" ref="L898" si="109">+J898/I898</f>
        <v>5.5958589815332952E-3</v>
      </c>
      <c r="M898">
        <f t="shared" ref="M898" si="110">+(L898-$L$927)/$L$928</f>
        <v>-0.30986592417610559</v>
      </c>
      <c r="N898">
        <f t="shared" ref="N898" si="111">+N895+M898</f>
        <v>-3.6334403425947892</v>
      </c>
    </row>
    <row r="899" spans="1:14">
      <c r="A899" s="8">
        <v>6</v>
      </c>
      <c r="B899" s="74">
        <v>45413</v>
      </c>
      <c r="C899">
        <v>2024</v>
      </c>
      <c r="D899" s="11" t="s">
        <v>31</v>
      </c>
      <c r="E899" s="15">
        <v>5</v>
      </c>
      <c r="F899" s="82">
        <v>2.819</v>
      </c>
      <c r="G899" s="100">
        <v>9.9989999999999996E-4</v>
      </c>
    </row>
    <row r="900" spans="1:14">
      <c r="A900" s="8">
        <v>8</v>
      </c>
      <c r="B900" s="74">
        <v>45413</v>
      </c>
      <c r="C900">
        <v>2024</v>
      </c>
      <c r="D900" s="11" t="s">
        <v>31</v>
      </c>
      <c r="E900" s="15">
        <v>5</v>
      </c>
      <c r="F900" s="82">
        <v>4.9580000000000002</v>
      </c>
      <c r="G900" s="82">
        <v>7.0000000000000001E-3</v>
      </c>
    </row>
    <row r="901" spans="1:14">
      <c r="A901" s="8">
        <v>15</v>
      </c>
      <c r="B901" s="74">
        <v>45413</v>
      </c>
      <c r="C901">
        <v>2024</v>
      </c>
      <c r="D901" s="11" t="s">
        <v>31</v>
      </c>
      <c r="E901" s="15">
        <v>5</v>
      </c>
      <c r="F901" s="82">
        <v>3.1850000000000001</v>
      </c>
      <c r="G901" s="100">
        <v>9.9989999999999996E-4</v>
      </c>
      <c r="I901" s="18">
        <f t="shared" si="104"/>
        <v>3.6539999999999999</v>
      </c>
      <c r="J901" s="18">
        <f t="shared" ref="J901" si="112">AVERAGE(G899:G901)</f>
        <v>2.9999333333333334E-3</v>
      </c>
      <c r="L901">
        <f t="shared" ref="L901" si="113">+J901/I901</f>
        <v>8.2099981755154176E-4</v>
      </c>
      <c r="M901">
        <f t="shared" ref="M901" si="114">+(L901-$L$927)/$L$928</f>
        <v>-0.42064020401690044</v>
      </c>
      <c r="N901">
        <f t="shared" ref="N901" si="115">+N898+M901</f>
        <v>-4.05408054661169</v>
      </c>
    </row>
    <row r="902" spans="1:14">
      <c r="A902" s="8">
        <v>6</v>
      </c>
      <c r="B902" s="74">
        <v>45444</v>
      </c>
      <c r="C902">
        <v>2024</v>
      </c>
      <c r="D902" s="11" t="s">
        <v>32</v>
      </c>
      <c r="E902" s="15">
        <v>6</v>
      </c>
      <c r="H902" s="101" t="s">
        <v>96</v>
      </c>
    </row>
    <row r="903" spans="1:14">
      <c r="A903" s="8">
        <v>8</v>
      </c>
      <c r="B903" s="74">
        <v>45444</v>
      </c>
      <c r="C903">
        <v>2024</v>
      </c>
      <c r="D903" s="11" t="s">
        <v>32</v>
      </c>
      <c r="E903" s="15">
        <v>6</v>
      </c>
      <c r="H903" s="101" t="s">
        <v>97</v>
      </c>
    </row>
    <row r="904" spans="1:14">
      <c r="A904" s="8">
        <v>15</v>
      </c>
      <c r="B904" s="74">
        <v>45444</v>
      </c>
      <c r="C904">
        <v>2024</v>
      </c>
      <c r="D904" s="11" t="s">
        <v>32</v>
      </c>
      <c r="E904" s="15">
        <v>6</v>
      </c>
    </row>
    <row r="905" spans="1:14">
      <c r="A905" s="8">
        <v>6</v>
      </c>
      <c r="B905" s="74">
        <v>45474</v>
      </c>
      <c r="C905">
        <v>2024</v>
      </c>
      <c r="D905" s="11" t="s">
        <v>33</v>
      </c>
      <c r="E905" s="15">
        <v>7</v>
      </c>
    </row>
    <row r="906" spans="1:14">
      <c r="A906" s="8">
        <v>8</v>
      </c>
      <c r="B906" s="74">
        <v>45474</v>
      </c>
      <c r="C906">
        <v>2024</v>
      </c>
      <c r="D906" s="11" t="s">
        <v>33</v>
      </c>
      <c r="E906" s="15">
        <v>7</v>
      </c>
    </row>
    <row r="907" spans="1:14">
      <c r="A907" s="8">
        <v>15</v>
      </c>
      <c r="B907" s="74">
        <v>45474</v>
      </c>
      <c r="C907">
        <v>2024</v>
      </c>
      <c r="D907" s="11" t="s">
        <v>33</v>
      </c>
      <c r="E907" s="15">
        <v>7</v>
      </c>
    </row>
    <row r="908" spans="1:14">
      <c r="A908" s="8">
        <v>6</v>
      </c>
      <c r="B908" s="74">
        <v>45505</v>
      </c>
      <c r="C908">
        <v>2024</v>
      </c>
      <c r="D908" s="11" t="s">
        <v>34</v>
      </c>
      <c r="E908" s="15">
        <v>8</v>
      </c>
    </row>
    <row r="909" spans="1:14">
      <c r="A909" s="8">
        <v>8</v>
      </c>
      <c r="B909" s="74">
        <v>45505</v>
      </c>
      <c r="C909">
        <v>2024</v>
      </c>
      <c r="D909" s="11" t="s">
        <v>34</v>
      </c>
      <c r="E909" s="15">
        <v>8</v>
      </c>
    </row>
    <row r="910" spans="1:14">
      <c r="A910" s="8">
        <v>15</v>
      </c>
      <c r="B910" s="74">
        <v>45505</v>
      </c>
      <c r="C910">
        <v>2024</v>
      </c>
      <c r="D910" s="11" t="s">
        <v>34</v>
      </c>
      <c r="E910" s="15">
        <v>8</v>
      </c>
    </row>
    <row r="911" spans="1:14">
      <c r="A911" s="8">
        <v>6</v>
      </c>
      <c r="B911" s="74">
        <v>45536</v>
      </c>
      <c r="C911">
        <v>2024</v>
      </c>
      <c r="D911" s="11" t="s">
        <v>40</v>
      </c>
      <c r="E911" s="15">
        <v>9</v>
      </c>
    </row>
    <row r="912" spans="1:14">
      <c r="A912" s="8">
        <v>8</v>
      </c>
      <c r="B912" s="74">
        <v>45536</v>
      </c>
      <c r="C912">
        <v>2024</v>
      </c>
      <c r="D912" s="11" t="s">
        <v>40</v>
      </c>
      <c r="E912" s="15">
        <v>9</v>
      </c>
    </row>
    <row r="913" spans="1:12">
      <c r="A913" s="8">
        <v>15</v>
      </c>
      <c r="B913" s="74">
        <v>45536</v>
      </c>
      <c r="C913">
        <v>2024</v>
      </c>
      <c r="D913" s="11" t="s">
        <v>40</v>
      </c>
      <c r="E913" s="15">
        <v>9</v>
      </c>
    </row>
    <row r="914" spans="1:12">
      <c r="A914" s="8">
        <v>6</v>
      </c>
      <c r="B914" s="74">
        <v>45566</v>
      </c>
      <c r="C914">
        <v>2024</v>
      </c>
      <c r="D914" s="11" t="s">
        <v>36</v>
      </c>
      <c r="E914" s="15">
        <v>10</v>
      </c>
    </row>
    <row r="915" spans="1:12">
      <c r="A915" s="8">
        <v>8</v>
      </c>
      <c r="B915" s="74">
        <v>45566</v>
      </c>
      <c r="C915">
        <v>2024</v>
      </c>
      <c r="D915" s="11" t="s">
        <v>36</v>
      </c>
      <c r="E915" s="15">
        <v>10</v>
      </c>
    </row>
    <row r="916" spans="1:12">
      <c r="A916" s="8">
        <v>15</v>
      </c>
      <c r="B916" s="74">
        <v>45566</v>
      </c>
      <c r="C916">
        <v>2024</v>
      </c>
      <c r="D916" s="11" t="s">
        <v>36</v>
      </c>
      <c r="E916" s="15">
        <v>10</v>
      </c>
    </row>
    <row r="917" spans="1:12">
      <c r="A917" s="8">
        <v>6</v>
      </c>
      <c r="B917" s="74">
        <v>45597</v>
      </c>
      <c r="C917">
        <v>2024</v>
      </c>
      <c r="D917" s="11" t="s">
        <v>37</v>
      </c>
      <c r="E917" s="15">
        <v>11</v>
      </c>
    </row>
    <row r="918" spans="1:12">
      <c r="A918" s="8">
        <v>8</v>
      </c>
      <c r="B918" s="74">
        <v>45597</v>
      </c>
      <c r="C918">
        <v>2024</v>
      </c>
      <c r="D918" s="11" t="s">
        <v>37</v>
      </c>
      <c r="E918" s="15">
        <v>11</v>
      </c>
    </row>
    <row r="919" spans="1:12">
      <c r="A919" s="8">
        <v>15</v>
      </c>
      <c r="B919" s="74">
        <v>45597</v>
      </c>
      <c r="C919">
        <v>2024</v>
      </c>
      <c r="D919" s="11" t="s">
        <v>37</v>
      </c>
      <c r="E919" s="15">
        <v>11</v>
      </c>
    </row>
    <row r="920" spans="1:12">
      <c r="A920" s="8">
        <v>6</v>
      </c>
      <c r="B920" s="75">
        <v>45627</v>
      </c>
      <c r="C920">
        <v>2024</v>
      </c>
      <c r="D920" s="11" t="s">
        <v>38</v>
      </c>
      <c r="E920" s="15">
        <v>12</v>
      </c>
    </row>
    <row r="921" spans="1:12">
      <c r="A921" s="8">
        <v>8</v>
      </c>
      <c r="B921" s="74">
        <v>45627</v>
      </c>
      <c r="C921">
        <v>2024</v>
      </c>
      <c r="D921" s="11" t="s">
        <v>38</v>
      </c>
      <c r="E921" s="15">
        <v>12</v>
      </c>
    </row>
    <row r="922" spans="1:12">
      <c r="A922" s="8">
        <v>15</v>
      </c>
      <c r="B922" s="74">
        <v>45627</v>
      </c>
      <c r="C922">
        <v>2024</v>
      </c>
      <c r="D922" s="11" t="s">
        <v>38</v>
      </c>
      <c r="E922" s="15">
        <v>12</v>
      </c>
    </row>
    <row r="927" spans="1:12">
      <c r="K927" s="92" t="s">
        <v>86</v>
      </c>
      <c r="L927" s="92">
        <f>AVERAGE(L4:L922)</f>
        <v>1.89524445516168E-2</v>
      </c>
    </row>
    <row r="928" spans="1:12">
      <c r="K928" s="92" t="s">
        <v>87</v>
      </c>
      <c r="L928" s="92">
        <f>STDEV(L4:L922)</f>
        <v>4.3104402672210509E-2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2BD80-1E36-EA43-99AC-9B9F659E0259}">
  <sheetPr>
    <tabColor theme="9" tint="0.39997558519241921"/>
  </sheetPr>
  <dimension ref="A1:Q928"/>
  <sheetViews>
    <sheetView workbookViewId="0">
      <pane ySplit="2" topLeftCell="A734" activePane="bottomLeft" state="frozen"/>
      <selection pane="bottomLeft" activeCell="O743" sqref="O743"/>
    </sheetView>
  </sheetViews>
  <sheetFormatPr defaultColWidth="11.42578125" defaultRowHeight="15"/>
  <cols>
    <col min="2" max="2" width="10.85546875" style="73"/>
    <col min="14" max="14" width="12.7109375" bestFit="1" customWidth="1"/>
  </cols>
  <sheetData>
    <row r="1" spans="1:17" ht="18">
      <c r="F1" s="1" t="s">
        <v>0</v>
      </c>
      <c r="G1" s="1" t="s">
        <v>1</v>
      </c>
      <c r="I1" s="1" t="s">
        <v>79</v>
      </c>
    </row>
    <row r="2" spans="1:17">
      <c r="A2" s="2" t="s">
        <v>2</v>
      </c>
      <c r="B2" s="76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8</v>
      </c>
      <c r="I2" s="6" t="s">
        <v>7</v>
      </c>
      <c r="J2" s="6" t="s">
        <v>80</v>
      </c>
      <c r="L2" s="70" t="s">
        <v>81</v>
      </c>
      <c r="M2" s="71" t="s">
        <v>88</v>
      </c>
      <c r="N2" s="71" t="s">
        <v>82</v>
      </c>
    </row>
    <row r="3" spans="1:17">
      <c r="A3" s="8">
        <v>6</v>
      </c>
      <c r="B3" s="77">
        <v>36445</v>
      </c>
      <c r="C3" s="10">
        <v>1999</v>
      </c>
      <c r="D3" s="11" t="s">
        <v>14</v>
      </c>
      <c r="E3" s="12">
        <v>10</v>
      </c>
      <c r="F3" s="13">
        <v>3.5698365161440249</v>
      </c>
      <c r="G3" s="13">
        <v>3.7162682833333335E-2</v>
      </c>
    </row>
    <row r="4" spans="1:17">
      <c r="A4" s="8">
        <v>8</v>
      </c>
      <c r="B4" s="77">
        <v>36446</v>
      </c>
      <c r="C4" s="10">
        <v>1999</v>
      </c>
      <c r="D4" s="11" t="s">
        <v>14</v>
      </c>
      <c r="E4" s="12">
        <v>10</v>
      </c>
      <c r="F4" s="13">
        <v>0.68411831495979114</v>
      </c>
      <c r="G4" s="13">
        <v>0</v>
      </c>
    </row>
    <row r="5" spans="1:17">
      <c r="A5" s="8">
        <v>15</v>
      </c>
      <c r="B5" s="77">
        <v>36445</v>
      </c>
      <c r="C5" s="10">
        <v>1999</v>
      </c>
      <c r="D5" s="11" t="s">
        <v>14</v>
      </c>
      <c r="E5" s="12">
        <v>10</v>
      </c>
      <c r="F5" s="13">
        <v>2.1260596804117222</v>
      </c>
      <c r="G5" s="13">
        <v>0</v>
      </c>
      <c r="I5" s="18">
        <f>AVERAGE(F3:F5)</f>
        <v>2.1266715038385127</v>
      </c>
      <c r="J5" s="18">
        <f>AVERAGE(G3:G5)</f>
        <v>1.2387560944444445E-2</v>
      </c>
      <c r="L5">
        <f>+J5/I5</f>
        <v>5.8248586686216706E-3</v>
      </c>
      <c r="M5">
        <f>+(L5-$L$927)/$L$928</f>
        <v>-0.60579920384714958</v>
      </c>
      <c r="N5">
        <f>+M5</f>
        <v>-0.60579920384714958</v>
      </c>
      <c r="Q5" t="s">
        <v>90</v>
      </c>
    </row>
    <row r="6" spans="1:17">
      <c r="A6" s="8">
        <v>6</v>
      </c>
      <c r="B6" s="77">
        <v>36472</v>
      </c>
      <c r="C6" s="10">
        <v>1999</v>
      </c>
      <c r="D6" s="11" t="s">
        <v>16</v>
      </c>
      <c r="E6" s="10">
        <v>11</v>
      </c>
      <c r="F6" s="13">
        <v>2.4054250359482343</v>
      </c>
      <c r="G6" s="13">
        <v>2.42904075E-2</v>
      </c>
    </row>
    <row r="7" spans="1:17">
      <c r="A7" s="8">
        <v>8</v>
      </c>
      <c r="B7" s="77">
        <v>36473</v>
      </c>
      <c r="C7" s="10">
        <v>1999</v>
      </c>
      <c r="D7" s="11" t="s">
        <v>16</v>
      </c>
      <c r="E7" s="10">
        <v>11</v>
      </c>
      <c r="F7" s="13">
        <v>0.3110645838477441</v>
      </c>
      <c r="G7" s="13">
        <v>0</v>
      </c>
    </row>
    <row r="8" spans="1:17">
      <c r="A8" s="8">
        <v>15</v>
      </c>
      <c r="B8" s="77">
        <v>36472</v>
      </c>
      <c r="C8" s="10">
        <v>1999</v>
      </c>
      <c r="D8" s="11" t="s">
        <v>16</v>
      </c>
      <c r="E8" s="10">
        <v>11</v>
      </c>
      <c r="F8" s="13">
        <v>1.3858617673943463</v>
      </c>
      <c r="G8" s="13">
        <v>1.6835813999999998E-2</v>
      </c>
      <c r="I8" s="18">
        <f>AVERAGE(F6:F8)</f>
        <v>1.3674504623967749</v>
      </c>
      <c r="J8" s="18">
        <f>AVERAGE(G6:G8)</f>
        <v>1.3708740499999999E-2</v>
      </c>
      <c r="L8">
        <f>+J8/I8</f>
        <v>1.0025036282464114E-2</v>
      </c>
      <c r="M8">
        <f>+(L8-$L$927)/$L$928</f>
        <v>-0.47302919521984055</v>
      </c>
      <c r="N8">
        <f>+N5+M8</f>
        <v>-1.0788283990669902</v>
      </c>
    </row>
    <row r="9" spans="1:17">
      <c r="A9" s="8">
        <v>6</v>
      </c>
      <c r="B9" s="77">
        <v>36501</v>
      </c>
      <c r="C9" s="10">
        <v>1999</v>
      </c>
      <c r="D9" s="11" t="s">
        <v>17</v>
      </c>
      <c r="E9" s="10">
        <v>12</v>
      </c>
      <c r="F9" s="13">
        <v>4.7679182065098988</v>
      </c>
      <c r="G9" s="13">
        <v>5.5952682666666663E-2</v>
      </c>
    </row>
    <row r="10" spans="1:17">
      <c r="A10" s="8">
        <v>8</v>
      </c>
      <c r="B10" s="77">
        <v>36502</v>
      </c>
      <c r="C10" s="10">
        <v>1999</v>
      </c>
      <c r="D10" s="11" t="s">
        <v>17</v>
      </c>
      <c r="E10" s="10">
        <v>12</v>
      </c>
      <c r="F10" s="13">
        <v>0.21161475257447457</v>
      </c>
      <c r="G10" s="13">
        <v>0</v>
      </c>
    </row>
    <row r="11" spans="1:17">
      <c r="A11" s="8">
        <v>15</v>
      </c>
      <c r="B11" s="77">
        <v>36501</v>
      </c>
      <c r="C11" s="10">
        <v>1999</v>
      </c>
      <c r="D11" s="11" t="s">
        <v>17</v>
      </c>
      <c r="E11" s="10">
        <v>12</v>
      </c>
      <c r="F11" s="13">
        <v>3.2797970689479876</v>
      </c>
      <c r="G11" s="13">
        <v>0.33146381550000004</v>
      </c>
      <c r="I11" s="18">
        <f>AVERAGE(F9:F11)</f>
        <v>2.7531100093441201</v>
      </c>
      <c r="J11" s="18">
        <f>AVERAGE(G9:G11)</f>
        <v>0.12913883272222224</v>
      </c>
      <c r="L11">
        <f>+J11/I11</f>
        <v>4.6906528356630138E-2</v>
      </c>
      <c r="M11">
        <f>+(L11-$L$927)/$L$928</f>
        <v>0.69281579303420615</v>
      </c>
      <c r="N11">
        <f>+N8+M11</f>
        <v>-0.38601260603278409</v>
      </c>
    </row>
    <row r="12" spans="1:17">
      <c r="A12" s="8">
        <v>6</v>
      </c>
      <c r="B12" s="77">
        <v>36530</v>
      </c>
      <c r="C12" s="12">
        <v>2000</v>
      </c>
      <c r="D12" s="11" t="s">
        <v>18</v>
      </c>
      <c r="E12" s="10">
        <v>1</v>
      </c>
      <c r="F12" s="13">
        <v>3.2113695330360645</v>
      </c>
      <c r="G12" s="13">
        <v>0.10454679900000001</v>
      </c>
    </row>
    <row r="13" spans="1:17">
      <c r="A13" s="8">
        <v>8</v>
      </c>
      <c r="B13" s="77">
        <v>36531</v>
      </c>
      <c r="C13" s="12">
        <v>2000</v>
      </c>
      <c r="D13" s="11" t="s">
        <v>18</v>
      </c>
      <c r="E13" s="10">
        <v>1</v>
      </c>
      <c r="F13" s="13">
        <v>0.42222455228107891</v>
      </c>
      <c r="G13" s="13">
        <v>7.935359166666666E-3</v>
      </c>
    </row>
    <row r="14" spans="1:17">
      <c r="A14" s="8">
        <v>15</v>
      </c>
      <c r="B14" s="77">
        <v>36530</v>
      </c>
      <c r="C14" s="12">
        <v>2000</v>
      </c>
      <c r="D14" s="11" t="s">
        <v>18</v>
      </c>
      <c r="E14" s="10">
        <v>1</v>
      </c>
      <c r="F14" s="13">
        <v>2.4582124693169112</v>
      </c>
      <c r="G14" s="13">
        <v>6.4497345500000011E-2</v>
      </c>
      <c r="I14" s="18">
        <f>AVERAGE(F12:F14)</f>
        <v>2.0306021848780182</v>
      </c>
      <c r="J14" s="18">
        <f>AVERAGE(G12:G14)</f>
        <v>5.8993167888888899E-2</v>
      </c>
      <c r="L14">
        <f>+J14/I14</f>
        <v>2.9052055753812124E-2</v>
      </c>
      <c r="M14">
        <f>+(L14-$L$927)/$L$928</f>
        <v>0.12842573636144466</v>
      </c>
      <c r="N14">
        <f>+N11+M14</f>
        <v>-0.25758686967133942</v>
      </c>
    </row>
    <row r="15" spans="1:17">
      <c r="A15" s="8">
        <v>6</v>
      </c>
      <c r="B15" s="77">
        <v>36579</v>
      </c>
      <c r="C15" s="12">
        <v>2000</v>
      </c>
      <c r="D15" s="11" t="s">
        <v>19</v>
      </c>
      <c r="E15" s="12">
        <v>2</v>
      </c>
      <c r="F15" s="13">
        <v>2.0140819848751135</v>
      </c>
      <c r="G15" s="13">
        <v>4.8594443333333334E-2</v>
      </c>
    </row>
    <row r="16" spans="1:17">
      <c r="A16" s="8">
        <v>8</v>
      </c>
      <c r="B16" s="77">
        <v>36578</v>
      </c>
      <c r="C16" s="12">
        <v>2000</v>
      </c>
      <c r="D16" s="11" t="s">
        <v>19</v>
      </c>
      <c r="E16" s="12">
        <v>2</v>
      </c>
      <c r="F16" s="13">
        <v>2.3171913009145619</v>
      </c>
      <c r="G16" s="13">
        <v>3.6569745500000007E-2</v>
      </c>
    </row>
    <row r="17" spans="1:14">
      <c r="A17" s="8">
        <v>15</v>
      </c>
      <c r="B17" s="77">
        <v>36579</v>
      </c>
      <c r="C17" s="12">
        <v>2000</v>
      </c>
      <c r="D17" s="11" t="s">
        <v>19</v>
      </c>
      <c r="E17" s="12">
        <v>2</v>
      </c>
      <c r="F17" s="13">
        <v>2.1126904269730375</v>
      </c>
      <c r="G17" s="13">
        <v>7.7777841833333333E-2</v>
      </c>
      <c r="I17" s="18">
        <f>AVERAGE(F15:F17)</f>
        <v>2.1479879042542378</v>
      </c>
      <c r="J17" s="18">
        <f>AVERAGE(G15:G17)</f>
        <v>5.431401022222223E-2</v>
      </c>
      <c r="L17">
        <f>+J17/I17</f>
        <v>2.5285994448408948E-2</v>
      </c>
      <c r="M17">
        <f>+(L17-$L$927)/$L$928</f>
        <v>9.3783917059595424E-3</v>
      </c>
      <c r="N17">
        <f>+N14+M17</f>
        <v>-0.24820847796537987</v>
      </c>
    </row>
    <row r="18" spans="1:14">
      <c r="A18" s="8">
        <v>6</v>
      </c>
      <c r="B18" s="77">
        <v>36598</v>
      </c>
      <c r="C18" s="12">
        <v>2000</v>
      </c>
      <c r="D18" s="11" t="s">
        <v>20</v>
      </c>
      <c r="E18" s="12">
        <v>3</v>
      </c>
      <c r="F18" s="13">
        <v>2.4864958323771345</v>
      </c>
      <c r="G18" s="13">
        <v>2.6547783666666668E-2</v>
      </c>
    </row>
    <row r="19" spans="1:14">
      <c r="A19" s="8">
        <v>8</v>
      </c>
      <c r="B19" s="77">
        <v>36599</v>
      </c>
      <c r="C19" s="12">
        <v>2000</v>
      </c>
      <c r="D19" s="11" t="s">
        <v>20</v>
      </c>
      <c r="E19" s="12">
        <v>3</v>
      </c>
      <c r="F19" s="13">
        <v>0.61220145148561822</v>
      </c>
      <c r="G19" s="13">
        <v>1.4866624666666666E-2</v>
      </c>
    </row>
    <row r="20" spans="1:14">
      <c r="A20" s="8">
        <v>15</v>
      </c>
      <c r="B20" s="77">
        <v>36598</v>
      </c>
      <c r="C20" s="12">
        <v>2000</v>
      </c>
      <c r="D20" s="11" t="s">
        <v>20</v>
      </c>
      <c r="E20" s="12">
        <v>3</v>
      </c>
      <c r="F20" s="13">
        <v>1.8999130352897891</v>
      </c>
      <c r="G20" s="13">
        <v>0</v>
      </c>
      <c r="I20" s="18">
        <f>AVERAGE(F18:F20)</f>
        <v>1.6662034397175141</v>
      </c>
      <c r="J20" s="18">
        <f>AVERAGE(G18:G20)</f>
        <v>1.3804802777777778E-2</v>
      </c>
      <c r="L20">
        <f>+J20/I20</f>
        <v>8.2851844190876388E-3</v>
      </c>
      <c r="M20">
        <f>+(L20-$L$927)/$L$928</f>
        <v>-0.5280269043999074</v>
      </c>
      <c r="N20">
        <f>+N17+M20</f>
        <v>-0.77623538236528722</v>
      </c>
    </row>
    <row r="21" spans="1:14">
      <c r="A21" s="8">
        <v>6</v>
      </c>
      <c r="B21" s="77">
        <v>36627</v>
      </c>
      <c r="C21" s="12">
        <v>2000</v>
      </c>
      <c r="D21" s="15" t="s">
        <v>21</v>
      </c>
      <c r="E21" s="12">
        <v>4</v>
      </c>
      <c r="F21" s="13">
        <v>5.022326198879675</v>
      </c>
      <c r="G21" s="13">
        <v>7.0578505666666652E-2</v>
      </c>
    </row>
    <row r="22" spans="1:14">
      <c r="A22" s="8">
        <v>8</v>
      </c>
      <c r="B22" s="77">
        <v>36626</v>
      </c>
      <c r="C22" s="12">
        <v>2000</v>
      </c>
      <c r="D22" s="15" t="s">
        <v>21</v>
      </c>
      <c r="E22" s="12">
        <v>4</v>
      </c>
      <c r="F22" s="13">
        <v>1.2058709934784821</v>
      </c>
      <c r="G22" s="13">
        <v>5.5080586500000001E-2</v>
      </c>
    </row>
    <row r="23" spans="1:14">
      <c r="A23" s="8">
        <v>15</v>
      </c>
      <c r="B23" s="77">
        <v>36627</v>
      </c>
      <c r="C23" s="12">
        <v>2000</v>
      </c>
      <c r="D23" s="15" t="s">
        <v>21</v>
      </c>
      <c r="E23" s="12">
        <v>4</v>
      </c>
      <c r="F23" s="13">
        <v>1.4114651038746628</v>
      </c>
      <c r="G23" s="13">
        <v>2.1937004E-2</v>
      </c>
      <c r="I23" s="18">
        <f>AVERAGE(F21:F23)</f>
        <v>2.5465540987442736</v>
      </c>
      <c r="J23" s="18">
        <f>AVERAGE(G21:G23)</f>
        <v>4.9198698722222219E-2</v>
      </c>
      <c r="L23">
        <f>+J23/I23</f>
        <v>1.9319714726061581E-2</v>
      </c>
      <c r="M23">
        <f>+(L23-$L$927)/$L$928</f>
        <v>-0.17921911131351961</v>
      </c>
      <c r="N23">
        <f>+N20+M23</f>
        <v>-0.95545449367880686</v>
      </c>
    </row>
    <row r="24" spans="1:14">
      <c r="A24" s="8">
        <v>6</v>
      </c>
      <c r="B24" s="77">
        <v>36662</v>
      </c>
      <c r="C24" s="12">
        <v>2000</v>
      </c>
      <c r="D24" s="15" t="s">
        <v>22</v>
      </c>
      <c r="E24" s="12">
        <v>5</v>
      </c>
      <c r="F24" s="13">
        <v>11.531826484625775</v>
      </c>
      <c r="G24" s="13">
        <v>0.14703336266666667</v>
      </c>
    </row>
    <row r="25" spans="1:14">
      <c r="A25" s="8">
        <v>8</v>
      </c>
      <c r="B25" s="77">
        <v>36663</v>
      </c>
      <c r="C25" s="12">
        <v>2000</v>
      </c>
      <c r="D25" s="15" t="s">
        <v>22</v>
      </c>
      <c r="E25" s="12">
        <v>5</v>
      </c>
      <c r="F25" s="13">
        <v>1.1071352573506272</v>
      </c>
      <c r="G25" s="13">
        <v>0</v>
      </c>
    </row>
    <row r="26" spans="1:14">
      <c r="A26" s="8">
        <v>15</v>
      </c>
      <c r="B26" s="77">
        <v>36662</v>
      </c>
      <c r="C26" s="12">
        <v>2000</v>
      </c>
      <c r="D26" s="15" t="s">
        <v>22</v>
      </c>
      <c r="E26" s="12">
        <v>5</v>
      </c>
      <c r="F26" s="13">
        <v>8.2380986981171329</v>
      </c>
      <c r="G26" s="13">
        <v>0.11640378833333333</v>
      </c>
      <c r="I26" s="18">
        <f>AVERAGE(F24:F26)</f>
        <v>6.9590201466978456</v>
      </c>
      <c r="J26" s="18">
        <f>AVERAGE(G24:G26)</f>
        <v>8.781238366666666E-2</v>
      </c>
      <c r="L26">
        <f>+J26/I26</f>
        <v>1.261849826779635E-2</v>
      </c>
      <c r="M26">
        <f>+(L26-$L$927)/$L$928</f>
        <v>-0.39104838349598764</v>
      </c>
      <c r="N26">
        <f>+N23+M26</f>
        <v>-1.3465028771747944</v>
      </c>
    </row>
    <row r="27" spans="1:14">
      <c r="A27" s="8">
        <v>6</v>
      </c>
      <c r="B27" s="77">
        <v>36690</v>
      </c>
      <c r="C27" s="12">
        <v>2000</v>
      </c>
      <c r="D27" s="15" t="s">
        <v>23</v>
      </c>
      <c r="E27" s="12">
        <v>6</v>
      </c>
      <c r="F27" s="13">
        <v>13.424318765220505</v>
      </c>
      <c r="G27" s="13">
        <v>6.723905166666666E-2</v>
      </c>
    </row>
    <row r="28" spans="1:14">
      <c r="A28" s="8">
        <v>8</v>
      </c>
      <c r="B28" s="77">
        <v>36692</v>
      </c>
      <c r="C28" s="12">
        <v>2000</v>
      </c>
      <c r="D28" s="15" t="s">
        <v>23</v>
      </c>
      <c r="E28" s="12">
        <v>6</v>
      </c>
      <c r="F28" s="13">
        <v>1.1666711014926385</v>
      </c>
      <c r="G28" s="13">
        <v>0</v>
      </c>
    </row>
    <row r="29" spans="1:14">
      <c r="A29" s="8">
        <v>15</v>
      </c>
      <c r="B29" s="77">
        <v>36690</v>
      </c>
      <c r="C29" s="12">
        <v>2000</v>
      </c>
      <c r="D29" s="15" t="s">
        <v>23</v>
      </c>
      <c r="E29" s="12">
        <v>6</v>
      </c>
      <c r="F29" s="13">
        <v>11.750560627847415</v>
      </c>
      <c r="G29" s="13">
        <v>8.3240182666666662E-2</v>
      </c>
      <c r="I29" s="18">
        <f>AVERAGE(F27:F29)</f>
        <v>8.7805168315201865</v>
      </c>
      <c r="J29" s="18">
        <f>AVERAGE(G27:G29)</f>
        <v>5.0159744777777772E-2</v>
      </c>
      <c r="L29">
        <f>+J29/I29</f>
        <v>5.7126187148477375E-3</v>
      </c>
      <c r="M29">
        <f>+(L29-$L$927)/$L$928</f>
        <v>-0.60934717276679262</v>
      </c>
      <c r="N29">
        <f>+N26+M29</f>
        <v>-1.9558500499415872</v>
      </c>
    </row>
    <row r="30" spans="1:14">
      <c r="A30" s="8">
        <v>6</v>
      </c>
      <c r="B30" s="77">
        <v>36718</v>
      </c>
      <c r="C30" s="12">
        <v>2000</v>
      </c>
      <c r="D30" s="15" t="s">
        <v>24</v>
      </c>
      <c r="E30" s="12">
        <v>7</v>
      </c>
      <c r="F30" s="13">
        <v>7.6221527313395994</v>
      </c>
      <c r="G30" s="13">
        <v>9.5779926666666668E-2</v>
      </c>
    </row>
    <row r="31" spans="1:14">
      <c r="A31" s="8">
        <v>8</v>
      </c>
      <c r="B31" s="77">
        <v>36719</v>
      </c>
      <c r="C31" s="12">
        <v>2000</v>
      </c>
      <c r="D31" s="15" t="s">
        <v>24</v>
      </c>
      <c r="E31" s="12">
        <v>7</v>
      </c>
      <c r="F31" s="13">
        <v>1.0363606903029337</v>
      </c>
      <c r="G31" s="13">
        <v>5.7954068166666664E-2</v>
      </c>
    </row>
    <row r="32" spans="1:14">
      <c r="A32" s="8">
        <v>15</v>
      </c>
      <c r="B32" s="77">
        <v>36718</v>
      </c>
      <c r="C32" s="12">
        <v>2000</v>
      </c>
      <c r="D32" s="15" t="s">
        <v>24</v>
      </c>
      <c r="E32" s="12">
        <v>7</v>
      </c>
      <c r="F32" s="13">
        <v>7.445195757866248</v>
      </c>
      <c r="G32" s="13">
        <v>0.1653693416666667</v>
      </c>
      <c r="I32" s="18">
        <f>AVERAGE(F30:F32)</f>
        <v>5.3679030598362614</v>
      </c>
      <c r="J32" s="18">
        <f>AVERAGE(G30:G32)</f>
        <v>0.10636777883333333</v>
      </c>
      <c r="L32">
        <f>+J32/I32</f>
        <v>1.9815517837719277E-2</v>
      </c>
      <c r="M32">
        <f>+(L32-$L$927)/$L$928</f>
        <v>-0.16354649232824345</v>
      </c>
      <c r="N32">
        <f>+N29+M32</f>
        <v>-2.1193965422698304</v>
      </c>
    </row>
    <row r="33" spans="1:14">
      <c r="A33" s="8">
        <v>6</v>
      </c>
      <c r="B33" s="77">
        <v>36753</v>
      </c>
      <c r="C33" s="12">
        <v>2000</v>
      </c>
      <c r="D33" s="15" t="s">
        <v>25</v>
      </c>
      <c r="E33" s="12">
        <v>8</v>
      </c>
      <c r="F33" s="13">
        <v>12.145540664255593</v>
      </c>
      <c r="G33" s="13">
        <v>0.2813131213333333</v>
      </c>
    </row>
    <row r="34" spans="1:14">
      <c r="A34" s="8">
        <v>8</v>
      </c>
      <c r="B34" s="77">
        <v>36755</v>
      </c>
      <c r="C34" s="12">
        <v>2000</v>
      </c>
      <c r="D34" s="15" t="s">
        <v>25</v>
      </c>
      <c r="E34" s="12">
        <v>8</v>
      </c>
      <c r="F34" s="13">
        <v>1.4275565005543536</v>
      </c>
      <c r="G34" s="13">
        <v>0</v>
      </c>
    </row>
    <row r="35" spans="1:14">
      <c r="A35" s="8">
        <v>15</v>
      </c>
      <c r="B35" s="77">
        <v>36753</v>
      </c>
      <c r="C35" s="12">
        <v>2000</v>
      </c>
      <c r="D35" s="15" t="s">
        <v>25</v>
      </c>
      <c r="E35" s="12">
        <v>8</v>
      </c>
      <c r="F35" s="13">
        <v>16.704231616920122</v>
      </c>
      <c r="G35" s="13">
        <v>0.19273199483333334</v>
      </c>
      <c r="I35" s="18">
        <f>AVERAGE(F33:F35)</f>
        <v>10.092442927243356</v>
      </c>
      <c r="J35" s="18">
        <f>AVERAGE(G33:G35)</f>
        <v>0.15801503872222222</v>
      </c>
      <c r="L35">
        <f>+J35/I35</f>
        <v>1.5656768124561727E-2</v>
      </c>
      <c r="M35">
        <f>+(L35-$L$927)/$L$928</f>
        <v>-0.29500694139949535</v>
      </c>
      <c r="N35">
        <f>+N32+M35</f>
        <v>-2.414403483669326</v>
      </c>
    </row>
    <row r="36" spans="1:14">
      <c r="A36" s="8">
        <v>6</v>
      </c>
      <c r="B36" s="77">
        <v>36781</v>
      </c>
      <c r="C36" s="12">
        <v>2000</v>
      </c>
      <c r="D36" s="15" t="s">
        <v>26</v>
      </c>
      <c r="E36" s="12">
        <v>9</v>
      </c>
      <c r="F36" s="13">
        <v>5.2565427098916953</v>
      </c>
      <c r="G36" s="13">
        <v>0.15664878083333333</v>
      </c>
    </row>
    <row r="37" spans="1:14">
      <c r="A37" s="8">
        <v>8</v>
      </c>
      <c r="B37" s="77">
        <v>36783</v>
      </c>
      <c r="C37" s="12">
        <v>2000</v>
      </c>
      <c r="D37" s="15" t="s">
        <v>26</v>
      </c>
      <c r="E37" s="12">
        <v>9</v>
      </c>
      <c r="F37" s="13">
        <v>1.9202883328733895</v>
      </c>
      <c r="G37" s="13">
        <v>0</v>
      </c>
    </row>
    <row r="38" spans="1:14">
      <c r="A38" s="8">
        <v>15</v>
      </c>
      <c r="B38" s="77">
        <v>36781</v>
      </c>
      <c r="C38" s="12">
        <v>2000</v>
      </c>
      <c r="D38" s="15" t="s">
        <v>26</v>
      </c>
      <c r="E38" s="12">
        <v>9</v>
      </c>
      <c r="F38" s="13">
        <v>3.4888421874924349</v>
      </c>
      <c r="G38" s="13">
        <v>0.12090103349999999</v>
      </c>
      <c r="I38" s="18">
        <f>AVERAGE(F36:F38)</f>
        <v>3.5552244100858399</v>
      </c>
      <c r="J38" s="18">
        <f>AVERAGE(G36:G38)</f>
        <v>9.2516604777777775E-2</v>
      </c>
      <c r="L38">
        <f>+J38/I38</f>
        <v>2.6022718710896786E-2</v>
      </c>
      <c r="M38">
        <f>+(L38-$L$927)/$L$928</f>
        <v>3.2666665602780372E-2</v>
      </c>
      <c r="N38">
        <f>+N35+M38</f>
        <v>-2.3817368180665457</v>
      </c>
    </row>
    <row r="39" spans="1:14">
      <c r="A39" s="8">
        <v>6</v>
      </c>
      <c r="B39" s="77">
        <v>36817</v>
      </c>
      <c r="C39" s="12">
        <v>2000</v>
      </c>
      <c r="D39" s="15" t="s">
        <v>14</v>
      </c>
      <c r="E39" s="12">
        <v>10</v>
      </c>
      <c r="F39" s="14">
        <v>3.4158372305855664</v>
      </c>
      <c r="G39" s="14">
        <v>8.5125505333333323E-2</v>
      </c>
    </row>
    <row r="40" spans="1:14">
      <c r="A40" s="8">
        <v>8</v>
      </c>
      <c r="B40" s="77">
        <v>36815</v>
      </c>
      <c r="C40" s="12">
        <v>2000</v>
      </c>
      <c r="D40" s="15" t="s">
        <v>14</v>
      </c>
      <c r="E40" s="12">
        <v>10</v>
      </c>
      <c r="F40" s="14">
        <v>0.74574838611404204</v>
      </c>
      <c r="G40" s="14">
        <v>0</v>
      </c>
    </row>
    <row r="41" spans="1:14">
      <c r="A41" s="8">
        <v>15</v>
      </c>
      <c r="B41" s="77">
        <v>36817</v>
      </c>
      <c r="C41" s="12">
        <v>2000</v>
      </c>
      <c r="D41" s="15" t="s">
        <v>14</v>
      </c>
      <c r="E41" s="12">
        <v>10</v>
      </c>
      <c r="F41" s="14">
        <v>1.4058698228589261</v>
      </c>
      <c r="G41" s="14">
        <v>1.1763138666666666E-2</v>
      </c>
      <c r="I41" s="18">
        <f>AVERAGE(F39:F41)</f>
        <v>1.8558184798528448</v>
      </c>
      <c r="J41" s="18">
        <f>AVERAGE(G39:G41)</f>
        <v>3.2296214666666663E-2</v>
      </c>
      <c r="L41">
        <f>+J41/I41</f>
        <v>1.740267974334837E-2</v>
      </c>
      <c r="M41">
        <f>+(L41-$L$927)/$L$928</f>
        <v>-0.23981767989663239</v>
      </c>
      <c r="N41">
        <f>+N38+M41</f>
        <v>-2.621554497963178</v>
      </c>
    </row>
    <row r="42" spans="1:14">
      <c r="A42" s="8">
        <v>6</v>
      </c>
      <c r="B42" s="77">
        <v>36845</v>
      </c>
      <c r="C42" s="12">
        <v>2000</v>
      </c>
      <c r="D42" s="15" t="s">
        <v>16</v>
      </c>
      <c r="E42" s="12">
        <v>11</v>
      </c>
      <c r="F42" s="14">
        <v>3.0933376734382509</v>
      </c>
      <c r="G42" s="14">
        <v>0.34038041466666669</v>
      </c>
    </row>
    <row r="43" spans="1:14">
      <c r="A43" s="8">
        <v>8</v>
      </c>
      <c r="B43" s="77">
        <v>36846</v>
      </c>
      <c r="C43" s="12">
        <v>2000</v>
      </c>
      <c r="D43" s="15" t="s">
        <v>16</v>
      </c>
      <c r="E43" s="12">
        <v>11</v>
      </c>
      <c r="F43" s="14">
        <v>0.53539094207744464</v>
      </c>
      <c r="G43" s="14">
        <v>4.7607227833333328E-2</v>
      </c>
    </row>
    <row r="44" spans="1:14">
      <c r="A44" s="8">
        <v>15</v>
      </c>
      <c r="B44" s="77">
        <v>36845</v>
      </c>
      <c r="C44" s="12">
        <v>2000</v>
      </c>
      <c r="D44" s="15" t="s">
        <v>16</v>
      </c>
      <c r="E44" s="12">
        <v>11</v>
      </c>
      <c r="F44" s="14">
        <v>1.4195202317793862</v>
      </c>
      <c r="G44" s="14">
        <v>0.130005494</v>
      </c>
      <c r="I44" s="18">
        <f>AVERAGE(F42:F44)</f>
        <v>1.682749615765027</v>
      </c>
      <c r="J44" s="18">
        <f>AVERAGE(G42:G44)</f>
        <v>0.17266437883333333</v>
      </c>
      <c r="L44">
        <f>+J44/I44</f>
        <v>0.10260847913183749</v>
      </c>
      <c r="M44">
        <f>+(L44-$L$927)/$L$928</f>
        <v>2.4535862091730043</v>
      </c>
      <c r="N44">
        <f>+N41+M44</f>
        <v>-0.16796828879017367</v>
      </c>
    </row>
    <row r="45" spans="1:14">
      <c r="A45" s="8">
        <v>6</v>
      </c>
      <c r="B45" s="77">
        <v>36871</v>
      </c>
      <c r="C45" s="12">
        <v>2000</v>
      </c>
      <c r="D45" s="15" t="s">
        <v>17</v>
      </c>
      <c r="E45" s="12">
        <v>12</v>
      </c>
      <c r="F45" s="14">
        <v>2.1850567255155466</v>
      </c>
      <c r="G45" s="14">
        <v>0.18687191633333333</v>
      </c>
    </row>
    <row r="46" spans="1:14">
      <c r="A46" s="8">
        <v>8</v>
      </c>
      <c r="B46" s="77">
        <v>36873</v>
      </c>
      <c r="C46" s="12">
        <v>2000</v>
      </c>
      <c r="D46" s="15" t="s">
        <v>17</v>
      </c>
      <c r="E46" s="12">
        <v>12</v>
      </c>
      <c r="F46" s="14">
        <v>2.077736344384836</v>
      </c>
      <c r="G46" s="14">
        <v>9.1301341833333327E-2</v>
      </c>
    </row>
    <row r="47" spans="1:14">
      <c r="A47" s="8">
        <v>15</v>
      </c>
      <c r="B47" s="77">
        <v>36871</v>
      </c>
      <c r="C47" s="12">
        <v>2000</v>
      </c>
      <c r="D47" s="15" t="s">
        <v>17</v>
      </c>
      <c r="E47" s="12">
        <v>12</v>
      </c>
      <c r="F47" s="16">
        <v>4.0582539529803396</v>
      </c>
      <c r="I47" s="18">
        <f>AVERAGE(F45:F47)</f>
        <v>2.7736823409602409</v>
      </c>
      <c r="J47" s="18">
        <f>AVERAGE(G45:G47)</f>
        <v>0.13908662908333333</v>
      </c>
      <c r="L47">
        <f>+J47/I47</f>
        <v>5.0145118288917663E-2</v>
      </c>
      <c r="M47">
        <f>+(L47-$L$927)/$L$928</f>
        <v>0.79518946690767023</v>
      </c>
      <c r="N47">
        <f>+N44+M47</f>
        <v>0.62722117811749656</v>
      </c>
    </row>
    <row r="48" spans="1:14">
      <c r="A48" s="8">
        <v>6</v>
      </c>
      <c r="B48" s="77">
        <v>36901</v>
      </c>
      <c r="C48" s="12">
        <v>2001</v>
      </c>
      <c r="D48" s="15" t="s">
        <v>18</v>
      </c>
      <c r="E48" s="12">
        <v>1</v>
      </c>
      <c r="F48" s="14">
        <v>2.7547221587334612</v>
      </c>
      <c r="G48" s="14">
        <v>0.23899976716666665</v>
      </c>
    </row>
    <row r="49" spans="1:14">
      <c r="A49" s="8">
        <v>8</v>
      </c>
      <c r="B49" s="77">
        <v>36902</v>
      </c>
      <c r="C49" s="12">
        <v>2001</v>
      </c>
      <c r="D49" s="15" t="s">
        <v>18</v>
      </c>
      <c r="E49" s="12">
        <v>1</v>
      </c>
      <c r="F49" s="14">
        <v>2.4730812884833537</v>
      </c>
      <c r="G49" s="14">
        <v>6.7604186166666663E-2</v>
      </c>
    </row>
    <row r="50" spans="1:14">
      <c r="A50" s="8">
        <v>15</v>
      </c>
      <c r="B50" s="77">
        <v>36901</v>
      </c>
      <c r="C50" s="12">
        <v>2001</v>
      </c>
      <c r="D50" s="15" t="s">
        <v>18</v>
      </c>
      <c r="E50" s="12">
        <v>1</v>
      </c>
      <c r="F50" s="14">
        <v>3.6258114287200369</v>
      </c>
      <c r="G50" s="14">
        <v>0.40016707433333332</v>
      </c>
      <c r="I50" s="18">
        <f>AVERAGE(F48:F50)</f>
        <v>2.9512049586456173</v>
      </c>
      <c r="J50" s="18">
        <f>AVERAGE(G48:G50)</f>
        <v>0.23559034255555555</v>
      </c>
      <c r="L50">
        <f>+J50/I50</f>
        <v>7.9828526265310271E-2</v>
      </c>
      <c r="M50">
        <f>+(L50-$L$927)/$L$928</f>
        <v>1.7334989136617993</v>
      </c>
      <c r="N50">
        <f>+N47+M50</f>
        <v>2.3607200917792959</v>
      </c>
    </row>
    <row r="51" spans="1:14">
      <c r="A51" s="12">
        <v>6</v>
      </c>
      <c r="B51" s="77">
        <v>36928</v>
      </c>
      <c r="C51" s="12">
        <v>2001</v>
      </c>
      <c r="D51" s="11" t="s">
        <v>19</v>
      </c>
      <c r="E51" s="12">
        <v>2</v>
      </c>
      <c r="F51" s="14">
        <v>2.3890516644127744</v>
      </c>
      <c r="G51" s="14">
        <v>0.22911262099999999</v>
      </c>
    </row>
    <row r="52" spans="1:14">
      <c r="A52" s="12">
        <v>8</v>
      </c>
      <c r="B52" s="77">
        <v>36929</v>
      </c>
      <c r="C52" s="12">
        <v>2001</v>
      </c>
      <c r="D52" s="11" t="s">
        <v>19</v>
      </c>
      <c r="E52" s="12">
        <v>2</v>
      </c>
      <c r="F52" s="14">
        <v>1.3636171179404875</v>
      </c>
      <c r="G52" s="14">
        <v>5.6799119333333328E-2</v>
      </c>
    </row>
    <row r="53" spans="1:14">
      <c r="A53" s="12">
        <v>15</v>
      </c>
      <c r="B53" s="77">
        <v>36928</v>
      </c>
      <c r="C53" s="12">
        <v>2001</v>
      </c>
      <c r="D53" s="11" t="s">
        <v>19</v>
      </c>
      <c r="E53" s="12">
        <v>2</v>
      </c>
      <c r="F53" s="14">
        <v>2.701629826425525</v>
      </c>
      <c r="G53" s="14">
        <v>0.17924025933333337</v>
      </c>
      <c r="I53" s="18">
        <f>AVERAGE(F51:F53)</f>
        <v>2.151432869592929</v>
      </c>
      <c r="J53" s="18">
        <f>AVERAGE(G51:G53)</f>
        <v>0.15505066655555558</v>
      </c>
      <c r="L53">
        <f>+J53/I53</f>
        <v>7.2068558934349922E-2</v>
      </c>
      <c r="M53">
        <f>+(L53-$L$927)/$L$928</f>
        <v>1.4882019228669976</v>
      </c>
      <c r="N53">
        <f>+N50+M53</f>
        <v>3.8489220146462935</v>
      </c>
    </row>
    <row r="54" spans="1:14">
      <c r="A54" s="8">
        <v>6</v>
      </c>
      <c r="B54" s="77">
        <v>36965</v>
      </c>
      <c r="C54" s="12">
        <v>2001</v>
      </c>
      <c r="D54" s="11" t="s">
        <v>20</v>
      </c>
      <c r="E54" s="12">
        <v>3</v>
      </c>
      <c r="F54" s="14">
        <v>2.9077453926478527</v>
      </c>
      <c r="G54" s="14">
        <v>0</v>
      </c>
    </row>
    <row r="55" spans="1:14">
      <c r="A55" s="8">
        <v>8</v>
      </c>
      <c r="B55" s="77">
        <v>36962</v>
      </c>
      <c r="C55" s="12">
        <v>2001</v>
      </c>
      <c r="D55" s="11" t="s">
        <v>20</v>
      </c>
      <c r="E55" s="12">
        <v>3</v>
      </c>
      <c r="F55" s="14">
        <v>2.191786585873297</v>
      </c>
      <c r="G55" s="14">
        <v>3.0358056000000001E-2</v>
      </c>
    </row>
    <row r="56" spans="1:14">
      <c r="A56" s="8">
        <v>15</v>
      </c>
      <c r="B56" s="77">
        <v>36964</v>
      </c>
      <c r="C56" s="12">
        <v>2001</v>
      </c>
      <c r="D56" s="11" t="s">
        <v>20</v>
      </c>
      <c r="E56" s="12">
        <v>3</v>
      </c>
      <c r="F56" s="14">
        <v>2.4905588595304975</v>
      </c>
      <c r="G56" s="14">
        <v>0</v>
      </c>
      <c r="I56" s="18">
        <f>AVERAGE(F54:F56)</f>
        <v>2.5300302793505489</v>
      </c>
      <c r="J56" s="18">
        <f>AVERAGE(G54:G56)</f>
        <v>1.0119352E-2</v>
      </c>
      <c r="L56">
        <f>+J56/I56</f>
        <v>3.9996960046650536E-3</v>
      </c>
      <c r="M56">
        <f>+(L56-$L$927)/$L$928</f>
        <v>-0.66349363606380884</v>
      </c>
      <c r="N56">
        <f>+N53+M56</f>
        <v>3.1854283785824844</v>
      </c>
    </row>
    <row r="57" spans="1:14">
      <c r="A57" s="8">
        <v>6</v>
      </c>
      <c r="B57" s="77">
        <v>37000</v>
      </c>
      <c r="C57" s="12">
        <v>2001</v>
      </c>
      <c r="D57" s="15" t="s">
        <v>21</v>
      </c>
      <c r="E57" s="12">
        <v>4</v>
      </c>
      <c r="F57" s="14">
        <v>4.814884497431553</v>
      </c>
      <c r="G57" s="14">
        <v>3.3507878333333331E-2</v>
      </c>
    </row>
    <row r="58" spans="1:14">
      <c r="A58" s="8">
        <v>8</v>
      </c>
      <c r="B58" s="77">
        <v>36998</v>
      </c>
      <c r="C58" s="12">
        <v>2001</v>
      </c>
      <c r="D58" s="15" t="s">
        <v>21</v>
      </c>
      <c r="E58" s="12">
        <v>4</v>
      </c>
      <c r="F58" s="14">
        <v>0.60571313771529633</v>
      </c>
      <c r="G58" s="14">
        <v>0</v>
      </c>
    </row>
    <row r="59" spans="1:14">
      <c r="A59" s="8">
        <v>15</v>
      </c>
      <c r="B59" s="77">
        <v>36997</v>
      </c>
      <c r="C59" s="12">
        <v>2001</v>
      </c>
      <c r="D59" s="15" t="s">
        <v>21</v>
      </c>
      <c r="E59" s="12">
        <v>4</v>
      </c>
      <c r="F59" s="14">
        <v>3.859447166535396</v>
      </c>
      <c r="G59" s="14">
        <v>4.0014568833333326E-2</v>
      </c>
      <c r="I59" s="18">
        <f>AVERAGE(F57:F59)</f>
        <v>3.0933482672274155</v>
      </c>
      <c r="J59" s="18">
        <f>AVERAGE(G57:G59)</f>
        <v>2.4507482388888887E-2</v>
      </c>
      <c r="L59">
        <f>+J59/I59</f>
        <v>7.9226392477479025E-3</v>
      </c>
      <c r="M59">
        <f>+(L59-$L$927)/$L$928</f>
        <v>-0.5394871639298684</v>
      </c>
      <c r="N59">
        <f>+N56+M59</f>
        <v>2.6459412146526162</v>
      </c>
    </row>
    <row r="60" spans="1:14">
      <c r="A60" s="8">
        <v>6</v>
      </c>
      <c r="B60" s="77">
        <v>37026</v>
      </c>
      <c r="C60" s="12">
        <v>2001</v>
      </c>
      <c r="D60" s="15" t="s">
        <v>22</v>
      </c>
      <c r="E60" s="12">
        <v>5</v>
      </c>
      <c r="F60" s="14">
        <v>6.205030488723108</v>
      </c>
      <c r="G60" s="14">
        <v>0.18255582316666666</v>
      </c>
    </row>
    <row r="61" spans="1:14">
      <c r="A61" s="8">
        <v>8</v>
      </c>
      <c r="B61" s="77">
        <v>37025</v>
      </c>
      <c r="C61" s="12">
        <v>2001</v>
      </c>
      <c r="D61" s="15" t="s">
        <v>22</v>
      </c>
      <c r="E61" s="12">
        <v>5</v>
      </c>
      <c r="F61" s="14">
        <v>0.86197970184224748</v>
      </c>
      <c r="G61" s="14">
        <v>1.9473211000000001E-2</v>
      </c>
    </row>
    <row r="62" spans="1:14">
      <c r="A62" s="8">
        <v>15</v>
      </c>
      <c r="B62" s="77">
        <v>37026</v>
      </c>
      <c r="C62" s="12">
        <v>2001</v>
      </c>
      <c r="D62" s="15" t="s">
        <v>22</v>
      </c>
      <c r="E62" s="12">
        <v>5</v>
      </c>
      <c r="F62" s="14">
        <v>3.5794526957542616</v>
      </c>
      <c r="G62" s="14">
        <v>0.14204885216666666</v>
      </c>
      <c r="I62" s="18">
        <f>AVERAGE(F60:F62)</f>
        <v>3.548820962106539</v>
      </c>
      <c r="J62" s="18">
        <f>AVERAGE(G60:G62)</f>
        <v>0.11469262877777776</v>
      </c>
      <c r="L62">
        <f>+J62/I62</f>
        <v>3.231851648827546E-2</v>
      </c>
      <c r="M62">
        <f>+(L62-$L$927)/$L$928</f>
        <v>0.23168042217905538</v>
      </c>
      <c r="N62">
        <f>+N59+M62</f>
        <v>2.8776216368316714</v>
      </c>
    </row>
    <row r="63" spans="1:14">
      <c r="A63" s="8">
        <v>6</v>
      </c>
      <c r="B63" s="77">
        <v>37055</v>
      </c>
      <c r="C63" s="12">
        <v>2001</v>
      </c>
      <c r="D63" s="15" t="s">
        <v>23</v>
      </c>
      <c r="E63" s="12">
        <v>6</v>
      </c>
      <c r="F63" s="14">
        <v>8.4036698540666652</v>
      </c>
      <c r="G63" s="14">
        <v>8.5453528833333334E-2</v>
      </c>
    </row>
    <row r="64" spans="1:14">
      <c r="A64" s="8">
        <v>8</v>
      </c>
      <c r="B64" s="77">
        <v>37054</v>
      </c>
      <c r="C64" s="12">
        <v>2001</v>
      </c>
      <c r="D64" s="15" t="s">
        <v>23</v>
      </c>
      <c r="E64" s="12">
        <v>6</v>
      </c>
      <c r="F64" s="14">
        <v>1.188037214238655</v>
      </c>
      <c r="G64" s="14">
        <v>1.7660223333333332E-2</v>
      </c>
    </row>
    <row r="65" spans="1:14">
      <c r="A65" s="8">
        <v>15</v>
      </c>
      <c r="B65" s="77">
        <v>37055</v>
      </c>
      <c r="C65" s="12">
        <v>2001</v>
      </c>
      <c r="D65" s="15" t="s">
        <v>23</v>
      </c>
      <c r="E65" s="12">
        <v>6</v>
      </c>
      <c r="F65" s="14">
        <v>8.4755321996998116</v>
      </c>
      <c r="G65" s="14">
        <v>6.9837660333333329E-2</v>
      </c>
      <c r="I65" s="18">
        <f>AVERAGE(F63:F65)</f>
        <v>6.0224130893350436</v>
      </c>
      <c r="J65" s="18">
        <f>AVERAGE(G63:G65)</f>
        <v>5.7650470833333335E-2</v>
      </c>
      <c r="L65">
        <f>+J65/I65</f>
        <v>9.572653017679119E-3</v>
      </c>
      <c r="M65">
        <f>+(L65-$L$927)/$L$928</f>
        <v>-0.48732928809458131</v>
      </c>
      <c r="N65">
        <f>+N62+M65</f>
        <v>2.39029234873709</v>
      </c>
    </row>
    <row r="66" spans="1:14">
      <c r="A66" s="8">
        <v>6</v>
      </c>
      <c r="B66" s="77">
        <v>37092</v>
      </c>
      <c r="C66" s="12">
        <v>2001</v>
      </c>
      <c r="D66" s="15" t="s">
        <v>24</v>
      </c>
      <c r="E66" s="12">
        <v>7</v>
      </c>
      <c r="F66" s="14">
        <v>7.6810494233998599</v>
      </c>
      <c r="G66" s="14">
        <v>0.14524228516666668</v>
      </c>
    </row>
    <row r="67" spans="1:14">
      <c r="A67" s="8">
        <v>8</v>
      </c>
      <c r="B67" s="77">
        <v>37090</v>
      </c>
      <c r="C67" s="12">
        <v>2001</v>
      </c>
      <c r="D67" s="15" t="s">
        <v>24</v>
      </c>
      <c r="E67" s="12">
        <v>7</v>
      </c>
      <c r="F67" s="14">
        <v>1.0569016834841709</v>
      </c>
      <c r="G67" s="14">
        <v>4.9993234500000004E-2</v>
      </c>
    </row>
    <row r="68" spans="1:14">
      <c r="A68" s="8">
        <v>15</v>
      </c>
      <c r="B68" s="77">
        <v>37092</v>
      </c>
      <c r="C68" s="12">
        <v>2001</v>
      </c>
      <c r="D68" s="15" t="s">
        <v>24</v>
      </c>
      <c r="E68" s="12">
        <v>7</v>
      </c>
      <c r="F68" s="14">
        <v>2.4321721252965971</v>
      </c>
      <c r="G68" s="14">
        <v>8.0701014500000015E-2</v>
      </c>
      <c r="I68" s="18">
        <f>AVERAGE(F66:F68)</f>
        <v>3.7233744107268762</v>
      </c>
      <c r="J68" s="18">
        <f>AVERAGE(G66:G68)</f>
        <v>9.1978844722222231E-2</v>
      </c>
      <c r="L68">
        <f>+J68/I68</f>
        <v>2.4703087730644349E-2</v>
      </c>
      <c r="M68">
        <f>+(L68-$L$927)/$L$928</f>
        <v>-9.0476219205740446E-3</v>
      </c>
      <c r="N68">
        <f>+N65+M68</f>
        <v>2.381244726816516</v>
      </c>
    </row>
    <row r="69" spans="1:14">
      <c r="A69" s="8">
        <v>6</v>
      </c>
      <c r="B69" s="77">
        <v>37118</v>
      </c>
      <c r="C69" s="12">
        <v>2001</v>
      </c>
      <c r="D69" s="15" t="s">
        <v>25</v>
      </c>
      <c r="E69" s="12">
        <v>8</v>
      </c>
      <c r="F69" s="14">
        <v>2.9668356791150874</v>
      </c>
      <c r="G69" s="14">
        <v>0</v>
      </c>
    </row>
    <row r="70" spans="1:14">
      <c r="A70" s="8">
        <v>8</v>
      </c>
      <c r="B70" s="77">
        <v>37117</v>
      </c>
      <c r="C70" s="12">
        <v>2001</v>
      </c>
      <c r="D70" s="15" t="s">
        <v>25</v>
      </c>
      <c r="E70" s="12">
        <v>8</v>
      </c>
      <c r="F70" s="14">
        <v>0.75939941819857038</v>
      </c>
      <c r="G70" s="14">
        <v>2.7964501333333332E-2</v>
      </c>
    </row>
    <row r="71" spans="1:14">
      <c r="A71" s="8">
        <v>15</v>
      </c>
      <c r="B71" s="77">
        <v>37118</v>
      </c>
      <c r="C71" s="12">
        <v>2001</v>
      </c>
      <c r="D71" s="15" t="s">
        <v>25</v>
      </c>
      <c r="E71" s="12">
        <v>8</v>
      </c>
      <c r="F71" s="14">
        <v>5.5862372930010453</v>
      </c>
      <c r="G71" s="14">
        <v>0</v>
      </c>
      <c r="I71" s="18">
        <f>AVERAGE(F69:F71)</f>
        <v>3.1041574634382343</v>
      </c>
      <c r="J71" s="18">
        <f>AVERAGE(G69:G71)</f>
        <v>9.3215004444444447E-3</v>
      </c>
      <c r="L71">
        <f>+J71/I71</f>
        <v>3.0029083750538034E-3</v>
      </c>
      <c r="M71">
        <f>+(L71-$L$927)/$L$928</f>
        <v>-0.69500266124096299</v>
      </c>
      <c r="N71">
        <f>+N68+M71</f>
        <v>1.686242065575553</v>
      </c>
    </row>
    <row r="72" spans="1:14">
      <c r="A72" s="8">
        <v>6</v>
      </c>
      <c r="B72" s="77">
        <v>37152</v>
      </c>
      <c r="C72" s="12">
        <v>2001</v>
      </c>
      <c r="D72" s="15" t="s">
        <v>26</v>
      </c>
      <c r="E72" s="12">
        <v>9</v>
      </c>
      <c r="F72" s="14">
        <v>6.3473835958746339</v>
      </c>
      <c r="G72" s="14">
        <v>0</v>
      </c>
    </row>
    <row r="73" spans="1:14">
      <c r="A73" s="8">
        <v>8</v>
      </c>
      <c r="B73" s="77">
        <v>37145</v>
      </c>
      <c r="C73" s="12">
        <v>2001</v>
      </c>
      <c r="D73" s="15" t="s">
        <v>26</v>
      </c>
      <c r="E73" s="12">
        <v>9</v>
      </c>
      <c r="F73" s="14">
        <v>3.1412798663020811</v>
      </c>
      <c r="G73" s="14">
        <v>3.6515861166666663E-2</v>
      </c>
    </row>
    <row r="74" spans="1:14">
      <c r="A74" s="8">
        <v>15</v>
      </c>
      <c r="B74" s="77">
        <v>37145</v>
      </c>
      <c r="C74" s="12">
        <v>2001</v>
      </c>
      <c r="D74" s="15" t="s">
        <v>26</v>
      </c>
      <c r="E74" s="12">
        <v>9</v>
      </c>
      <c r="F74" s="14">
        <v>3.0149514231719947</v>
      </c>
      <c r="G74" s="14">
        <v>2.9576942833333331E-2</v>
      </c>
      <c r="I74" s="18">
        <f>AVERAGE(F72:F74)</f>
        <v>4.1678716284495705</v>
      </c>
      <c r="J74" s="18">
        <f>AVERAGE(G72:G74)</f>
        <v>2.2030934666666665E-2</v>
      </c>
      <c r="L74">
        <f>+J74/I74</f>
        <v>5.285895687449969E-3</v>
      </c>
      <c r="M74">
        <f>+(L74-$L$927)/$L$928</f>
        <v>-0.6228361309104562</v>
      </c>
      <c r="N74">
        <f>+N71+M74</f>
        <v>1.0634059346650968</v>
      </c>
    </row>
    <row r="75" spans="1:14">
      <c r="A75" s="8">
        <v>6</v>
      </c>
      <c r="B75" s="77">
        <v>37180</v>
      </c>
      <c r="C75" s="12">
        <v>2001</v>
      </c>
      <c r="D75" s="15" t="s">
        <v>14</v>
      </c>
      <c r="E75" s="12">
        <v>10</v>
      </c>
      <c r="F75" s="13">
        <v>1.0548604323549744</v>
      </c>
      <c r="G75" s="13">
        <v>1.0504989314444536E-2</v>
      </c>
    </row>
    <row r="76" spans="1:14">
      <c r="A76" s="8">
        <v>8</v>
      </c>
      <c r="B76" s="77">
        <v>37182</v>
      </c>
      <c r="C76" s="12">
        <v>2001</v>
      </c>
      <c r="D76" s="15" t="s">
        <v>14</v>
      </c>
      <c r="E76" s="12">
        <v>10</v>
      </c>
      <c r="F76" s="13">
        <v>0.34843414570771769</v>
      </c>
      <c r="G76" s="13">
        <v>0</v>
      </c>
    </row>
    <row r="77" spans="1:14">
      <c r="A77" s="8">
        <v>15</v>
      </c>
      <c r="B77" s="77">
        <v>37180</v>
      </c>
      <c r="C77" s="12">
        <v>2001</v>
      </c>
      <c r="D77" s="15" t="s">
        <v>14</v>
      </c>
      <c r="E77" s="12">
        <v>10</v>
      </c>
      <c r="F77" s="13">
        <v>0.65471596515874708</v>
      </c>
      <c r="G77" s="13">
        <v>0</v>
      </c>
      <c r="I77" s="18">
        <f>AVERAGE(F75:F77)</f>
        <v>0.68600351440714646</v>
      </c>
      <c r="J77" s="18">
        <f>AVERAGE(G75:G77)</f>
        <v>3.5016631048148451E-3</v>
      </c>
      <c r="L77">
        <f>+J77/I77</f>
        <v>5.104439017110619E-3</v>
      </c>
      <c r="M77">
        <f>+(L77-$L$927)/$L$928</f>
        <v>-0.62857207969677387</v>
      </c>
      <c r="N77">
        <f>+N74+M77</f>
        <v>0.43483385496832294</v>
      </c>
    </row>
    <row r="78" spans="1:14">
      <c r="A78" s="8">
        <v>6</v>
      </c>
      <c r="B78" s="77">
        <v>37201</v>
      </c>
      <c r="C78" s="12">
        <v>2001</v>
      </c>
      <c r="D78" s="15" t="s">
        <v>16</v>
      </c>
      <c r="E78" s="12">
        <v>11</v>
      </c>
      <c r="F78" s="13">
        <v>1.5054241934185941</v>
      </c>
      <c r="G78" s="13">
        <v>9.5725066152988064E-3</v>
      </c>
    </row>
    <row r="79" spans="1:14">
      <c r="A79" s="8">
        <v>8</v>
      </c>
      <c r="B79" s="77">
        <v>37202</v>
      </c>
      <c r="C79" s="12">
        <v>2001</v>
      </c>
      <c r="D79" s="15" t="s">
        <v>16</v>
      </c>
      <c r="E79" s="12">
        <v>11</v>
      </c>
      <c r="F79" s="13">
        <v>0.39829726707135099</v>
      </c>
      <c r="G79" s="13">
        <v>0</v>
      </c>
    </row>
    <row r="80" spans="1:14">
      <c r="A80" s="8">
        <v>15</v>
      </c>
      <c r="B80" s="77">
        <v>37201</v>
      </c>
      <c r="C80" s="12">
        <v>2001</v>
      </c>
      <c r="D80" s="15" t="s">
        <v>16</v>
      </c>
      <c r="E80" s="12">
        <v>11</v>
      </c>
      <c r="F80" s="13">
        <v>1.0344293256584844</v>
      </c>
      <c r="G80" s="13">
        <v>0</v>
      </c>
      <c r="I80" s="18">
        <f>AVERAGE(F78:F80)</f>
        <v>0.97938359538280972</v>
      </c>
      <c r="J80" s="18">
        <f>AVERAGE(G78:G80)</f>
        <v>3.1908355384329353E-3</v>
      </c>
      <c r="L80">
        <f>+J80/I80</f>
        <v>3.2580038643446338E-3</v>
      </c>
      <c r="M80">
        <f>+(L80-$L$927)/$L$928</f>
        <v>-0.68693894741078831</v>
      </c>
      <c r="N80">
        <f>+N77+M80</f>
        <v>-0.25210509244246537</v>
      </c>
    </row>
    <row r="81" spans="1:14">
      <c r="A81" s="8">
        <v>6</v>
      </c>
      <c r="B81" s="77">
        <v>37229</v>
      </c>
      <c r="C81" s="12">
        <v>2001</v>
      </c>
      <c r="D81" s="15" t="s">
        <v>17</v>
      </c>
      <c r="E81" s="12">
        <v>12</v>
      </c>
      <c r="F81" s="13">
        <v>1.5010388464070443</v>
      </c>
      <c r="G81" s="13">
        <v>0</v>
      </c>
    </row>
    <row r="82" spans="1:14">
      <c r="A82" s="8">
        <v>8</v>
      </c>
      <c r="B82" s="77">
        <v>37230</v>
      </c>
      <c r="C82" s="12">
        <v>2001</v>
      </c>
      <c r="D82" s="15" t="s">
        <v>17</v>
      </c>
      <c r="E82" s="12">
        <v>12</v>
      </c>
      <c r="F82" s="13">
        <v>1.2760475538116831</v>
      </c>
      <c r="G82" s="13">
        <v>1.3619190353603674E-2</v>
      </c>
    </row>
    <row r="83" spans="1:14">
      <c r="A83" s="8">
        <v>15</v>
      </c>
      <c r="B83" s="77">
        <v>37229</v>
      </c>
      <c r="C83" s="12">
        <v>2001</v>
      </c>
      <c r="D83" s="15" t="s">
        <v>17</v>
      </c>
      <c r="E83" s="12">
        <v>12</v>
      </c>
      <c r="F83" s="18">
        <v>2.2357222942910799</v>
      </c>
      <c r="I83" s="18">
        <f>AVERAGE(F81:F83)</f>
        <v>1.6709362315032692</v>
      </c>
      <c r="J83" s="18">
        <f>AVERAGE(G81:G83)</f>
        <v>6.8095951768018369E-3</v>
      </c>
      <c r="L83">
        <f>+J83/I83</f>
        <v>4.0753172074529369E-3</v>
      </c>
      <c r="M83">
        <f>+(L83-$L$927)/$L$928</f>
        <v>-0.66110320673685241</v>
      </c>
      <c r="N83">
        <f>+N80+M83</f>
        <v>-0.91320829917931778</v>
      </c>
    </row>
    <row r="84" spans="1:14">
      <c r="A84" s="8">
        <v>6</v>
      </c>
      <c r="B84" s="77">
        <v>37271</v>
      </c>
      <c r="C84" s="12">
        <v>2002</v>
      </c>
      <c r="D84" s="15" t="s">
        <v>18</v>
      </c>
      <c r="E84" s="12">
        <v>1</v>
      </c>
      <c r="F84" s="13">
        <v>4.9784751047341471</v>
      </c>
      <c r="G84" s="13">
        <v>8.8394926725446257E-2</v>
      </c>
    </row>
    <row r="85" spans="1:14">
      <c r="A85" s="8">
        <v>8</v>
      </c>
      <c r="B85" s="77">
        <v>37272</v>
      </c>
      <c r="C85" s="12">
        <v>2002</v>
      </c>
      <c r="D85" s="15" t="s">
        <v>18</v>
      </c>
      <c r="E85" s="12">
        <v>1</v>
      </c>
      <c r="F85" s="13">
        <v>3.5602663218995922</v>
      </c>
      <c r="G85" s="13">
        <v>6.3157163779390221E-2</v>
      </c>
    </row>
    <row r="86" spans="1:14">
      <c r="A86" s="8">
        <v>15</v>
      </c>
      <c r="B86" s="77">
        <v>37271</v>
      </c>
      <c r="C86" s="12">
        <v>2002</v>
      </c>
      <c r="D86" s="15" t="s">
        <v>18</v>
      </c>
      <c r="E86" s="12">
        <v>1</v>
      </c>
      <c r="F86" s="13">
        <v>2.5369912431490143</v>
      </c>
      <c r="G86" s="13">
        <v>0.15538824487587197</v>
      </c>
      <c r="I86" s="18">
        <f>AVERAGE(F84:F86)</f>
        <v>3.6919108899275845</v>
      </c>
      <c r="J86" s="18">
        <f>AVERAGE(G84:G86)</f>
        <v>0.10231344512690281</v>
      </c>
      <c r="L86">
        <f>+J86/I86</f>
        <v>2.7712869616121655E-2</v>
      </c>
      <c r="M86">
        <f>+(L86-$L$927)/$L$928</f>
        <v>8.6093299164324261E-2</v>
      </c>
      <c r="N86">
        <f>+N83+M86</f>
        <v>-0.8271150000149935</v>
      </c>
    </row>
    <row r="87" spans="1:14">
      <c r="A87" s="8">
        <v>6</v>
      </c>
      <c r="B87" s="77">
        <v>37306</v>
      </c>
      <c r="C87" s="12">
        <v>2002</v>
      </c>
      <c r="D87" s="11" t="s">
        <v>19</v>
      </c>
      <c r="E87" s="12">
        <v>2</v>
      </c>
      <c r="F87" s="13">
        <v>1.6053943714545269</v>
      </c>
      <c r="G87" s="13">
        <v>8.3315549835615371E-2</v>
      </c>
    </row>
    <row r="88" spans="1:14">
      <c r="A88" s="8">
        <v>8</v>
      </c>
      <c r="B88" s="77">
        <v>37301</v>
      </c>
      <c r="C88" s="12">
        <v>2002</v>
      </c>
      <c r="D88" s="11" t="s">
        <v>19</v>
      </c>
      <c r="E88" s="12">
        <v>2</v>
      </c>
      <c r="F88" s="13">
        <v>1.4736650359067733</v>
      </c>
      <c r="G88" s="13">
        <v>4.9293370590404596E-2</v>
      </c>
    </row>
    <row r="89" spans="1:14">
      <c r="A89" s="8">
        <v>15</v>
      </c>
      <c r="B89" s="77">
        <v>37306</v>
      </c>
      <c r="C89" s="12">
        <v>2002</v>
      </c>
      <c r="D89" s="11" t="s">
        <v>19</v>
      </c>
      <c r="E89" s="12">
        <v>2</v>
      </c>
      <c r="F89" s="13">
        <v>1.5899224695832257</v>
      </c>
      <c r="G89" s="13">
        <v>5.1883323147341738E-2</v>
      </c>
      <c r="I89" s="18">
        <f>AVERAGE(F87:F89)</f>
        <v>1.5563272923148421</v>
      </c>
      <c r="J89" s="18">
        <f>AVERAGE(G87:G89)</f>
        <v>6.1497414524453897E-2</v>
      </c>
      <c r="L89">
        <f>+J89/I89</f>
        <v>3.9514448424909511E-2</v>
      </c>
      <c r="M89">
        <f>+(L89-$L$927)/$L$928</f>
        <v>0.45914793263854775</v>
      </c>
      <c r="N89">
        <f>+N86+M89</f>
        <v>-0.36796706737644574</v>
      </c>
    </row>
    <row r="90" spans="1:14">
      <c r="A90" s="8">
        <v>6</v>
      </c>
      <c r="B90" s="73">
        <v>37334</v>
      </c>
      <c r="C90" s="12">
        <v>2002</v>
      </c>
      <c r="D90" s="11" t="s">
        <v>20</v>
      </c>
      <c r="E90" s="12">
        <v>3</v>
      </c>
      <c r="F90" s="13">
        <v>4.1112805086380826</v>
      </c>
      <c r="G90" s="13">
        <v>1.9948755515504752E-2</v>
      </c>
    </row>
    <row r="91" spans="1:14">
      <c r="A91" s="8">
        <v>8</v>
      </c>
      <c r="B91" s="73">
        <v>37336</v>
      </c>
      <c r="C91" s="12">
        <v>2002</v>
      </c>
      <c r="D91" s="11" t="s">
        <v>20</v>
      </c>
      <c r="E91" s="12">
        <v>3</v>
      </c>
      <c r="F91" s="13">
        <v>0.87544326855861954</v>
      </c>
      <c r="G91" s="13">
        <v>2.1725418142472211E-2</v>
      </c>
    </row>
    <row r="92" spans="1:14">
      <c r="A92" s="8">
        <v>15</v>
      </c>
      <c r="B92" s="73">
        <v>37336</v>
      </c>
      <c r="C92" s="12">
        <v>2002</v>
      </c>
      <c r="D92" s="11" t="s">
        <v>20</v>
      </c>
      <c r="E92" s="12">
        <v>3</v>
      </c>
      <c r="F92" s="13">
        <v>4.1493642988653514</v>
      </c>
      <c r="G92" s="13">
        <v>9.814844573237172E-2</v>
      </c>
      <c r="I92" s="18">
        <f>AVERAGE(F90:F92)</f>
        <v>3.0453626920206847</v>
      </c>
      <c r="J92" s="18">
        <f>AVERAGE(G90:G92)</f>
        <v>4.6607539796782893E-2</v>
      </c>
      <c r="L92">
        <f>+J92/I92</f>
        <v>1.530442988577412E-2</v>
      </c>
      <c r="M92">
        <f>+(L92-$L$927)/$L$928</f>
        <v>-0.3061445539731612</v>
      </c>
      <c r="N92">
        <f>+N89+M92</f>
        <v>-0.674111621349607</v>
      </c>
    </row>
    <row r="93" spans="1:14">
      <c r="A93" s="8">
        <v>6</v>
      </c>
      <c r="B93" s="73">
        <v>37362</v>
      </c>
      <c r="C93" s="12">
        <v>2002</v>
      </c>
      <c r="D93" s="15" t="s">
        <v>21</v>
      </c>
      <c r="E93" s="12">
        <v>4</v>
      </c>
      <c r="F93" s="13">
        <v>0.99281640135308447</v>
      </c>
      <c r="G93" s="13">
        <v>0.12241887884382784</v>
      </c>
    </row>
    <row r="94" spans="1:14">
      <c r="A94" s="8">
        <v>8</v>
      </c>
      <c r="B94" s="73">
        <v>37363</v>
      </c>
      <c r="C94" s="12">
        <v>2002</v>
      </c>
      <c r="D94" s="15" t="s">
        <v>21</v>
      </c>
      <c r="E94" s="12">
        <v>4</v>
      </c>
      <c r="F94" s="13">
        <v>1.0573415593632474</v>
      </c>
      <c r="G94" s="13">
        <v>0</v>
      </c>
    </row>
    <row r="95" spans="1:14">
      <c r="A95" s="8">
        <v>15</v>
      </c>
      <c r="B95" s="73">
        <v>37362</v>
      </c>
      <c r="C95" s="12">
        <v>2002</v>
      </c>
      <c r="D95" s="15" t="s">
        <v>21</v>
      </c>
      <c r="E95" s="12">
        <v>4</v>
      </c>
      <c r="F95" s="13">
        <v>0.76346537495358346</v>
      </c>
      <c r="G95" s="13">
        <v>3.7193648736330361E-2</v>
      </c>
      <c r="I95" s="18">
        <f>AVERAGE(F93:F95)</f>
        <v>0.9378744452233051</v>
      </c>
      <c r="J95" s="18">
        <f>AVERAGE(G93:G95)</f>
        <v>5.3204175860052737E-2</v>
      </c>
      <c r="L95">
        <f>+J95/I95</f>
        <v>5.6728463101886714E-2</v>
      </c>
      <c r="M95">
        <f>+(L95-$L$927)/$L$928</f>
        <v>1.0032927491912083</v>
      </c>
      <c r="N95">
        <f>+N92+M95</f>
        <v>0.32918112784160125</v>
      </c>
    </row>
    <row r="96" spans="1:14">
      <c r="A96" s="8">
        <v>6</v>
      </c>
      <c r="B96" s="73">
        <v>37392</v>
      </c>
      <c r="C96" s="12">
        <v>2002</v>
      </c>
      <c r="D96" s="15" t="s">
        <v>22</v>
      </c>
      <c r="E96" s="12">
        <v>5</v>
      </c>
      <c r="F96" s="13">
        <v>9.0420884745467927</v>
      </c>
      <c r="G96" s="20"/>
    </row>
    <row r="97" spans="1:10">
      <c r="A97" s="8">
        <v>8</v>
      </c>
      <c r="B97" s="73">
        <v>37392</v>
      </c>
      <c r="C97" s="12">
        <v>2002</v>
      </c>
      <c r="D97" s="15" t="s">
        <v>22</v>
      </c>
      <c r="E97" s="12">
        <v>5</v>
      </c>
      <c r="F97" s="13">
        <v>1.8410703540065909</v>
      </c>
      <c r="G97" s="20"/>
    </row>
    <row r="98" spans="1:10">
      <c r="A98" s="8">
        <v>15</v>
      </c>
      <c r="B98" s="73">
        <v>37392</v>
      </c>
      <c r="C98" s="12">
        <v>2002</v>
      </c>
      <c r="D98" s="15" t="s">
        <v>22</v>
      </c>
      <c r="E98" s="12">
        <v>5</v>
      </c>
      <c r="F98" s="13">
        <v>4.1235192731701682</v>
      </c>
      <c r="G98" s="20"/>
      <c r="I98" s="18">
        <f>AVERAGE(F96:F98)</f>
        <v>5.0022260339078501</v>
      </c>
      <c r="J98" s="18" t="e">
        <f>AVERAGE(G96:G98)</f>
        <v>#DIV/0!</v>
      </c>
    </row>
    <row r="99" spans="1:10">
      <c r="A99" s="8">
        <v>6</v>
      </c>
      <c r="B99" s="73">
        <v>37419</v>
      </c>
      <c r="C99" s="12">
        <v>2002</v>
      </c>
      <c r="D99" s="15" t="s">
        <v>23</v>
      </c>
      <c r="E99" s="12">
        <v>6</v>
      </c>
      <c r="F99" s="13">
        <v>5.8245031015438551</v>
      </c>
      <c r="G99" s="20"/>
    </row>
    <row r="100" spans="1:10">
      <c r="A100" s="8">
        <v>8</v>
      </c>
      <c r="B100" s="73">
        <v>37420</v>
      </c>
      <c r="C100" s="12">
        <v>2002</v>
      </c>
      <c r="D100" s="15" t="s">
        <v>23</v>
      </c>
      <c r="E100" s="12">
        <v>6</v>
      </c>
      <c r="F100" s="13">
        <v>3.0164005743077511</v>
      </c>
      <c r="G100" s="20"/>
    </row>
    <row r="101" spans="1:10">
      <c r="A101" s="8">
        <v>15</v>
      </c>
      <c r="B101" s="73">
        <v>37419</v>
      </c>
      <c r="C101" s="12">
        <v>2002</v>
      </c>
      <c r="D101" s="15" t="s">
        <v>23</v>
      </c>
      <c r="E101" s="12">
        <v>6</v>
      </c>
      <c r="F101" s="13">
        <v>7.0253142956519987</v>
      </c>
      <c r="G101" s="20"/>
      <c r="I101" s="18">
        <f>AVERAGE(F99:F101)</f>
        <v>5.2887393238345348</v>
      </c>
      <c r="J101" s="18" t="e">
        <f>AVERAGE(G99:G101)</f>
        <v>#DIV/0!</v>
      </c>
    </row>
    <row r="102" spans="1:10">
      <c r="A102" s="8">
        <v>6</v>
      </c>
      <c r="B102" s="73">
        <v>37454</v>
      </c>
      <c r="C102" s="12">
        <v>2002</v>
      </c>
      <c r="D102" s="15" t="s">
        <v>24</v>
      </c>
      <c r="E102" s="12">
        <v>7</v>
      </c>
      <c r="F102" s="13">
        <v>7.4154465513396506</v>
      </c>
      <c r="G102" s="20"/>
    </row>
    <row r="103" spans="1:10">
      <c r="A103" s="8">
        <v>8</v>
      </c>
      <c r="B103" s="73">
        <v>37453</v>
      </c>
      <c r="C103" s="12">
        <v>2002</v>
      </c>
      <c r="D103" s="15" t="s">
        <v>24</v>
      </c>
      <c r="E103" s="12">
        <v>7</v>
      </c>
      <c r="F103" s="13">
        <v>4.2360423075201492</v>
      </c>
      <c r="G103" s="20"/>
    </row>
    <row r="104" spans="1:10">
      <c r="A104" s="8">
        <v>15</v>
      </c>
      <c r="B104" s="73">
        <v>37454</v>
      </c>
      <c r="C104" s="12">
        <v>2002</v>
      </c>
      <c r="D104" s="15" t="s">
        <v>24</v>
      </c>
      <c r="E104" s="12">
        <v>7</v>
      </c>
      <c r="F104" s="13">
        <v>4.989614026242152</v>
      </c>
      <c r="G104" s="20"/>
      <c r="I104" s="18">
        <f>AVERAGE(F102:F104)</f>
        <v>5.5470342950339839</v>
      </c>
      <c r="J104" s="18" t="e">
        <f>AVERAGE(G102:G104)</f>
        <v>#DIV/0!</v>
      </c>
    </row>
    <row r="105" spans="1:10">
      <c r="A105" s="8">
        <v>6</v>
      </c>
      <c r="B105" s="73">
        <v>37482</v>
      </c>
      <c r="C105" s="12">
        <v>2002</v>
      </c>
      <c r="D105" s="15" t="s">
        <v>25</v>
      </c>
      <c r="E105" s="12">
        <v>8</v>
      </c>
      <c r="F105" s="13">
        <v>10.708924147704391</v>
      </c>
      <c r="G105" s="20"/>
    </row>
    <row r="106" spans="1:10">
      <c r="A106" s="8">
        <v>8</v>
      </c>
      <c r="B106" s="73">
        <v>37481</v>
      </c>
      <c r="C106" s="12">
        <v>2002</v>
      </c>
      <c r="D106" s="15" t="s">
        <v>25</v>
      </c>
      <c r="E106" s="12">
        <v>8</v>
      </c>
      <c r="F106" s="13">
        <v>2.3487286694991387</v>
      </c>
      <c r="G106" s="20"/>
    </row>
    <row r="107" spans="1:10">
      <c r="A107" s="8">
        <v>15</v>
      </c>
      <c r="B107" s="73">
        <v>37482</v>
      </c>
      <c r="C107" s="12">
        <v>2002</v>
      </c>
      <c r="D107" s="15" t="s">
        <v>25</v>
      </c>
      <c r="E107" s="12">
        <v>8</v>
      </c>
      <c r="F107" s="13">
        <v>5.7195566962697306</v>
      </c>
      <c r="G107" s="20"/>
      <c r="I107" s="18">
        <f>AVERAGE(F105:F107)</f>
        <v>6.2590698378244198</v>
      </c>
      <c r="J107" s="18" t="e">
        <f>AVERAGE(G105:G107)</f>
        <v>#DIV/0!</v>
      </c>
    </row>
    <row r="108" spans="1:10">
      <c r="A108" s="8">
        <v>6</v>
      </c>
      <c r="B108" s="73">
        <v>37517</v>
      </c>
      <c r="C108" s="12">
        <v>2002</v>
      </c>
      <c r="D108" s="15" t="s">
        <v>26</v>
      </c>
      <c r="E108" s="12">
        <v>9</v>
      </c>
      <c r="F108" s="13">
        <v>5.2143008682160099</v>
      </c>
      <c r="G108" s="20"/>
    </row>
    <row r="109" spans="1:10">
      <c r="A109" s="8">
        <v>8</v>
      </c>
      <c r="B109" s="73">
        <v>37518</v>
      </c>
      <c r="C109" s="12">
        <v>2002</v>
      </c>
      <c r="D109" s="15" t="s">
        <v>26</v>
      </c>
      <c r="E109" s="12">
        <v>9</v>
      </c>
      <c r="F109" s="13">
        <v>3.011770944896718</v>
      </c>
      <c r="G109" s="20"/>
    </row>
    <row r="110" spans="1:10">
      <c r="A110" s="8">
        <v>15</v>
      </c>
      <c r="B110" s="73">
        <v>37517</v>
      </c>
      <c r="C110" s="12">
        <v>2002</v>
      </c>
      <c r="D110" s="15" t="s">
        <v>26</v>
      </c>
      <c r="E110" s="12">
        <v>9</v>
      </c>
      <c r="F110" s="13">
        <v>5.9564108169403305</v>
      </c>
      <c r="G110" s="20"/>
      <c r="I110" s="18">
        <f>AVERAGE(F108:F110)</f>
        <v>4.727494210017686</v>
      </c>
      <c r="J110" s="18" t="e">
        <f>AVERAGE(G108:G110)</f>
        <v>#DIV/0!</v>
      </c>
    </row>
    <row r="111" spans="1:10">
      <c r="A111" s="8">
        <v>6</v>
      </c>
      <c r="B111" s="73">
        <v>37544</v>
      </c>
      <c r="C111" s="12">
        <v>2002</v>
      </c>
      <c r="D111" s="15" t="s">
        <v>14</v>
      </c>
      <c r="E111" s="12">
        <v>10</v>
      </c>
      <c r="F111" s="14">
        <v>3.4876385864598265</v>
      </c>
      <c r="G111" s="14">
        <v>9.7419772962904883E-2</v>
      </c>
    </row>
    <row r="112" spans="1:10">
      <c r="A112" s="8">
        <v>8</v>
      </c>
      <c r="B112" s="73">
        <v>37546</v>
      </c>
      <c r="C112" s="12">
        <v>2002</v>
      </c>
      <c r="D112" s="15" t="s">
        <v>14</v>
      </c>
      <c r="E112" s="12">
        <v>10</v>
      </c>
      <c r="F112" s="14">
        <v>4.8207283497322235</v>
      </c>
      <c r="G112" s="14">
        <v>3.462368377248079E-2</v>
      </c>
    </row>
    <row r="113" spans="1:14">
      <c r="A113" s="8">
        <v>15</v>
      </c>
      <c r="B113" s="73">
        <v>37546</v>
      </c>
      <c r="C113" s="12">
        <v>2002</v>
      </c>
      <c r="D113" s="15" t="s">
        <v>14</v>
      </c>
      <c r="E113" s="12">
        <v>10</v>
      </c>
      <c r="F113" s="14">
        <v>6.0661447194553739</v>
      </c>
      <c r="G113" s="14">
        <v>5.2998688696699985E-2</v>
      </c>
      <c r="I113" s="18">
        <f>AVERAGE(F111:F113)</f>
        <v>4.7915038852158078</v>
      </c>
      <c r="J113" s="18">
        <f>AVERAGE(G111:G113)</f>
        <v>6.1680715144028557E-2</v>
      </c>
      <c r="L113">
        <f>+J113/I113</f>
        <v>1.2872934390044949E-2</v>
      </c>
      <c r="M113">
        <f>+(L113-$L$927)/$L$928</f>
        <v>-0.38300551263388111</v>
      </c>
      <c r="N113">
        <f>+N95+M113</f>
        <v>-5.3824384792279856E-2</v>
      </c>
    </row>
    <row r="114" spans="1:14">
      <c r="A114" s="8">
        <v>6</v>
      </c>
      <c r="B114" s="73">
        <v>37575</v>
      </c>
      <c r="C114" s="12">
        <v>2002</v>
      </c>
      <c r="D114" s="15" t="s">
        <v>16</v>
      </c>
      <c r="E114" s="12">
        <v>11</v>
      </c>
      <c r="F114" s="14">
        <v>2.4170835161500972</v>
      </c>
      <c r="G114" s="14">
        <v>6.0742124900726731E-2</v>
      </c>
    </row>
    <row r="115" spans="1:14">
      <c r="A115" s="8">
        <v>8</v>
      </c>
      <c r="B115" s="73">
        <v>37574</v>
      </c>
      <c r="C115" s="12">
        <v>2002</v>
      </c>
      <c r="D115" s="15" t="s">
        <v>16</v>
      </c>
      <c r="E115" s="12">
        <v>11</v>
      </c>
      <c r="F115" s="14">
        <v>1.7779877071740167</v>
      </c>
      <c r="G115" s="14">
        <v>2.4371890600194453E-2</v>
      </c>
    </row>
    <row r="116" spans="1:14">
      <c r="A116" s="8">
        <v>15</v>
      </c>
      <c r="B116" s="73">
        <v>37574</v>
      </c>
      <c r="C116" s="12">
        <v>2002</v>
      </c>
      <c r="D116" s="15" t="s">
        <v>16</v>
      </c>
      <c r="E116" s="12">
        <v>11</v>
      </c>
      <c r="F116" s="14">
        <v>3.5337504144745715</v>
      </c>
      <c r="G116" s="14">
        <v>3.3737181163482066E-2</v>
      </c>
      <c r="I116" s="18">
        <f>AVERAGE(F114:F116)</f>
        <v>2.5762738792662283</v>
      </c>
      <c r="J116" s="18">
        <f>AVERAGE(G114:G116)</f>
        <v>3.961706555480108E-2</v>
      </c>
      <c r="L116">
        <f>+J116/I116</f>
        <v>1.537766068803398E-2</v>
      </c>
      <c r="M116">
        <f>+(L116-$L$927)/$L$928</f>
        <v>-0.30382968656951076</v>
      </c>
      <c r="N116">
        <f>+N113+M116</f>
        <v>-0.35765407136179062</v>
      </c>
    </row>
    <row r="117" spans="1:14">
      <c r="A117" s="8">
        <v>6</v>
      </c>
      <c r="B117" s="73">
        <v>37609</v>
      </c>
      <c r="C117" s="12">
        <v>2002</v>
      </c>
      <c r="D117" s="15" t="s">
        <v>17</v>
      </c>
      <c r="E117" s="12">
        <v>12</v>
      </c>
      <c r="F117" s="14">
        <v>4.7745902695010765</v>
      </c>
      <c r="G117" s="14">
        <v>0.13664678478344155</v>
      </c>
    </row>
    <row r="118" spans="1:14">
      <c r="A118" s="8">
        <v>8</v>
      </c>
      <c r="B118" s="73">
        <v>37608</v>
      </c>
      <c r="C118" s="12">
        <v>2002</v>
      </c>
      <c r="D118" s="15" t="s">
        <v>17</v>
      </c>
      <c r="E118" s="12">
        <v>12</v>
      </c>
      <c r="F118" s="14">
        <v>2.646531702604749</v>
      </c>
      <c r="G118" s="14">
        <v>0.22001320305370364</v>
      </c>
    </row>
    <row r="119" spans="1:14">
      <c r="A119" s="8">
        <v>15</v>
      </c>
      <c r="B119" s="73">
        <v>37608</v>
      </c>
      <c r="C119" s="12">
        <v>2002</v>
      </c>
      <c r="D119" s="15" t="s">
        <v>17</v>
      </c>
      <c r="E119" s="12">
        <v>12</v>
      </c>
      <c r="F119" s="14">
        <v>4.5121651879294271</v>
      </c>
      <c r="G119" s="14">
        <v>0.17159543464309648</v>
      </c>
      <c r="I119" s="18">
        <f>AVERAGE(F117:F119)</f>
        <v>3.9777623866784175</v>
      </c>
      <c r="J119" s="18">
        <f>AVERAGE(G117:G119)</f>
        <v>0.17608514082674723</v>
      </c>
      <c r="L119">
        <f>+J119/I119</f>
        <v>4.4267385456823377E-2</v>
      </c>
      <c r="M119">
        <f>+(L119-$L$927)/$L$928</f>
        <v>0.6093909815640336</v>
      </c>
      <c r="N119">
        <f>+N116+M119</f>
        <v>0.25173691020224298</v>
      </c>
    </row>
    <row r="120" spans="1:14">
      <c r="A120" s="8">
        <v>6</v>
      </c>
      <c r="B120" s="73">
        <v>37635</v>
      </c>
      <c r="C120" s="12">
        <v>2003</v>
      </c>
      <c r="D120" s="15" t="s">
        <v>18</v>
      </c>
      <c r="E120" s="12">
        <v>1</v>
      </c>
      <c r="F120" s="14">
        <v>5.1538707761866194</v>
      </c>
      <c r="G120" s="14">
        <v>0.2029944548773355</v>
      </c>
    </row>
    <row r="121" spans="1:14">
      <c r="A121" s="8">
        <v>8</v>
      </c>
      <c r="B121" s="73">
        <v>37636</v>
      </c>
      <c r="C121" s="12">
        <v>2003</v>
      </c>
      <c r="D121" s="15" t="s">
        <v>18</v>
      </c>
      <c r="E121" s="12">
        <v>1</v>
      </c>
      <c r="F121" s="14">
        <v>2.1530136083186076</v>
      </c>
      <c r="G121" s="14">
        <v>7.8701166030848854E-2</v>
      </c>
    </row>
    <row r="122" spans="1:14">
      <c r="A122" s="8">
        <v>15</v>
      </c>
      <c r="B122" s="73">
        <v>37636</v>
      </c>
      <c r="C122" s="12">
        <v>2003</v>
      </c>
      <c r="D122" s="15" t="s">
        <v>18</v>
      </c>
      <c r="E122" s="12">
        <v>1</v>
      </c>
      <c r="F122" s="14">
        <v>4.7636943444502151</v>
      </c>
      <c r="G122" s="14">
        <v>0.22988214091569165</v>
      </c>
      <c r="I122" s="18">
        <f>AVERAGE(F120:F122)</f>
        <v>4.0235262429851479</v>
      </c>
      <c r="J122" s="18">
        <f>AVERAGE(G120:G122)</f>
        <v>0.17052592060795865</v>
      </c>
      <c r="L122">
        <f>+J122/I122</f>
        <v>4.2382206629138698E-2</v>
      </c>
      <c r="M122">
        <f>+(L122-$L$927)/$L$928</f>
        <v>0.54979940420053774</v>
      </c>
      <c r="N122">
        <f>+N119+M122</f>
        <v>0.80153631440278073</v>
      </c>
    </row>
    <row r="123" spans="1:14">
      <c r="A123" s="8">
        <v>6</v>
      </c>
      <c r="B123" s="73">
        <v>37665</v>
      </c>
      <c r="C123" s="12">
        <v>2003</v>
      </c>
      <c r="D123" s="11" t="s">
        <v>19</v>
      </c>
      <c r="E123" s="12">
        <v>2</v>
      </c>
      <c r="F123" s="14">
        <v>3.6944615935683589</v>
      </c>
      <c r="G123" s="14">
        <v>0.14969873845887599</v>
      </c>
    </row>
    <row r="124" spans="1:14">
      <c r="A124" s="8">
        <v>8</v>
      </c>
      <c r="B124" s="73">
        <v>37663</v>
      </c>
      <c r="C124" s="12">
        <v>2003</v>
      </c>
      <c r="D124" s="11" t="s">
        <v>19</v>
      </c>
      <c r="E124" s="12">
        <v>2</v>
      </c>
      <c r="F124" s="14">
        <v>3.3425827597701399</v>
      </c>
      <c r="G124" s="14">
        <v>0.28764928087516678</v>
      </c>
    </row>
    <row r="125" spans="1:14">
      <c r="A125" s="8">
        <v>15</v>
      </c>
      <c r="B125" s="73">
        <v>37663</v>
      </c>
      <c r="C125" s="12">
        <v>2003</v>
      </c>
      <c r="D125" s="11" t="s">
        <v>19</v>
      </c>
      <c r="E125" s="12">
        <v>2</v>
      </c>
      <c r="F125" s="14">
        <v>2.7941432541620128</v>
      </c>
      <c r="G125" s="14">
        <v>0</v>
      </c>
      <c r="I125" s="18">
        <f>AVERAGE(F123:F125)</f>
        <v>3.2770625358335042</v>
      </c>
      <c r="J125" s="18">
        <f>AVERAGE(G123:G125)</f>
        <v>0.1457826731113476</v>
      </c>
      <c r="L125">
        <f>+J125/I125</f>
        <v>4.4485776977786148E-2</v>
      </c>
      <c r="M125">
        <f>+(L125-$L$927)/$L$928</f>
        <v>0.61629446203276361</v>
      </c>
      <c r="N125">
        <f>+N122+M125</f>
        <v>1.4178307764355442</v>
      </c>
    </row>
    <row r="126" spans="1:14">
      <c r="A126" s="8">
        <v>6</v>
      </c>
      <c r="B126" s="73">
        <v>37692</v>
      </c>
      <c r="C126" s="12">
        <v>2003</v>
      </c>
      <c r="D126" s="11" t="s">
        <v>20</v>
      </c>
      <c r="E126" s="12">
        <v>3</v>
      </c>
      <c r="F126" s="14">
        <v>3.3938838345986131</v>
      </c>
      <c r="G126" s="14">
        <v>9.0386819361328877E-2</v>
      </c>
    </row>
    <row r="127" spans="1:14">
      <c r="A127" s="8">
        <v>8</v>
      </c>
      <c r="B127" s="73">
        <v>37691</v>
      </c>
      <c r="C127" s="12">
        <v>2003</v>
      </c>
      <c r="D127" s="11" t="s">
        <v>20</v>
      </c>
      <c r="E127" s="12">
        <v>3</v>
      </c>
      <c r="F127" s="14">
        <v>3.998385502802964</v>
      </c>
      <c r="G127" s="14">
        <v>0.12176185383292011</v>
      </c>
    </row>
    <row r="128" spans="1:14">
      <c r="A128" s="8">
        <v>15</v>
      </c>
      <c r="B128" s="73">
        <v>37692</v>
      </c>
      <c r="C128" s="12">
        <v>2003</v>
      </c>
      <c r="D128" s="11" t="s">
        <v>20</v>
      </c>
      <c r="E128" s="12">
        <v>3</v>
      </c>
      <c r="F128" s="14">
        <v>3.2421167864607598</v>
      </c>
      <c r="G128" s="14">
        <v>0.18731189332038212</v>
      </c>
      <c r="I128" s="18">
        <f>AVERAGE(F126:F128)</f>
        <v>3.5447953746207794</v>
      </c>
      <c r="J128" s="18">
        <f>AVERAGE(G126:G128)</f>
        <v>0.13315352217154372</v>
      </c>
      <c r="L128">
        <f>+J128/I128</f>
        <v>3.7563105369880036E-2</v>
      </c>
      <c r="M128">
        <f>+(L128-$L$927)/$L$928</f>
        <v>0.39746486633267092</v>
      </c>
      <c r="N128">
        <f>+N125+M128</f>
        <v>1.8152956427682152</v>
      </c>
    </row>
    <row r="129" spans="1:14">
      <c r="A129" s="8">
        <v>6</v>
      </c>
      <c r="B129" s="73">
        <v>37726</v>
      </c>
      <c r="C129" s="12">
        <v>2003</v>
      </c>
      <c r="D129" s="11" t="s">
        <v>21</v>
      </c>
      <c r="E129" s="12">
        <v>4</v>
      </c>
      <c r="F129" s="14">
        <v>3.1432069936804568</v>
      </c>
      <c r="G129" s="14">
        <v>0</v>
      </c>
    </row>
    <row r="130" spans="1:14">
      <c r="A130" s="8">
        <v>8</v>
      </c>
      <c r="B130" s="73">
        <v>37727</v>
      </c>
      <c r="C130" s="12">
        <v>2003</v>
      </c>
      <c r="D130" s="11" t="s">
        <v>21</v>
      </c>
      <c r="E130" s="12">
        <v>4</v>
      </c>
      <c r="F130" s="14">
        <v>9.9080791706866496</v>
      </c>
      <c r="G130" s="14">
        <v>0</v>
      </c>
    </row>
    <row r="131" spans="1:14">
      <c r="A131" s="8">
        <v>15</v>
      </c>
      <c r="B131" s="73">
        <v>37726</v>
      </c>
      <c r="C131" s="12">
        <v>2003</v>
      </c>
      <c r="D131" s="11" t="s">
        <v>21</v>
      </c>
      <c r="E131" s="12">
        <v>4</v>
      </c>
      <c r="F131" s="14">
        <v>4.1651057618615326</v>
      </c>
      <c r="G131" s="14">
        <v>0</v>
      </c>
      <c r="I131" s="18">
        <f>AVERAGE(F129:F131)</f>
        <v>5.7387973087428792</v>
      </c>
      <c r="J131" s="18">
        <f>AVERAGE(G129:G131)</f>
        <v>0</v>
      </c>
      <c r="L131">
        <f>+J131/I131</f>
        <v>0</v>
      </c>
      <c r="M131">
        <f>+(L131-$L$927)/$L$928</f>
        <v>-0.78992630674322384</v>
      </c>
      <c r="N131">
        <f>+N128+M131</f>
        <v>1.0253693360249914</v>
      </c>
    </row>
    <row r="132" spans="1:14">
      <c r="A132" s="8">
        <v>6</v>
      </c>
      <c r="B132" s="73">
        <v>37761</v>
      </c>
      <c r="C132" s="12">
        <v>2003</v>
      </c>
      <c r="D132" s="11" t="s">
        <v>22</v>
      </c>
      <c r="E132" s="12">
        <v>5</v>
      </c>
      <c r="F132" s="14">
        <v>5.4586740063889092</v>
      </c>
      <c r="G132" s="14">
        <v>0.13418926056698605</v>
      </c>
    </row>
    <row r="133" spans="1:14">
      <c r="A133" s="8">
        <v>8</v>
      </c>
      <c r="B133" s="73">
        <v>37756</v>
      </c>
      <c r="C133" s="12">
        <v>2003</v>
      </c>
      <c r="D133" s="11" t="s">
        <v>22</v>
      </c>
      <c r="E133" s="12">
        <v>5</v>
      </c>
      <c r="F133" s="14">
        <v>3.0452778185032008</v>
      </c>
      <c r="G133" s="14">
        <v>3.8225234221114908E-2</v>
      </c>
    </row>
    <row r="134" spans="1:14">
      <c r="A134" s="8">
        <v>15</v>
      </c>
      <c r="B134" s="73">
        <v>37761</v>
      </c>
      <c r="C134" s="12">
        <v>2003</v>
      </c>
      <c r="D134" s="11" t="s">
        <v>22</v>
      </c>
      <c r="E134" s="12">
        <v>5</v>
      </c>
      <c r="F134" s="14">
        <v>9.4575942407553839</v>
      </c>
      <c r="G134" s="14">
        <v>0.14344485646468436</v>
      </c>
      <c r="I134" s="18">
        <f>AVERAGE(F132:F134)</f>
        <v>5.9871820218824974</v>
      </c>
      <c r="J134" s="18">
        <f>AVERAGE(G132:G134)</f>
        <v>0.1052864504175951</v>
      </c>
      <c r="L134">
        <f>+J134/I134</f>
        <v>1.7585309755538518E-2</v>
      </c>
      <c r="M134">
        <f>+(L134-$L$927)/$L$928</f>
        <v>-0.23404464110556353</v>
      </c>
      <c r="N134">
        <f>+N131+M134</f>
        <v>0.79132469491942781</v>
      </c>
    </row>
    <row r="135" spans="1:14">
      <c r="A135" s="8">
        <v>6</v>
      </c>
      <c r="B135" s="73">
        <v>37792</v>
      </c>
      <c r="C135" s="12">
        <v>2003</v>
      </c>
      <c r="D135" s="11" t="s">
        <v>23</v>
      </c>
      <c r="E135" s="12">
        <v>6</v>
      </c>
      <c r="F135" s="14">
        <v>15.832712659534909</v>
      </c>
      <c r="G135" s="14">
        <v>0.10998071171719419</v>
      </c>
    </row>
    <row r="136" spans="1:14">
      <c r="A136" s="8">
        <v>8</v>
      </c>
      <c r="B136" s="73">
        <v>37790</v>
      </c>
      <c r="C136" s="12">
        <v>2003</v>
      </c>
      <c r="D136" s="11" t="s">
        <v>23</v>
      </c>
      <c r="E136" s="12">
        <v>6</v>
      </c>
      <c r="F136" s="14">
        <v>15.114857572639529</v>
      </c>
      <c r="G136" s="14">
        <v>7.5321799588705066E-2</v>
      </c>
    </row>
    <row r="137" spans="1:14">
      <c r="A137" s="8">
        <v>15</v>
      </c>
      <c r="B137" s="73">
        <v>37790</v>
      </c>
      <c r="C137" s="12">
        <v>2003</v>
      </c>
      <c r="D137" s="11" t="s">
        <v>23</v>
      </c>
      <c r="E137" s="12">
        <v>6</v>
      </c>
      <c r="F137" s="14">
        <v>11.282353868849933</v>
      </c>
      <c r="G137" s="14">
        <v>7.9434435346211585E-2</v>
      </c>
      <c r="I137" s="18">
        <f>AVERAGE(F135:F137)</f>
        <v>14.076641367008124</v>
      </c>
      <c r="J137" s="18">
        <f>AVERAGE(G135:G137)</f>
        <v>8.8245648884036951E-2</v>
      </c>
      <c r="L137">
        <f>+J137/I137</f>
        <v>6.2689420425856065E-3</v>
      </c>
      <c r="M137">
        <f>+(L137-$L$927)/$L$928</f>
        <v>-0.59176147525250156</v>
      </c>
      <c r="N137">
        <f>+N134+M137</f>
        <v>0.19956321966692625</v>
      </c>
    </row>
    <row r="138" spans="1:14">
      <c r="A138" s="8">
        <v>6</v>
      </c>
      <c r="B138" s="73">
        <v>37819</v>
      </c>
      <c r="C138" s="12">
        <v>2003</v>
      </c>
      <c r="D138" s="15" t="s">
        <v>24</v>
      </c>
      <c r="E138" s="12">
        <v>7</v>
      </c>
      <c r="F138" s="14">
        <v>15.953109210142616</v>
      </c>
      <c r="G138" s="14">
        <v>5.5777137346694705E-2</v>
      </c>
    </row>
    <row r="139" spans="1:14">
      <c r="A139" s="8">
        <v>8</v>
      </c>
      <c r="B139" s="73">
        <v>37818</v>
      </c>
      <c r="C139" s="12">
        <v>2003</v>
      </c>
      <c r="D139" s="15" t="s">
        <v>24</v>
      </c>
      <c r="E139" s="12">
        <v>7</v>
      </c>
      <c r="F139" s="14">
        <v>7.9433931678976784</v>
      </c>
      <c r="G139" s="14">
        <v>2.0565202801260171E-2</v>
      </c>
    </row>
    <row r="140" spans="1:14">
      <c r="A140" s="8">
        <v>15</v>
      </c>
      <c r="B140" s="73">
        <v>37819</v>
      </c>
      <c r="C140" s="12">
        <v>2003</v>
      </c>
      <c r="D140" s="15" t="s">
        <v>24</v>
      </c>
      <c r="E140" s="12">
        <v>7</v>
      </c>
      <c r="F140" s="14">
        <v>12.777910973708968</v>
      </c>
      <c r="G140" s="14">
        <v>4.420522750840352E-2</v>
      </c>
      <c r="I140" s="18">
        <f>AVERAGE(F138:F140)</f>
        <v>12.224804450583088</v>
      </c>
      <c r="J140" s="18">
        <f>AVERAGE(G138:G140)</f>
        <v>4.0182522552119466E-2</v>
      </c>
      <c r="L140">
        <f>+J140/I140</f>
        <v>3.2869664880572284E-3</v>
      </c>
      <c r="M140">
        <f>+(L140-$L$927)/$L$928</f>
        <v>-0.68602342236548597</v>
      </c>
      <c r="N140">
        <f>+N137+M140</f>
        <v>-0.48646020269855972</v>
      </c>
    </row>
    <row r="141" spans="1:14">
      <c r="A141" s="8">
        <v>6</v>
      </c>
      <c r="B141" s="73">
        <v>37847</v>
      </c>
      <c r="C141" s="12">
        <v>2003</v>
      </c>
      <c r="D141" s="15" t="s">
        <v>25</v>
      </c>
      <c r="E141" s="12">
        <v>8</v>
      </c>
      <c r="F141" s="14">
        <v>14.195668450441072</v>
      </c>
      <c r="G141" s="14">
        <v>0.12057870768559623</v>
      </c>
    </row>
    <row r="142" spans="1:14">
      <c r="A142" s="8">
        <v>8</v>
      </c>
      <c r="B142" s="73">
        <v>37846</v>
      </c>
      <c r="C142" s="12">
        <v>2003</v>
      </c>
      <c r="D142" s="15" t="s">
        <v>25</v>
      </c>
      <c r="E142" s="12">
        <v>8</v>
      </c>
      <c r="F142" s="14">
        <v>4.7116439297159216</v>
      </c>
      <c r="G142" s="14">
        <v>3.6404874713350799E-2</v>
      </c>
    </row>
    <row r="143" spans="1:14">
      <c r="A143" s="8">
        <v>15</v>
      </c>
      <c r="B143" s="73">
        <v>37847</v>
      </c>
      <c r="C143" s="12">
        <v>2003</v>
      </c>
      <c r="D143" s="15" t="s">
        <v>25</v>
      </c>
      <c r="E143" s="12">
        <v>8</v>
      </c>
      <c r="F143" s="14">
        <v>5.9788124531664577</v>
      </c>
      <c r="G143" s="14">
        <v>1.5069663284827702E-2</v>
      </c>
      <c r="I143" s="18">
        <f>AVERAGE(F141:F143)</f>
        <v>8.2953749444411518</v>
      </c>
      <c r="J143" s="18">
        <f>AVERAGE(G141:G143)</f>
        <v>5.7351081894591573E-2</v>
      </c>
      <c r="L143">
        <f>+J143/I143</f>
        <v>6.9136214190081121E-3</v>
      </c>
      <c r="M143">
        <f>+(L143-$L$927)/$L$928</f>
        <v>-0.57138279267313319</v>
      </c>
      <c r="N143">
        <f>+N140+M143</f>
        <v>-1.057842995371693</v>
      </c>
    </row>
    <row r="144" spans="1:14">
      <c r="A144" s="8">
        <v>6</v>
      </c>
      <c r="B144" s="73">
        <v>37888</v>
      </c>
      <c r="C144" s="12">
        <v>2003</v>
      </c>
      <c r="D144" s="15" t="s">
        <v>26</v>
      </c>
      <c r="E144" s="12">
        <v>9</v>
      </c>
      <c r="F144" s="14">
        <v>10.450080753489985</v>
      </c>
      <c r="G144" s="14">
        <v>5.766878208106116E-2</v>
      </c>
    </row>
    <row r="145" spans="1:14">
      <c r="A145" s="8">
        <v>8</v>
      </c>
      <c r="B145" s="73">
        <v>37886</v>
      </c>
      <c r="C145" s="12">
        <v>2003</v>
      </c>
      <c r="D145" s="15" t="s">
        <v>26</v>
      </c>
      <c r="E145" s="12">
        <v>9</v>
      </c>
      <c r="F145" s="14">
        <v>15.420783565527255</v>
      </c>
      <c r="G145" s="14">
        <v>0.13589314955345033</v>
      </c>
    </row>
    <row r="146" spans="1:14">
      <c r="A146" s="8">
        <v>15</v>
      </c>
      <c r="B146" s="73">
        <v>37886</v>
      </c>
      <c r="C146" s="12">
        <v>2003</v>
      </c>
      <c r="D146" s="15" t="s">
        <v>26</v>
      </c>
      <c r="E146" s="12">
        <v>9</v>
      </c>
      <c r="F146" s="14">
        <v>11.004315055400102</v>
      </c>
      <c r="G146" s="14">
        <v>6.5551149379353357E-2</v>
      </c>
      <c r="I146" s="18">
        <f>AVERAGE(F144:F146)</f>
        <v>12.291726458139115</v>
      </c>
      <c r="J146" s="18">
        <f>AVERAGE(G144:G146)</f>
        <v>8.6371027004621626E-2</v>
      </c>
      <c r="L146">
        <f>+J146/I146</f>
        <v>7.02676123641118E-3</v>
      </c>
      <c r="M146">
        <f>+(L146-$L$927)/$L$928</f>
        <v>-0.56780637855121807</v>
      </c>
      <c r="N146">
        <f>+N143+M146</f>
        <v>-1.625649373922911</v>
      </c>
    </row>
    <row r="147" spans="1:14">
      <c r="A147" s="8">
        <v>6</v>
      </c>
      <c r="B147" s="73">
        <v>37910</v>
      </c>
      <c r="C147" s="12">
        <v>2003</v>
      </c>
      <c r="D147" s="15" t="s">
        <v>14</v>
      </c>
      <c r="E147" s="12">
        <v>10</v>
      </c>
      <c r="F147" s="13">
        <v>6.7571000000000003</v>
      </c>
      <c r="G147" s="14">
        <v>0.15074232559065689</v>
      </c>
    </row>
    <row r="148" spans="1:14">
      <c r="A148" s="8">
        <v>8</v>
      </c>
      <c r="B148" s="73">
        <v>37910</v>
      </c>
      <c r="C148" s="12">
        <v>2003</v>
      </c>
      <c r="D148" s="15" t="s">
        <v>14</v>
      </c>
      <c r="E148" s="12">
        <v>10</v>
      </c>
      <c r="F148" s="13">
        <v>5.6172000000000004</v>
      </c>
      <c r="G148" s="14">
        <v>3.4029758143508768E-2</v>
      </c>
    </row>
    <row r="149" spans="1:14">
      <c r="A149" s="8">
        <v>15</v>
      </c>
      <c r="B149" s="73">
        <v>37910</v>
      </c>
      <c r="C149" s="12">
        <v>2003</v>
      </c>
      <c r="D149" s="15" t="s">
        <v>14</v>
      </c>
      <c r="E149" s="12">
        <v>10</v>
      </c>
      <c r="F149" s="13">
        <v>6.9024999999999999</v>
      </c>
      <c r="G149" s="14">
        <v>2.3633298848406762E-2</v>
      </c>
      <c r="I149" s="18">
        <f>AVERAGE(F147:F149)</f>
        <v>6.4256000000000002</v>
      </c>
      <c r="J149" s="18">
        <f>AVERAGE(G147:G149)</f>
        <v>6.9468460860857464E-2</v>
      </c>
      <c r="L149">
        <f>+J149/I149</f>
        <v>1.0811202200706154E-2</v>
      </c>
      <c r="M149">
        <f>+(L149-$L$927)/$L$928</f>
        <v>-0.44817804240109038</v>
      </c>
      <c r="N149">
        <f>+N146+M149</f>
        <v>-2.0738274163240016</v>
      </c>
    </row>
    <row r="150" spans="1:14">
      <c r="A150" s="8">
        <v>6</v>
      </c>
      <c r="B150" s="73">
        <v>37943</v>
      </c>
      <c r="C150" s="12">
        <v>2003</v>
      </c>
      <c r="D150" s="15" t="s">
        <v>16</v>
      </c>
      <c r="E150" s="12">
        <v>11</v>
      </c>
      <c r="F150" s="13">
        <v>2.3603999999999998</v>
      </c>
      <c r="G150" s="14">
        <v>9.6589699001964957E-2</v>
      </c>
    </row>
    <row r="151" spans="1:14">
      <c r="A151" s="8">
        <v>8</v>
      </c>
      <c r="B151" s="73">
        <v>37942</v>
      </c>
      <c r="C151" s="12">
        <v>2003</v>
      </c>
      <c r="D151" s="15" t="s">
        <v>16</v>
      </c>
      <c r="E151" s="12">
        <v>11</v>
      </c>
      <c r="F151" s="13">
        <v>2.4371</v>
      </c>
      <c r="G151" s="14">
        <v>3.4289268419596806E-2</v>
      </c>
    </row>
    <row r="152" spans="1:14">
      <c r="A152" s="8">
        <v>15</v>
      </c>
      <c r="B152" s="73">
        <v>37942</v>
      </c>
      <c r="C152" s="12">
        <v>2003</v>
      </c>
      <c r="D152" s="15" t="s">
        <v>16</v>
      </c>
      <c r="E152" s="12">
        <v>11</v>
      </c>
      <c r="F152" s="13">
        <v>2.0104000000000002</v>
      </c>
      <c r="G152" s="14">
        <v>4.5268524504972742E-2</v>
      </c>
      <c r="I152" s="18">
        <f>AVERAGE(F150:F152)</f>
        <v>2.2692999999999999</v>
      </c>
      <c r="J152" s="18">
        <f>AVERAGE(G150:G152)</f>
        <v>5.8715830642178168E-2</v>
      </c>
      <c r="L152">
        <f>+J152/I152</f>
        <v>2.5873983449600391E-2</v>
      </c>
      <c r="M152">
        <f>+(L152-$L$927)/$L$928</f>
        <v>2.7965059208701779E-2</v>
      </c>
      <c r="N152">
        <f>+N149+M152</f>
        <v>-2.0458623571152996</v>
      </c>
    </row>
    <row r="153" spans="1:14">
      <c r="A153" s="8">
        <v>6</v>
      </c>
      <c r="B153" s="73">
        <v>37973</v>
      </c>
      <c r="C153" s="12">
        <v>2003</v>
      </c>
      <c r="D153" s="15" t="s">
        <v>17</v>
      </c>
      <c r="E153" s="12">
        <v>12</v>
      </c>
      <c r="F153" s="13">
        <v>7.0891999999999999</v>
      </c>
      <c r="G153" s="14">
        <v>0.11659065356612389</v>
      </c>
    </row>
    <row r="154" spans="1:14">
      <c r="A154" s="8">
        <v>8</v>
      </c>
      <c r="B154" s="73">
        <v>37971</v>
      </c>
      <c r="C154" s="12">
        <v>2003</v>
      </c>
      <c r="D154" s="15" t="s">
        <v>17</v>
      </c>
      <c r="E154" s="12">
        <v>12</v>
      </c>
      <c r="F154" s="13">
        <v>4.7662000000000004</v>
      </c>
      <c r="G154" s="14">
        <v>0.20351935691929296</v>
      </c>
    </row>
    <row r="155" spans="1:14">
      <c r="A155" s="8">
        <v>15</v>
      </c>
      <c r="B155" s="73">
        <v>37971</v>
      </c>
      <c r="C155" s="12">
        <v>2003</v>
      </c>
      <c r="D155" s="15" t="s">
        <v>17</v>
      </c>
      <c r="E155" s="12">
        <v>12</v>
      </c>
      <c r="F155" s="13">
        <v>5.1734</v>
      </c>
      <c r="G155" s="14">
        <v>0.15699974289691448</v>
      </c>
      <c r="I155" s="18">
        <f>AVERAGE(F153:F155)</f>
        <v>5.6762666666666668</v>
      </c>
      <c r="J155" s="18">
        <f>AVERAGE(G153:G155)</f>
        <v>0.15903658446077712</v>
      </c>
      <c r="L155">
        <f>+J155/I155</f>
        <v>2.8017814137363251E-2</v>
      </c>
      <c r="M155">
        <f>+(L155-$L$927)/$L$928</f>
        <v>9.5732769310220844E-2</v>
      </c>
      <c r="N155">
        <f>+N152+M155</f>
        <v>-1.9501295878050788</v>
      </c>
    </row>
    <row r="156" spans="1:14">
      <c r="A156" s="8">
        <v>6</v>
      </c>
      <c r="B156" s="73">
        <v>37999</v>
      </c>
      <c r="C156" s="12">
        <v>2004</v>
      </c>
      <c r="D156" s="15" t="s">
        <v>18</v>
      </c>
      <c r="E156" s="12">
        <v>1</v>
      </c>
      <c r="F156" s="13">
        <v>4.9983000000000004</v>
      </c>
      <c r="G156" s="13">
        <v>2.3705288729781778E-2</v>
      </c>
    </row>
    <row r="157" spans="1:14">
      <c r="A157" s="8">
        <v>8</v>
      </c>
      <c r="C157" s="12">
        <v>2004</v>
      </c>
      <c r="D157" s="15" t="s">
        <v>18</v>
      </c>
      <c r="E157" s="12">
        <v>1</v>
      </c>
      <c r="F157" s="13"/>
    </row>
    <row r="158" spans="1:14">
      <c r="A158" s="8">
        <v>15</v>
      </c>
      <c r="C158" s="12">
        <v>2004</v>
      </c>
      <c r="D158" s="15" t="s">
        <v>18</v>
      </c>
      <c r="E158" s="12">
        <v>1</v>
      </c>
      <c r="F158" s="13"/>
      <c r="I158" s="18">
        <f>AVERAGE(F156:F158)</f>
        <v>4.9983000000000004</v>
      </c>
      <c r="J158" s="18">
        <f>AVERAGE(G156:G158)</f>
        <v>2.3705288729781778E-2</v>
      </c>
      <c r="L158">
        <f>+J158/I158</f>
        <v>4.7426702538426613E-3</v>
      </c>
      <c r="M158">
        <f>+(L158-$L$927)/$L$928</f>
        <v>-0.64000779652500506</v>
      </c>
      <c r="N158">
        <f>+N155+M158</f>
        <v>-2.5901373843300837</v>
      </c>
    </row>
    <row r="159" spans="1:14">
      <c r="A159" s="8">
        <v>6</v>
      </c>
      <c r="B159" s="73">
        <v>38027</v>
      </c>
      <c r="C159" s="12">
        <v>2004</v>
      </c>
      <c r="D159" s="11" t="s">
        <v>19</v>
      </c>
      <c r="E159" s="12">
        <v>2</v>
      </c>
      <c r="F159" s="13">
        <v>5.3985000000000003</v>
      </c>
      <c r="G159" s="13">
        <v>2.5562505112357751E-2</v>
      </c>
    </row>
    <row r="160" spans="1:14">
      <c r="A160" s="8">
        <v>8</v>
      </c>
      <c r="B160" s="73">
        <v>38026</v>
      </c>
      <c r="C160" s="12">
        <v>2004</v>
      </c>
      <c r="D160" s="11" t="s">
        <v>19</v>
      </c>
      <c r="E160" s="12">
        <v>2</v>
      </c>
      <c r="F160" s="13">
        <v>9.5776000000000003</v>
      </c>
      <c r="G160" s="13">
        <v>4.8833508378514627E-2</v>
      </c>
    </row>
    <row r="161" spans="1:14">
      <c r="A161" s="8">
        <v>15</v>
      </c>
      <c r="B161" s="73">
        <v>38026</v>
      </c>
      <c r="C161" s="12">
        <v>2004</v>
      </c>
      <c r="D161" s="11" t="s">
        <v>19</v>
      </c>
      <c r="E161" s="12">
        <v>2</v>
      </c>
      <c r="F161" s="13">
        <v>7.0206999999999997</v>
      </c>
      <c r="G161" s="13">
        <v>5.129571512182679E-2</v>
      </c>
      <c r="I161" s="18">
        <f>AVERAGE(F159:F161)</f>
        <v>7.3322666666666665</v>
      </c>
      <c r="J161" s="18">
        <f>AVERAGE(G159:G161)</f>
        <v>4.1897242870899722E-2</v>
      </c>
      <c r="L161">
        <f>+J161/I161</f>
        <v>5.7140915320728096E-3</v>
      </c>
      <c r="M161">
        <f>+(L161-$L$927)/$L$928</f>
        <v>-0.60930061617474884</v>
      </c>
      <c r="N161">
        <f>+N158+M161</f>
        <v>-3.1994380005048324</v>
      </c>
    </row>
    <row r="162" spans="1:14">
      <c r="A162" s="8">
        <v>6</v>
      </c>
      <c r="B162" s="73">
        <v>38063</v>
      </c>
      <c r="C162" s="12">
        <v>2004</v>
      </c>
      <c r="D162" s="11" t="s">
        <v>20</v>
      </c>
      <c r="E162" s="12">
        <v>3</v>
      </c>
      <c r="F162" s="13">
        <v>8.1742000000000008</v>
      </c>
      <c r="G162" s="13">
        <v>3.6350838994029543E-2</v>
      </c>
    </row>
    <row r="163" spans="1:14">
      <c r="A163" s="8">
        <v>8</v>
      </c>
      <c r="B163" s="73">
        <v>38061</v>
      </c>
      <c r="C163" s="12">
        <v>2004</v>
      </c>
      <c r="D163" s="11" t="s">
        <v>20</v>
      </c>
      <c r="E163" s="12">
        <v>3</v>
      </c>
      <c r="F163" s="13">
        <v>6.0446999999999997</v>
      </c>
      <c r="G163" s="13">
        <v>4.7048889605369466E-2</v>
      </c>
    </row>
    <row r="164" spans="1:14">
      <c r="A164" s="8">
        <v>15</v>
      </c>
      <c r="B164" s="73">
        <v>38063</v>
      </c>
      <c r="C164" s="12">
        <v>2004</v>
      </c>
      <c r="D164" s="11" t="s">
        <v>20</v>
      </c>
      <c r="E164" s="12">
        <v>3</v>
      </c>
      <c r="F164" s="13">
        <v>3.8525999999999998</v>
      </c>
      <c r="G164" s="13">
        <v>4.5483131028612817E-2</v>
      </c>
      <c r="I164" s="18">
        <f>AVERAGE(F162:F164)</f>
        <v>6.0238333333333332</v>
      </c>
      <c r="J164" s="18">
        <f>AVERAGE(G162:G164)</f>
        <v>4.2960953209337273E-2</v>
      </c>
      <c r="L164">
        <f>+J164/I164</f>
        <v>7.1318296559782987E-3</v>
      </c>
      <c r="M164">
        <f>+(L164-$L$927)/$L$928</f>
        <v>-0.5644851059158873</v>
      </c>
      <c r="N164">
        <f>+N161+M164</f>
        <v>-3.7639231064207195</v>
      </c>
    </row>
    <row r="165" spans="1:14">
      <c r="A165" s="8">
        <v>6</v>
      </c>
      <c r="B165" s="73">
        <v>38094</v>
      </c>
      <c r="C165" s="12">
        <v>2004</v>
      </c>
      <c r="D165" s="11" t="s">
        <v>21</v>
      </c>
      <c r="E165" s="12">
        <v>4</v>
      </c>
      <c r="F165" s="13">
        <v>4.3901000000000003</v>
      </c>
      <c r="G165" s="21">
        <v>4.832454614319473E-2</v>
      </c>
    </row>
    <row r="166" spans="1:14">
      <c r="A166" s="8">
        <v>8</v>
      </c>
      <c r="B166" s="73">
        <v>38093</v>
      </c>
      <c r="C166" s="12">
        <v>2004</v>
      </c>
      <c r="D166" s="11" t="s">
        <v>21</v>
      </c>
      <c r="E166" s="12">
        <v>4</v>
      </c>
      <c r="F166" s="13">
        <v>1.3182</v>
      </c>
      <c r="G166" s="21">
        <v>4.1365764345315005E-2</v>
      </c>
    </row>
    <row r="167" spans="1:14">
      <c r="A167" s="8">
        <v>15</v>
      </c>
      <c r="B167" s="73">
        <v>38094</v>
      </c>
      <c r="C167" s="12">
        <v>2004</v>
      </c>
      <c r="D167" s="11" t="s">
        <v>21</v>
      </c>
      <c r="E167" s="12">
        <v>4</v>
      </c>
      <c r="F167" s="13">
        <v>3.8311000000000002</v>
      </c>
      <c r="G167" s="21">
        <v>5.0748897450360833E-2</v>
      </c>
      <c r="I167" s="18">
        <f>AVERAGE(F165:F167)</f>
        <v>3.1798000000000002</v>
      </c>
      <c r="J167" s="18">
        <f>AVERAGE(G165:G167)</f>
        <v>4.6813069312956847E-2</v>
      </c>
      <c r="L167">
        <f>+J167/I167</f>
        <v>1.4722016891929318E-2</v>
      </c>
      <c r="M167">
        <f>+(L167-$L$927)/$L$928</f>
        <v>-0.3245549607051495</v>
      </c>
      <c r="N167">
        <f>+N164+M167</f>
        <v>-4.0884780671258687</v>
      </c>
    </row>
    <row r="168" spans="1:14">
      <c r="A168" s="8">
        <v>6</v>
      </c>
      <c r="B168" s="73">
        <v>38118</v>
      </c>
      <c r="C168" s="12">
        <v>2004</v>
      </c>
      <c r="D168" s="11" t="s">
        <v>22</v>
      </c>
      <c r="E168" s="12">
        <v>5</v>
      </c>
      <c r="F168" s="13">
        <v>2.6059999999999999</v>
      </c>
      <c r="G168" s="21">
        <v>6.2185671607849137E-2</v>
      </c>
    </row>
    <row r="169" spans="1:14">
      <c r="A169" s="8">
        <v>8</v>
      </c>
      <c r="B169" s="73">
        <v>38117</v>
      </c>
      <c r="C169" s="12">
        <v>2004</v>
      </c>
      <c r="D169" s="11" t="s">
        <v>22</v>
      </c>
      <c r="E169" s="12">
        <v>5</v>
      </c>
      <c r="F169" s="13">
        <v>2.4889000000000001</v>
      </c>
      <c r="G169" s="21">
        <v>2.87435873084817E-2</v>
      </c>
    </row>
    <row r="170" spans="1:14">
      <c r="A170" s="8">
        <v>15</v>
      </c>
      <c r="B170" s="73">
        <v>38118</v>
      </c>
      <c r="C170" s="12">
        <v>2004</v>
      </c>
      <c r="D170" s="11" t="s">
        <v>22</v>
      </c>
      <c r="E170" s="12">
        <v>5</v>
      </c>
      <c r="F170" s="13">
        <v>2.1602999999999999</v>
      </c>
      <c r="G170" s="21">
        <v>3.6061987258029594E-2</v>
      </c>
      <c r="I170" s="18">
        <f>AVERAGE(F168:F170)</f>
        <v>2.4184000000000001</v>
      </c>
      <c r="J170" s="18">
        <f>AVERAGE(G168:G170)</f>
        <v>4.233041539145347E-2</v>
      </c>
      <c r="L170">
        <f>+J170/I170</f>
        <v>1.7503479735136235E-2</v>
      </c>
      <c r="M170">
        <f>+(L170-$L$927)/$L$928</f>
        <v>-0.23663133469656256</v>
      </c>
      <c r="N170">
        <f>+N167+M170</f>
        <v>-4.3251094018224316</v>
      </c>
    </row>
    <row r="171" spans="1:14">
      <c r="A171" s="8">
        <v>6</v>
      </c>
      <c r="B171" s="73">
        <v>38153</v>
      </c>
      <c r="C171" s="12">
        <v>2004</v>
      </c>
      <c r="D171" s="11" t="s">
        <v>23</v>
      </c>
      <c r="E171" s="12">
        <v>6</v>
      </c>
      <c r="F171" s="13">
        <v>13.8576</v>
      </c>
      <c r="G171" s="21">
        <v>8.9307986542880857E-2</v>
      </c>
    </row>
    <row r="172" spans="1:14">
      <c r="A172" s="8">
        <v>8</v>
      </c>
      <c r="B172" s="73">
        <v>38160</v>
      </c>
      <c r="C172" s="12">
        <v>2004</v>
      </c>
      <c r="D172" s="11" t="s">
        <v>23</v>
      </c>
      <c r="E172" s="12">
        <v>6</v>
      </c>
      <c r="F172" s="13">
        <v>2.9472</v>
      </c>
      <c r="G172" s="21">
        <v>2.789325430530918E-2</v>
      </c>
    </row>
    <row r="173" spans="1:14">
      <c r="A173" s="8">
        <v>15</v>
      </c>
      <c r="B173" s="73">
        <v>38155</v>
      </c>
      <c r="C173" s="12">
        <v>2004</v>
      </c>
      <c r="D173" s="11" t="s">
        <v>23</v>
      </c>
      <c r="E173" s="12">
        <v>6</v>
      </c>
      <c r="F173" s="13">
        <v>4.3376000000000001</v>
      </c>
      <c r="G173" s="21">
        <v>3.2981587872184782E-2</v>
      </c>
      <c r="I173" s="18">
        <f>AVERAGE(F171:F173)</f>
        <v>7.0474666666666677</v>
      </c>
      <c r="J173" s="18">
        <f>AVERAGE(G171:G173)</f>
        <v>5.0060942906791604E-2</v>
      </c>
      <c r="L173">
        <f>+J173/I173</f>
        <v>7.1033954858660698E-3</v>
      </c>
      <c r="M173">
        <f>+(L173-$L$927)/$L$928</f>
        <v>-0.56538392624164435</v>
      </c>
      <c r="N173">
        <f>+N170+M173</f>
        <v>-4.8904933280640757</v>
      </c>
    </row>
    <row r="174" spans="1:14">
      <c r="A174" s="8">
        <v>6</v>
      </c>
      <c r="B174" s="73">
        <v>38181</v>
      </c>
      <c r="C174" s="12">
        <v>2004</v>
      </c>
      <c r="D174" s="15" t="s">
        <v>24</v>
      </c>
      <c r="E174" s="12">
        <v>7</v>
      </c>
      <c r="F174" s="13">
        <v>11.0219</v>
      </c>
      <c r="G174" s="21">
        <v>9.5268548212266393E-2</v>
      </c>
    </row>
    <row r="175" spans="1:14">
      <c r="A175" s="8">
        <v>8</v>
      </c>
      <c r="B175" s="73">
        <v>38182</v>
      </c>
      <c r="C175" s="12">
        <v>2004</v>
      </c>
      <c r="D175" s="15" t="s">
        <v>24</v>
      </c>
      <c r="E175" s="12">
        <v>7</v>
      </c>
      <c r="F175" s="13">
        <v>2.2934000000000001</v>
      </c>
      <c r="G175" s="21">
        <v>3.7516348116585413E-2</v>
      </c>
    </row>
    <row r="176" spans="1:14">
      <c r="A176" s="8">
        <v>15</v>
      </c>
      <c r="B176" s="73">
        <v>38182</v>
      </c>
      <c r="C176" s="12">
        <v>2004</v>
      </c>
      <c r="D176" s="15" t="s">
        <v>24</v>
      </c>
      <c r="E176" s="12">
        <v>7</v>
      </c>
      <c r="F176" s="13">
        <v>4.0551000000000004</v>
      </c>
      <c r="G176" s="21">
        <v>9.1966473972393936E-2</v>
      </c>
      <c r="I176" s="18">
        <f>AVERAGE(F174:F176)</f>
        <v>5.7901333333333334</v>
      </c>
      <c r="J176" s="18">
        <f>AVERAGE(G174:G176)</f>
        <v>7.4917123433748581E-2</v>
      </c>
      <c r="L176">
        <f>+J176/I176</f>
        <v>1.293875617724668E-2</v>
      </c>
      <c r="M176">
        <f>+(L176-$L$927)/$L$928</f>
        <v>-0.38092484841962571</v>
      </c>
      <c r="N176">
        <f>+N173+M176</f>
        <v>-5.2714181764837011</v>
      </c>
    </row>
    <row r="177" spans="1:14">
      <c r="A177" s="8">
        <v>6</v>
      </c>
      <c r="B177" s="73">
        <v>38217</v>
      </c>
      <c r="C177" s="12">
        <v>2004</v>
      </c>
      <c r="D177" s="15" t="s">
        <v>25</v>
      </c>
      <c r="E177" s="12">
        <v>8</v>
      </c>
      <c r="F177" s="13">
        <v>15.412599999999999</v>
      </c>
      <c r="G177" s="20"/>
    </row>
    <row r="178" spans="1:14">
      <c r="A178" s="8">
        <v>8</v>
      </c>
      <c r="B178" s="73">
        <v>38218</v>
      </c>
      <c r="C178" s="12">
        <v>2004</v>
      </c>
      <c r="D178" s="15" t="s">
        <v>25</v>
      </c>
      <c r="E178" s="12">
        <v>8</v>
      </c>
      <c r="F178" s="13">
        <v>3.7090000000000001</v>
      </c>
      <c r="G178" s="20"/>
    </row>
    <row r="179" spans="1:14">
      <c r="A179" s="8">
        <v>15</v>
      </c>
      <c r="B179" s="73">
        <v>38218</v>
      </c>
      <c r="C179" s="12">
        <v>2004</v>
      </c>
      <c r="D179" s="15" t="s">
        <v>25</v>
      </c>
      <c r="E179" s="12">
        <v>8</v>
      </c>
      <c r="F179" s="13">
        <v>3.0560999999999998</v>
      </c>
      <c r="G179" s="20"/>
      <c r="I179" s="18">
        <f>AVERAGE(F177:F179)</f>
        <v>7.3925666666666672</v>
      </c>
      <c r="J179" s="18" t="e">
        <f>AVERAGE(G177:G179)</f>
        <v>#DIV/0!</v>
      </c>
    </row>
    <row r="180" spans="1:14">
      <c r="A180" s="8">
        <v>6</v>
      </c>
      <c r="B180" s="73">
        <v>38244</v>
      </c>
      <c r="C180" s="12">
        <v>2004</v>
      </c>
      <c r="D180" s="15" t="s">
        <v>26</v>
      </c>
      <c r="E180" s="12">
        <v>9</v>
      </c>
      <c r="F180" s="13">
        <v>9.4573999999999998</v>
      </c>
      <c r="G180" s="21">
        <v>3.7531441586562596E-2</v>
      </c>
    </row>
    <row r="181" spans="1:14">
      <c r="A181" s="8">
        <v>8</v>
      </c>
      <c r="B181" s="73">
        <v>38246</v>
      </c>
      <c r="C181" s="12">
        <v>2004</v>
      </c>
      <c r="D181" s="15" t="s">
        <v>26</v>
      </c>
      <c r="E181" s="12">
        <v>9</v>
      </c>
      <c r="F181" s="13">
        <v>1.6736</v>
      </c>
      <c r="G181" s="21">
        <v>0</v>
      </c>
    </row>
    <row r="182" spans="1:14">
      <c r="A182" s="8">
        <v>15</v>
      </c>
      <c r="B182" s="73">
        <v>38246</v>
      </c>
      <c r="C182" s="12">
        <v>2004</v>
      </c>
      <c r="D182" s="15" t="s">
        <v>26</v>
      </c>
      <c r="E182" s="12">
        <v>9</v>
      </c>
      <c r="F182" s="13">
        <v>2.9839000000000002</v>
      </c>
      <c r="G182" s="21">
        <v>5.7558629914860229E-2</v>
      </c>
      <c r="I182" s="18">
        <f>AVERAGE(F180:F182)</f>
        <v>4.7049666666666665</v>
      </c>
      <c r="J182" s="18">
        <f>AVERAGE(G180:G182)</f>
        <v>3.1696690500474273E-2</v>
      </c>
      <c r="L182">
        <f>+J182/I182</f>
        <v>6.7368576115610325E-3</v>
      </c>
      <c r="M182">
        <f>+(L182-$L$927)/$L$928</f>
        <v>-0.5769703973883239</v>
      </c>
      <c r="N182">
        <f>+N176+M182</f>
        <v>-5.8483885738720254</v>
      </c>
    </row>
    <row r="183" spans="1:14">
      <c r="A183" s="8">
        <v>6</v>
      </c>
      <c r="B183" s="73">
        <v>38273</v>
      </c>
      <c r="C183" s="12">
        <v>2004</v>
      </c>
      <c r="D183" s="15" t="s">
        <v>14</v>
      </c>
      <c r="E183" s="12">
        <v>10</v>
      </c>
      <c r="F183" s="14">
        <v>8.5496300000000005</v>
      </c>
      <c r="G183" s="14">
        <v>4.5937291099812594E-2</v>
      </c>
    </row>
    <row r="184" spans="1:14">
      <c r="A184" s="8">
        <v>8</v>
      </c>
      <c r="B184" s="73">
        <v>38274</v>
      </c>
      <c r="C184" s="12">
        <v>2004</v>
      </c>
      <c r="D184" s="15" t="s">
        <v>14</v>
      </c>
      <c r="E184" s="12">
        <v>10</v>
      </c>
      <c r="F184" s="14">
        <v>1.54593</v>
      </c>
      <c r="G184" s="14">
        <v>0</v>
      </c>
    </row>
    <row r="185" spans="1:14">
      <c r="A185" s="8">
        <v>15</v>
      </c>
      <c r="B185" s="73">
        <v>38273</v>
      </c>
      <c r="C185" s="12">
        <v>2004</v>
      </c>
      <c r="D185" s="15" t="s">
        <v>14</v>
      </c>
      <c r="E185" s="12">
        <v>10</v>
      </c>
      <c r="F185" s="14">
        <v>1.51335</v>
      </c>
      <c r="G185" s="14">
        <v>0</v>
      </c>
      <c r="I185" s="18">
        <f>AVERAGE(F183:F185)</f>
        <v>3.8696366666666671</v>
      </c>
      <c r="J185" s="18">
        <f>AVERAGE(G183:G185)</f>
        <v>1.5312430366604199E-2</v>
      </c>
      <c r="L185">
        <f>+J185/I185</f>
        <v>3.9570718611663443E-3</v>
      </c>
      <c r="M185">
        <f>+(L185-$L$927)/$L$928</f>
        <v>-0.66484100953711245</v>
      </c>
      <c r="N185">
        <f>+N182+M185</f>
        <v>-6.5132295834091378</v>
      </c>
    </row>
    <row r="186" spans="1:14">
      <c r="A186" s="8">
        <v>6</v>
      </c>
      <c r="B186" s="73">
        <v>38307</v>
      </c>
      <c r="C186" s="12">
        <v>2004</v>
      </c>
      <c r="D186" s="15" t="s">
        <v>16</v>
      </c>
      <c r="E186" s="12">
        <v>11</v>
      </c>
      <c r="F186" s="14">
        <v>1.90208</v>
      </c>
      <c r="G186" s="14">
        <v>2.2233765101530027E-2</v>
      </c>
    </row>
    <row r="187" spans="1:14">
      <c r="A187" s="8">
        <v>8</v>
      </c>
      <c r="B187" s="73">
        <v>38309</v>
      </c>
      <c r="C187" s="12">
        <v>2004</v>
      </c>
      <c r="D187" s="15" t="s">
        <v>16</v>
      </c>
      <c r="E187" s="12">
        <v>11</v>
      </c>
      <c r="F187" s="14">
        <v>1.50061</v>
      </c>
      <c r="G187" s="14">
        <v>0.11474327438897751</v>
      </c>
    </row>
    <row r="188" spans="1:14">
      <c r="A188" s="8">
        <v>15</v>
      </c>
      <c r="B188" s="73">
        <v>38307</v>
      </c>
      <c r="C188" s="12">
        <v>2004</v>
      </c>
      <c r="D188" s="15" t="s">
        <v>16</v>
      </c>
      <c r="E188" s="12">
        <v>11</v>
      </c>
      <c r="F188" s="14">
        <v>1.69478</v>
      </c>
      <c r="G188" s="14">
        <v>0</v>
      </c>
      <c r="I188" s="18">
        <f>AVERAGE(F186:F188)</f>
        <v>1.6991566666666664</v>
      </c>
      <c r="J188" s="18">
        <f>AVERAGE(G186:G188)</f>
        <v>4.5659013163502515E-2</v>
      </c>
      <c r="L188">
        <f>+J188/I188</f>
        <v>2.6871573445357708E-2</v>
      </c>
      <c r="M188">
        <f>+(L188-$L$927)/$L$928</f>
        <v>5.9499447637110896E-2</v>
      </c>
      <c r="N188">
        <f>+N185+M188</f>
        <v>-6.4537301357720267</v>
      </c>
    </row>
    <row r="189" spans="1:14">
      <c r="A189" s="8">
        <v>6</v>
      </c>
      <c r="B189" s="73">
        <v>38337</v>
      </c>
      <c r="C189" s="12">
        <v>2004</v>
      </c>
      <c r="D189" s="15" t="s">
        <v>17</v>
      </c>
      <c r="E189" s="12">
        <v>12</v>
      </c>
      <c r="F189" s="14">
        <v>3.1585000000000001</v>
      </c>
      <c r="G189" s="14">
        <v>0.12992584351676961</v>
      </c>
    </row>
    <row r="190" spans="1:14">
      <c r="A190" s="8">
        <v>8</v>
      </c>
      <c r="B190" s="73">
        <v>38337</v>
      </c>
      <c r="C190" s="12">
        <v>2004</v>
      </c>
      <c r="D190" s="15" t="s">
        <v>17</v>
      </c>
      <c r="E190" s="12">
        <v>12</v>
      </c>
      <c r="F190" s="14">
        <v>2.3885800000000001</v>
      </c>
      <c r="G190" s="14">
        <v>4.2377036510456427E-2</v>
      </c>
    </row>
    <row r="191" spans="1:14">
      <c r="A191" s="8">
        <v>15</v>
      </c>
      <c r="B191" s="73">
        <v>38337</v>
      </c>
      <c r="C191" s="12">
        <v>2004</v>
      </c>
      <c r="D191" s="15" t="s">
        <v>17</v>
      </c>
      <c r="E191" s="12">
        <v>12</v>
      </c>
      <c r="F191" s="14">
        <v>2.2125400000000002</v>
      </c>
      <c r="G191" s="14">
        <v>0.11281433255123044</v>
      </c>
      <c r="I191" s="18">
        <f>AVERAGE(F189:F191)</f>
        <v>2.5865399999999998</v>
      </c>
      <c r="J191" s="18">
        <f>AVERAGE(G189:G191)</f>
        <v>9.5039070859485486E-2</v>
      </c>
      <c r="L191">
        <f>+J191/I191</f>
        <v>3.6743708142725609E-2</v>
      </c>
      <c r="M191">
        <f>+(L191-$L$927)/$L$928</f>
        <v>0.37156325289614744</v>
      </c>
      <c r="N191">
        <f>+N188+M191</f>
        <v>-6.082166882875879</v>
      </c>
    </row>
    <row r="192" spans="1:14">
      <c r="A192" s="8">
        <v>6</v>
      </c>
      <c r="B192" s="78">
        <v>38363</v>
      </c>
      <c r="C192" s="12">
        <v>2005</v>
      </c>
      <c r="D192" s="15" t="s">
        <v>18</v>
      </c>
      <c r="E192" s="12">
        <v>1</v>
      </c>
      <c r="F192" s="14">
        <v>3.3628</v>
      </c>
      <c r="G192" s="14">
        <v>0.1277586888926954</v>
      </c>
    </row>
    <row r="193" spans="1:14">
      <c r="A193" s="8">
        <v>8</v>
      </c>
      <c r="B193" s="78">
        <v>38364</v>
      </c>
      <c r="C193" s="12">
        <v>2005</v>
      </c>
      <c r="D193" s="15" t="s">
        <v>18</v>
      </c>
      <c r="E193" s="12">
        <v>1</v>
      </c>
      <c r="F193" s="14">
        <v>1.08186</v>
      </c>
      <c r="G193" s="14">
        <v>2.1592743897644338E-2</v>
      </c>
    </row>
    <row r="194" spans="1:14">
      <c r="A194" s="8">
        <v>15</v>
      </c>
      <c r="B194" s="78">
        <v>38363</v>
      </c>
      <c r="C194" s="12">
        <v>2005</v>
      </c>
      <c r="D194" s="15" t="s">
        <v>18</v>
      </c>
      <c r="E194" s="12">
        <v>1</v>
      </c>
      <c r="F194" s="14">
        <v>3.7126399999999999</v>
      </c>
      <c r="G194" s="14">
        <v>0.15962374229067555</v>
      </c>
      <c r="I194" s="18">
        <f>AVERAGE(F192:F194)</f>
        <v>2.7190999999999996</v>
      </c>
      <c r="J194" s="18">
        <f>AVERAGE(G192:G194)</f>
        <v>0.1029917250270051</v>
      </c>
      <c r="L194">
        <f>+J194/I194</f>
        <v>3.7877137665773643E-2</v>
      </c>
      <c r="M194">
        <f>+(L194-$L$927)/$L$928</f>
        <v>0.40739160621567905</v>
      </c>
      <c r="N194">
        <f>+N191+M194</f>
        <v>-5.6747752766602</v>
      </c>
    </row>
    <row r="195" spans="1:14">
      <c r="A195" s="8">
        <v>6</v>
      </c>
      <c r="B195" s="78">
        <v>38399</v>
      </c>
      <c r="C195" s="12">
        <v>2005</v>
      </c>
      <c r="D195" s="11" t="s">
        <v>19</v>
      </c>
      <c r="E195" s="12">
        <v>2</v>
      </c>
      <c r="F195" s="14">
        <v>3.0975199999999998</v>
      </c>
      <c r="G195" s="14">
        <v>0.15424366842698936</v>
      </c>
    </row>
    <row r="196" spans="1:14">
      <c r="A196" s="8">
        <v>8</v>
      </c>
      <c r="B196" s="78">
        <v>38398</v>
      </c>
      <c r="C196" s="12">
        <v>2005</v>
      </c>
      <c r="D196" s="11" t="s">
        <v>19</v>
      </c>
      <c r="E196" s="12">
        <v>2</v>
      </c>
      <c r="F196" s="14">
        <v>3.34823</v>
      </c>
      <c r="G196" s="14">
        <v>5.1946531720490678E-2</v>
      </c>
    </row>
    <row r="197" spans="1:14">
      <c r="A197" s="8">
        <v>15</v>
      </c>
      <c r="B197" s="78">
        <v>38398</v>
      </c>
      <c r="C197" s="12">
        <v>2005</v>
      </c>
      <c r="D197" s="11" t="s">
        <v>19</v>
      </c>
      <c r="E197" s="12">
        <v>2</v>
      </c>
      <c r="F197" s="14">
        <v>2.5410400000000002</v>
      </c>
      <c r="G197" s="14">
        <v>0.12864940373908346</v>
      </c>
      <c r="I197" s="18">
        <f>AVERAGE(F195:F197)</f>
        <v>2.9955966666666671</v>
      </c>
      <c r="J197" s="18">
        <f>AVERAGE(G195:G197)</f>
        <v>0.11161320129552117</v>
      </c>
      <c r="L197">
        <f>+J197/I197</f>
        <v>3.7259088493952063E-2</v>
      </c>
      <c r="M197">
        <f>+(L197-$L$927)/$L$928</f>
        <v>0.38785471958392947</v>
      </c>
      <c r="N197">
        <f>+N194+M197</f>
        <v>-5.2869205570762707</v>
      </c>
    </row>
    <row r="198" spans="1:14">
      <c r="A198" s="8">
        <v>6</v>
      </c>
      <c r="B198" s="78">
        <v>38428</v>
      </c>
      <c r="C198" s="12">
        <v>2005</v>
      </c>
      <c r="D198" s="11" t="s">
        <v>20</v>
      </c>
      <c r="E198" s="12">
        <v>3</v>
      </c>
      <c r="F198" s="14">
        <v>1.57328</v>
      </c>
      <c r="G198" s="14">
        <v>9.8319189714546479E-2</v>
      </c>
    </row>
    <row r="199" spans="1:14">
      <c r="A199" s="8">
        <v>8</v>
      </c>
      <c r="B199" s="78">
        <v>38427</v>
      </c>
      <c r="C199" s="12">
        <v>2005</v>
      </c>
      <c r="D199" s="11" t="s">
        <v>20</v>
      </c>
      <c r="E199" s="12">
        <v>3</v>
      </c>
      <c r="F199" s="14">
        <v>1.8873200000000001</v>
      </c>
      <c r="G199" s="14">
        <v>0.18477726718185938</v>
      </c>
    </row>
    <row r="200" spans="1:14">
      <c r="A200" s="8">
        <v>15</v>
      </c>
      <c r="B200" s="78">
        <v>38427</v>
      </c>
      <c r="C200" s="12">
        <v>2005</v>
      </c>
      <c r="D200" s="11" t="s">
        <v>20</v>
      </c>
      <c r="E200" s="12">
        <v>3</v>
      </c>
      <c r="F200" s="14">
        <v>1.9217599999999999</v>
      </c>
      <c r="G200" s="14">
        <v>8.1930459479328505E-2</v>
      </c>
      <c r="I200" s="18">
        <f>AVERAGE(F198:F200)</f>
        <v>1.7941200000000002</v>
      </c>
      <c r="J200" s="18">
        <f>AVERAGE(G198:G200)</f>
        <v>0.12167563879191146</v>
      </c>
      <c r="L200">
        <f>+J200/I200</f>
        <v>6.7819119563859415E-2</v>
      </c>
      <c r="M200">
        <f>+(L200-$L$927)/$L$928</f>
        <v>1.3538747220310532</v>
      </c>
      <c r="N200">
        <f>+N197+M200</f>
        <v>-3.9330458350452178</v>
      </c>
    </row>
    <row r="201" spans="1:14">
      <c r="A201" s="8">
        <v>6</v>
      </c>
      <c r="B201" s="78">
        <v>38469</v>
      </c>
      <c r="C201" s="12">
        <v>2005</v>
      </c>
      <c r="D201" s="11" t="s">
        <v>21</v>
      </c>
      <c r="E201" s="12">
        <v>4</v>
      </c>
      <c r="F201" s="14">
        <v>4.1978900000000001</v>
      </c>
      <c r="G201" s="14">
        <v>1.9205493050153719E-2</v>
      </c>
    </row>
    <row r="202" spans="1:14">
      <c r="A202" s="8">
        <v>8</v>
      </c>
      <c r="B202" s="78">
        <v>38470</v>
      </c>
      <c r="C202" s="12">
        <v>2005</v>
      </c>
      <c r="D202" s="11" t="s">
        <v>21</v>
      </c>
      <c r="E202" s="12">
        <v>4</v>
      </c>
      <c r="F202" s="14">
        <v>1.4016</v>
      </c>
      <c r="G202" s="14">
        <v>3.868425291059871E-2</v>
      </c>
    </row>
    <row r="203" spans="1:14">
      <c r="A203" s="8">
        <v>15</v>
      </c>
      <c r="B203" s="78">
        <v>38469</v>
      </c>
      <c r="C203" s="12">
        <v>2005</v>
      </c>
      <c r="D203" s="11" t="s">
        <v>21</v>
      </c>
      <c r="E203" s="12">
        <v>4</v>
      </c>
      <c r="F203" s="14">
        <v>3.1296499999999998</v>
      </c>
      <c r="G203" s="14">
        <v>1.6841838225620163E-2</v>
      </c>
      <c r="I203" s="18">
        <f>AVERAGE(F201:F203)</f>
        <v>2.9097133333333338</v>
      </c>
      <c r="J203" s="18">
        <f>AVERAGE(G201:G203)</f>
        <v>2.4910528062124196E-2</v>
      </c>
      <c r="L203">
        <f>+J203/I203</f>
        <v>8.5611622893403683E-3</v>
      </c>
      <c r="M203">
        <f>+(L203-$L$927)/$L$928</f>
        <v>-0.51930308660381186</v>
      </c>
      <c r="N203">
        <f>+N200+M203</f>
        <v>-4.4523489216490297</v>
      </c>
    </row>
    <row r="204" spans="1:14">
      <c r="A204" s="8">
        <v>6</v>
      </c>
      <c r="B204" s="78">
        <v>38490</v>
      </c>
      <c r="C204" s="12">
        <v>2005</v>
      </c>
      <c r="D204" s="11" t="s">
        <v>22</v>
      </c>
      <c r="E204" s="12">
        <v>5</v>
      </c>
      <c r="F204" s="14">
        <v>6.09511</v>
      </c>
      <c r="G204" s="14">
        <v>1.9733906529526602E-2</v>
      </c>
    </row>
    <row r="205" spans="1:14">
      <c r="A205" s="8">
        <v>8</v>
      </c>
      <c r="B205" s="78">
        <v>38488</v>
      </c>
      <c r="C205" s="12">
        <v>2005</v>
      </c>
      <c r="D205" s="11" t="s">
        <v>22</v>
      </c>
      <c r="E205" s="12">
        <v>5</v>
      </c>
      <c r="F205" s="14">
        <v>1.2165699999999999</v>
      </c>
      <c r="G205" s="14">
        <v>4.6432587920318652E-2</v>
      </c>
    </row>
    <row r="206" spans="1:14">
      <c r="A206" s="8">
        <v>15</v>
      </c>
      <c r="B206" s="78">
        <v>38488</v>
      </c>
      <c r="C206" s="12">
        <v>2005</v>
      </c>
      <c r="D206" s="11" t="s">
        <v>22</v>
      </c>
      <c r="E206" s="12">
        <v>5</v>
      </c>
      <c r="F206" s="14">
        <v>1.8910100000000001</v>
      </c>
      <c r="G206" s="14">
        <v>6.0543147408615688E-2</v>
      </c>
      <c r="I206" s="18">
        <f>AVERAGE(F204:F206)</f>
        <v>3.0675633333333336</v>
      </c>
      <c r="J206" s="18">
        <f>AVERAGE(G204:G206)</f>
        <v>4.2236547286153649E-2</v>
      </c>
      <c r="L206">
        <f>+J206/I206</f>
        <v>1.3768761292454808E-2</v>
      </c>
      <c r="M206">
        <f>+(L206-$L$927)/$L$928</f>
        <v>-0.35468791359484342</v>
      </c>
      <c r="N206">
        <f>+N203+M206</f>
        <v>-4.8070368352438733</v>
      </c>
    </row>
    <row r="207" spans="1:14">
      <c r="A207" s="8">
        <v>6</v>
      </c>
      <c r="B207" s="78">
        <v>38518</v>
      </c>
      <c r="C207" s="12">
        <v>2005</v>
      </c>
      <c r="D207" s="11" t="s">
        <v>23</v>
      </c>
      <c r="E207" s="12">
        <v>6</v>
      </c>
      <c r="F207" s="14">
        <v>8.4142499999999991</v>
      </c>
      <c r="G207" s="14">
        <v>8.8643401633748092E-2</v>
      </c>
    </row>
    <row r="208" spans="1:14">
      <c r="A208" s="8">
        <v>8</v>
      </c>
      <c r="B208" s="78">
        <v>38525</v>
      </c>
      <c r="C208" s="12">
        <v>2005</v>
      </c>
      <c r="D208" s="11" t="s">
        <v>23</v>
      </c>
      <c r="E208" s="12">
        <v>6</v>
      </c>
      <c r="F208" s="14">
        <v>3.2334000000000001</v>
      </c>
      <c r="G208" s="14">
        <v>3.0799479953354122E-2</v>
      </c>
    </row>
    <row r="209" spans="1:14">
      <c r="A209" s="8">
        <v>15</v>
      </c>
      <c r="B209" s="78">
        <v>38525</v>
      </c>
      <c r="C209" s="12">
        <v>2005</v>
      </c>
      <c r="D209" s="11" t="s">
        <v>23</v>
      </c>
      <c r="E209" s="12">
        <v>6</v>
      </c>
      <c r="F209" s="14">
        <v>5.8687399999999998</v>
      </c>
      <c r="G209" s="14">
        <v>5.1106383660899951E-2</v>
      </c>
      <c r="I209" s="18">
        <f>AVERAGE(F207:F209)</f>
        <v>5.8387966666666662</v>
      </c>
      <c r="J209" s="18">
        <f>AVERAGE(G207:G209)</f>
        <v>5.6849755082667396E-2</v>
      </c>
      <c r="L209">
        <f>+J209/I209</f>
        <v>9.7365533222314761E-3</v>
      </c>
      <c r="M209">
        <f>+(L209-$L$927)/$L$928</f>
        <v>-0.48214830603855646</v>
      </c>
      <c r="N209">
        <f>+N206+M209</f>
        <v>-5.28918514128243</v>
      </c>
    </row>
    <row r="210" spans="1:14">
      <c r="A210" s="8">
        <v>6</v>
      </c>
      <c r="B210" s="78">
        <v>38547</v>
      </c>
      <c r="C210" s="12">
        <v>2005</v>
      </c>
      <c r="D210" s="15" t="s">
        <v>24</v>
      </c>
      <c r="E210" s="12">
        <v>7</v>
      </c>
      <c r="F210" s="14">
        <v>9.1883400000000002</v>
      </c>
      <c r="G210" s="14">
        <v>0</v>
      </c>
    </row>
    <row r="211" spans="1:14">
      <c r="A211" s="8">
        <v>8</v>
      </c>
      <c r="B211" s="78">
        <v>38546</v>
      </c>
      <c r="C211" s="12">
        <v>2005</v>
      </c>
      <c r="D211" s="15" t="s">
        <v>24</v>
      </c>
      <c r="E211" s="12">
        <v>7</v>
      </c>
      <c r="F211" s="14">
        <v>6.8234500000000002</v>
      </c>
      <c r="G211" s="14">
        <v>0.22398926748276479</v>
      </c>
    </row>
    <row r="212" spans="1:14">
      <c r="A212" s="8">
        <v>15</v>
      </c>
      <c r="B212" s="78">
        <v>38546</v>
      </c>
      <c r="C212" s="12">
        <v>2005</v>
      </c>
      <c r="D212" s="15" t="s">
        <v>24</v>
      </c>
      <c r="E212" s="12">
        <v>7</v>
      </c>
      <c r="F212" s="14">
        <v>6.5940000000000003</v>
      </c>
      <c r="G212" s="14">
        <v>8.1678241124154005E-2</v>
      </c>
      <c r="I212" s="18">
        <f>AVERAGE(F210:F212)</f>
        <v>7.5352633333333339</v>
      </c>
      <c r="J212" s="18">
        <f>AVERAGE(G210:G212)</f>
        <v>0.1018891695356396</v>
      </c>
      <c r="L212">
        <f>+J212/I212</f>
        <v>1.3521646826185627E-2</v>
      </c>
      <c r="M212">
        <f>+(L212-$L$927)/$L$928</f>
        <v>-0.3624993427378308</v>
      </c>
      <c r="N212">
        <f>+N209+M212</f>
        <v>-5.6516844840202607</v>
      </c>
    </row>
    <row r="213" spans="1:14">
      <c r="A213" s="8">
        <v>6</v>
      </c>
      <c r="B213" s="78">
        <v>38587</v>
      </c>
      <c r="C213" s="12">
        <v>2005</v>
      </c>
      <c r="D213" s="15" t="s">
        <v>25</v>
      </c>
      <c r="E213" s="12">
        <v>8</v>
      </c>
      <c r="F213" s="14">
        <v>10.99231</v>
      </c>
      <c r="G213" s="14">
        <v>0.60173292313488025</v>
      </c>
    </row>
    <row r="214" spans="1:14">
      <c r="A214" s="8">
        <v>8</v>
      </c>
      <c r="B214" s="78">
        <v>38587</v>
      </c>
      <c r="C214" s="12">
        <v>2005</v>
      </c>
      <c r="D214" s="15" t="s">
        <v>25</v>
      </c>
      <c r="E214" s="12">
        <v>8</v>
      </c>
      <c r="F214" s="14">
        <v>14.17001</v>
      </c>
      <c r="G214" s="14">
        <v>8.0201922087827671E-2</v>
      </c>
    </row>
    <row r="215" spans="1:14">
      <c r="A215" s="8">
        <v>15</v>
      </c>
      <c r="B215" s="78">
        <v>38587</v>
      </c>
      <c r="C215" s="12">
        <v>2005</v>
      </c>
      <c r="D215" s="15" t="s">
        <v>25</v>
      </c>
      <c r="E215" s="12">
        <v>8</v>
      </c>
      <c r="F215" s="14">
        <v>6.8003099999999996</v>
      </c>
      <c r="G215" s="14">
        <v>0.1147946506801357</v>
      </c>
      <c r="I215" s="18">
        <f>AVERAGE(F213:F215)</f>
        <v>10.654210000000001</v>
      </c>
      <c r="J215" s="18">
        <f>AVERAGE(G213:G215)</f>
        <v>0.26557649863428118</v>
      </c>
      <c r="L215">
        <f>+J215/I215</f>
        <v>2.4926906700194679E-2</v>
      </c>
      <c r="M215">
        <f>+(L215-$L$927)/$L$928</f>
        <v>-1.9725767081485595E-3</v>
      </c>
      <c r="N215">
        <f>+N212+M215</f>
        <v>-5.6536570607284089</v>
      </c>
    </row>
    <row r="216" spans="1:14">
      <c r="A216" s="8">
        <v>6</v>
      </c>
      <c r="B216" s="78">
        <v>38608</v>
      </c>
      <c r="C216" s="12">
        <v>2005</v>
      </c>
      <c r="D216" s="15" t="s">
        <v>26</v>
      </c>
      <c r="E216" s="12">
        <v>9</v>
      </c>
      <c r="F216" s="14">
        <v>6.3655600000000003</v>
      </c>
      <c r="G216" s="14">
        <v>4.2090178730071877E-2</v>
      </c>
    </row>
    <row r="217" spans="1:14">
      <c r="A217" s="8">
        <v>8</v>
      </c>
      <c r="B217" s="78">
        <v>38609</v>
      </c>
      <c r="C217" s="12">
        <v>2005</v>
      </c>
      <c r="D217" s="15" t="s">
        <v>26</v>
      </c>
      <c r="E217" s="12">
        <v>9</v>
      </c>
      <c r="F217" s="14">
        <v>21.48677</v>
      </c>
      <c r="G217" s="14">
        <v>9.8819929831887074E-2</v>
      </c>
    </row>
    <row r="218" spans="1:14">
      <c r="A218" s="8">
        <v>15</v>
      </c>
      <c r="B218" s="78">
        <v>38609</v>
      </c>
      <c r="C218" s="12">
        <v>2005</v>
      </c>
      <c r="D218" s="15" t="s">
        <v>26</v>
      </c>
      <c r="E218" s="12">
        <v>9</v>
      </c>
      <c r="F218" s="14">
        <v>7.8046199999999999</v>
      </c>
      <c r="G218" s="14">
        <v>5.8628224743520488E-2</v>
      </c>
      <c r="I218" s="18">
        <f>AVERAGE(F216:F218)</f>
        <v>11.88565</v>
      </c>
      <c r="J218" s="18">
        <f>AVERAGE(G216:G218)</f>
        <v>6.6512777768493139E-2</v>
      </c>
      <c r="L218">
        <f>+J218/I218</f>
        <v>5.5960572428510966E-3</v>
      </c>
      <c r="M218">
        <f>+(L218-$L$927)/$L$928</f>
        <v>-0.61303174734087806</v>
      </c>
      <c r="N218">
        <f>+N215+M218</f>
        <v>-6.2666888080692873</v>
      </c>
    </row>
    <row r="219" spans="1:14">
      <c r="A219" s="8">
        <v>6</v>
      </c>
      <c r="B219" s="78">
        <v>38636</v>
      </c>
      <c r="C219" s="12">
        <v>2005</v>
      </c>
      <c r="D219" s="15" t="s">
        <v>14</v>
      </c>
      <c r="E219" s="12">
        <v>10</v>
      </c>
      <c r="F219" s="14">
        <v>7.0763999999999996</v>
      </c>
      <c r="G219" s="14">
        <v>1E-4</v>
      </c>
    </row>
    <row r="220" spans="1:14">
      <c r="A220" s="8">
        <v>8</v>
      </c>
      <c r="B220" s="78">
        <v>38642</v>
      </c>
      <c r="C220" s="12">
        <v>2005</v>
      </c>
      <c r="D220" s="15" t="s">
        <v>14</v>
      </c>
      <c r="E220" s="12">
        <v>10</v>
      </c>
      <c r="F220" s="14">
        <v>6.02</v>
      </c>
      <c r="G220" s="14">
        <v>1E-4</v>
      </c>
    </row>
    <row r="221" spans="1:14">
      <c r="A221" s="8">
        <v>15</v>
      </c>
      <c r="B221" s="78">
        <v>38637</v>
      </c>
      <c r="C221" s="12">
        <v>2005</v>
      </c>
      <c r="D221" s="15" t="s">
        <v>14</v>
      </c>
      <c r="E221" s="12">
        <v>10</v>
      </c>
      <c r="F221" s="14">
        <v>8.5502000000000002</v>
      </c>
      <c r="G221" s="14">
        <v>1E-4</v>
      </c>
      <c r="I221" s="18">
        <f>AVERAGE(F219:F221)</f>
        <v>7.2155333333333331</v>
      </c>
      <c r="J221" s="18">
        <f>AVERAGE(G219:G221)</f>
        <v>1E-4</v>
      </c>
      <c r="L221">
        <f>+J221/I221</f>
        <v>1.3858989402492771E-5</v>
      </c>
      <c r="M221">
        <f>+(L221-$L$927)/$L$928</f>
        <v>-0.78948821618808385</v>
      </c>
      <c r="N221">
        <f>+N218+M221</f>
        <v>-7.0561770242573711</v>
      </c>
    </row>
    <row r="222" spans="1:14">
      <c r="A222" s="8">
        <v>6</v>
      </c>
      <c r="B222" s="78">
        <v>38671</v>
      </c>
      <c r="C222" s="12">
        <v>2005</v>
      </c>
      <c r="D222" s="15" t="s">
        <v>16</v>
      </c>
      <c r="E222" s="12">
        <v>11</v>
      </c>
      <c r="F222" s="14">
        <v>4.6013000000000002</v>
      </c>
      <c r="G222" s="14">
        <v>1E-4</v>
      </c>
    </row>
    <row r="223" spans="1:14">
      <c r="A223" s="8">
        <v>8</v>
      </c>
      <c r="B223" s="78">
        <v>38670</v>
      </c>
      <c r="C223" s="12">
        <v>2005</v>
      </c>
      <c r="D223" s="15" t="s">
        <v>16</v>
      </c>
      <c r="E223" s="12">
        <v>11</v>
      </c>
      <c r="F223" s="14">
        <v>1.0083</v>
      </c>
      <c r="G223" s="14">
        <v>1E-4</v>
      </c>
    </row>
    <row r="224" spans="1:14">
      <c r="A224" s="8">
        <v>15</v>
      </c>
      <c r="B224" s="78">
        <v>38670</v>
      </c>
      <c r="C224" s="12">
        <v>2005</v>
      </c>
      <c r="D224" s="15" t="s">
        <v>16</v>
      </c>
      <c r="E224" s="12">
        <v>11</v>
      </c>
      <c r="F224" s="14">
        <v>2.6530999999999998</v>
      </c>
      <c r="G224" s="14">
        <v>1E-4</v>
      </c>
      <c r="I224" s="18">
        <f>AVERAGE(F222:F224)</f>
        <v>2.7542333333333335</v>
      </c>
      <c r="J224" s="18">
        <f>AVERAGE(G222:G224)</f>
        <v>1E-4</v>
      </c>
      <c r="L224">
        <f>+J224/I224</f>
        <v>3.6307744441889457E-5</v>
      </c>
      <c r="M224">
        <f>+(L224-$L$927)/$L$928</f>
        <v>-0.78877859824468299</v>
      </c>
      <c r="N224">
        <f>+N221+M224</f>
        <v>-7.844955622502054</v>
      </c>
    </row>
    <row r="225" spans="1:14">
      <c r="A225" s="8">
        <v>6</v>
      </c>
      <c r="B225" s="78">
        <v>38707</v>
      </c>
      <c r="C225" s="12">
        <v>2005</v>
      </c>
      <c r="D225" s="15" t="s">
        <v>17</v>
      </c>
      <c r="E225" s="12">
        <v>12</v>
      </c>
      <c r="F225" s="14">
        <v>6.2308000000000003</v>
      </c>
      <c r="G225" s="14">
        <v>3.5999999999999997E-2</v>
      </c>
    </row>
    <row r="226" spans="1:14">
      <c r="A226" s="8">
        <v>8</v>
      </c>
      <c r="B226" s="78">
        <v>38706</v>
      </c>
      <c r="C226" s="12">
        <v>2005</v>
      </c>
      <c r="D226" s="15" t="s">
        <v>17</v>
      </c>
      <c r="E226" s="12">
        <v>12</v>
      </c>
      <c r="F226" s="14">
        <v>2.7450999999999999</v>
      </c>
      <c r="G226" s="14">
        <v>2.4E-2</v>
      </c>
    </row>
    <row r="227" spans="1:14">
      <c r="A227" s="8">
        <v>15</v>
      </c>
      <c r="B227" s="78">
        <v>38706</v>
      </c>
      <c r="C227" s="12">
        <v>2005</v>
      </c>
      <c r="D227" s="15" t="s">
        <v>17</v>
      </c>
      <c r="E227" s="12">
        <v>12</v>
      </c>
      <c r="F227" s="14">
        <v>7.9623999999999997</v>
      </c>
      <c r="G227" s="14">
        <v>2.8799999999999999E-2</v>
      </c>
      <c r="I227" s="18">
        <f>AVERAGE(F225:F227)</f>
        <v>5.6460999999999997</v>
      </c>
      <c r="J227" s="18">
        <f>AVERAGE(G225:G227)</f>
        <v>2.9599999999999998E-2</v>
      </c>
      <c r="L227">
        <f>+J227/I227</f>
        <v>5.2425568091248823E-3</v>
      </c>
      <c r="M227">
        <f>+(L227-$L$927)/$L$928</f>
        <v>-0.62420609755904655</v>
      </c>
      <c r="N227">
        <f>+N224+M227</f>
        <v>-8.4691617200611002</v>
      </c>
    </row>
    <row r="228" spans="1:14">
      <c r="A228" s="12">
        <v>6</v>
      </c>
      <c r="B228" s="78">
        <v>38734</v>
      </c>
      <c r="C228" s="12">
        <v>2006</v>
      </c>
      <c r="D228" s="11" t="s">
        <v>18</v>
      </c>
      <c r="E228" s="12">
        <v>1</v>
      </c>
      <c r="F228" s="14">
        <v>4.1159999999999997</v>
      </c>
      <c r="G228" s="14">
        <v>0.12620000000000001</v>
      </c>
    </row>
    <row r="229" spans="1:14">
      <c r="A229" s="12">
        <v>8</v>
      </c>
      <c r="B229" s="78">
        <v>38740</v>
      </c>
      <c r="C229" s="12">
        <v>2006</v>
      </c>
      <c r="D229" s="11" t="s">
        <v>18</v>
      </c>
      <c r="E229" s="12">
        <v>1</v>
      </c>
      <c r="F229" s="14">
        <v>3.9529999999999998</v>
      </c>
      <c r="G229" s="14">
        <v>0.14749999999999999</v>
      </c>
    </row>
    <row r="230" spans="1:14">
      <c r="A230" s="12">
        <v>15</v>
      </c>
      <c r="B230" s="78">
        <v>38737</v>
      </c>
      <c r="C230" s="12">
        <v>2006</v>
      </c>
      <c r="D230" s="11" t="s">
        <v>18</v>
      </c>
      <c r="E230" s="12">
        <v>1</v>
      </c>
      <c r="F230" s="14">
        <v>3.8660999999999999</v>
      </c>
      <c r="G230" s="14">
        <v>0.12429999999999999</v>
      </c>
      <c r="I230" s="18">
        <f>AVERAGE(F228:F230)</f>
        <v>3.9783666666666662</v>
      </c>
      <c r="J230" s="18">
        <f>AVERAGE(G228:G230)</f>
        <v>0.13266666666666668</v>
      </c>
      <c r="L230">
        <f>+J230/I230</f>
        <v>3.334701845816123E-2</v>
      </c>
      <c r="M230">
        <f>+(L230-$L$927)/$L$928</f>
        <v>0.2641919557306126</v>
      </c>
      <c r="N230">
        <f>+N227+M230</f>
        <v>-8.2049697643304871</v>
      </c>
    </row>
    <row r="231" spans="1:14">
      <c r="A231" s="12">
        <v>6</v>
      </c>
      <c r="B231" s="78">
        <v>38762</v>
      </c>
      <c r="C231" s="15">
        <v>2006</v>
      </c>
      <c r="D231" s="11" t="s">
        <v>28</v>
      </c>
      <c r="E231" s="15">
        <v>2</v>
      </c>
      <c r="F231" s="14">
        <v>7.2595999999999998</v>
      </c>
      <c r="G231" s="14">
        <v>3.0599999999999999E-2</v>
      </c>
    </row>
    <row r="232" spans="1:14">
      <c r="A232" s="12">
        <v>8</v>
      </c>
      <c r="B232" s="78">
        <v>38763</v>
      </c>
      <c r="C232" s="15">
        <v>2006</v>
      </c>
      <c r="D232" s="11" t="s">
        <v>28</v>
      </c>
      <c r="E232" s="15">
        <v>2</v>
      </c>
      <c r="F232" s="14">
        <v>2.5998999999999999</v>
      </c>
      <c r="G232" s="14">
        <v>5.5100000000000003E-2</v>
      </c>
    </row>
    <row r="233" spans="1:14">
      <c r="A233" s="12">
        <v>15</v>
      </c>
      <c r="B233" s="78">
        <v>38763</v>
      </c>
      <c r="C233" s="15">
        <v>2006</v>
      </c>
      <c r="D233" s="11" t="s">
        <v>28</v>
      </c>
      <c r="E233" s="15">
        <v>2</v>
      </c>
      <c r="F233" s="14">
        <v>4.6071</v>
      </c>
      <c r="G233" s="14">
        <v>3.2000000000000001E-2</v>
      </c>
      <c r="I233" s="18">
        <f>AVERAGE(F231:F233)</f>
        <v>4.8221999999999996</v>
      </c>
      <c r="J233" s="18">
        <f>AVERAGE(G231:G233)</f>
        <v>3.9233333333333335E-2</v>
      </c>
      <c r="L233">
        <f>+J233/I233</f>
        <v>8.1359821934663297E-3</v>
      </c>
      <c r="M233">
        <f>+(L233-$L$927)/$L$928</f>
        <v>-0.53274327180248326</v>
      </c>
      <c r="N233">
        <f>+N230+M233</f>
        <v>-8.7377130361329698</v>
      </c>
    </row>
    <row r="234" spans="1:14">
      <c r="A234" s="12">
        <v>6</v>
      </c>
      <c r="B234" s="78">
        <v>38789</v>
      </c>
      <c r="C234" s="12">
        <v>2006</v>
      </c>
      <c r="D234" s="11" t="s">
        <v>29</v>
      </c>
      <c r="E234" s="15">
        <v>3</v>
      </c>
      <c r="F234" s="14">
        <v>4.0525000000000002</v>
      </c>
      <c r="G234" s="14">
        <v>1E-4</v>
      </c>
    </row>
    <row r="235" spans="1:14">
      <c r="A235" s="12">
        <v>8</v>
      </c>
      <c r="B235" s="78">
        <v>38792</v>
      </c>
      <c r="C235" s="12">
        <v>2006</v>
      </c>
      <c r="D235" s="11" t="s">
        <v>29</v>
      </c>
      <c r="E235" s="15">
        <v>3</v>
      </c>
      <c r="F235" s="14">
        <v>3.1962999999999999</v>
      </c>
      <c r="G235" s="14">
        <v>2.69E-2</v>
      </c>
    </row>
    <row r="236" spans="1:14">
      <c r="A236" s="12">
        <v>15</v>
      </c>
      <c r="B236" s="78">
        <v>38792</v>
      </c>
      <c r="C236" s="12">
        <v>2006</v>
      </c>
      <c r="D236" s="11" t="s">
        <v>29</v>
      </c>
      <c r="E236" s="15">
        <v>3</v>
      </c>
      <c r="F236" s="14">
        <v>4.2167000000000003</v>
      </c>
      <c r="G236" s="14">
        <v>1E-4</v>
      </c>
      <c r="I236" s="18">
        <f>AVERAGE(F234:F236)</f>
        <v>3.8218333333333336</v>
      </c>
      <c r="J236" s="18">
        <f>AVERAGE(G234:G236)</f>
        <v>9.0333333333333325E-3</v>
      </c>
      <c r="L236">
        <f>+J236/I236</f>
        <v>2.3636125768610175E-3</v>
      </c>
      <c r="M236">
        <f>+(L236-$L$927)/$L$928</f>
        <v>-0.71521116584365485</v>
      </c>
      <c r="N236">
        <f>+N233+M236</f>
        <v>-9.4529242019766251</v>
      </c>
    </row>
    <row r="237" spans="1:14">
      <c r="A237" s="12">
        <v>6</v>
      </c>
      <c r="B237" s="77">
        <v>38825</v>
      </c>
      <c r="C237" s="12">
        <v>2006</v>
      </c>
      <c r="D237" s="11" t="s">
        <v>30</v>
      </c>
      <c r="E237" s="12">
        <v>4</v>
      </c>
      <c r="F237" s="14">
        <v>4.0721999999999996</v>
      </c>
      <c r="G237" s="14">
        <v>8.6E-3</v>
      </c>
    </row>
    <row r="238" spans="1:14">
      <c r="A238" s="12">
        <v>8</v>
      </c>
      <c r="B238" s="77">
        <v>38826</v>
      </c>
      <c r="C238" s="12">
        <v>2006</v>
      </c>
      <c r="D238" s="11" t="s">
        <v>30</v>
      </c>
      <c r="E238" s="12">
        <v>4</v>
      </c>
      <c r="F238" s="14">
        <v>0.61629999999999996</v>
      </c>
      <c r="G238" s="14">
        <v>1.1599999999999999E-2</v>
      </c>
    </row>
    <row r="239" spans="1:14">
      <c r="A239" s="12">
        <v>15</v>
      </c>
      <c r="B239" s="77">
        <v>38826</v>
      </c>
      <c r="C239" s="12">
        <v>2006</v>
      </c>
      <c r="D239" s="11" t="s">
        <v>30</v>
      </c>
      <c r="E239" s="12">
        <v>4</v>
      </c>
      <c r="F239" s="14">
        <v>3.2526000000000002</v>
      </c>
      <c r="G239" s="14">
        <v>3.3799999999999997E-2</v>
      </c>
      <c r="I239" s="18">
        <f>AVERAGE(F237:F239)</f>
        <v>2.6470333333333333</v>
      </c>
      <c r="J239" s="18">
        <f>AVERAGE(G237:G239)</f>
        <v>1.7999999999999999E-2</v>
      </c>
      <c r="L239">
        <f>+J239/I239</f>
        <v>6.8000654821120492E-3</v>
      </c>
      <c r="M239">
        <f>+(L239-$L$927)/$L$928</f>
        <v>-0.57497236056942502</v>
      </c>
      <c r="N239">
        <f>+N236+M239</f>
        <v>-10.027896562546051</v>
      </c>
    </row>
    <row r="240" spans="1:14">
      <c r="A240" s="12">
        <v>6</v>
      </c>
      <c r="B240" s="77">
        <v>38852</v>
      </c>
      <c r="C240" s="12">
        <v>2006</v>
      </c>
      <c r="D240" s="11" t="s">
        <v>31</v>
      </c>
      <c r="E240" s="12">
        <v>5</v>
      </c>
      <c r="F240" s="14">
        <v>5.1787999999999998</v>
      </c>
      <c r="G240" s="14">
        <v>4.9299999999999997E-2</v>
      </c>
    </row>
    <row r="241" spans="1:14">
      <c r="A241" s="12">
        <v>8</v>
      </c>
      <c r="B241" s="77">
        <v>38853</v>
      </c>
      <c r="C241" s="12">
        <v>2006</v>
      </c>
      <c r="D241" s="11" t="s">
        <v>31</v>
      </c>
      <c r="E241" s="12">
        <v>5</v>
      </c>
      <c r="F241" s="14">
        <v>8.0970999999999993</v>
      </c>
      <c r="G241" s="14">
        <v>2.2499999999999999E-2</v>
      </c>
    </row>
    <row r="242" spans="1:14">
      <c r="A242" s="12">
        <v>15</v>
      </c>
      <c r="B242" s="77">
        <v>38853</v>
      </c>
      <c r="C242" s="12">
        <v>2006</v>
      </c>
      <c r="D242" s="11" t="s">
        <v>31</v>
      </c>
      <c r="E242" s="12">
        <v>5</v>
      </c>
      <c r="F242" s="14">
        <v>5.1483999999999996</v>
      </c>
      <c r="G242" s="14">
        <v>2.5999999999999999E-2</v>
      </c>
      <c r="I242" s="18">
        <f>AVERAGE(F240:F242)</f>
        <v>6.1414333333333326</v>
      </c>
      <c r="J242" s="18">
        <f>AVERAGE(G240:G242)</f>
        <v>3.2599999999999997E-2</v>
      </c>
      <c r="L242">
        <f>+J242/I242</f>
        <v>5.3082070960633514E-3</v>
      </c>
      <c r="M242">
        <f>+(L242-$L$927)/$L$928</f>
        <v>-0.62213085456587414</v>
      </c>
      <c r="N242">
        <f>+N239+M242</f>
        <v>-10.650027417111925</v>
      </c>
    </row>
    <row r="243" spans="1:14">
      <c r="A243" s="12">
        <v>6</v>
      </c>
      <c r="B243" s="77">
        <v>38883</v>
      </c>
      <c r="C243" s="12">
        <v>2006</v>
      </c>
      <c r="D243" s="11" t="s">
        <v>32</v>
      </c>
      <c r="E243" s="12">
        <v>6</v>
      </c>
      <c r="F243" s="14">
        <v>18.313400000000001</v>
      </c>
      <c r="G243" s="14">
        <v>0.14269999999999999</v>
      </c>
    </row>
    <row r="244" spans="1:14">
      <c r="A244" s="12">
        <v>8</v>
      </c>
      <c r="B244" s="77">
        <v>38884</v>
      </c>
      <c r="C244" s="12">
        <v>2006</v>
      </c>
      <c r="D244" s="11" t="s">
        <v>32</v>
      </c>
      <c r="E244" s="12">
        <v>6</v>
      </c>
      <c r="F244" s="14">
        <v>6.8802000000000003</v>
      </c>
      <c r="G244" s="14">
        <v>2.8899999999999999E-2</v>
      </c>
    </row>
    <row r="245" spans="1:14">
      <c r="A245" s="12">
        <v>15</v>
      </c>
      <c r="B245" s="77">
        <v>38884</v>
      </c>
      <c r="C245" s="12">
        <v>2006</v>
      </c>
      <c r="D245" s="11" t="s">
        <v>32</v>
      </c>
      <c r="E245" s="12">
        <v>6</v>
      </c>
      <c r="F245" s="14">
        <v>13.961499999999999</v>
      </c>
      <c r="G245" s="14">
        <v>8.2199999999999995E-2</v>
      </c>
      <c r="I245" s="18">
        <f>AVERAGE(F243:F245)</f>
        <v>13.051700000000002</v>
      </c>
      <c r="J245" s="18">
        <f>AVERAGE(G243:G245)</f>
        <v>8.4600000000000009E-2</v>
      </c>
      <c r="L245">
        <f>+J245/I245</f>
        <v>6.4819142333948834E-3</v>
      </c>
      <c r="M245">
        <f>+(L245-$L$927)/$L$928</f>
        <v>-0.58502930289913846</v>
      </c>
      <c r="N245">
        <f>+N242+M245</f>
        <v>-11.235056720011064</v>
      </c>
    </row>
    <row r="246" spans="1:14">
      <c r="A246" s="12">
        <v>6</v>
      </c>
      <c r="B246" s="77">
        <v>38916</v>
      </c>
      <c r="C246" s="12">
        <v>2006</v>
      </c>
      <c r="D246" s="11" t="s">
        <v>33</v>
      </c>
      <c r="E246" s="12">
        <v>7</v>
      </c>
      <c r="F246" s="14">
        <v>11.2727</v>
      </c>
      <c r="G246" s="14">
        <v>0.1656</v>
      </c>
    </row>
    <row r="247" spans="1:14">
      <c r="A247" s="12">
        <v>8</v>
      </c>
      <c r="B247" s="77">
        <v>38915</v>
      </c>
      <c r="C247" s="12">
        <v>2006</v>
      </c>
      <c r="D247" s="11" t="s">
        <v>33</v>
      </c>
      <c r="E247" s="12">
        <v>7</v>
      </c>
      <c r="F247" s="14">
        <v>8.0587999999999997</v>
      </c>
      <c r="G247" s="14">
        <v>0.12989999999999999</v>
      </c>
    </row>
    <row r="248" spans="1:14">
      <c r="A248" s="12">
        <v>15</v>
      </c>
      <c r="B248" s="77">
        <v>38915</v>
      </c>
      <c r="C248" s="12">
        <v>2006</v>
      </c>
      <c r="D248" s="11" t="s">
        <v>33</v>
      </c>
      <c r="E248" s="12">
        <v>7</v>
      </c>
      <c r="F248" s="14">
        <v>6.4635999999999996</v>
      </c>
      <c r="G248" s="14">
        <v>5.7099999999999998E-2</v>
      </c>
      <c r="I248" s="18">
        <f>AVERAGE(F246:F248)</f>
        <v>8.5983666666666654</v>
      </c>
      <c r="J248" s="18">
        <f>AVERAGE(G246:G248)</f>
        <v>0.11753333333333332</v>
      </c>
      <c r="L248">
        <f>+J248/I248</f>
        <v>1.3669262766959617E-2</v>
      </c>
      <c r="M248">
        <f>+(L248-$L$927)/$L$928</f>
        <v>-0.35783311870351875</v>
      </c>
      <c r="N248">
        <f>+N245+M248</f>
        <v>-11.592889838714584</v>
      </c>
    </row>
    <row r="249" spans="1:14">
      <c r="A249" s="12">
        <v>6</v>
      </c>
      <c r="B249" s="77">
        <v>38953</v>
      </c>
      <c r="C249" s="12">
        <v>2006</v>
      </c>
      <c r="D249" s="11" t="s">
        <v>34</v>
      </c>
      <c r="E249" s="12">
        <v>8</v>
      </c>
      <c r="F249" s="14">
        <v>8.9014000000000006</v>
      </c>
      <c r="G249" s="14">
        <v>5.57E-2</v>
      </c>
    </row>
    <row r="250" spans="1:14">
      <c r="A250" s="12">
        <v>8</v>
      </c>
      <c r="B250" s="77">
        <v>38952</v>
      </c>
      <c r="C250" s="12">
        <v>2006</v>
      </c>
      <c r="D250" s="11" t="s">
        <v>34</v>
      </c>
      <c r="E250" s="12">
        <v>8</v>
      </c>
      <c r="F250" s="14">
        <v>6.9972000000000003</v>
      </c>
      <c r="G250" s="14">
        <v>2.8400000000000002E-2</v>
      </c>
    </row>
    <row r="251" spans="1:14">
      <c r="A251" s="12">
        <v>15</v>
      </c>
      <c r="B251" s="77">
        <v>38952</v>
      </c>
      <c r="C251" s="12">
        <v>2006</v>
      </c>
      <c r="D251" s="11" t="s">
        <v>34</v>
      </c>
      <c r="E251" s="12">
        <v>8</v>
      </c>
      <c r="F251" s="14">
        <v>7.4080000000000004</v>
      </c>
      <c r="G251" s="14">
        <v>4.3900000000000002E-2</v>
      </c>
      <c r="I251" s="18">
        <f>AVERAGE(F249:F251)</f>
        <v>7.7688666666666677</v>
      </c>
      <c r="J251" s="18">
        <f>AVERAGE(G249:G251)</f>
        <v>4.2666666666666665E-2</v>
      </c>
      <c r="L251">
        <f>+J251/I251</f>
        <v>5.4920065560828254E-3</v>
      </c>
      <c r="M251">
        <f>+(L251-$L$927)/$L$928</f>
        <v>-0.61632084886229255</v>
      </c>
      <c r="N251">
        <f>+N248+M251</f>
        <v>-12.209210687576876</v>
      </c>
    </row>
    <row r="252" spans="1:14">
      <c r="A252" s="12">
        <v>6</v>
      </c>
      <c r="B252" s="77">
        <v>38972</v>
      </c>
      <c r="C252" s="12">
        <v>2006</v>
      </c>
      <c r="D252" s="11" t="s">
        <v>35</v>
      </c>
      <c r="E252" s="12">
        <v>9</v>
      </c>
      <c r="F252" s="14">
        <v>12.767300000000001</v>
      </c>
      <c r="G252" s="14">
        <v>0.1047</v>
      </c>
    </row>
    <row r="253" spans="1:14">
      <c r="A253" s="12">
        <v>8</v>
      </c>
      <c r="B253" s="77">
        <v>38975</v>
      </c>
      <c r="C253" s="12">
        <v>2006</v>
      </c>
      <c r="D253" s="11" t="s">
        <v>35</v>
      </c>
      <c r="E253" s="12">
        <v>9</v>
      </c>
      <c r="F253" s="14">
        <v>8.2116000000000007</v>
      </c>
      <c r="G253" s="14">
        <v>0.1575</v>
      </c>
    </row>
    <row r="254" spans="1:14">
      <c r="A254" s="12">
        <v>15</v>
      </c>
      <c r="B254" s="77">
        <v>38975</v>
      </c>
      <c r="C254" s="12">
        <v>2006</v>
      </c>
      <c r="D254" s="11" t="s">
        <v>35</v>
      </c>
      <c r="E254" s="12">
        <v>9</v>
      </c>
      <c r="F254" s="14">
        <v>6.4158999999999997</v>
      </c>
      <c r="G254" s="14">
        <v>8.7800000000000003E-2</v>
      </c>
      <c r="I254" s="18">
        <f>AVERAGE(F252:F254)</f>
        <v>9.1316000000000006</v>
      </c>
      <c r="J254" s="18">
        <f>AVERAGE(G252:G254)</f>
        <v>0.11666666666666665</v>
      </c>
      <c r="L254">
        <f>+J254/I254</f>
        <v>1.2776147298027361E-2</v>
      </c>
      <c r="M254">
        <f>+(L254-$L$927)/$L$928</f>
        <v>-0.38606500778471387</v>
      </c>
      <c r="N254">
        <f>+N251+M254</f>
        <v>-12.59527569536159</v>
      </c>
    </row>
    <row r="255" spans="1:14">
      <c r="A255" s="12">
        <v>6</v>
      </c>
      <c r="B255" s="77">
        <v>39008</v>
      </c>
      <c r="C255" s="12">
        <v>2006</v>
      </c>
      <c r="D255" s="11" t="s">
        <v>36</v>
      </c>
      <c r="E255" s="12">
        <v>10</v>
      </c>
      <c r="F255" s="14">
        <v>9.7240000000000002</v>
      </c>
      <c r="G255" s="14">
        <v>7.9000000000000001E-2</v>
      </c>
    </row>
    <row r="256" spans="1:14">
      <c r="A256" s="12">
        <v>8</v>
      </c>
      <c r="B256" s="77">
        <v>39006</v>
      </c>
      <c r="C256" s="12">
        <v>2006</v>
      </c>
      <c r="D256" s="11" t="s">
        <v>36</v>
      </c>
      <c r="E256" s="12">
        <v>10</v>
      </c>
      <c r="F256" s="14">
        <v>3.0350000000000001</v>
      </c>
      <c r="G256" s="14">
        <v>4.2000000000000003E-2</v>
      </c>
    </row>
    <row r="257" spans="1:14">
      <c r="A257" s="12">
        <v>15</v>
      </c>
      <c r="B257" s="77">
        <v>39006</v>
      </c>
      <c r="C257" s="12">
        <v>2006</v>
      </c>
      <c r="D257" s="11" t="s">
        <v>36</v>
      </c>
      <c r="E257" s="12">
        <v>10</v>
      </c>
      <c r="F257" s="14">
        <v>8.3379999999999992</v>
      </c>
      <c r="G257" s="14">
        <v>0.03</v>
      </c>
      <c r="I257" s="18">
        <f>AVERAGE(F255:F257)</f>
        <v>7.0323333333333338</v>
      </c>
      <c r="J257" s="18">
        <f>AVERAGE(G255:G257)</f>
        <v>5.0333333333333334E-2</v>
      </c>
      <c r="L257">
        <f>+J257/I257</f>
        <v>7.1574157463146415E-3</v>
      </c>
      <c r="M257">
        <f>+(L257-$L$927)/$L$928</f>
        <v>-0.56367631501535498</v>
      </c>
      <c r="N257">
        <f>+N254+M257</f>
        <v>-13.158952010376945</v>
      </c>
    </row>
    <row r="258" spans="1:14">
      <c r="A258" s="12">
        <v>6</v>
      </c>
      <c r="B258" s="77">
        <v>39035</v>
      </c>
      <c r="C258" s="12">
        <v>2006</v>
      </c>
      <c r="D258" s="11" t="s">
        <v>37</v>
      </c>
      <c r="E258" s="12">
        <v>11</v>
      </c>
      <c r="F258" s="14">
        <v>11.513999999999999</v>
      </c>
      <c r="G258" s="14">
        <v>9.9989999999999996E-4</v>
      </c>
    </row>
    <row r="259" spans="1:14">
      <c r="A259" s="12">
        <v>8</v>
      </c>
      <c r="B259" s="77">
        <v>39041</v>
      </c>
      <c r="C259" s="12">
        <v>2006</v>
      </c>
      <c r="D259" s="11" t="s">
        <v>37</v>
      </c>
      <c r="E259" s="12">
        <v>11</v>
      </c>
      <c r="F259" s="14">
        <v>1.508</v>
      </c>
      <c r="G259" s="14">
        <v>3.7999999999999999E-2</v>
      </c>
    </row>
    <row r="260" spans="1:14">
      <c r="A260" s="12">
        <v>15</v>
      </c>
      <c r="B260" s="77">
        <v>39041</v>
      </c>
      <c r="C260" s="12">
        <v>2006</v>
      </c>
      <c r="D260" s="11" t="s">
        <v>37</v>
      </c>
      <c r="E260" s="12">
        <v>11</v>
      </c>
      <c r="F260" s="14">
        <v>5.242</v>
      </c>
      <c r="G260" s="14">
        <v>6.7000000000000004E-2</v>
      </c>
      <c r="I260" s="18">
        <f>AVERAGE(F258:F260)</f>
        <v>6.0880000000000001</v>
      </c>
      <c r="J260" s="18">
        <f>AVERAGE(G258:G260)</f>
        <v>3.5333300000000005E-2</v>
      </c>
      <c r="L260">
        <f>+J260/I260</f>
        <v>5.8037614980289099E-3</v>
      </c>
      <c r="M260">
        <f>+(L260-$L$927)/$L$928</f>
        <v>-0.60646609743573998</v>
      </c>
      <c r="N260">
        <f>+N257+M260</f>
        <v>-13.765418107812685</v>
      </c>
    </row>
    <row r="261" spans="1:14">
      <c r="A261" s="12">
        <v>6</v>
      </c>
      <c r="B261" s="78">
        <v>39063</v>
      </c>
      <c r="C261" s="15">
        <v>2006</v>
      </c>
      <c r="D261" s="11" t="s">
        <v>38</v>
      </c>
      <c r="E261" s="15">
        <v>12</v>
      </c>
      <c r="F261" s="14">
        <v>7.4880000000000004</v>
      </c>
      <c r="G261" s="14">
        <v>0.20100000000000001</v>
      </c>
    </row>
    <row r="262" spans="1:14">
      <c r="A262" s="12">
        <v>8</v>
      </c>
      <c r="B262" s="78">
        <v>39062</v>
      </c>
      <c r="C262" s="15">
        <v>2006</v>
      </c>
      <c r="D262" s="11" t="s">
        <v>38</v>
      </c>
      <c r="E262" s="15">
        <v>12</v>
      </c>
      <c r="F262" s="14">
        <v>3.0649999999999999</v>
      </c>
      <c r="G262" s="14">
        <v>0.27900000000000003</v>
      </c>
    </row>
    <row r="263" spans="1:14">
      <c r="A263" s="12">
        <v>15</v>
      </c>
      <c r="B263" s="78">
        <v>39062</v>
      </c>
      <c r="C263" s="15">
        <v>2006</v>
      </c>
      <c r="D263" s="11" t="s">
        <v>38</v>
      </c>
      <c r="E263" s="15">
        <v>12</v>
      </c>
      <c r="F263" s="14">
        <v>6.2370000000000001</v>
      </c>
      <c r="G263" s="14">
        <v>0.35499999999999998</v>
      </c>
      <c r="I263" s="18">
        <f>AVERAGE(F261:F263)</f>
        <v>5.5966666666666667</v>
      </c>
      <c r="J263" s="18">
        <f>AVERAGE(G261:G263)</f>
        <v>0.27833333333333332</v>
      </c>
      <c r="L263">
        <f>+J263/I263</f>
        <v>4.9731983323406788E-2</v>
      </c>
      <c r="M263">
        <f>+(L263-$L$927)/$L$928</f>
        <v>0.78213003514594015</v>
      </c>
      <c r="N263">
        <f>+N260+M263</f>
        <v>-12.983288072666745</v>
      </c>
    </row>
    <row r="264" spans="1:14">
      <c r="A264" s="15">
        <v>6</v>
      </c>
      <c r="B264" s="78">
        <v>39100</v>
      </c>
      <c r="C264" s="15">
        <v>2007</v>
      </c>
      <c r="D264" s="11" t="s">
        <v>39</v>
      </c>
      <c r="E264" s="15">
        <v>1</v>
      </c>
      <c r="F264" s="14">
        <v>17.344999999999999</v>
      </c>
      <c r="G264" s="14">
        <v>0.13100000000000001</v>
      </c>
    </row>
    <row r="265" spans="1:14">
      <c r="A265" s="15">
        <v>8</v>
      </c>
      <c r="B265" s="78">
        <v>39100</v>
      </c>
      <c r="C265" s="15">
        <v>2007</v>
      </c>
      <c r="D265" s="11" t="s">
        <v>39</v>
      </c>
      <c r="E265" s="15">
        <v>1</v>
      </c>
      <c r="F265" s="14">
        <v>1.1359999999999999</v>
      </c>
      <c r="G265" s="14">
        <v>6.5000000000000002E-2</v>
      </c>
    </row>
    <row r="266" spans="1:14">
      <c r="A266" s="15">
        <v>15</v>
      </c>
      <c r="B266" s="78">
        <v>39100</v>
      </c>
      <c r="C266" s="15">
        <v>2007</v>
      </c>
      <c r="D266" s="11" t="s">
        <v>39</v>
      </c>
      <c r="E266" s="15">
        <v>1</v>
      </c>
      <c r="F266" s="14">
        <v>5.3250000000000002</v>
      </c>
      <c r="G266" s="14">
        <v>0.19400000000000001</v>
      </c>
      <c r="I266" s="18">
        <f>AVERAGE(F264:F266)</f>
        <v>7.9353333333333325</v>
      </c>
      <c r="J266" s="18">
        <f>AVERAGE(G264:G266)</f>
        <v>0.13</v>
      </c>
      <c r="L266">
        <f>+J266/I266</f>
        <v>1.6382424598840629E-2</v>
      </c>
      <c r="M266">
        <f>+(L266-$L$927)/$L$928</f>
        <v>-0.27206852659700015</v>
      </c>
      <c r="N266">
        <f>+N263+M266</f>
        <v>-13.255356599263745</v>
      </c>
    </row>
    <row r="267" spans="1:14">
      <c r="A267" s="15">
        <v>6</v>
      </c>
      <c r="B267" s="78">
        <v>39134</v>
      </c>
      <c r="C267" s="15">
        <v>2007</v>
      </c>
      <c r="D267" s="11" t="s">
        <v>28</v>
      </c>
      <c r="E267" s="15">
        <v>2</v>
      </c>
      <c r="F267" s="14">
        <v>4.9550000000000001</v>
      </c>
      <c r="G267" s="14">
        <v>0.08</v>
      </c>
    </row>
    <row r="268" spans="1:14">
      <c r="A268" s="15">
        <v>8</v>
      </c>
      <c r="B268" s="78">
        <v>39135</v>
      </c>
      <c r="C268" s="15">
        <v>2007</v>
      </c>
      <c r="D268" s="11" t="s">
        <v>28</v>
      </c>
      <c r="E268" s="15">
        <v>2</v>
      </c>
      <c r="F268" s="14">
        <v>3.0470000000000002</v>
      </c>
      <c r="G268" s="14">
        <v>3.2000000000000001E-2</v>
      </c>
    </row>
    <row r="269" spans="1:14">
      <c r="A269" s="15">
        <v>15</v>
      </c>
      <c r="B269" s="78">
        <v>39135</v>
      </c>
      <c r="C269" s="15">
        <v>2007</v>
      </c>
      <c r="D269" s="11" t="s">
        <v>28</v>
      </c>
      <c r="E269" s="15">
        <v>2</v>
      </c>
      <c r="F269" s="14">
        <v>3.0609999999999999</v>
      </c>
      <c r="G269" s="14">
        <v>4.7E-2</v>
      </c>
      <c r="I269" s="18">
        <f>AVERAGE(F267:F269)</f>
        <v>3.6876666666666669</v>
      </c>
      <c r="J269" s="18">
        <f>AVERAGE(G267:G269)</f>
        <v>5.2999999999999999E-2</v>
      </c>
      <c r="L269">
        <f>+J269/I269</f>
        <v>1.437223176353611E-2</v>
      </c>
      <c r="M269">
        <f>+(L269-$L$927)/$L$928</f>
        <v>-0.33561186800388276</v>
      </c>
      <c r="N269">
        <f>+N266+M269</f>
        <v>-13.590968467267627</v>
      </c>
    </row>
    <row r="270" spans="1:14">
      <c r="A270" s="15">
        <v>6</v>
      </c>
      <c r="B270" s="78">
        <v>39154</v>
      </c>
      <c r="C270" s="15">
        <v>2007</v>
      </c>
      <c r="D270" s="11" t="s">
        <v>29</v>
      </c>
      <c r="E270" s="15">
        <v>3</v>
      </c>
      <c r="F270" s="14">
        <v>2.3919999999999999</v>
      </c>
      <c r="G270" s="14">
        <v>4.1000000000000002E-2</v>
      </c>
    </row>
    <row r="271" spans="1:14">
      <c r="A271" s="15">
        <v>8</v>
      </c>
      <c r="B271" s="78">
        <v>39153</v>
      </c>
      <c r="C271" s="15">
        <v>2007</v>
      </c>
      <c r="D271" s="11" t="s">
        <v>29</v>
      </c>
      <c r="E271" s="15">
        <v>3</v>
      </c>
      <c r="F271" s="14">
        <v>1.5880000000000001</v>
      </c>
      <c r="G271" s="14">
        <v>0.02</v>
      </c>
    </row>
    <row r="272" spans="1:14">
      <c r="A272" s="15">
        <v>15</v>
      </c>
      <c r="B272" s="78">
        <v>39153</v>
      </c>
      <c r="C272" s="15">
        <v>2007</v>
      </c>
      <c r="D272" s="11" t="s">
        <v>29</v>
      </c>
      <c r="E272" s="15">
        <v>3</v>
      </c>
      <c r="F272" s="14">
        <v>1.9370000000000001</v>
      </c>
      <c r="G272" s="14">
        <v>5.8000000000000003E-2</v>
      </c>
      <c r="I272" s="18">
        <f>AVERAGE(F270:F272)</f>
        <v>1.9723333333333333</v>
      </c>
      <c r="J272" s="18">
        <f>AVERAGE(G270:G272)</f>
        <v>3.9666666666666663E-2</v>
      </c>
      <c r="L272">
        <f>+J272/I272</f>
        <v>2.0111543011661313E-2</v>
      </c>
      <c r="M272">
        <f>+(L272-$L$927)/$L$928</f>
        <v>-0.15418896783483779</v>
      </c>
      <c r="N272">
        <f>+N269+M272</f>
        <v>-13.745157435102465</v>
      </c>
    </row>
    <row r="273" spans="1:14">
      <c r="A273" s="15">
        <v>6</v>
      </c>
      <c r="B273" s="78">
        <v>39190</v>
      </c>
      <c r="C273" s="15">
        <v>2007</v>
      </c>
      <c r="D273" s="11" t="s">
        <v>30</v>
      </c>
      <c r="E273" s="15">
        <v>4</v>
      </c>
      <c r="F273" s="14">
        <v>5.9420000000000002</v>
      </c>
      <c r="G273" s="14">
        <v>7.3999999999999996E-2</v>
      </c>
    </row>
    <row r="274" spans="1:14">
      <c r="A274" s="15">
        <v>8</v>
      </c>
      <c r="B274" s="78">
        <v>39191</v>
      </c>
      <c r="C274" s="15">
        <v>2007</v>
      </c>
      <c r="D274" s="11" t="s">
        <v>30</v>
      </c>
      <c r="E274" s="15">
        <v>4</v>
      </c>
      <c r="F274" s="14">
        <v>2.1269999999999998</v>
      </c>
      <c r="G274" s="14">
        <v>3.6999999999999998E-2</v>
      </c>
    </row>
    <row r="275" spans="1:14">
      <c r="A275" s="15">
        <v>15</v>
      </c>
      <c r="B275" s="78">
        <v>39191</v>
      </c>
      <c r="C275" s="15">
        <v>2007</v>
      </c>
      <c r="D275" s="11" t="s">
        <v>30</v>
      </c>
      <c r="E275" s="15">
        <v>4</v>
      </c>
      <c r="F275" s="14">
        <v>4.8029999999999999</v>
      </c>
      <c r="G275" s="14">
        <v>8.5000000000000006E-2</v>
      </c>
      <c r="I275" s="18">
        <f>AVERAGE(F273:F275)</f>
        <v>4.2906666666666666</v>
      </c>
      <c r="J275" s="18">
        <f>AVERAGE(G273:G275)</f>
        <v>6.533333333333334E-2</v>
      </c>
      <c r="L275">
        <f>+J275/I275</f>
        <v>1.5226848974518337E-2</v>
      </c>
      <c r="M275">
        <f>+(L275-$L$927)/$L$928</f>
        <v>-0.30859693080189293</v>
      </c>
      <c r="N275">
        <f>+N272+M275</f>
        <v>-14.053754365904357</v>
      </c>
    </row>
    <row r="276" spans="1:14">
      <c r="A276" s="15">
        <v>6</v>
      </c>
      <c r="B276" s="78">
        <v>39217</v>
      </c>
      <c r="C276" s="15">
        <v>2007</v>
      </c>
      <c r="D276" s="11" t="s">
        <v>31</v>
      </c>
      <c r="E276" s="15">
        <v>5</v>
      </c>
      <c r="F276" s="14">
        <v>9.2240000000000002</v>
      </c>
      <c r="G276" s="14">
        <v>0.17299999999999999</v>
      </c>
    </row>
    <row r="277" spans="1:14">
      <c r="A277" s="15">
        <v>8</v>
      </c>
      <c r="B277" s="78">
        <v>39216</v>
      </c>
      <c r="C277" s="15">
        <v>2007</v>
      </c>
      <c r="D277" s="11" t="s">
        <v>31</v>
      </c>
      <c r="E277" s="15">
        <v>5</v>
      </c>
      <c r="F277" s="14">
        <v>17.225000000000001</v>
      </c>
      <c r="G277" s="14">
        <v>3.4000000000000002E-2</v>
      </c>
    </row>
    <row r="278" spans="1:14">
      <c r="A278" s="15">
        <v>15</v>
      </c>
      <c r="B278" s="78">
        <v>39216</v>
      </c>
      <c r="C278" s="15">
        <v>2007</v>
      </c>
      <c r="D278" s="11" t="s">
        <v>31</v>
      </c>
      <c r="E278" s="15">
        <v>5</v>
      </c>
      <c r="F278" s="14">
        <v>9.6329999999999991</v>
      </c>
      <c r="G278" s="14">
        <v>6.3E-2</v>
      </c>
      <c r="I278" s="18">
        <f>AVERAGE(F276:F278)</f>
        <v>12.027333333333333</v>
      </c>
      <c r="J278" s="18">
        <f>AVERAGE(G276:G278)</f>
        <v>9.0000000000000011E-2</v>
      </c>
      <c r="L278">
        <f>+J278/I278</f>
        <v>7.4829554902721591E-3</v>
      </c>
      <c r="M278">
        <f>+(L278-$L$927)/$L$928</f>
        <v>-0.55338581813938337</v>
      </c>
      <c r="N278">
        <f>+N275+M278</f>
        <v>-14.60714018404374</v>
      </c>
    </row>
    <row r="279" spans="1:14">
      <c r="A279" s="15">
        <v>6</v>
      </c>
      <c r="B279" s="78">
        <v>39246</v>
      </c>
      <c r="C279" s="15">
        <v>2007</v>
      </c>
      <c r="D279" s="11" t="s">
        <v>32</v>
      </c>
      <c r="E279" s="15">
        <v>6</v>
      </c>
      <c r="F279" s="14">
        <v>24.803000000000001</v>
      </c>
      <c r="G279" s="14">
        <v>6.0999999999999999E-2</v>
      </c>
    </row>
    <row r="280" spans="1:14">
      <c r="A280" s="15">
        <v>8</v>
      </c>
      <c r="B280" s="78">
        <v>39248</v>
      </c>
      <c r="C280" s="15">
        <v>2007</v>
      </c>
      <c r="D280" s="11" t="s">
        <v>32</v>
      </c>
      <c r="E280" s="15">
        <v>6</v>
      </c>
      <c r="F280" s="14">
        <v>12.871</v>
      </c>
      <c r="G280" s="14">
        <v>0.16800000000000001</v>
      </c>
    </row>
    <row r="281" spans="1:14">
      <c r="A281" s="15">
        <v>15</v>
      </c>
      <c r="B281" s="78">
        <v>39248</v>
      </c>
      <c r="C281" s="15">
        <v>2007</v>
      </c>
      <c r="D281" s="11" t="s">
        <v>32</v>
      </c>
      <c r="E281" s="15">
        <v>6</v>
      </c>
      <c r="F281" s="14">
        <v>18.126999999999999</v>
      </c>
      <c r="G281" s="14">
        <v>0.125</v>
      </c>
      <c r="I281" s="18">
        <f>AVERAGE(F279:F281)</f>
        <v>18.600333333333335</v>
      </c>
      <c r="J281" s="18">
        <f>AVERAGE(G279:G281)</f>
        <v>0.11799999999999999</v>
      </c>
      <c r="L281">
        <f>+J281/I281</f>
        <v>6.343972330244977E-3</v>
      </c>
      <c r="M281">
        <f>+(L281-$L$927)/$L$928</f>
        <v>-0.58938972508960064</v>
      </c>
      <c r="N281">
        <f>+N278+M281</f>
        <v>-15.196529909133341</v>
      </c>
    </row>
    <row r="282" spans="1:14">
      <c r="A282" s="15">
        <v>6</v>
      </c>
      <c r="B282" s="78">
        <v>39280</v>
      </c>
      <c r="C282" s="15">
        <v>2007</v>
      </c>
      <c r="D282" s="11" t="s">
        <v>33</v>
      </c>
      <c r="E282" s="15">
        <v>7</v>
      </c>
      <c r="F282" s="14">
        <v>13.331</v>
      </c>
      <c r="G282" s="14">
        <v>0.156</v>
      </c>
    </row>
    <row r="283" spans="1:14">
      <c r="A283" s="15">
        <v>8</v>
      </c>
      <c r="B283" s="78">
        <v>39279</v>
      </c>
      <c r="C283" s="15">
        <v>2007</v>
      </c>
      <c r="D283" s="11" t="s">
        <v>33</v>
      </c>
      <c r="E283" s="15">
        <v>7</v>
      </c>
      <c r="F283" s="14">
        <v>6.2880000000000003</v>
      </c>
      <c r="G283" s="14">
        <v>9.2999999999999999E-2</v>
      </c>
    </row>
    <row r="284" spans="1:14">
      <c r="A284" s="15">
        <v>15</v>
      </c>
      <c r="B284" s="78">
        <v>39279</v>
      </c>
      <c r="C284" s="15">
        <v>2007</v>
      </c>
      <c r="D284" s="11" t="s">
        <v>33</v>
      </c>
      <c r="E284" s="15">
        <v>7</v>
      </c>
      <c r="F284" s="14">
        <v>4.6980000000000004</v>
      </c>
      <c r="G284" s="14">
        <v>3.3000000000000002E-2</v>
      </c>
      <c r="I284" s="18">
        <f>AVERAGE(F282:F284)</f>
        <v>8.1056666666666661</v>
      </c>
      <c r="J284" s="18">
        <f>AVERAGE(G282:G284)</f>
        <v>9.4000000000000014E-2</v>
      </c>
      <c r="L284">
        <f>+J284/I284</f>
        <v>1.1596825266274625E-2</v>
      </c>
      <c r="M284">
        <f>+(L284-$L$927)/$L$928</f>
        <v>-0.42334404946479742</v>
      </c>
      <c r="N284">
        <f>+N281+M284</f>
        <v>-15.619873958598138</v>
      </c>
    </row>
    <row r="285" spans="1:14">
      <c r="A285" s="15">
        <v>6</v>
      </c>
      <c r="B285" s="78">
        <v>39308</v>
      </c>
      <c r="C285" s="15">
        <v>2007</v>
      </c>
      <c r="D285" s="11" t="s">
        <v>34</v>
      </c>
      <c r="E285" s="15">
        <v>8</v>
      </c>
      <c r="F285" s="14">
        <v>15.651999999999999</v>
      </c>
      <c r="G285" s="14">
        <v>0.111</v>
      </c>
    </row>
    <row r="286" spans="1:14">
      <c r="A286" s="15">
        <v>8</v>
      </c>
      <c r="B286" s="78">
        <v>39308</v>
      </c>
      <c r="C286" s="15">
        <v>2007</v>
      </c>
      <c r="D286" s="11" t="s">
        <v>34</v>
      </c>
      <c r="E286" s="15">
        <v>8</v>
      </c>
      <c r="F286" s="14">
        <v>10.67</v>
      </c>
      <c r="G286" s="14">
        <v>9.9989999999999996E-4</v>
      </c>
    </row>
    <row r="287" spans="1:14">
      <c r="A287" s="15">
        <v>15</v>
      </c>
      <c r="B287" s="78">
        <v>39308</v>
      </c>
      <c r="C287" s="15">
        <v>2007</v>
      </c>
      <c r="D287" s="11" t="s">
        <v>34</v>
      </c>
      <c r="E287" s="15">
        <v>8</v>
      </c>
      <c r="F287" s="14">
        <v>9.2789999999999999</v>
      </c>
      <c r="G287" s="14">
        <v>2.7E-2</v>
      </c>
      <c r="I287" s="18">
        <f>AVERAGE(F285:F287)</f>
        <v>11.866999999999999</v>
      </c>
      <c r="J287" s="18">
        <f>AVERAGE(G285:G287)</f>
        <v>4.6333300000000001E-2</v>
      </c>
      <c r="L287">
        <f>+J287/I287</f>
        <v>3.9043818993848493E-3</v>
      </c>
      <c r="M287">
        <f>+(L287-$L$927)/$L$928</f>
        <v>-0.66650656926421692</v>
      </c>
      <c r="N287">
        <f>+N284+M287</f>
        <v>-16.286380527862356</v>
      </c>
    </row>
    <row r="288" spans="1:14">
      <c r="A288" s="15">
        <v>6</v>
      </c>
      <c r="B288" s="78">
        <v>39336</v>
      </c>
      <c r="C288" s="15">
        <v>2007</v>
      </c>
      <c r="D288" s="11" t="s">
        <v>40</v>
      </c>
      <c r="E288" s="15">
        <v>9</v>
      </c>
      <c r="F288" s="14">
        <v>12.808</v>
      </c>
      <c r="G288" s="14">
        <v>0.52800000000000002</v>
      </c>
    </row>
    <row r="289" spans="1:14">
      <c r="A289" s="15">
        <v>8</v>
      </c>
      <c r="B289" s="78">
        <v>39335</v>
      </c>
      <c r="C289" s="15">
        <v>2007</v>
      </c>
      <c r="D289" s="11" t="s">
        <v>40</v>
      </c>
      <c r="E289" s="15">
        <v>9</v>
      </c>
      <c r="F289" s="14">
        <v>5.8520000000000003</v>
      </c>
      <c r="G289" s="14">
        <v>9.9989999999999996E-4</v>
      </c>
    </row>
    <row r="290" spans="1:14">
      <c r="A290" s="15">
        <v>15</v>
      </c>
      <c r="B290" s="78">
        <v>39335</v>
      </c>
      <c r="C290" s="15">
        <v>2007</v>
      </c>
      <c r="D290" s="11" t="s">
        <v>40</v>
      </c>
      <c r="E290" s="15">
        <v>9</v>
      </c>
      <c r="F290" s="14">
        <v>8.2789999999999999</v>
      </c>
      <c r="G290" s="14">
        <v>0.752</v>
      </c>
      <c r="I290" s="18">
        <f>AVERAGE(F288:F290)</f>
        <v>8.9796666666666667</v>
      </c>
      <c r="J290" s="18">
        <f>AVERAGE(G288:G290)</f>
        <v>0.42699996666666667</v>
      </c>
      <c r="L290">
        <f>+J290/I290</f>
        <v>4.7551872749545268E-2</v>
      </c>
      <c r="M290">
        <f>+(L290-$L$927)/$L$928</f>
        <v>0.71321549716399002</v>
      </c>
      <c r="N290">
        <f>+N287+M290</f>
        <v>-15.573165030698366</v>
      </c>
    </row>
    <row r="291" spans="1:14">
      <c r="A291" s="15">
        <v>6</v>
      </c>
      <c r="B291" s="78">
        <v>39370</v>
      </c>
      <c r="C291" s="15">
        <v>2007</v>
      </c>
      <c r="D291" s="11" t="s">
        <v>36</v>
      </c>
      <c r="E291" s="15">
        <v>10</v>
      </c>
      <c r="F291" s="14">
        <v>7.6589999999999998</v>
      </c>
      <c r="G291" s="14">
        <v>9.9989999999999996E-4</v>
      </c>
    </row>
    <row r="292" spans="1:14">
      <c r="A292" s="15">
        <v>8</v>
      </c>
      <c r="B292" s="78">
        <v>39370</v>
      </c>
      <c r="C292" s="15">
        <v>2007</v>
      </c>
      <c r="D292" s="11" t="s">
        <v>36</v>
      </c>
      <c r="E292" s="15">
        <v>10</v>
      </c>
      <c r="F292" s="14">
        <v>1.9419999999999999</v>
      </c>
      <c r="G292" s="14">
        <v>9.9989999999999996E-4</v>
      </c>
    </row>
    <row r="293" spans="1:14">
      <c r="A293" s="15">
        <v>15</v>
      </c>
      <c r="B293" s="78">
        <v>39370</v>
      </c>
      <c r="C293" s="15">
        <v>2007</v>
      </c>
      <c r="D293" s="11" t="s">
        <v>36</v>
      </c>
      <c r="E293" s="15">
        <v>10</v>
      </c>
      <c r="F293" s="14">
        <v>6.4880000000000004</v>
      </c>
      <c r="G293" s="14">
        <v>9.9989999999999996E-4</v>
      </c>
      <c r="I293" s="18">
        <f>AVERAGE(F291:F293)</f>
        <v>5.3629999999999995</v>
      </c>
      <c r="J293" s="18">
        <f>AVERAGE(G291:G293)</f>
        <v>9.9989999999999996E-4</v>
      </c>
      <c r="L293">
        <f>+J293/I293</f>
        <v>1.8644415439119896E-4</v>
      </c>
      <c r="M293">
        <f>+(L293-$L$927)/$L$928</f>
        <v>-0.78403270074298015</v>
      </c>
      <c r="N293">
        <f>+N290+M293</f>
        <v>-16.357197731441346</v>
      </c>
    </row>
    <row r="294" spans="1:14">
      <c r="A294" s="15">
        <v>6</v>
      </c>
      <c r="B294" s="78">
        <v>39400</v>
      </c>
      <c r="C294" s="15">
        <v>2007</v>
      </c>
      <c r="D294" s="11" t="s">
        <v>37</v>
      </c>
      <c r="E294" s="15">
        <v>11</v>
      </c>
      <c r="F294" s="14">
        <v>4.7519999999999998</v>
      </c>
      <c r="G294" s="14">
        <v>2.7E-2</v>
      </c>
    </row>
    <row r="295" spans="1:14">
      <c r="A295" s="15">
        <v>8</v>
      </c>
      <c r="B295" s="78">
        <v>39400</v>
      </c>
      <c r="C295" s="15">
        <v>2007</v>
      </c>
      <c r="D295" s="11" t="s">
        <v>37</v>
      </c>
      <c r="E295" s="15">
        <v>11</v>
      </c>
      <c r="F295" s="14">
        <v>0.77700000000000002</v>
      </c>
      <c r="G295" s="14">
        <v>0.01</v>
      </c>
    </row>
    <row r="296" spans="1:14">
      <c r="A296" s="15">
        <v>15</v>
      </c>
      <c r="B296" s="78">
        <v>39400</v>
      </c>
      <c r="C296" s="15">
        <v>2007</v>
      </c>
      <c r="D296" s="11" t="s">
        <v>37</v>
      </c>
      <c r="E296" s="15">
        <v>11</v>
      </c>
      <c r="F296" s="14">
        <v>5.4020000000000001</v>
      </c>
      <c r="G296" s="14">
        <v>0.06</v>
      </c>
      <c r="I296" s="18">
        <f>AVERAGE(F294:F296)</f>
        <v>3.6436666666666668</v>
      </c>
      <c r="J296" s="18">
        <f>AVERAGE(G294:G296)</f>
        <v>3.2333333333333332E-2</v>
      </c>
      <c r="L296">
        <f>+J296/I296</f>
        <v>8.8738450279022951E-3</v>
      </c>
      <c r="M296">
        <f>+(L296-$L$927)/$L$928</f>
        <v>-0.50941900699735476</v>
      </c>
      <c r="N296">
        <f>+N293+M296</f>
        <v>-16.866616738438701</v>
      </c>
    </row>
    <row r="297" spans="1:14">
      <c r="A297" s="15">
        <v>6</v>
      </c>
      <c r="B297" s="78">
        <v>39427</v>
      </c>
      <c r="C297" s="15">
        <v>2007</v>
      </c>
      <c r="D297" s="11" t="s">
        <v>38</v>
      </c>
      <c r="E297" s="15">
        <v>12</v>
      </c>
      <c r="F297" s="14">
        <v>2.9740000000000002</v>
      </c>
      <c r="G297" s="14">
        <v>2.4E-2</v>
      </c>
    </row>
    <row r="298" spans="1:14">
      <c r="A298" s="15">
        <v>8</v>
      </c>
      <c r="B298" s="78">
        <v>39434</v>
      </c>
      <c r="C298" s="15">
        <v>2007</v>
      </c>
      <c r="D298" s="11" t="s">
        <v>38</v>
      </c>
      <c r="E298" s="15">
        <v>12</v>
      </c>
      <c r="F298" s="14">
        <v>5.484</v>
      </c>
      <c r="G298" s="14">
        <v>8.4000000000000005E-2</v>
      </c>
    </row>
    <row r="299" spans="1:14">
      <c r="A299" s="15">
        <v>15</v>
      </c>
      <c r="B299" s="78">
        <v>39434</v>
      </c>
      <c r="C299" s="15">
        <v>2007</v>
      </c>
      <c r="D299" s="11" t="s">
        <v>38</v>
      </c>
      <c r="E299" s="15">
        <v>12</v>
      </c>
      <c r="F299" s="14">
        <v>8.7189999999999994</v>
      </c>
      <c r="G299" s="14">
        <v>0.318</v>
      </c>
      <c r="I299" s="18">
        <f>AVERAGE(F297:F299)</f>
        <v>5.7256666666666662</v>
      </c>
      <c r="J299" s="18">
        <f>AVERAGE(G297:G299)</f>
        <v>0.14200000000000002</v>
      </c>
      <c r="L299">
        <f>+J299/I299</f>
        <v>2.4800605460790597E-2</v>
      </c>
      <c r="M299">
        <f>+(L299-$L$927)/$L$928</f>
        <v>-5.9650308820040875E-3</v>
      </c>
      <c r="N299">
        <f>+N296+M299</f>
        <v>-16.872581769320703</v>
      </c>
    </row>
    <row r="300" spans="1:14">
      <c r="A300" s="15">
        <v>6</v>
      </c>
      <c r="B300" s="78">
        <v>39462</v>
      </c>
      <c r="C300" s="15">
        <v>2008</v>
      </c>
      <c r="D300" s="11" t="s">
        <v>39</v>
      </c>
      <c r="E300" s="15">
        <v>1</v>
      </c>
      <c r="F300" s="23">
        <v>4.6150000000000002</v>
      </c>
      <c r="G300" s="23">
        <v>0.14299999999999999</v>
      </c>
    </row>
    <row r="301" spans="1:14">
      <c r="A301" s="15">
        <v>8</v>
      </c>
      <c r="B301" s="78">
        <v>39463</v>
      </c>
      <c r="C301" s="15">
        <v>2008</v>
      </c>
      <c r="D301" s="11" t="s">
        <v>39</v>
      </c>
      <c r="E301" s="15">
        <v>1</v>
      </c>
      <c r="F301" s="23">
        <v>1.212</v>
      </c>
      <c r="G301" s="23">
        <v>0.04</v>
      </c>
    </row>
    <row r="302" spans="1:14">
      <c r="A302" s="15">
        <v>15</v>
      </c>
      <c r="B302" s="78">
        <v>39463</v>
      </c>
      <c r="C302" s="15">
        <v>2008</v>
      </c>
      <c r="D302" s="11" t="s">
        <v>39</v>
      </c>
      <c r="E302" s="15">
        <v>1</v>
      </c>
      <c r="F302" s="23">
        <v>5.5389999999999997</v>
      </c>
      <c r="G302" s="23">
        <v>0.183</v>
      </c>
      <c r="I302" s="18">
        <f>AVERAGE(F300:F302)</f>
        <v>3.7886666666666664</v>
      </c>
      <c r="J302" s="18">
        <f>AVERAGE(G300:G302)</f>
        <v>0.122</v>
      </c>
      <c r="L302">
        <f>+J302/I302</f>
        <v>3.2201302129157137E-2</v>
      </c>
      <c r="M302">
        <f>+(L302-$L$927)/$L$928</f>
        <v>0.22797520947088443</v>
      </c>
      <c r="N302">
        <f>+N299+M302</f>
        <v>-16.644606559849819</v>
      </c>
    </row>
    <row r="303" spans="1:14">
      <c r="A303" s="15">
        <v>6</v>
      </c>
      <c r="B303" s="78">
        <v>39490</v>
      </c>
      <c r="C303" s="15">
        <v>2008</v>
      </c>
      <c r="D303" s="11" t="s">
        <v>28</v>
      </c>
      <c r="E303" s="15">
        <v>2</v>
      </c>
      <c r="F303" s="23">
        <v>3.996</v>
      </c>
      <c r="G303" s="23">
        <v>9.4E-2</v>
      </c>
    </row>
    <row r="304" spans="1:14">
      <c r="A304" s="15">
        <v>8</v>
      </c>
      <c r="B304" s="78">
        <v>39493</v>
      </c>
      <c r="C304" s="15">
        <v>2008</v>
      </c>
      <c r="D304" s="11" t="s">
        <v>28</v>
      </c>
      <c r="E304" s="15">
        <v>2</v>
      </c>
      <c r="F304" s="23">
        <v>1.27</v>
      </c>
      <c r="G304" s="23">
        <v>6.6000000000000003E-2</v>
      </c>
    </row>
    <row r="305" spans="1:14">
      <c r="A305" s="15">
        <v>15</v>
      </c>
      <c r="B305" s="78">
        <v>39493</v>
      </c>
      <c r="C305" s="15">
        <v>2008</v>
      </c>
      <c r="D305" s="11" t="s">
        <v>28</v>
      </c>
      <c r="E305" s="15">
        <v>2</v>
      </c>
      <c r="F305" s="23">
        <v>4.3520000000000003</v>
      </c>
      <c r="G305" s="23">
        <v>0.161</v>
      </c>
      <c r="I305" s="18">
        <f>AVERAGE(F303:F305)</f>
        <v>3.206</v>
      </c>
      <c r="J305" s="18">
        <f>AVERAGE(G303:G305)</f>
        <v>0.107</v>
      </c>
      <c r="L305">
        <f>+J305/I305</f>
        <v>3.3374922021210229E-2</v>
      </c>
      <c r="M305">
        <f>+(L305-$L$927)/$L$928</f>
        <v>0.26507400326463559</v>
      </c>
      <c r="N305">
        <f>+N302+M305</f>
        <v>-16.379532556585183</v>
      </c>
    </row>
    <row r="306" spans="1:14">
      <c r="A306" s="15">
        <v>6</v>
      </c>
      <c r="B306" s="78">
        <v>39517</v>
      </c>
      <c r="C306" s="15">
        <v>2008</v>
      </c>
      <c r="D306" s="11" t="s">
        <v>29</v>
      </c>
      <c r="E306" s="15">
        <v>3</v>
      </c>
      <c r="F306" s="24">
        <v>2.3260000000000001</v>
      </c>
      <c r="G306" s="23">
        <v>4.2999999999999997E-2</v>
      </c>
    </row>
    <row r="307" spans="1:14">
      <c r="A307" s="15">
        <v>8</v>
      </c>
      <c r="B307" s="78">
        <v>39517</v>
      </c>
      <c r="C307" s="15">
        <v>2008</v>
      </c>
      <c r="D307" s="11" t="s">
        <v>29</v>
      </c>
      <c r="E307" s="15">
        <v>3</v>
      </c>
      <c r="F307" s="24">
        <v>1.3839999999999999</v>
      </c>
      <c r="G307" s="23">
        <v>4.7E-2</v>
      </c>
    </row>
    <row r="308" spans="1:14">
      <c r="A308" s="15">
        <v>15</v>
      </c>
      <c r="B308" s="78">
        <v>39517</v>
      </c>
      <c r="C308" s="15">
        <v>2008</v>
      </c>
      <c r="D308" s="11" t="s">
        <v>29</v>
      </c>
      <c r="E308" s="15">
        <v>3</v>
      </c>
      <c r="F308" s="24">
        <v>2.589</v>
      </c>
      <c r="G308" s="23">
        <v>5.2999999999999999E-2</v>
      </c>
      <c r="I308" s="18">
        <f>AVERAGE(F306:F308)</f>
        <v>2.0996666666666663</v>
      </c>
      <c r="J308" s="18">
        <f>AVERAGE(G306:G308)</f>
        <v>4.7666666666666663E-2</v>
      </c>
      <c r="L308">
        <f>+J308/I308</f>
        <v>2.2702016193046518E-2</v>
      </c>
      <c r="M308">
        <f>+(L308-$L$927)/$L$928</f>
        <v>-7.2302633907477334E-2</v>
      </c>
      <c r="N308">
        <f>+N305+M308</f>
        <v>-16.451835190492659</v>
      </c>
    </row>
    <row r="309" spans="1:14">
      <c r="A309" s="15">
        <v>6</v>
      </c>
      <c r="B309" s="78">
        <v>39553</v>
      </c>
      <c r="C309" s="15">
        <v>2008</v>
      </c>
      <c r="D309" s="11" t="s">
        <v>30</v>
      </c>
      <c r="E309" s="15">
        <v>4</v>
      </c>
      <c r="F309" s="24">
        <v>3.3140000000000001</v>
      </c>
      <c r="G309" s="23">
        <v>1.4E-2</v>
      </c>
    </row>
    <row r="310" spans="1:14">
      <c r="A310" s="15">
        <v>8</v>
      </c>
      <c r="B310" s="78">
        <v>39552</v>
      </c>
      <c r="C310" s="15">
        <v>2008</v>
      </c>
      <c r="D310" s="11" t="s">
        <v>30</v>
      </c>
      <c r="E310" s="15">
        <v>4</v>
      </c>
      <c r="F310" s="24">
        <v>1.2050000000000001</v>
      </c>
      <c r="G310" s="23">
        <v>2.7E-2</v>
      </c>
    </row>
    <row r="311" spans="1:14">
      <c r="A311" s="15">
        <v>15</v>
      </c>
      <c r="B311" s="78">
        <v>39552</v>
      </c>
      <c r="C311" s="15">
        <v>2008</v>
      </c>
      <c r="D311" s="11" t="s">
        <v>30</v>
      </c>
      <c r="E311" s="15">
        <v>4</v>
      </c>
      <c r="F311" s="24">
        <v>4.49</v>
      </c>
      <c r="G311" s="23">
        <v>1.4999999999999999E-2</v>
      </c>
      <c r="I311" s="18">
        <f>AVERAGE(F309:F311)</f>
        <v>3.0030000000000001</v>
      </c>
      <c r="J311" s="18">
        <f>AVERAGE(G309:G311)</f>
        <v>1.8666666666666668E-2</v>
      </c>
      <c r="L311">
        <f>+J311/I311</f>
        <v>6.216006216006216E-3</v>
      </c>
      <c r="M311">
        <f>+(L311-$L$927)/$L$928</f>
        <v>-0.59343480690601946</v>
      </c>
      <c r="N311">
        <f>+N308+M311</f>
        <v>-17.045269997398677</v>
      </c>
    </row>
    <row r="312" spans="1:14">
      <c r="A312" s="15">
        <v>6</v>
      </c>
      <c r="B312" s="78">
        <v>39582</v>
      </c>
      <c r="C312" s="15">
        <v>2008</v>
      </c>
      <c r="D312" s="11" t="s">
        <v>31</v>
      </c>
      <c r="E312" s="15">
        <v>5</v>
      </c>
      <c r="F312" s="24">
        <v>2.105</v>
      </c>
      <c r="G312" s="23">
        <v>8.1000000000000003E-2</v>
      </c>
    </row>
    <row r="313" spans="1:14">
      <c r="A313" s="15">
        <v>8</v>
      </c>
      <c r="B313" s="78">
        <v>39583</v>
      </c>
      <c r="C313" s="15">
        <v>2008</v>
      </c>
      <c r="D313" s="11" t="s">
        <v>31</v>
      </c>
      <c r="E313" s="15">
        <v>5</v>
      </c>
      <c r="F313" s="24">
        <v>2.3159999999999998</v>
      </c>
      <c r="G313" s="23">
        <v>5.6000000000000001E-2</v>
      </c>
    </row>
    <row r="314" spans="1:14">
      <c r="A314" s="15">
        <v>15</v>
      </c>
      <c r="B314" s="78">
        <v>39583</v>
      </c>
      <c r="C314" s="15">
        <v>2008</v>
      </c>
      <c r="D314" s="11" t="s">
        <v>31</v>
      </c>
      <c r="E314" s="15">
        <v>5</v>
      </c>
      <c r="F314" s="24">
        <v>7.4509999999999996</v>
      </c>
      <c r="G314" s="23">
        <v>5.8999999999999997E-2</v>
      </c>
      <c r="I314" s="18">
        <f>AVERAGE(F312:F314)</f>
        <v>3.9573333333333331</v>
      </c>
      <c r="J314" s="18">
        <f>AVERAGE(G312:G314)</f>
        <v>6.533333333333334E-2</v>
      </c>
      <c r="L314">
        <f>+J314/I314</f>
        <v>1.6509433962264154E-2</v>
      </c>
      <c r="M314">
        <f>+(L314-$L$927)/$L$928</f>
        <v>-0.26805368821923364</v>
      </c>
      <c r="N314">
        <f>+N311+M314</f>
        <v>-17.31332368561791</v>
      </c>
    </row>
    <row r="315" spans="1:14">
      <c r="A315" s="15">
        <v>6</v>
      </c>
      <c r="B315" s="78">
        <v>39616</v>
      </c>
      <c r="C315" s="15">
        <v>2008</v>
      </c>
      <c r="D315" s="11" t="s">
        <v>32</v>
      </c>
      <c r="E315" s="15">
        <v>6</v>
      </c>
      <c r="F315" s="24">
        <v>7.9009999999999998</v>
      </c>
      <c r="G315" s="23">
        <v>0.04</v>
      </c>
    </row>
    <row r="316" spans="1:14">
      <c r="A316" s="15">
        <v>8</v>
      </c>
      <c r="B316" s="78">
        <v>39617</v>
      </c>
      <c r="C316" s="15">
        <v>2008</v>
      </c>
      <c r="D316" s="11" t="s">
        <v>32</v>
      </c>
      <c r="E316" s="15">
        <v>6</v>
      </c>
      <c r="F316" s="24">
        <v>2.8180000000000001</v>
      </c>
      <c r="G316" s="23">
        <v>2.8000000000000001E-2</v>
      </c>
    </row>
    <row r="317" spans="1:14">
      <c r="A317" s="15">
        <v>15</v>
      </c>
      <c r="B317" s="78">
        <v>39617</v>
      </c>
      <c r="C317" s="15">
        <v>2008</v>
      </c>
      <c r="D317" s="11" t="s">
        <v>32</v>
      </c>
      <c r="E317" s="15">
        <v>6</v>
      </c>
      <c r="F317" s="24">
        <v>4.1379999999999999</v>
      </c>
      <c r="G317" s="23">
        <v>3.9E-2</v>
      </c>
      <c r="I317" s="18">
        <f>AVERAGE(F315:F317)</f>
        <v>4.9523333333333328</v>
      </c>
      <c r="J317" s="18">
        <f>AVERAGE(G315:G317)</f>
        <v>3.5666666666666673E-2</v>
      </c>
      <c r="L317">
        <f>+J317/I317</f>
        <v>7.2019923268492984E-3</v>
      </c>
      <c r="M317">
        <f>+(L317-$L$927)/$L$928</f>
        <v>-0.56226722389438499</v>
      </c>
      <c r="N317">
        <f>+N314+M317</f>
        <v>-17.875590909512294</v>
      </c>
    </row>
    <row r="318" spans="1:14">
      <c r="A318" s="15">
        <v>6</v>
      </c>
      <c r="B318" s="78">
        <v>39644</v>
      </c>
      <c r="C318" s="15">
        <v>2008</v>
      </c>
      <c r="D318" s="11" t="s">
        <v>33</v>
      </c>
      <c r="E318" s="15">
        <v>7</v>
      </c>
      <c r="F318" s="24">
        <v>6.5490000000000004</v>
      </c>
      <c r="G318" s="23">
        <v>0.26900000000000002</v>
      </c>
    </row>
    <row r="319" spans="1:14">
      <c r="A319" s="15">
        <v>8</v>
      </c>
      <c r="B319" s="78">
        <v>39645</v>
      </c>
      <c r="C319" s="15">
        <v>2008</v>
      </c>
      <c r="D319" s="11" t="s">
        <v>33</v>
      </c>
      <c r="E319" s="15">
        <v>7</v>
      </c>
      <c r="F319" s="24">
        <v>3.5419999999999998</v>
      </c>
      <c r="G319" s="23">
        <v>0.189</v>
      </c>
    </row>
    <row r="320" spans="1:14">
      <c r="A320" s="15">
        <v>15</v>
      </c>
      <c r="B320" s="78">
        <v>39645</v>
      </c>
      <c r="C320" s="15">
        <v>2008</v>
      </c>
      <c r="D320" s="11" t="s">
        <v>33</v>
      </c>
      <c r="E320" s="15">
        <v>7</v>
      </c>
      <c r="F320" s="24">
        <v>4.4009999999999998</v>
      </c>
      <c r="G320" s="23">
        <v>9.4E-2</v>
      </c>
      <c r="I320" s="18">
        <f>AVERAGE(F318:F320)</f>
        <v>4.8306666666666667</v>
      </c>
      <c r="J320" s="18">
        <f>AVERAGE(G318:G320)</f>
        <v>0.18400000000000002</v>
      </c>
      <c r="L320">
        <f>+J320/I320</f>
        <v>3.8089980678995314E-2</v>
      </c>
      <c r="M320">
        <f>+(L320-$L$927)/$L$928</f>
        <v>0.41411969519186204</v>
      </c>
      <c r="N320">
        <f>+N317+M320</f>
        <v>-17.461471214320433</v>
      </c>
    </row>
    <row r="321" spans="1:14">
      <c r="A321" s="15">
        <v>6</v>
      </c>
      <c r="B321" s="78">
        <v>39672</v>
      </c>
      <c r="C321" s="15">
        <v>2008</v>
      </c>
      <c r="D321" s="11" t="s">
        <v>34</v>
      </c>
      <c r="E321" s="15">
        <v>8</v>
      </c>
      <c r="F321" s="24">
        <v>6.8209999999999997</v>
      </c>
      <c r="G321" s="23">
        <v>0.51800000000000002</v>
      </c>
    </row>
    <row r="322" spans="1:14">
      <c r="A322" s="15">
        <v>8</v>
      </c>
      <c r="B322" s="78">
        <v>39672</v>
      </c>
      <c r="C322" s="15">
        <v>2008</v>
      </c>
      <c r="D322" s="11" t="s">
        <v>34</v>
      </c>
      <c r="E322" s="15">
        <v>8</v>
      </c>
      <c r="F322" s="24">
        <v>7.8410000000000002</v>
      </c>
      <c r="G322" s="23">
        <v>0.998</v>
      </c>
    </row>
    <row r="323" spans="1:14">
      <c r="A323" s="15">
        <v>15</v>
      </c>
      <c r="B323" s="78">
        <v>39672</v>
      </c>
      <c r="C323" s="15">
        <v>2008</v>
      </c>
      <c r="D323" s="11" t="s">
        <v>34</v>
      </c>
      <c r="E323" s="15">
        <v>8</v>
      </c>
      <c r="F323" s="24">
        <v>4.0529999999999999</v>
      </c>
      <c r="G323" s="23">
        <v>1.0760000000000001</v>
      </c>
      <c r="I323" s="18">
        <f>AVERAGE(F321:F323)</f>
        <v>6.2383333333333333</v>
      </c>
      <c r="J323" s="18">
        <f>AVERAGE(G321:G323)</f>
        <v>0.86399999999999999</v>
      </c>
      <c r="L323">
        <f>+J323/I323</f>
        <v>0.13849853059043549</v>
      </c>
      <c r="M323">
        <f>+(L323-$L$927)/$L$928</f>
        <v>3.5880911944117955</v>
      </c>
      <c r="N323">
        <f>+N320+M323</f>
        <v>-13.873380019908637</v>
      </c>
    </row>
    <row r="324" spans="1:14">
      <c r="A324" s="15">
        <v>6</v>
      </c>
      <c r="B324" s="78">
        <v>39709</v>
      </c>
      <c r="C324" s="15">
        <v>2008</v>
      </c>
      <c r="D324" s="11" t="s">
        <v>40</v>
      </c>
      <c r="E324" s="15">
        <v>9</v>
      </c>
      <c r="F324" s="23">
        <v>18.856000000000002</v>
      </c>
      <c r="G324" s="23">
        <v>1.7999999999999999E-2</v>
      </c>
    </row>
    <row r="325" spans="1:14">
      <c r="A325" s="15">
        <v>8</v>
      </c>
      <c r="B325" s="78">
        <v>39709</v>
      </c>
      <c r="C325" s="15">
        <v>2008</v>
      </c>
      <c r="D325" s="11" t="s">
        <v>40</v>
      </c>
      <c r="E325" s="15">
        <v>9</v>
      </c>
      <c r="F325" s="23">
        <v>4.0910000000000002</v>
      </c>
      <c r="G325" s="23">
        <v>0.02</v>
      </c>
    </row>
    <row r="326" spans="1:14">
      <c r="A326" s="15">
        <v>15</v>
      </c>
      <c r="B326" s="78">
        <v>39709</v>
      </c>
      <c r="C326" s="15">
        <v>2008</v>
      </c>
      <c r="D326" s="11" t="s">
        <v>40</v>
      </c>
      <c r="E326" s="15">
        <v>9</v>
      </c>
      <c r="F326" s="23">
        <v>9.84</v>
      </c>
      <c r="G326" s="23">
        <v>9.8000000000000004E-2</v>
      </c>
      <c r="I326" s="18">
        <f>AVERAGE(F324:F326)</f>
        <v>10.929000000000002</v>
      </c>
      <c r="J326" s="18">
        <f>AVERAGE(G324:G326)</f>
        <v>4.5333333333333337E-2</v>
      </c>
      <c r="L326">
        <f>+J326/I326</f>
        <v>4.1479854820508123E-3</v>
      </c>
      <c r="M326">
        <f>+(L326-$L$927)/$L$928</f>
        <v>-0.65880612115325843</v>
      </c>
      <c r="N326">
        <f>+N323+M326</f>
        <v>-14.532186141061896</v>
      </c>
    </row>
    <row r="327" spans="1:14">
      <c r="A327" s="15">
        <v>6</v>
      </c>
      <c r="B327" s="78">
        <v>39737</v>
      </c>
      <c r="C327" s="15">
        <v>2008</v>
      </c>
      <c r="D327" s="11" t="s">
        <v>36</v>
      </c>
      <c r="E327" s="15">
        <v>10</v>
      </c>
      <c r="F327" s="23">
        <v>8.9269999999999996</v>
      </c>
      <c r="G327" s="23">
        <v>2.7E-2</v>
      </c>
    </row>
    <row r="328" spans="1:14">
      <c r="A328" s="15">
        <v>8</v>
      </c>
      <c r="B328" s="78">
        <v>39735</v>
      </c>
      <c r="C328" s="15">
        <v>2008</v>
      </c>
      <c r="D328" s="11" t="s">
        <v>36</v>
      </c>
      <c r="E328" s="15">
        <v>10</v>
      </c>
      <c r="F328" s="23">
        <v>10.298</v>
      </c>
      <c r="G328" s="23">
        <v>1.2999999999999999E-2</v>
      </c>
    </row>
    <row r="329" spans="1:14">
      <c r="A329" s="15">
        <v>15</v>
      </c>
      <c r="B329" s="78">
        <v>39735</v>
      </c>
      <c r="C329" s="15">
        <v>2008</v>
      </c>
      <c r="D329" s="11" t="s">
        <v>36</v>
      </c>
      <c r="E329" s="15">
        <v>10</v>
      </c>
      <c r="F329" s="23">
        <v>2.0609999999999999</v>
      </c>
      <c r="G329" s="23">
        <v>9.9989999999999996E-4</v>
      </c>
      <c r="I329" s="18">
        <f>AVERAGE(F327:F329)</f>
        <v>7.0953333333333335</v>
      </c>
      <c r="J329" s="18">
        <f>AVERAGE(G327:G329)</f>
        <v>1.3666633333333332E-2</v>
      </c>
      <c r="L329">
        <f>+J329/I329</f>
        <v>1.9261439443765853E-3</v>
      </c>
      <c r="M329">
        <f>+(L329-$L$927)/$L$928</f>
        <v>-0.72903979868949287</v>
      </c>
      <c r="N329">
        <f>+N326+M329</f>
        <v>-15.261225939751389</v>
      </c>
    </row>
    <row r="330" spans="1:14">
      <c r="A330" s="15">
        <v>6</v>
      </c>
      <c r="B330" s="78">
        <v>39763</v>
      </c>
      <c r="C330" s="15">
        <v>2008</v>
      </c>
      <c r="D330" s="11" t="s">
        <v>37</v>
      </c>
      <c r="E330" s="15">
        <v>11</v>
      </c>
      <c r="F330" s="23">
        <v>2.73</v>
      </c>
      <c r="G330" s="23">
        <v>1.4999999999999999E-2</v>
      </c>
    </row>
    <row r="331" spans="1:14">
      <c r="A331" s="15">
        <v>8</v>
      </c>
      <c r="B331" s="78">
        <v>39769</v>
      </c>
      <c r="C331" s="15">
        <v>2008</v>
      </c>
      <c r="D331" s="11" t="s">
        <v>37</v>
      </c>
      <c r="E331" s="15">
        <v>11</v>
      </c>
      <c r="F331" s="23">
        <v>0.91900000000000004</v>
      </c>
      <c r="G331" s="23">
        <v>9.9989999999999996E-4</v>
      </c>
    </row>
    <row r="332" spans="1:14">
      <c r="A332" s="15">
        <v>15</v>
      </c>
      <c r="B332" s="78">
        <v>39769</v>
      </c>
      <c r="C332" s="15">
        <v>2008</v>
      </c>
      <c r="D332" s="11" t="s">
        <v>37</v>
      </c>
      <c r="E332" s="15">
        <v>11</v>
      </c>
      <c r="F332" s="23">
        <v>3.798</v>
      </c>
      <c r="G332" s="23">
        <v>3.3000000000000002E-2</v>
      </c>
      <c r="I332" s="18">
        <f>AVERAGE(F330:F332)</f>
        <v>2.4823333333333335</v>
      </c>
      <c r="J332" s="18">
        <f>AVERAGE(G330:G332)</f>
        <v>1.6333299999999999E-2</v>
      </c>
      <c r="L332">
        <f>+J332/I332</f>
        <v>6.5798173761246132E-3</v>
      </c>
      <c r="M332">
        <f>+(L332-$L$927)/$L$928</f>
        <v>-0.58193452874910556</v>
      </c>
      <c r="N332">
        <f>+N329+M332</f>
        <v>-15.843160468500495</v>
      </c>
    </row>
    <row r="333" spans="1:14">
      <c r="A333" s="15">
        <v>6</v>
      </c>
      <c r="B333" s="78">
        <v>39797</v>
      </c>
      <c r="C333" s="15">
        <v>2008</v>
      </c>
      <c r="D333" s="11" t="s">
        <v>38</v>
      </c>
      <c r="E333" s="15">
        <v>12</v>
      </c>
      <c r="F333" s="23">
        <v>3.5739999999999998</v>
      </c>
      <c r="G333" s="23">
        <v>0.111</v>
      </c>
    </row>
    <row r="334" spans="1:14">
      <c r="A334" s="15">
        <v>8</v>
      </c>
      <c r="B334" s="78">
        <v>39797</v>
      </c>
      <c r="C334" s="15">
        <v>2008</v>
      </c>
      <c r="D334" s="11" t="s">
        <v>38</v>
      </c>
      <c r="E334" s="15">
        <v>12</v>
      </c>
      <c r="F334" s="23">
        <v>0.628</v>
      </c>
      <c r="G334" s="23">
        <v>2.5999999999999999E-2</v>
      </c>
    </row>
    <row r="335" spans="1:14">
      <c r="A335" s="15">
        <v>15</v>
      </c>
      <c r="B335" s="78">
        <v>39797</v>
      </c>
      <c r="C335" s="15">
        <v>2008</v>
      </c>
      <c r="D335" s="11" t="s">
        <v>38</v>
      </c>
      <c r="E335" s="15">
        <v>12</v>
      </c>
      <c r="F335" s="23">
        <v>2.6560000000000001</v>
      </c>
      <c r="G335" s="23">
        <v>9.5000000000000001E-2</v>
      </c>
      <c r="I335" s="18">
        <f>AVERAGE(F333:F335)</f>
        <v>2.286</v>
      </c>
      <c r="J335" s="18">
        <f>AVERAGE(G333:G335)</f>
        <v>7.7333333333333337E-2</v>
      </c>
      <c r="L335">
        <f>+J335/I335</f>
        <v>3.3829104695246429E-2</v>
      </c>
      <c r="M335">
        <f>+(L335-$L$927)/$L$928</f>
        <v>0.27943097649153553</v>
      </c>
      <c r="N335">
        <f>+N332+M335</f>
        <v>-15.563729492008958</v>
      </c>
    </row>
    <row r="336" spans="1:14">
      <c r="A336" s="15">
        <v>6</v>
      </c>
      <c r="B336" s="78">
        <v>39825</v>
      </c>
      <c r="C336" s="15">
        <v>2009</v>
      </c>
      <c r="D336" s="11" t="s">
        <v>39</v>
      </c>
      <c r="E336" s="12">
        <v>1</v>
      </c>
      <c r="F336" s="23">
        <v>5.0339999999999998</v>
      </c>
      <c r="G336" s="23">
        <v>0.11</v>
      </c>
    </row>
    <row r="337" spans="1:14">
      <c r="A337" s="15">
        <v>8</v>
      </c>
      <c r="B337" s="78">
        <v>39826</v>
      </c>
      <c r="C337" s="15">
        <v>2009</v>
      </c>
      <c r="D337" s="11" t="s">
        <v>39</v>
      </c>
      <c r="E337" s="12">
        <v>1</v>
      </c>
      <c r="F337" s="23">
        <v>1.4219999999999999</v>
      </c>
      <c r="G337" s="23">
        <v>2.1000000000000001E-2</v>
      </c>
    </row>
    <row r="338" spans="1:14">
      <c r="A338" s="15">
        <v>15</v>
      </c>
      <c r="B338" s="78">
        <v>39826</v>
      </c>
      <c r="C338" s="15">
        <v>2009</v>
      </c>
      <c r="D338" s="11" t="s">
        <v>39</v>
      </c>
      <c r="E338" s="12">
        <v>1</v>
      </c>
      <c r="F338" s="23">
        <v>3.698</v>
      </c>
      <c r="G338" s="23">
        <v>9.6000000000000002E-2</v>
      </c>
      <c r="I338" s="18">
        <f>AVERAGE(F336:F338)</f>
        <v>3.3846666666666665</v>
      </c>
      <c r="J338" s="18">
        <f>AVERAGE(G336:G338)</f>
        <v>7.5666666666666674E-2</v>
      </c>
      <c r="L338">
        <f>+J338/I338</f>
        <v>2.2355721883001774E-2</v>
      </c>
      <c r="M338">
        <f>+(L338-$L$927)/$L$928</f>
        <v>-8.3249194448322447E-2</v>
      </c>
      <c r="N338">
        <f>+N335+M338</f>
        <v>-15.646978686457281</v>
      </c>
    </row>
    <row r="339" spans="1:14">
      <c r="A339" s="12">
        <v>6</v>
      </c>
      <c r="B339" s="78">
        <v>39854</v>
      </c>
      <c r="C339" s="15">
        <v>2009</v>
      </c>
      <c r="D339" s="11" t="s">
        <v>28</v>
      </c>
      <c r="E339" s="12">
        <v>2</v>
      </c>
      <c r="F339" s="23">
        <v>3.08</v>
      </c>
      <c r="G339" s="23">
        <v>3.7999999999999999E-2</v>
      </c>
    </row>
    <row r="340" spans="1:14">
      <c r="A340" s="12">
        <v>8</v>
      </c>
      <c r="B340" s="78">
        <v>39855</v>
      </c>
      <c r="C340" s="15">
        <v>2009</v>
      </c>
      <c r="D340" s="11" t="s">
        <v>28</v>
      </c>
      <c r="E340" s="12">
        <v>2</v>
      </c>
      <c r="F340" s="23">
        <v>2.1640000000000001</v>
      </c>
      <c r="G340" s="23">
        <v>1.2E-2</v>
      </c>
    </row>
    <row r="341" spans="1:14">
      <c r="A341" s="12">
        <v>15</v>
      </c>
      <c r="B341" s="78">
        <v>39855</v>
      </c>
      <c r="C341" s="15">
        <v>2009</v>
      </c>
      <c r="D341" s="11" t="s">
        <v>28</v>
      </c>
      <c r="E341" s="12">
        <v>2</v>
      </c>
      <c r="F341" s="23">
        <v>2.4750000000000001</v>
      </c>
      <c r="G341" s="23">
        <v>3.6999999999999998E-2</v>
      </c>
      <c r="I341" s="18">
        <f>AVERAGE(F339:F341)</f>
        <v>2.573</v>
      </c>
      <c r="J341" s="18">
        <f>AVERAGE(G339:G341)</f>
        <v>2.8999999999999998E-2</v>
      </c>
      <c r="L341">
        <f>+J341/I341</f>
        <v>1.127089001165954E-2</v>
      </c>
      <c r="M341">
        <f>+(L341-$L$927)/$L$928</f>
        <v>-0.43364704865811021</v>
      </c>
      <c r="N341">
        <f>+N338+M341</f>
        <v>-16.08062573511539</v>
      </c>
    </row>
    <row r="342" spans="1:14">
      <c r="A342" s="12">
        <v>6</v>
      </c>
      <c r="B342" s="78">
        <v>39890</v>
      </c>
      <c r="C342" s="15">
        <v>2009</v>
      </c>
      <c r="D342" s="11" t="s">
        <v>29</v>
      </c>
      <c r="E342" s="12">
        <v>3</v>
      </c>
      <c r="F342" s="23">
        <v>5.8040000000000003</v>
      </c>
      <c r="G342" s="25">
        <v>9.9989999999999996E-4</v>
      </c>
    </row>
    <row r="343" spans="1:14">
      <c r="A343" s="12">
        <v>8</v>
      </c>
      <c r="B343" s="78">
        <v>39888</v>
      </c>
      <c r="C343" s="15">
        <v>2009</v>
      </c>
      <c r="D343" s="11" t="s">
        <v>29</v>
      </c>
      <c r="E343" s="12">
        <v>3</v>
      </c>
      <c r="F343" s="23">
        <v>1.9910000000000001</v>
      </c>
      <c r="G343" s="25">
        <v>4.1000000000000002E-2</v>
      </c>
    </row>
    <row r="344" spans="1:14">
      <c r="A344" s="12">
        <v>15</v>
      </c>
      <c r="B344" s="78">
        <v>39888</v>
      </c>
      <c r="C344" s="15">
        <v>2009</v>
      </c>
      <c r="D344" s="11" t="s">
        <v>29</v>
      </c>
      <c r="E344" s="12">
        <v>3</v>
      </c>
      <c r="F344" s="23">
        <v>3.77</v>
      </c>
      <c r="G344" s="25">
        <v>2.5000000000000001E-2</v>
      </c>
      <c r="I344" s="18">
        <f>AVERAGE(F342:F344)</f>
        <v>3.855</v>
      </c>
      <c r="J344" s="18">
        <f>AVERAGE(G342:G344)</f>
        <v>2.23333E-2</v>
      </c>
      <c r="L344">
        <f>+J344/I344</f>
        <v>5.7933333333333335E-3</v>
      </c>
      <c r="M344">
        <f>+(L344-$L$927)/$L$928</f>
        <v>-0.60679573766619965</v>
      </c>
      <c r="N344">
        <f>+N341+M344</f>
        <v>-16.68742147278159</v>
      </c>
    </row>
    <row r="345" spans="1:14">
      <c r="A345" s="12">
        <v>6</v>
      </c>
      <c r="B345" s="78">
        <v>39920</v>
      </c>
      <c r="C345" s="15">
        <v>2009</v>
      </c>
      <c r="D345" s="11" t="s">
        <v>30</v>
      </c>
      <c r="E345" s="12">
        <v>4</v>
      </c>
      <c r="F345" s="23">
        <v>1.2190000000000001</v>
      </c>
      <c r="G345" s="25">
        <v>6.0000000000000001E-3</v>
      </c>
    </row>
    <row r="346" spans="1:14">
      <c r="A346" s="12">
        <v>8</v>
      </c>
      <c r="B346" s="78">
        <v>39916</v>
      </c>
      <c r="C346" s="15">
        <v>2009</v>
      </c>
      <c r="D346" s="11" t="s">
        <v>30</v>
      </c>
      <c r="E346" s="12">
        <v>4</v>
      </c>
      <c r="F346" s="23">
        <v>0.41199999999999998</v>
      </c>
      <c r="G346" s="25">
        <v>1.7000000000000001E-2</v>
      </c>
    </row>
    <row r="347" spans="1:14">
      <c r="A347" s="12">
        <v>15</v>
      </c>
      <c r="B347" s="78">
        <v>39916</v>
      </c>
      <c r="C347" s="15">
        <v>2009</v>
      </c>
      <c r="D347" s="11" t="s">
        <v>30</v>
      </c>
      <c r="E347" s="12">
        <v>4</v>
      </c>
      <c r="F347" s="23">
        <v>1.7949999999999999</v>
      </c>
      <c r="G347" s="25">
        <v>2.1000000000000001E-2</v>
      </c>
      <c r="I347" s="18">
        <f>AVERAGE(F345:F347)</f>
        <v>1.1420000000000001</v>
      </c>
      <c r="J347" s="18">
        <f>AVERAGE(G345:G347)</f>
        <v>1.4666666666666666E-2</v>
      </c>
      <c r="L347">
        <f>+J347/I347</f>
        <v>1.2842965557501458E-2</v>
      </c>
      <c r="M347">
        <f>+(L347-$L$927)/$L$928</f>
        <v>-0.3839528445139036</v>
      </c>
      <c r="N347">
        <f>+N344+M347</f>
        <v>-17.071374317295493</v>
      </c>
    </row>
    <row r="348" spans="1:14">
      <c r="A348" s="12">
        <v>6</v>
      </c>
      <c r="B348" s="78">
        <v>39945</v>
      </c>
      <c r="C348" s="15">
        <v>2009</v>
      </c>
      <c r="D348" s="11" t="s">
        <v>31</v>
      </c>
      <c r="E348" s="12">
        <v>5</v>
      </c>
      <c r="F348" s="23">
        <v>8.4529999999999994</v>
      </c>
      <c r="G348" s="25">
        <v>2.7E-2</v>
      </c>
    </row>
    <row r="349" spans="1:14">
      <c r="A349" s="12">
        <v>8</v>
      </c>
      <c r="B349" s="78">
        <v>39946</v>
      </c>
      <c r="C349" s="15">
        <v>2009</v>
      </c>
      <c r="D349" s="11" t="s">
        <v>31</v>
      </c>
      <c r="E349" s="12">
        <v>5</v>
      </c>
      <c r="F349" s="23">
        <v>0.33900000000000002</v>
      </c>
      <c r="G349" s="25">
        <v>9.9989999999999996E-4</v>
      </c>
    </row>
    <row r="350" spans="1:14">
      <c r="A350" s="12">
        <v>15</v>
      </c>
      <c r="B350" s="78">
        <v>39946</v>
      </c>
      <c r="C350" s="15">
        <v>2009</v>
      </c>
      <c r="D350" s="11" t="s">
        <v>31</v>
      </c>
      <c r="E350" s="12">
        <v>5</v>
      </c>
      <c r="F350" s="23">
        <v>7.6669999999999998</v>
      </c>
      <c r="G350" s="25">
        <v>4.3999999999999997E-2</v>
      </c>
      <c r="I350" s="18">
        <f>AVERAGE(F348:F350)</f>
        <v>5.4863333333333335</v>
      </c>
      <c r="J350" s="18">
        <f>AVERAGE(G348:G350)</f>
        <v>2.3999966666666667E-2</v>
      </c>
      <c r="L350">
        <f>+J350/I350</f>
        <v>4.3745002734066471E-3</v>
      </c>
      <c r="M350">
        <f>+(L350-$L$927)/$L$928</f>
        <v>-0.65164585947684461</v>
      </c>
      <c r="N350">
        <f>+N347+M350</f>
        <v>-17.723020176772337</v>
      </c>
    </row>
    <row r="351" spans="1:14">
      <c r="A351" s="15">
        <v>6</v>
      </c>
      <c r="B351" s="78">
        <v>39980</v>
      </c>
      <c r="C351" s="15">
        <v>2009</v>
      </c>
      <c r="D351" s="11" t="s">
        <v>32</v>
      </c>
      <c r="E351" s="12">
        <v>6</v>
      </c>
      <c r="F351" s="23">
        <v>15.779</v>
      </c>
      <c r="G351" s="25">
        <v>9.0999999999999998E-2</v>
      </c>
    </row>
    <row r="352" spans="1:14">
      <c r="A352" s="15">
        <v>8</v>
      </c>
      <c r="B352" s="78">
        <v>39983</v>
      </c>
      <c r="C352" s="15">
        <v>2009</v>
      </c>
      <c r="D352" s="11" t="s">
        <v>32</v>
      </c>
      <c r="E352" s="12">
        <v>6</v>
      </c>
      <c r="F352" s="23">
        <v>2.0019999999999998</v>
      </c>
      <c r="G352" s="25">
        <v>5.8999999999999997E-2</v>
      </c>
    </row>
    <row r="353" spans="1:14">
      <c r="A353" s="15">
        <v>15</v>
      </c>
      <c r="B353" s="78">
        <v>39983</v>
      </c>
      <c r="C353" s="15">
        <v>2009</v>
      </c>
      <c r="D353" s="11" t="s">
        <v>32</v>
      </c>
      <c r="E353" s="12">
        <v>6</v>
      </c>
      <c r="F353" s="23">
        <v>8.2710000000000008</v>
      </c>
      <c r="G353" s="25">
        <v>0.14399999999999999</v>
      </c>
      <c r="I353" s="18">
        <f>AVERAGE(F351:F353)</f>
        <v>8.6839999999999993</v>
      </c>
      <c r="J353" s="18">
        <f>AVERAGE(G351:G353)</f>
        <v>9.799999999999999E-2</v>
      </c>
      <c r="L353">
        <f>+J353/I353</f>
        <v>1.1285122063565177E-2</v>
      </c>
      <c r="M353">
        <f>+(L353-$L$927)/$L$928</f>
        <v>-0.43319716538458664</v>
      </c>
      <c r="N353">
        <f>+N350+M353</f>
        <v>-18.156217342156925</v>
      </c>
    </row>
    <row r="354" spans="1:14">
      <c r="A354" s="15">
        <v>6</v>
      </c>
      <c r="B354" s="78">
        <v>40007</v>
      </c>
      <c r="C354" s="15">
        <v>2009</v>
      </c>
      <c r="D354" s="11" t="s">
        <v>33</v>
      </c>
      <c r="E354" s="12">
        <v>7</v>
      </c>
      <c r="F354" s="23">
        <v>9.7100000000000009</v>
      </c>
      <c r="G354" s="25">
        <v>0.123</v>
      </c>
    </row>
    <row r="355" spans="1:14">
      <c r="A355" s="15">
        <v>8</v>
      </c>
      <c r="B355" s="78">
        <v>40007</v>
      </c>
      <c r="C355" s="15">
        <v>2009</v>
      </c>
      <c r="D355" s="11" t="s">
        <v>33</v>
      </c>
      <c r="E355" s="12">
        <v>7</v>
      </c>
      <c r="F355" s="23">
        <v>1.663</v>
      </c>
      <c r="G355" s="25">
        <v>8.3000000000000004E-2</v>
      </c>
    </row>
    <row r="356" spans="1:14">
      <c r="A356" s="15">
        <v>15</v>
      </c>
      <c r="B356" s="78">
        <v>40007</v>
      </c>
      <c r="C356" s="15">
        <v>2009</v>
      </c>
      <c r="D356" s="11" t="s">
        <v>33</v>
      </c>
      <c r="E356" s="12">
        <v>7</v>
      </c>
      <c r="F356" s="23">
        <v>12.875999999999999</v>
      </c>
      <c r="G356" s="25">
        <v>0.18099999999999999</v>
      </c>
      <c r="I356" s="18">
        <f>AVERAGE(F354:F356)</f>
        <v>8.0830000000000002</v>
      </c>
      <c r="J356" s="18">
        <f>AVERAGE(G354:G356)</f>
        <v>0.129</v>
      </c>
      <c r="L356">
        <f>+J356/I356</f>
        <v>1.5959421007051836E-2</v>
      </c>
      <c r="M356">
        <f>+(L356-$L$927)/$L$928</f>
        <v>-0.28543991126085061</v>
      </c>
      <c r="N356">
        <f>+N353+M356</f>
        <v>-18.441657253417777</v>
      </c>
    </row>
    <row r="357" spans="1:14">
      <c r="A357" s="15">
        <v>6</v>
      </c>
      <c r="B357" s="78">
        <v>40043</v>
      </c>
      <c r="C357" s="15">
        <v>2009</v>
      </c>
      <c r="D357" s="11" t="s">
        <v>34</v>
      </c>
      <c r="E357" s="12">
        <v>8</v>
      </c>
      <c r="F357" s="23">
        <v>8.4060000000000006</v>
      </c>
      <c r="G357" s="25">
        <v>0.13200000000000001</v>
      </c>
    </row>
    <row r="358" spans="1:14">
      <c r="A358" s="15">
        <v>8</v>
      </c>
      <c r="B358" s="78">
        <v>40042</v>
      </c>
      <c r="C358" s="15">
        <v>2009</v>
      </c>
      <c r="D358" s="11" t="s">
        <v>34</v>
      </c>
      <c r="E358" s="12">
        <v>8</v>
      </c>
      <c r="F358" s="23">
        <v>3.9969999999999999</v>
      </c>
      <c r="G358" s="25">
        <v>5.2999999999999999E-2</v>
      </c>
    </row>
    <row r="359" spans="1:14">
      <c r="A359" s="15">
        <v>15</v>
      </c>
      <c r="B359" s="78">
        <v>40042</v>
      </c>
      <c r="C359" s="15">
        <v>2009</v>
      </c>
      <c r="D359" s="11" t="s">
        <v>34</v>
      </c>
      <c r="E359" s="12">
        <v>8</v>
      </c>
      <c r="F359" s="23">
        <v>4.3540000000000001</v>
      </c>
      <c r="G359" s="25">
        <v>0.12</v>
      </c>
      <c r="I359" s="18">
        <f>AVERAGE(F357:F359)</f>
        <v>5.5856666666666674</v>
      </c>
      <c r="J359" s="18">
        <f>AVERAGE(G357:G359)</f>
        <v>0.10166666666666667</v>
      </c>
      <c r="L359">
        <f>+J359/I359</f>
        <v>1.8201348690099657E-2</v>
      </c>
      <c r="M359">
        <f>+(L359-$L$927)/$L$928</f>
        <v>-0.21457129921952467</v>
      </c>
      <c r="N359">
        <f>+N356+M359</f>
        <v>-18.656228552637302</v>
      </c>
    </row>
    <row r="360" spans="1:14">
      <c r="A360" s="15">
        <v>6</v>
      </c>
      <c r="B360" s="78">
        <v>40070</v>
      </c>
      <c r="C360" s="15">
        <v>2009</v>
      </c>
      <c r="D360" s="11" t="s">
        <v>40</v>
      </c>
      <c r="E360" s="12">
        <v>9</v>
      </c>
      <c r="F360" s="23">
        <v>15.342000000000001</v>
      </c>
      <c r="G360" s="25">
        <v>0.42499999999999999</v>
      </c>
    </row>
    <row r="361" spans="1:14">
      <c r="A361" s="15">
        <v>8</v>
      </c>
      <c r="B361" s="78">
        <v>40071</v>
      </c>
      <c r="C361" s="15">
        <v>2009</v>
      </c>
      <c r="D361" s="11" t="s">
        <v>40</v>
      </c>
      <c r="E361" s="12">
        <v>9</v>
      </c>
      <c r="F361" s="23">
        <v>3.0209999999999999</v>
      </c>
      <c r="G361" s="25">
        <v>1.4999999999999999E-2</v>
      </c>
    </row>
    <row r="362" spans="1:14">
      <c r="A362" s="15">
        <v>15</v>
      </c>
      <c r="B362" s="78">
        <v>40071</v>
      </c>
      <c r="C362" s="15">
        <v>2009</v>
      </c>
      <c r="D362" s="11" t="s">
        <v>40</v>
      </c>
      <c r="E362" s="12">
        <v>9</v>
      </c>
      <c r="F362" s="23">
        <v>5.6849999999999996</v>
      </c>
      <c r="G362" s="25">
        <v>6.0999999999999999E-2</v>
      </c>
      <c r="I362" s="18">
        <f>AVERAGE(F360:F362)</f>
        <v>8.016</v>
      </c>
      <c r="J362" s="18">
        <f>AVERAGE(G360:G362)</f>
        <v>0.16700000000000001</v>
      </c>
      <c r="L362">
        <f>+J362/I362</f>
        <v>2.0833333333333336E-2</v>
      </c>
      <c r="M362">
        <f>+(L362-$L$927)/$L$928</f>
        <v>-0.13137276432009343</v>
      </c>
      <c r="N362">
        <f>+N359+M362</f>
        <v>-18.787601316957396</v>
      </c>
    </row>
    <row r="363" spans="1:14">
      <c r="A363" s="15">
        <v>6</v>
      </c>
      <c r="B363" s="78">
        <v>40099</v>
      </c>
      <c r="C363" s="15">
        <v>2009</v>
      </c>
      <c r="D363" s="11" t="s">
        <v>36</v>
      </c>
      <c r="E363" s="12">
        <v>10</v>
      </c>
      <c r="F363" s="23">
        <v>7.2110000000000003</v>
      </c>
      <c r="G363" s="25">
        <v>2.8000000000000001E-2</v>
      </c>
    </row>
    <row r="364" spans="1:14">
      <c r="A364" s="15">
        <v>8</v>
      </c>
      <c r="B364" s="78">
        <v>40100</v>
      </c>
      <c r="C364" s="15">
        <v>2009</v>
      </c>
      <c r="D364" s="11" t="s">
        <v>36</v>
      </c>
      <c r="E364" s="12">
        <v>10</v>
      </c>
      <c r="F364" s="23">
        <v>1.18</v>
      </c>
      <c r="G364" s="25">
        <v>1.2999999999999999E-2</v>
      </c>
    </row>
    <row r="365" spans="1:14">
      <c r="A365" s="15">
        <v>15</v>
      </c>
      <c r="B365" s="78">
        <v>40100</v>
      </c>
      <c r="C365" s="15">
        <v>2009</v>
      </c>
      <c r="D365" s="11" t="s">
        <v>36</v>
      </c>
      <c r="E365" s="12">
        <v>10</v>
      </c>
      <c r="F365" s="23">
        <v>5.5419999999999998</v>
      </c>
      <c r="G365" s="25">
        <v>8.2000000000000003E-2</v>
      </c>
      <c r="I365" s="18">
        <f>AVERAGE(F363:F365)</f>
        <v>4.644333333333333</v>
      </c>
      <c r="J365" s="18">
        <f>AVERAGE(G363:G365)</f>
        <v>4.1000000000000002E-2</v>
      </c>
      <c r="L365">
        <f>+J365/I365</f>
        <v>8.8279623914447724E-3</v>
      </c>
      <c r="M365">
        <f>+(L365-$L$927)/$L$928</f>
        <v>-0.51086938329054576</v>
      </c>
      <c r="N365">
        <f>+N362+M365</f>
        <v>-19.298470700247943</v>
      </c>
    </row>
    <row r="366" spans="1:14">
      <c r="A366" s="15">
        <v>6</v>
      </c>
      <c r="B366" s="78">
        <v>40133</v>
      </c>
      <c r="C366" s="15">
        <v>2009</v>
      </c>
      <c r="D366" s="11" t="s">
        <v>37</v>
      </c>
      <c r="E366" s="12">
        <v>11</v>
      </c>
      <c r="F366" s="23">
        <v>3.5150000000000001</v>
      </c>
      <c r="G366" s="25">
        <v>3.9E-2</v>
      </c>
    </row>
    <row r="367" spans="1:14">
      <c r="A367" s="15">
        <v>8</v>
      </c>
      <c r="B367" s="78">
        <v>40133</v>
      </c>
      <c r="C367" s="15">
        <v>2009</v>
      </c>
      <c r="D367" s="11" t="s">
        <v>37</v>
      </c>
      <c r="E367" s="12">
        <v>11</v>
      </c>
      <c r="F367" s="23">
        <v>2.919</v>
      </c>
      <c r="G367" s="25">
        <v>0.113</v>
      </c>
    </row>
    <row r="368" spans="1:14">
      <c r="A368" s="15">
        <v>15</v>
      </c>
      <c r="B368" s="78">
        <v>40133</v>
      </c>
      <c r="C368" s="15">
        <v>2009</v>
      </c>
      <c r="D368" s="11" t="s">
        <v>37</v>
      </c>
      <c r="E368" s="12">
        <v>11</v>
      </c>
      <c r="F368" s="23">
        <v>3.758</v>
      </c>
      <c r="G368" s="25">
        <v>7.0999999999999994E-2</v>
      </c>
      <c r="I368" s="18">
        <f>AVERAGE(F366:F368)</f>
        <v>3.3973333333333335</v>
      </c>
      <c r="J368" s="18">
        <f>AVERAGE(G366:G368)</f>
        <v>7.4333333333333321E-2</v>
      </c>
      <c r="L368">
        <f>+J368/I368</f>
        <v>2.1879905808477231E-2</v>
      </c>
      <c r="M368">
        <f>+(L368-$L$927)/$L$928</f>
        <v>-9.8290011796482737E-2</v>
      </c>
      <c r="N368">
        <f>+N365+M368</f>
        <v>-19.396760712044426</v>
      </c>
    </row>
    <row r="369" spans="1:14">
      <c r="A369" s="15">
        <v>6</v>
      </c>
      <c r="B369" s="78">
        <v>40161</v>
      </c>
      <c r="C369" s="15">
        <v>2009</v>
      </c>
      <c r="D369" s="11" t="s">
        <v>38</v>
      </c>
      <c r="E369" s="12">
        <v>12</v>
      </c>
      <c r="F369" s="23">
        <v>2.84</v>
      </c>
      <c r="G369" s="25">
        <v>0.15</v>
      </c>
    </row>
    <row r="370" spans="1:14">
      <c r="A370" s="15">
        <v>8</v>
      </c>
      <c r="B370" s="78">
        <v>40161</v>
      </c>
      <c r="C370" s="15">
        <v>2009</v>
      </c>
      <c r="D370" s="11" t="s">
        <v>38</v>
      </c>
      <c r="E370" s="12">
        <v>12</v>
      </c>
      <c r="F370" s="23">
        <v>2.5099999999999998</v>
      </c>
      <c r="G370" s="25">
        <v>4.8000000000000001E-2</v>
      </c>
    </row>
    <row r="371" spans="1:14">
      <c r="A371" s="15">
        <v>15</v>
      </c>
      <c r="B371" s="78">
        <v>40161</v>
      </c>
      <c r="C371" s="15">
        <v>2009</v>
      </c>
      <c r="D371" s="11" t="s">
        <v>38</v>
      </c>
      <c r="E371" s="12">
        <v>12</v>
      </c>
      <c r="F371" s="23">
        <v>1.82</v>
      </c>
      <c r="G371" s="25">
        <v>7.0000000000000007E-2</v>
      </c>
      <c r="I371" s="18">
        <f>AVERAGE(F369:F371)</f>
        <v>2.39</v>
      </c>
      <c r="J371" s="18">
        <f>AVERAGE(G369:G371)</f>
        <v>8.9333333333333334E-2</v>
      </c>
      <c r="L371">
        <f>+J371/I371</f>
        <v>3.7377963737796373E-2</v>
      </c>
      <c r="M371">
        <f>+(L371-$L$927)/$L$928</f>
        <v>0.39161243380505351</v>
      </c>
      <c r="N371">
        <f>+N368+M371</f>
        <v>-19.005148278239371</v>
      </c>
    </row>
    <row r="372" spans="1:14">
      <c r="A372" s="15">
        <v>6</v>
      </c>
      <c r="B372" s="73">
        <v>40197</v>
      </c>
      <c r="C372" s="15">
        <v>2010</v>
      </c>
      <c r="D372" s="11" t="s">
        <v>39</v>
      </c>
      <c r="E372" s="15">
        <v>1</v>
      </c>
      <c r="F372" s="26">
        <v>4.9989999999999997</v>
      </c>
      <c r="G372" s="18">
        <v>8.9699249999999994E-2</v>
      </c>
    </row>
    <row r="373" spans="1:14">
      <c r="A373" s="15">
        <v>8</v>
      </c>
      <c r="B373" s="73">
        <v>40197</v>
      </c>
      <c r="C373" s="15">
        <v>2010</v>
      </c>
      <c r="D373" s="11" t="s">
        <v>39</v>
      </c>
      <c r="E373" s="15">
        <v>1</v>
      </c>
      <c r="F373" s="26">
        <v>5.9050000000000002</v>
      </c>
      <c r="G373" s="18">
        <v>0.11726499999999999</v>
      </c>
    </row>
    <row r="374" spans="1:14">
      <c r="A374" s="15">
        <v>15</v>
      </c>
      <c r="B374" s="73">
        <v>40197</v>
      </c>
      <c r="C374" s="15">
        <v>2010</v>
      </c>
      <c r="D374" s="11" t="s">
        <v>39</v>
      </c>
      <c r="E374" s="15">
        <v>1</v>
      </c>
      <c r="F374" s="26">
        <v>4.7960000000000003</v>
      </c>
      <c r="G374" s="18">
        <v>0.172687375</v>
      </c>
      <c r="I374" s="18">
        <f>AVERAGE(F372:F374)</f>
        <v>5.2333333333333334</v>
      </c>
      <c r="J374" s="18">
        <f>AVERAGE(G372:G374)</f>
        <v>0.12655054166666665</v>
      </c>
      <c r="L374">
        <f>+J374/I374</f>
        <v>2.4181632165605094E-2</v>
      </c>
      <c r="M374">
        <f>+(L374-$L$927)/$L$928</f>
        <v>-2.5531129580071168E-2</v>
      </c>
      <c r="N374">
        <f>+N371+M374</f>
        <v>-19.030679407819441</v>
      </c>
    </row>
    <row r="375" spans="1:14">
      <c r="A375" s="15">
        <v>6</v>
      </c>
      <c r="B375" s="73">
        <v>40225</v>
      </c>
      <c r="C375" s="15">
        <v>2010</v>
      </c>
      <c r="D375" s="11" t="s">
        <v>28</v>
      </c>
      <c r="E375" s="15">
        <v>2</v>
      </c>
      <c r="F375" s="26">
        <v>12.962999999999999</v>
      </c>
      <c r="G375" s="18">
        <v>0.40162474999999997</v>
      </c>
    </row>
    <row r="376" spans="1:14">
      <c r="A376" s="15">
        <v>8</v>
      </c>
      <c r="B376" s="73">
        <v>40225</v>
      </c>
      <c r="C376" s="15">
        <v>2010</v>
      </c>
      <c r="D376" s="11" t="s">
        <v>28</v>
      </c>
      <c r="E376" s="15">
        <v>2</v>
      </c>
      <c r="F376" s="26">
        <v>6.0780000000000003</v>
      </c>
      <c r="G376" s="18">
        <v>1.2885874999999998E-2</v>
      </c>
    </row>
    <row r="377" spans="1:14">
      <c r="A377" s="15">
        <v>15</v>
      </c>
      <c r="B377" s="73">
        <v>40225</v>
      </c>
      <c r="C377" s="15">
        <v>2010</v>
      </c>
      <c r="D377" s="11" t="s">
        <v>28</v>
      </c>
      <c r="E377" s="15">
        <v>2</v>
      </c>
      <c r="F377" s="26">
        <v>6.5510000000000002</v>
      </c>
      <c r="G377" s="18">
        <v>3.4054999999999995E-2</v>
      </c>
      <c r="I377" s="18">
        <f>AVERAGE(F375:F377)</f>
        <v>8.5306666666666668</v>
      </c>
      <c r="J377" s="18">
        <f>AVERAGE(G375:G377)</f>
        <v>0.149521875</v>
      </c>
      <c r="L377">
        <f>+J377/I377</f>
        <v>1.7527572092841514E-2</v>
      </c>
      <c r="M377">
        <f>+(L377-$L$927)/$L$928</f>
        <v>-0.23586976153598002</v>
      </c>
      <c r="N377">
        <f>+N374+M377</f>
        <v>-19.266549169355422</v>
      </c>
    </row>
    <row r="378" spans="1:14">
      <c r="A378" s="15">
        <v>6</v>
      </c>
      <c r="B378" s="73">
        <v>40254</v>
      </c>
      <c r="C378" s="15">
        <v>2010</v>
      </c>
      <c r="D378" s="11" t="s">
        <v>29</v>
      </c>
      <c r="E378" s="15">
        <v>3</v>
      </c>
      <c r="F378" s="26">
        <v>6.1379999999999999</v>
      </c>
      <c r="G378" s="18">
        <v>0</v>
      </c>
    </row>
    <row r="379" spans="1:14">
      <c r="A379" s="15">
        <v>8</v>
      </c>
      <c r="B379" s="73">
        <v>40255</v>
      </c>
      <c r="C379" s="15">
        <v>2010</v>
      </c>
      <c r="D379" s="11" t="s">
        <v>29</v>
      </c>
      <c r="E379" s="15">
        <v>3</v>
      </c>
      <c r="F379" s="26">
        <v>6.1959999999999997</v>
      </c>
      <c r="G379" s="18">
        <v>6.8309499999999995E-2</v>
      </c>
    </row>
    <row r="380" spans="1:14">
      <c r="A380" s="15">
        <v>15</v>
      </c>
      <c r="B380" s="73">
        <v>40255</v>
      </c>
      <c r="C380" s="15">
        <v>2010</v>
      </c>
      <c r="D380" s="11" t="s">
        <v>29</v>
      </c>
      <c r="E380" s="15">
        <v>3</v>
      </c>
      <c r="F380" s="26">
        <v>6.1070000000000002</v>
      </c>
      <c r="G380" s="18">
        <v>2.5503999999999999E-2</v>
      </c>
      <c r="I380" s="18">
        <f>AVERAGE(F378:F380)</f>
        <v>6.1469999999999994</v>
      </c>
      <c r="J380" s="18">
        <f>AVERAGE(G378:G380)</f>
        <v>3.1271166666666662E-2</v>
      </c>
      <c r="L380">
        <f>+J380/I380</f>
        <v>5.0872241201670191E-3</v>
      </c>
      <c r="M380">
        <f>+(L380-$L$927)/$L$928</f>
        <v>-0.62911625240227742</v>
      </c>
      <c r="N380">
        <f>+N377+M380</f>
        <v>-19.895665421757698</v>
      </c>
    </row>
    <row r="381" spans="1:14">
      <c r="A381" s="15">
        <v>6</v>
      </c>
      <c r="B381" s="73">
        <v>40280</v>
      </c>
      <c r="C381" s="15">
        <v>2010</v>
      </c>
      <c r="D381" s="11" t="s">
        <v>30</v>
      </c>
      <c r="E381" s="15">
        <v>4</v>
      </c>
      <c r="F381" s="26">
        <v>2.9020000000000001</v>
      </c>
      <c r="G381" s="18">
        <v>0</v>
      </c>
    </row>
    <row r="382" spans="1:14">
      <c r="A382" s="15">
        <v>8</v>
      </c>
      <c r="B382" s="73">
        <v>40281</v>
      </c>
      <c r="C382" s="15">
        <v>2010</v>
      </c>
      <c r="D382" s="11" t="s">
        <v>30</v>
      </c>
      <c r="E382" s="15">
        <v>4</v>
      </c>
      <c r="F382" s="26">
        <v>0.80500000000000005</v>
      </c>
      <c r="G382" s="18">
        <v>2.9824375000000004E-2</v>
      </c>
    </row>
    <row r="383" spans="1:14">
      <c r="A383" s="15">
        <v>15</v>
      </c>
      <c r="B383" s="73">
        <v>40281</v>
      </c>
      <c r="C383" s="15">
        <v>2010</v>
      </c>
      <c r="D383" s="11" t="s">
        <v>30</v>
      </c>
      <c r="E383" s="15">
        <v>4</v>
      </c>
      <c r="F383" s="26">
        <v>1.873</v>
      </c>
      <c r="G383" s="18">
        <v>0.14003712500000001</v>
      </c>
      <c r="I383" s="18">
        <f>AVERAGE(F381:F383)</f>
        <v>1.86</v>
      </c>
      <c r="J383" s="18">
        <f>AVERAGE(G381:G383)</f>
        <v>5.6620500000000011E-2</v>
      </c>
      <c r="L383">
        <f>+J383/I383</f>
        <v>3.0441129032258069E-2</v>
      </c>
      <c r="M383">
        <f>+(L383-$L$927)/$L$928</f>
        <v>0.17233513451532728</v>
      </c>
      <c r="N383">
        <f>+N380+M383</f>
        <v>-19.723330287242369</v>
      </c>
    </row>
    <row r="384" spans="1:14">
      <c r="A384" s="15">
        <v>6</v>
      </c>
      <c r="B384" s="78">
        <v>40315</v>
      </c>
      <c r="C384" s="15">
        <v>2010</v>
      </c>
      <c r="D384" s="11" t="s">
        <v>31</v>
      </c>
      <c r="E384" s="15">
        <v>5</v>
      </c>
      <c r="F384" s="27">
        <v>6.8540000000000001</v>
      </c>
      <c r="G384" s="18">
        <v>0.11470087499999998</v>
      </c>
    </row>
    <row r="385" spans="1:14">
      <c r="A385" s="15">
        <v>8</v>
      </c>
      <c r="B385" s="78">
        <v>40317</v>
      </c>
      <c r="C385" s="15">
        <v>2010</v>
      </c>
      <c r="D385" s="11" t="s">
        <v>31</v>
      </c>
      <c r="E385" s="15">
        <v>5</v>
      </c>
      <c r="F385" s="27">
        <v>1.6919999999999999</v>
      </c>
      <c r="G385" s="18">
        <v>1.661325E-2</v>
      </c>
    </row>
    <row r="386" spans="1:14">
      <c r="A386" s="15">
        <v>15</v>
      </c>
      <c r="B386" s="78">
        <v>40317</v>
      </c>
      <c r="C386" s="15">
        <v>2010</v>
      </c>
      <c r="D386" s="11" t="s">
        <v>31</v>
      </c>
      <c r="E386" s="15">
        <v>5</v>
      </c>
      <c r="F386" s="27">
        <v>4.1239999999999997</v>
      </c>
      <c r="G386" s="18">
        <v>1.7090500000000002E-2</v>
      </c>
      <c r="I386" s="18">
        <f>AVERAGE(F384:F386)</f>
        <v>4.2233333333333327</v>
      </c>
      <c r="J386" s="18">
        <f>AVERAGE(G384:G386)</f>
        <v>4.9468208333333326E-2</v>
      </c>
      <c r="L386">
        <f>+J386/I386</f>
        <v>1.1713072217837411E-2</v>
      </c>
      <c r="M386">
        <f>+(L386-$L$927)/$L$928</f>
        <v>-0.41966941706091443</v>
      </c>
      <c r="N386">
        <f>+N383+M386</f>
        <v>-20.142999704303282</v>
      </c>
    </row>
    <row r="387" spans="1:14">
      <c r="A387" s="15">
        <v>6</v>
      </c>
      <c r="B387" s="78">
        <v>40344</v>
      </c>
      <c r="C387" s="15">
        <v>2010</v>
      </c>
      <c r="D387" s="11" t="s">
        <v>32</v>
      </c>
      <c r="E387" s="15">
        <v>6</v>
      </c>
      <c r="F387" s="27">
        <v>9.5589999999999993</v>
      </c>
      <c r="G387" s="18">
        <v>0.172917875</v>
      </c>
    </row>
    <row r="388" spans="1:14">
      <c r="A388" s="15">
        <v>8</v>
      </c>
      <c r="B388" s="78">
        <v>40345</v>
      </c>
      <c r="C388" s="15">
        <v>2010</v>
      </c>
      <c r="D388" s="11" t="s">
        <v>32</v>
      </c>
      <c r="E388" s="15">
        <v>6</v>
      </c>
      <c r="F388" s="27">
        <v>4.774</v>
      </c>
      <c r="G388" s="18">
        <v>0.17781674999999997</v>
      </c>
    </row>
    <row r="389" spans="1:14">
      <c r="A389" s="15">
        <v>15</v>
      </c>
      <c r="B389" s="78">
        <v>40345</v>
      </c>
      <c r="C389" s="15">
        <v>2010</v>
      </c>
      <c r="D389" s="11" t="s">
        <v>32</v>
      </c>
      <c r="E389" s="15">
        <v>6</v>
      </c>
      <c r="F389" s="27">
        <v>3.863</v>
      </c>
      <c r="G389" s="18">
        <v>8.1293500000000005E-2</v>
      </c>
      <c r="I389" s="18">
        <f>AVERAGE(F387:F389)</f>
        <v>6.0653333333333324</v>
      </c>
      <c r="J389" s="18">
        <f>AVERAGE(G387:G389)</f>
        <v>0.144009375</v>
      </c>
      <c r="L389">
        <f>+J389/I389</f>
        <v>2.374302731369532E-2</v>
      </c>
      <c r="M389">
        <f>+(L389-$L$927)/$L$928</f>
        <v>-3.9395678969630567E-2</v>
      </c>
      <c r="N389">
        <f>+N386+M389</f>
        <v>-20.182395383272912</v>
      </c>
    </row>
    <row r="390" spans="1:14">
      <c r="A390" s="15">
        <v>6</v>
      </c>
      <c r="B390" s="78">
        <v>40374</v>
      </c>
      <c r="C390" s="15">
        <v>2010</v>
      </c>
      <c r="D390" s="11" t="s">
        <v>33</v>
      </c>
      <c r="E390" s="15">
        <v>7</v>
      </c>
      <c r="F390" s="27">
        <v>7.5309999999999997</v>
      </c>
      <c r="G390" s="18">
        <v>0.12337099999999999</v>
      </c>
    </row>
    <row r="391" spans="1:14">
      <c r="A391" s="15">
        <v>8</v>
      </c>
      <c r="B391" s="78">
        <v>40374</v>
      </c>
      <c r="C391" s="15">
        <v>2010</v>
      </c>
      <c r="D391" s="11" t="s">
        <v>33</v>
      </c>
      <c r="E391" s="15">
        <v>7</v>
      </c>
      <c r="F391" s="27">
        <v>5.3780000000000001</v>
      </c>
      <c r="G391" s="18">
        <v>0.28138974999999999</v>
      </c>
    </row>
    <row r="392" spans="1:14">
      <c r="A392" s="15">
        <v>15</v>
      </c>
      <c r="B392" s="78">
        <v>40374</v>
      </c>
      <c r="C392" s="15">
        <v>2010</v>
      </c>
      <c r="D392" s="11" t="s">
        <v>33</v>
      </c>
      <c r="E392" s="15">
        <v>7</v>
      </c>
      <c r="F392" s="27">
        <v>5.258</v>
      </c>
      <c r="G392" s="18">
        <v>0.20745437500000002</v>
      </c>
      <c r="I392" s="18">
        <f>AVERAGE(F390:F392)</f>
        <v>6.0556666666666663</v>
      </c>
      <c r="J392" s="18">
        <f>AVERAGE(G390:G392)</f>
        <v>0.20407170833333335</v>
      </c>
      <c r="L392">
        <f>+J392/I392</f>
        <v>3.3699296801893548E-2</v>
      </c>
      <c r="M392">
        <f>+(L392-$L$927)/$L$928</f>
        <v>0.27532767498743838</v>
      </c>
      <c r="N392">
        <f>+N389+M392</f>
        <v>-19.907067708285474</v>
      </c>
    </row>
    <row r="393" spans="1:14">
      <c r="A393" s="15">
        <v>6</v>
      </c>
      <c r="B393" s="78">
        <v>40407</v>
      </c>
      <c r="C393" s="15">
        <v>2010</v>
      </c>
      <c r="D393" s="11" t="s">
        <v>34</v>
      </c>
      <c r="E393" s="15">
        <v>8</v>
      </c>
      <c r="F393" s="27">
        <v>6.5019999999999998</v>
      </c>
      <c r="G393" s="18">
        <v>0.29048337499999999</v>
      </c>
    </row>
    <row r="394" spans="1:14">
      <c r="A394" s="15">
        <v>8</v>
      </c>
      <c r="B394" s="78">
        <v>40409</v>
      </c>
      <c r="C394" s="15">
        <v>2010</v>
      </c>
      <c r="D394" s="11" t="s">
        <v>34</v>
      </c>
      <c r="E394" s="15">
        <v>8</v>
      </c>
      <c r="F394" s="27">
        <v>6.0250000000000004</v>
      </c>
      <c r="G394" s="18">
        <v>0.45027587499999994</v>
      </c>
    </row>
    <row r="395" spans="1:14">
      <c r="A395" s="15">
        <v>8</v>
      </c>
      <c r="B395" s="78">
        <v>40409</v>
      </c>
      <c r="C395" s="15">
        <v>2010</v>
      </c>
      <c r="D395" s="11" t="s">
        <v>34</v>
      </c>
      <c r="E395" s="15">
        <v>8</v>
      </c>
      <c r="F395" s="27">
        <v>6.0250000000000004</v>
      </c>
      <c r="G395" s="18">
        <v>0.56767699999999999</v>
      </c>
      <c r="H395" t="s">
        <v>13</v>
      </c>
    </row>
    <row r="396" spans="1:14">
      <c r="A396" s="15">
        <v>15</v>
      </c>
      <c r="B396" s="78">
        <v>40409</v>
      </c>
      <c r="C396" s="15">
        <v>2010</v>
      </c>
      <c r="D396" s="11" t="s">
        <v>34</v>
      </c>
      <c r="E396" s="15">
        <v>8</v>
      </c>
      <c r="F396" s="27">
        <v>7.1319999999999997</v>
      </c>
      <c r="G396" s="18">
        <v>0.11062099999999998</v>
      </c>
      <c r="I396" s="18">
        <f>AVERAGE(F393:F396)</f>
        <v>6.4209999999999994</v>
      </c>
      <c r="J396" s="18">
        <f>AVERAGE(G393:G396)</f>
        <v>0.35476431250000001</v>
      </c>
      <c r="L396">
        <f>+J396/I396</f>
        <v>5.5250632689612215E-2</v>
      </c>
      <c r="M396">
        <f>+(L396-$L$927)/$L$928</f>
        <v>0.95657768744221594</v>
      </c>
      <c r="N396">
        <f>+N392+M396</f>
        <v>-18.950490020843258</v>
      </c>
    </row>
    <row r="397" spans="1:14">
      <c r="A397" s="15">
        <v>6</v>
      </c>
      <c r="B397" s="78">
        <v>40436</v>
      </c>
      <c r="C397" s="15">
        <v>2010</v>
      </c>
      <c r="D397" s="11" t="s">
        <v>40</v>
      </c>
      <c r="E397" s="15">
        <v>9</v>
      </c>
      <c r="F397" s="27">
        <v>8.3450000000000006</v>
      </c>
      <c r="G397" s="18">
        <v>0.13136600000000001</v>
      </c>
    </row>
    <row r="398" spans="1:14">
      <c r="A398" s="15">
        <v>8</v>
      </c>
      <c r="B398" s="78">
        <v>40434</v>
      </c>
      <c r="C398" s="15">
        <v>2010</v>
      </c>
      <c r="D398" s="11" t="s">
        <v>40</v>
      </c>
      <c r="E398" s="15">
        <v>9</v>
      </c>
      <c r="F398" s="27">
        <v>6.6950000000000003</v>
      </c>
      <c r="G398" s="18">
        <v>5.3241875000000001E-2</v>
      </c>
    </row>
    <row r="399" spans="1:14">
      <c r="A399" s="15">
        <v>15</v>
      </c>
      <c r="B399" s="78">
        <v>40434</v>
      </c>
      <c r="C399" s="15">
        <v>2010</v>
      </c>
      <c r="D399" s="11" t="s">
        <v>40</v>
      </c>
      <c r="E399" s="15">
        <v>9</v>
      </c>
      <c r="F399" s="27">
        <v>5.4589999999999996</v>
      </c>
      <c r="G399" s="18">
        <v>4.2189625000000001E-2</v>
      </c>
      <c r="I399" s="18">
        <f>AVERAGE(F397:F399)</f>
        <v>6.8330000000000011</v>
      </c>
      <c r="J399" s="18">
        <f>AVERAGE(G397:G399)</f>
        <v>7.5599166666666676E-2</v>
      </c>
      <c r="L399">
        <f>+J399/I399</f>
        <v>1.1063832382067417E-2</v>
      </c>
      <c r="M399">
        <f>+(L399-$L$927)/$L$928</f>
        <v>-0.4401922583598844</v>
      </c>
      <c r="N399">
        <f>+N396+M399</f>
        <v>-19.390682279203144</v>
      </c>
    </row>
    <row r="400" spans="1:14">
      <c r="A400" s="15">
        <v>6</v>
      </c>
      <c r="B400" s="78">
        <v>40464</v>
      </c>
      <c r="C400" s="15">
        <v>2010</v>
      </c>
      <c r="D400" s="11" t="s">
        <v>36</v>
      </c>
      <c r="E400" s="15">
        <v>10</v>
      </c>
      <c r="F400" s="26">
        <v>6.468</v>
      </c>
      <c r="G400" s="18">
        <v>8.3711499999999994E-2</v>
      </c>
    </row>
    <row r="401" spans="1:14">
      <c r="A401" s="15">
        <v>8</v>
      </c>
      <c r="B401" s="78">
        <v>40463</v>
      </c>
      <c r="C401" s="15">
        <v>2010</v>
      </c>
      <c r="D401" s="11" t="s">
        <v>36</v>
      </c>
      <c r="E401" s="15">
        <v>10</v>
      </c>
      <c r="F401" s="26">
        <v>3.1059999999999999</v>
      </c>
      <c r="G401" s="18">
        <v>2.2666374999999999E-2</v>
      </c>
    </row>
    <row r="402" spans="1:14">
      <c r="A402" s="15">
        <v>15</v>
      </c>
      <c r="B402" s="78">
        <v>40463</v>
      </c>
      <c r="C402" s="15">
        <v>2010</v>
      </c>
      <c r="D402" s="11" t="s">
        <v>36</v>
      </c>
      <c r="E402" s="15">
        <v>10</v>
      </c>
      <c r="F402" s="26">
        <v>3.3380000000000001</v>
      </c>
      <c r="G402" s="18">
        <v>1.5332000000000002E-2</v>
      </c>
      <c r="I402" s="18">
        <f>AVERAGE(F400:F402)</f>
        <v>4.3039999999999994</v>
      </c>
      <c r="J402" s="18">
        <f>AVERAGE(G400:G402)</f>
        <v>4.0569958333333329E-2</v>
      </c>
      <c r="L402">
        <f>+J402/I402</f>
        <v>9.4261055607187116E-3</v>
      </c>
      <c r="M402">
        <f>+(L402-$L$927)/$L$928</f>
        <v>-0.49196173674647142</v>
      </c>
      <c r="N402">
        <f>+N399+M402</f>
        <v>-19.882644015949616</v>
      </c>
    </row>
    <row r="403" spans="1:14">
      <c r="A403" s="15">
        <v>6</v>
      </c>
      <c r="B403" s="78">
        <v>40498</v>
      </c>
      <c r="C403" s="15">
        <v>2010</v>
      </c>
      <c r="D403" s="11" t="s">
        <v>37</v>
      </c>
      <c r="E403" s="15">
        <v>11</v>
      </c>
      <c r="F403" s="26">
        <v>1.373</v>
      </c>
      <c r="G403" s="18">
        <v>4.6619749999999995E-2</v>
      </c>
    </row>
    <row r="404" spans="1:14">
      <c r="A404" s="15">
        <v>8</v>
      </c>
      <c r="B404" s="78">
        <v>40500</v>
      </c>
      <c r="C404" s="15">
        <v>2010</v>
      </c>
      <c r="D404" s="11" t="s">
        <v>37</v>
      </c>
      <c r="E404" s="15">
        <v>11</v>
      </c>
      <c r="F404" s="26">
        <v>2.5230000000000001</v>
      </c>
      <c r="G404" s="18">
        <v>6.6786125000000016E-2</v>
      </c>
    </row>
    <row r="405" spans="1:14">
      <c r="A405" s="15">
        <v>15</v>
      </c>
      <c r="B405" s="78">
        <v>40500</v>
      </c>
      <c r="C405" s="15">
        <v>2010</v>
      </c>
      <c r="D405" s="11" t="s">
        <v>37</v>
      </c>
      <c r="E405" s="15">
        <v>11</v>
      </c>
      <c r="F405" s="26">
        <v>3.8769999999999998</v>
      </c>
      <c r="G405" s="18">
        <v>0.23588512499999995</v>
      </c>
      <c r="I405" s="18">
        <f>AVERAGE(F403:F405)</f>
        <v>2.5909999999999997</v>
      </c>
      <c r="J405" s="18">
        <f>AVERAGE(G403:G405)</f>
        <v>0.11643033333333332</v>
      </c>
      <c r="L405">
        <f>+J405/I405</f>
        <v>4.4936446674385691E-2</v>
      </c>
      <c r="M405">
        <f>+(L405-$L$927)/$L$928</f>
        <v>0.63054038804036616</v>
      </c>
      <c r="N405">
        <f>+N402+M405</f>
        <v>-19.25210362790925</v>
      </c>
    </row>
    <row r="406" spans="1:14">
      <c r="A406" s="15">
        <v>6</v>
      </c>
      <c r="B406" s="78">
        <v>40520</v>
      </c>
      <c r="C406" s="15">
        <v>2010</v>
      </c>
      <c r="D406" s="11" t="s">
        <v>38</v>
      </c>
      <c r="E406" s="15">
        <v>12</v>
      </c>
      <c r="F406" s="26">
        <v>3.7120000000000002</v>
      </c>
      <c r="G406" s="18">
        <v>1.8746799999999997E-2</v>
      </c>
    </row>
    <row r="407" spans="1:14">
      <c r="A407" s="15">
        <v>8</v>
      </c>
      <c r="B407" s="78">
        <v>40521</v>
      </c>
      <c r="C407" s="15">
        <v>2010</v>
      </c>
      <c r="D407" s="11" t="s">
        <v>38</v>
      </c>
      <c r="E407" s="15">
        <v>12</v>
      </c>
      <c r="F407" s="26">
        <v>1.1579999999999999</v>
      </c>
      <c r="G407" s="18">
        <v>0</v>
      </c>
    </row>
    <row r="408" spans="1:14">
      <c r="A408" s="15">
        <v>15</v>
      </c>
      <c r="B408" s="78">
        <v>40521</v>
      </c>
      <c r="C408" s="15">
        <v>2010</v>
      </c>
      <c r="D408" s="11" t="s">
        <v>38</v>
      </c>
      <c r="E408" s="15">
        <v>12</v>
      </c>
      <c r="F408" s="26">
        <v>3.177</v>
      </c>
      <c r="G408" s="18">
        <v>4.8404875E-2</v>
      </c>
      <c r="I408" s="18">
        <f>AVERAGE(F406:F408)</f>
        <v>2.6823333333333337</v>
      </c>
      <c r="J408" s="18">
        <f>AVERAGE(G406:G408)</f>
        <v>2.2383891666666666E-2</v>
      </c>
      <c r="L408">
        <f>+J408/I408</f>
        <v>8.3449328942463014E-3</v>
      </c>
      <c r="M408">
        <f>+(L408-$L$927)/$L$928</f>
        <v>-0.52613822104134189</v>
      </c>
      <c r="N408">
        <f>+N405+M408</f>
        <v>-19.778241848950593</v>
      </c>
    </row>
    <row r="409" spans="1:14">
      <c r="A409" s="15">
        <v>6</v>
      </c>
      <c r="B409" s="78">
        <v>40562</v>
      </c>
      <c r="C409" s="15">
        <v>2011</v>
      </c>
      <c r="D409" s="11" t="s">
        <v>39</v>
      </c>
      <c r="E409" s="15">
        <v>1</v>
      </c>
      <c r="F409" s="26">
        <v>2.3679999999999999</v>
      </c>
      <c r="G409" s="18">
        <v>3.8716624999999998E-2</v>
      </c>
    </row>
    <row r="410" spans="1:14">
      <c r="A410" s="15">
        <v>8</v>
      </c>
      <c r="B410" s="78">
        <v>40563</v>
      </c>
      <c r="C410" s="15">
        <v>2011</v>
      </c>
      <c r="D410" s="11" t="s">
        <v>39</v>
      </c>
      <c r="E410" s="15">
        <v>1</v>
      </c>
      <c r="F410" s="26">
        <v>2.976</v>
      </c>
      <c r="G410" s="18">
        <v>2.8506499999999997E-2</v>
      </c>
    </row>
    <row r="411" spans="1:14">
      <c r="A411" s="15">
        <v>15</v>
      </c>
      <c r="B411" s="78">
        <v>40563</v>
      </c>
      <c r="C411" s="15">
        <v>2011</v>
      </c>
      <c r="D411" s="11" t="s">
        <v>39</v>
      </c>
      <c r="E411" s="15">
        <v>1</v>
      </c>
      <c r="F411" s="26">
        <v>3.0059999999999998</v>
      </c>
      <c r="G411" s="18">
        <v>7.6381624999999995E-2</v>
      </c>
      <c r="I411" s="18">
        <f>AVERAGE(F409:F411)</f>
        <v>2.7833333333333332</v>
      </c>
      <c r="J411" s="18">
        <f>AVERAGE(G409:G411)</f>
        <v>4.7868250000000001E-2</v>
      </c>
      <c r="L411">
        <f>+J411/I411</f>
        <v>1.7198173652694611E-2</v>
      </c>
      <c r="M411">
        <f>+(L411-$L$927)/$L$928</f>
        <v>-0.24628223399809504</v>
      </c>
      <c r="N411">
        <f>+N408+M411</f>
        <v>-20.024524082948687</v>
      </c>
    </row>
    <row r="412" spans="1:14">
      <c r="A412" s="15">
        <v>6</v>
      </c>
      <c r="B412" s="78">
        <v>40591</v>
      </c>
      <c r="C412" s="15">
        <v>2011</v>
      </c>
      <c r="D412" s="11" t="s">
        <v>28</v>
      </c>
      <c r="E412" s="15">
        <v>2</v>
      </c>
      <c r="F412" s="26">
        <v>1.8620000000000001</v>
      </c>
      <c r="G412" s="18">
        <v>0.14291262499999999</v>
      </c>
    </row>
    <row r="413" spans="1:14">
      <c r="A413" s="15">
        <v>8</v>
      </c>
      <c r="B413" s="78">
        <v>40598</v>
      </c>
      <c r="C413" s="15">
        <v>2011</v>
      </c>
      <c r="D413" s="11" t="s">
        <v>28</v>
      </c>
      <c r="E413" s="15">
        <v>2</v>
      </c>
      <c r="F413" s="26">
        <v>4.9710000000000001</v>
      </c>
      <c r="G413" s="18">
        <v>6.3637374999999996E-2</v>
      </c>
    </row>
    <row r="414" spans="1:14">
      <c r="A414" s="15">
        <v>15</v>
      </c>
      <c r="B414" s="78">
        <v>40598</v>
      </c>
      <c r="C414" s="15">
        <v>2011</v>
      </c>
      <c r="D414" s="11" t="s">
        <v>28</v>
      </c>
      <c r="E414" s="15">
        <v>2</v>
      </c>
      <c r="F414" s="26">
        <v>2.8839999999999999</v>
      </c>
      <c r="G414" s="18">
        <v>6.588200000000001E-2</v>
      </c>
      <c r="I414" s="18">
        <f>AVERAGE(F412:F414)</f>
        <v>3.2390000000000003</v>
      </c>
      <c r="J414" s="18">
        <f>AVERAGE(G412:G414)</f>
        <v>9.0810666666666665E-2</v>
      </c>
      <c r="L414">
        <f>+J414/I414</f>
        <v>2.803663682206442E-2</v>
      </c>
      <c r="M414">
        <f>+(L414-$L$927)/$L$928</f>
        <v>9.6327765103238525E-2</v>
      </c>
      <c r="N414">
        <f>+N411+M414</f>
        <v>-19.928196317845448</v>
      </c>
    </row>
    <row r="415" spans="1:14">
      <c r="A415" s="15">
        <v>6</v>
      </c>
      <c r="B415" s="78">
        <v>40619</v>
      </c>
      <c r="C415" s="15">
        <v>2011</v>
      </c>
      <c r="D415" s="11" t="s">
        <v>29</v>
      </c>
      <c r="E415" s="15">
        <v>3</v>
      </c>
      <c r="F415" s="26">
        <v>1.2869999999999999</v>
      </c>
      <c r="G415" s="18">
        <v>0</v>
      </c>
    </row>
    <row r="416" spans="1:14">
      <c r="A416" s="15">
        <v>8</v>
      </c>
      <c r="B416" s="78">
        <v>40617</v>
      </c>
      <c r="C416" s="15">
        <v>2011</v>
      </c>
      <c r="D416" s="11" t="s">
        <v>29</v>
      </c>
      <c r="E416" s="15">
        <v>3</v>
      </c>
      <c r="F416" s="26">
        <v>2.1829999999999998</v>
      </c>
      <c r="G416" s="18">
        <v>6.9755999999999985E-2</v>
      </c>
    </row>
    <row r="417" spans="1:14">
      <c r="A417" s="15">
        <v>8</v>
      </c>
      <c r="B417" s="78">
        <v>40617</v>
      </c>
      <c r="C417" s="15">
        <v>2011</v>
      </c>
      <c r="D417" s="11" t="s">
        <v>29</v>
      </c>
      <c r="E417" s="15">
        <v>3</v>
      </c>
      <c r="F417" s="26">
        <v>2.1829999999999998</v>
      </c>
      <c r="G417" s="18">
        <v>6.2254125000000007E-2</v>
      </c>
      <c r="H417" t="s">
        <v>13</v>
      </c>
      <c r="I417" s="18"/>
      <c r="J417" s="18"/>
    </row>
    <row r="418" spans="1:14">
      <c r="A418" s="15">
        <v>15</v>
      </c>
      <c r="B418" s="78">
        <v>40617</v>
      </c>
      <c r="C418" s="15">
        <v>2011</v>
      </c>
      <c r="D418" s="11" t="s">
        <v>29</v>
      </c>
      <c r="E418" s="15">
        <v>3</v>
      </c>
      <c r="F418" s="26">
        <v>2.274</v>
      </c>
      <c r="G418" s="18">
        <v>3.2497374999999995E-2</v>
      </c>
      <c r="I418" s="18">
        <f>AVERAGE(F415:F418)</f>
        <v>1.9817499999999999</v>
      </c>
      <c r="J418" s="18">
        <f>AVERAGE(G415:G418)</f>
        <v>4.1126874999999993E-2</v>
      </c>
      <c r="L418">
        <f>+J418/I418</f>
        <v>2.0752806862621417E-2</v>
      </c>
      <c r="M418">
        <f>+(L418-$L$927)/$L$928</f>
        <v>-0.13391825196230939</v>
      </c>
      <c r="N418">
        <f>+N414+M418</f>
        <v>-20.062114569807758</v>
      </c>
    </row>
    <row r="419" spans="1:14">
      <c r="A419" s="15">
        <v>6</v>
      </c>
      <c r="B419" s="78">
        <v>40646</v>
      </c>
      <c r="C419" s="15">
        <v>2011</v>
      </c>
      <c r="D419" s="11" t="s">
        <v>30</v>
      </c>
      <c r="E419" s="15">
        <v>4</v>
      </c>
      <c r="F419" s="26">
        <v>1.804</v>
      </c>
      <c r="G419" s="18">
        <v>7.2535500000000003E-2</v>
      </c>
    </row>
    <row r="420" spans="1:14">
      <c r="A420" s="15">
        <v>8</v>
      </c>
      <c r="B420" s="78">
        <v>40647</v>
      </c>
      <c r="C420" s="15">
        <v>2011</v>
      </c>
      <c r="D420" s="11" t="s">
        <v>30</v>
      </c>
      <c r="E420" s="15">
        <v>4</v>
      </c>
      <c r="F420" s="26">
        <v>1.5169999999999999</v>
      </c>
      <c r="G420" s="18">
        <v>7.8067624999999988E-2</v>
      </c>
      <c r="I420" s="18"/>
      <c r="J420" s="18"/>
    </row>
    <row r="421" spans="1:14">
      <c r="A421" s="15">
        <v>15</v>
      </c>
      <c r="B421" s="78">
        <v>40647</v>
      </c>
      <c r="C421" s="15">
        <v>2011</v>
      </c>
      <c r="D421" s="11" t="s">
        <v>30</v>
      </c>
      <c r="E421" s="15">
        <v>4</v>
      </c>
      <c r="F421" s="26">
        <v>1.119</v>
      </c>
      <c r="G421" s="18">
        <v>0.10485512499999999</v>
      </c>
      <c r="I421" s="18">
        <f>AVERAGE(F419:F421)</f>
        <v>1.4799999999999998</v>
      </c>
      <c r="J421" s="18">
        <f>AVERAGE(G419:G421)</f>
        <v>8.5152749999999999E-2</v>
      </c>
      <c r="L421">
        <f>+J421/I421</f>
        <v>5.7535641891891899E-2</v>
      </c>
      <c r="M421">
        <f>+(L421-$L$927)/$L$928</f>
        <v>1.0288081308644914</v>
      </c>
      <c r="N421">
        <f>+N418+M421</f>
        <v>-19.033306438943267</v>
      </c>
    </row>
    <row r="422" spans="1:14">
      <c r="A422" s="15">
        <v>6</v>
      </c>
      <c r="B422" s="78">
        <v>40681</v>
      </c>
      <c r="C422" s="15">
        <v>2011</v>
      </c>
      <c r="D422" s="11" t="s">
        <v>31</v>
      </c>
      <c r="E422" s="15">
        <v>5</v>
      </c>
      <c r="F422" s="26">
        <v>3.1560000000000001</v>
      </c>
      <c r="G422" s="18">
        <v>3.750574999999999E-2</v>
      </c>
    </row>
    <row r="423" spans="1:14">
      <c r="A423" s="15">
        <v>6</v>
      </c>
      <c r="B423" s="78">
        <v>40681</v>
      </c>
      <c r="C423" s="15">
        <v>2011</v>
      </c>
      <c r="D423" s="11" t="s">
        <v>31</v>
      </c>
      <c r="E423" s="15">
        <v>5</v>
      </c>
      <c r="F423" s="26">
        <v>3.1560000000000001</v>
      </c>
      <c r="G423" s="18">
        <v>3.4148125000000001E-2</v>
      </c>
      <c r="H423" t="s">
        <v>13</v>
      </c>
    </row>
    <row r="424" spans="1:14">
      <c r="A424" s="15">
        <v>8</v>
      </c>
      <c r="B424" s="78">
        <v>40682</v>
      </c>
      <c r="C424" s="15">
        <v>2011</v>
      </c>
      <c r="D424" s="11" t="s">
        <v>31</v>
      </c>
      <c r="E424" s="15">
        <v>5</v>
      </c>
      <c r="F424" s="26">
        <v>1.4690000000000001</v>
      </c>
      <c r="G424" s="18">
        <v>0</v>
      </c>
    </row>
    <row r="425" spans="1:14">
      <c r="A425" s="15">
        <v>15</v>
      </c>
      <c r="B425" s="78">
        <v>40682</v>
      </c>
      <c r="C425" s="15">
        <v>2011</v>
      </c>
      <c r="D425" s="11" t="s">
        <v>31</v>
      </c>
      <c r="E425" s="15">
        <v>5</v>
      </c>
      <c r="F425" s="26">
        <v>0.86399999999999999</v>
      </c>
      <c r="G425" s="18">
        <v>1.9861875000000001E-2</v>
      </c>
      <c r="I425" s="18">
        <f>AVERAGE(F422:F425)</f>
        <v>2.1612500000000003</v>
      </c>
      <c r="J425" s="18">
        <f>AVERAGE(G422:G425)</f>
        <v>2.2878937499999998E-2</v>
      </c>
      <c r="L425">
        <f>+J425/I425</f>
        <v>1.0585974551764023E-2</v>
      </c>
      <c r="M425">
        <f>+(L425-$L$927)/$L$928</f>
        <v>-0.45529761677208908</v>
      </c>
      <c r="N425">
        <f>+N421+M425</f>
        <v>-19.488604055715356</v>
      </c>
    </row>
    <row r="426" spans="1:14">
      <c r="A426" s="15">
        <v>6</v>
      </c>
      <c r="B426" s="78">
        <v>40709</v>
      </c>
      <c r="C426" s="15">
        <v>2011</v>
      </c>
      <c r="D426" s="11" t="s">
        <v>32</v>
      </c>
      <c r="E426" s="15">
        <v>6</v>
      </c>
      <c r="F426" s="26">
        <v>4.5199999999999996</v>
      </c>
      <c r="G426" s="18">
        <v>4.0893624999999996E-2</v>
      </c>
    </row>
    <row r="427" spans="1:14">
      <c r="A427" s="15">
        <v>6</v>
      </c>
      <c r="B427" s="78">
        <v>40709</v>
      </c>
      <c r="C427" s="15">
        <v>2011</v>
      </c>
      <c r="D427" s="11" t="s">
        <v>32</v>
      </c>
      <c r="E427" s="15">
        <v>6</v>
      </c>
      <c r="F427" s="26">
        <v>4.5199999999999996</v>
      </c>
      <c r="G427" s="18">
        <v>4.9636499999999993E-2</v>
      </c>
      <c r="H427" t="s">
        <v>13</v>
      </c>
    </row>
    <row r="428" spans="1:14">
      <c r="A428" s="15">
        <v>8</v>
      </c>
      <c r="B428" s="78">
        <v>40709</v>
      </c>
      <c r="C428" s="15">
        <v>2011</v>
      </c>
      <c r="D428" s="11" t="s">
        <v>32</v>
      </c>
      <c r="E428" s="15">
        <v>6</v>
      </c>
      <c r="F428" s="26">
        <v>5.7460000000000004</v>
      </c>
      <c r="G428" s="18">
        <v>8.3745749999999994E-2</v>
      </c>
    </row>
    <row r="429" spans="1:14">
      <c r="A429" s="15">
        <v>15</v>
      </c>
      <c r="B429" s="78">
        <v>40709</v>
      </c>
      <c r="C429" s="15">
        <v>2011</v>
      </c>
      <c r="D429" s="11" t="s">
        <v>32</v>
      </c>
      <c r="E429" s="15">
        <v>6</v>
      </c>
      <c r="F429" s="26">
        <v>2.988</v>
      </c>
      <c r="G429" s="18">
        <v>0</v>
      </c>
      <c r="I429" s="18">
        <f>AVERAGE(F426:F429)</f>
        <v>4.4435000000000002</v>
      </c>
      <c r="J429" s="18">
        <f>AVERAGE(G426:G429)</f>
        <v>4.3568968749999992E-2</v>
      </c>
      <c r="L429">
        <f>+J429/I429</f>
        <v>9.8051015528299746E-3</v>
      </c>
      <c r="M429">
        <f>+(L429-$L$927)/$L$928</f>
        <v>-0.47998145739435744</v>
      </c>
      <c r="N429">
        <f>+N425+M429</f>
        <v>-19.968585513109712</v>
      </c>
    </row>
    <row r="430" spans="1:14">
      <c r="A430" s="15">
        <v>6</v>
      </c>
      <c r="B430" s="78">
        <v>40735</v>
      </c>
      <c r="C430" s="15">
        <v>2011</v>
      </c>
      <c r="D430" s="11" t="s">
        <v>33</v>
      </c>
      <c r="E430" s="15">
        <v>7</v>
      </c>
      <c r="F430" s="26">
        <v>1.407</v>
      </c>
      <c r="G430" s="18">
        <v>7.1704375000000001E-2</v>
      </c>
    </row>
    <row r="431" spans="1:14">
      <c r="A431" s="15">
        <v>8</v>
      </c>
      <c r="B431" s="78">
        <v>40736</v>
      </c>
      <c r="C431" s="15">
        <v>2011</v>
      </c>
      <c r="D431" s="11" t="s">
        <v>33</v>
      </c>
      <c r="E431" s="15">
        <v>7</v>
      </c>
      <c r="F431" s="26">
        <v>3.21</v>
      </c>
      <c r="G431" s="18">
        <v>2.247E-2</v>
      </c>
    </row>
    <row r="432" spans="1:14">
      <c r="A432" s="15">
        <v>15</v>
      </c>
      <c r="B432" s="78">
        <v>40736</v>
      </c>
      <c r="C432" s="15">
        <v>2011</v>
      </c>
      <c r="D432" s="11" t="s">
        <v>33</v>
      </c>
      <c r="E432" s="15">
        <v>7</v>
      </c>
      <c r="F432" s="26">
        <v>1.7130000000000001</v>
      </c>
      <c r="G432" s="18">
        <v>3.1142124999999996E-2</v>
      </c>
      <c r="I432" s="18">
        <f>AVERAGE(F430:F432)</f>
        <v>2.11</v>
      </c>
      <c r="J432" s="18">
        <f>AVERAGE(G430:G432)</f>
        <v>4.1772166666666666E-2</v>
      </c>
      <c r="L432">
        <f>+J432/I432</f>
        <v>1.9797235387045815E-2</v>
      </c>
      <c r="M432">
        <f>+(L432-$L$927)/$L$928</f>
        <v>-0.16412441101569231</v>
      </c>
      <c r="N432">
        <f>+N429+M432</f>
        <v>-20.132709924125404</v>
      </c>
    </row>
    <row r="433" spans="1:14">
      <c r="A433" s="15">
        <v>15</v>
      </c>
      <c r="B433" s="78">
        <v>40736</v>
      </c>
      <c r="C433" s="15">
        <v>2011</v>
      </c>
      <c r="D433" s="11" t="s">
        <v>33</v>
      </c>
      <c r="E433" s="15">
        <v>7</v>
      </c>
      <c r="F433" s="26">
        <v>1.7130000000000001</v>
      </c>
      <c r="G433" s="18">
        <v>1.8904749999999998E-2</v>
      </c>
      <c r="H433" t="s">
        <v>13</v>
      </c>
    </row>
    <row r="434" spans="1:14">
      <c r="A434" s="15">
        <v>6</v>
      </c>
      <c r="B434" s="78">
        <v>40771</v>
      </c>
      <c r="C434" s="15">
        <v>2011</v>
      </c>
      <c r="D434" s="11" t="s">
        <v>34</v>
      </c>
      <c r="E434" s="15">
        <v>8</v>
      </c>
      <c r="F434" s="26">
        <v>2.86</v>
      </c>
      <c r="G434" s="18">
        <v>0.14200312500000001</v>
      </c>
    </row>
    <row r="435" spans="1:14">
      <c r="A435" s="15">
        <v>8</v>
      </c>
      <c r="B435" s="78">
        <v>40772</v>
      </c>
      <c r="C435" s="15">
        <v>2011</v>
      </c>
      <c r="D435" s="11" t="s">
        <v>34</v>
      </c>
      <c r="E435" s="15">
        <v>8</v>
      </c>
      <c r="F435" s="26">
        <v>22.92</v>
      </c>
      <c r="G435" s="18">
        <v>7.3881625000000006E-2</v>
      </c>
    </row>
    <row r="436" spans="1:14">
      <c r="A436" s="15">
        <v>15</v>
      </c>
      <c r="B436" s="78">
        <v>40772</v>
      </c>
      <c r="C436" s="15">
        <v>2011</v>
      </c>
      <c r="D436" s="11" t="s">
        <v>34</v>
      </c>
      <c r="E436" s="15">
        <v>8</v>
      </c>
      <c r="F436" s="26">
        <v>1.569</v>
      </c>
      <c r="G436" s="18">
        <v>0.34744012499999993</v>
      </c>
      <c r="I436" s="18">
        <f>AVERAGE(F434:F436)</f>
        <v>9.1163333333333334</v>
      </c>
      <c r="J436" s="18">
        <f>AVERAGE(G434:G436)</f>
        <v>0.18777495833333332</v>
      </c>
      <c r="L436">
        <f>+J436/I436</f>
        <v>2.0597640681560569E-2</v>
      </c>
      <c r="M436">
        <f>+(L436-$L$927)/$L$928</f>
        <v>-0.13882314339600016</v>
      </c>
      <c r="N436">
        <f>+N432+M436</f>
        <v>-20.271533067521403</v>
      </c>
    </row>
    <row r="437" spans="1:14">
      <c r="A437" s="15">
        <v>6</v>
      </c>
      <c r="B437" s="78">
        <v>40799</v>
      </c>
      <c r="C437" s="15">
        <v>2011</v>
      </c>
      <c r="D437" s="11" t="s">
        <v>40</v>
      </c>
      <c r="E437" s="15">
        <v>9</v>
      </c>
      <c r="F437" s="26">
        <v>6.6159999999999997</v>
      </c>
      <c r="G437" s="18">
        <v>0.10002900000000001</v>
      </c>
    </row>
    <row r="438" spans="1:14">
      <c r="A438" s="15">
        <v>8</v>
      </c>
      <c r="B438" s="78">
        <v>40798</v>
      </c>
      <c r="C438" s="15">
        <v>2011</v>
      </c>
      <c r="D438" s="11" t="s">
        <v>40</v>
      </c>
      <c r="E438" s="15">
        <v>9</v>
      </c>
      <c r="F438" s="26">
        <v>10.555999999999999</v>
      </c>
      <c r="G438" s="18">
        <v>0</v>
      </c>
    </row>
    <row r="439" spans="1:14">
      <c r="A439" s="15">
        <v>15</v>
      </c>
      <c r="B439" s="78">
        <v>40798</v>
      </c>
      <c r="C439" s="15">
        <v>2011</v>
      </c>
      <c r="D439" s="11" t="s">
        <v>40</v>
      </c>
      <c r="E439" s="15">
        <v>9</v>
      </c>
      <c r="F439" s="26">
        <v>5.335</v>
      </c>
      <c r="G439" s="18">
        <v>4.074825E-2</v>
      </c>
    </row>
    <row r="440" spans="1:14">
      <c r="A440" s="15">
        <v>15</v>
      </c>
      <c r="B440" s="78">
        <v>40798</v>
      </c>
      <c r="C440" s="15">
        <v>2011</v>
      </c>
      <c r="D440" s="11" t="s">
        <v>40</v>
      </c>
      <c r="E440" s="15">
        <v>9</v>
      </c>
      <c r="F440" s="26">
        <v>5.335</v>
      </c>
      <c r="G440" s="18">
        <v>4.3602249999999995E-2</v>
      </c>
      <c r="I440" s="18">
        <f>AVERAGE(F437:F440)</f>
        <v>6.9604999999999997</v>
      </c>
      <c r="J440" s="18">
        <f>AVERAGE(G437:G440)</f>
        <v>4.6094875000000007E-2</v>
      </c>
      <c r="L440">
        <f>+J440/I440</f>
        <v>6.6223511242008487E-3</v>
      </c>
      <c r="M440">
        <f>+(L440-$L$927)/$L$928</f>
        <v>-0.58059001272663491</v>
      </c>
      <c r="N440">
        <f>+N436+M440</f>
        <v>-20.852123080248038</v>
      </c>
    </row>
    <row r="441" spans="1:14">
      <c r="A441" s="15">
        <v>6</v>
      </c>
      <c r="B441" s="78">
        <v>40827</v>
      </c>
      <c r="C441" s="15">
        <v>2011</v>
      </c>
      <c r="D441" s="11" t="s">
        <v>36</v>
      </c>
      <c r="E441" s="15">
        <v>10</v>
      </c>
      <c r="F441" s="27">
        <v>3.1709999999999998</v>
      </c>
      <c r="G441" s="18">
        <v>0.16441449999999999</v>
      </c>
    </row>
    <row r="442" spans="1:14">
      <c r="A442" s="15">
        <v>6</v>
      </c>
      <c r="B442" s="78">
        <v>40827</v>
      </c>
      <c r="C442" s="15">
        <v>2011</v>
      </c>
      <c r="D442" s="11" t="s">
        <v>36</v>
      </c>
      <c r="E442" s="15">
        <v>10</v>
      </c>
      <c r="F442" s="27">
        <v>3.1709999999999998</v>
      </c>
      <c r="G442" s="18">
        <v>0.17325124999999997</v>
      </c>
    </row>
    <row r="443" spans="1:14">
      <c r="A443" s="15">
        <v>8</v>
      </c>
      <c r="B443" s="78">
        <v>40829</v>
      </c>
      <c r="C443" s="15">
        <v>2011</v>
      </c>
      <c r="D443" s="11" t="s">
        <v>36</v>
      </c>
      <c r="E443" s="15">
        <v>10</v>
      </c>
      <c r="F443" s="27">
        <v>1.8959999999999999</v>
      </c>
      <c r="G443" s="18">
        <v>3.9905875E-2</v>
      </c>
    </row>
    <row r="444" spans="1:14">
      <c r="A444" s="15">
        <v>15</v>
      </c>
      <c r="B444" s="78">
        <v>40829</v>
      </c>
      <c r="C444" s="15">
        <v>2011</v>
      </c>
      <c r="D444" s="11" t="s">
        <v>36</v>
      </c>
      <c r="E444" s="15">
        <v>10</v>
      </c>
      <c r="F444" s="27">
        <v>1.623</v>
      </c>
      <c r="G444" s="18">
        <v>4.7863624999999993E-2</v>
      </c>
      <c r="I444" s="18">
        <f>AVERAGE(F441:F444)</f>
        <v>2.4652499999999997</v>
      </c>
      <c r="J444" s="18">
        <f>AVERAGE(G441:G444)</f>
        <v>0.10635881249999998</v>
      </c>
      <c r="L444">
        <f>+J444/I444</f>
        <v>4.3143215698205048E-2</v>
      </c>
      <c r="M444">
        <f>+(L444-$L$927)/$L$928</f>
        <v>0.57385533467652694</v>
      </c>
      <c r="N444">
        <f>+N440+M444</f>
        <v>-20.278267745571512</v>
      </c>
    </row>
    <row r="445" spans="1:14">
      <c r="A445" s="15">
        <v>6</v>
      </c>
      <c r="B445" s="79">
        <v>40862</v>
      </c>
      <c r="C445" s="15">
        <v>2011</v>
      </c>
      <c r="D445" s="11" t="s">
        <v>37</v>
      </c>
      <c r="E445" s="15">
        <v>11</v>
      </c>
      <c r="F445" s="27">
        <v>7.1029999999999998</v>
      </c>
      <c r="G445" s="18">
        <v>9.4812625000000011E-2</v>
      </c>
    </row>
    <row r="446" spans="1:14">
      <c r="A446" s="15">
        <v>8</v>
      </c>
      <c r="B446" s="79">
        <v>40865</v>
      </c>
      <c r="C446" s="15">
        <v>2011</v>
      </c>
      <c r="D446" s="11" t="s">
        <v>37</v>
      </c>
      <c r="E446" s="15">
        <v>11</v>
      </c>
      <c r="F446" s="27">
        <v>1.5029999999999999</v>
      </c>
      <c r="G446" s="18">
        <v>3.2680750000000001E-2</v>
      </c>
    </row>
    <row r="447" spans="1:14">
      <c r="A447" s="15">
        <v>15</v>
      </c>
      <c r="B447" s="79">
        <v>40865</v>
      </c>
      <c r="C447" s="15">
        <v>2011</v>
      </c>
      <c r="D447" s="11" t="s">
        <v>37</v>
      </c>
      <c r="E447" s="15">
        <v>11</v>
      </c>
      <c r="F447" s="27">
        <v>4.1970000000000001</v>
      </c>
      <c r="G447" s="18">
        <v>0.15777012499999998</v>
      </c>
      <c r="I447" s="18">
        <f>AVERAGE(F445:F447)</f>
        <v>4.2676666666666669</v>
      </c>
      <c r="J447" s="18">
        <f>AVERAGE(G445:G447)</f>
        <v>9.508783333333333E-2</v>
      </c>
      <c r="L447">
        <f>+J447/I447</f>
        <v>2.2280988830742792E-2</v>
      </c>
      <c r="M447">
        <f>+(L447-$L$927)/$L$928</f>
        <v>-8.561154883078223E-2</v>
      </c>
      <c r="N447">
        <f>+N444+M447</f>
        <v>-20.363879294402295</v>
      </c>
    </row>
    <row r="448" spans="1:14">
      <c r="A448" s="15">
        <v>6</v>
      </c>
      <c r="B448" s="79">
        <v>40891</v>
      </c>
      <c r="C448" s="15">
        <v>2011</v>
      </c>
      <c r="D448" s="11" t="s">
        <v>38</v>
      </c>
      <c r="E448" s="15">
        <v>12</v>
      </c>
      <c r="F448" s="27">
        <v>4.149</v>
      </c>
      <c r="G448" s="18">
        <v>0.63355312500000005</v>
      </c>
    </row>
    <row r="449" spans="1:14">
      <c r="A449" s="15">
        <v>8</v>
      </c>
      <c r="B449" s="79">
        <v>40891</v>
      </c>
      <c r="C449" s="15">
        <v>2011</v>
      </c>
      <c r="D449" s="11" t="s">
        <v>38</v>
      </c>
      <c r="E449" s="15">
        <v>12</v>
      </c>
      <c r="F449" s="27">
        <v>0.69399999999999995</v>
      </c>
      <c r="G449" s="18">
        <v>5.4474874999999992E-2</v>
      </c>
    </row>
    <row r="450" spans="1:14">
      <c r="A450" s="15">
        <v>15</v>
      </c>
      <c r="B450" s="79">
        <v>40891</v>
      </c>
      <c r="C450" s="15">
        <v>2011</v>
      </c>
      <c r="D450" s="11" t="s">
        <v>38</v>
      </c>
      <c r="E450" s="15">
        <v>12</v>
      </c>
      <c r="F450" s="27">
        <v>3.49</v>
      </c>
      <c r="G450" s="18">
        <v>0.21386425000000001</v>
      </c>
      <c r="I450" s="18">
        <f>AVERAGE(F448:F450)</f>
        <v>2.7776666666666667</v>
      </c>
      <c r="J450" s="18">
        <f>AVERAGE(G448:G450)</f>
        <v>0.30063075</v>
      </c>
      <c r="L450">
        <f>+J450/I450</f>
        <v>0.10823139925597024</v>
      </c>
      <c r="M450">
        <f>+(L450-$L$927)/$L$928</f>
        <v>2.6313299195654811</v>
      </c>
      <c r="N450">
        <f>+N447+M450</f>
        <v>-17.732549374836815</v>
      </c>
    </row>
    <row r="451" spans="1:14">
      <c r="A451" s="15">
        <v>6</v>
      </c>
      <c r="B451" s="78">
        <v>40919</v>
      </c>
      <c r="C451" s="15">
        <v>2012</v>
      </c>
      <c r="D451" s="11" t="s">
        <v>39</v>
      </c>
      <c r="E451" s="15">
        <v>1</v>
      </c>
      <c r="F451" s="29">
        <v>5.1779999999999999</v>
      </c>
      <c r="G451" s="18">
        <v>7.1964874999999998E-2</v>
      </c>
    </row>
    <row r="452" spans="1:14">
      <c r="A452" s="15">
        <v>8</v>
      </c>
      <c r="B452" s="78">
        <v>40919</v>
      </c>
      <c r="C452" s="15">
        <v>2012</v>
      </c>
      <c r="D452" s="11" t="s">
        <v>39</v>
      </c>
      <c r="E452" s="15">
        <v>1</v>
      </c>
      <c r="F452" s="29">
        <v>1.081</v>
      </c>
      <c r="G452" s="18">
        <v>8.4749500000000005E-2</v>
      </c>
    </row>
    <row r="453" spans="1:14">
      <c r="A453" s="15">
        <v>15</v>
      </c>
      <c r="B453" s="78">
        <v>40919</v>
      </c>
      <c r="C453" s="15">
        <v>2012</v>
      </c>
      <c r="D453" s="11" t="s">
        <v>39</v>
      </c>
      <c r="E453" s="15">
        <v>1</v>
      </c>
      <c r="F453" s="29">
        <v>3.7160000000000002</v>
      </c>
      <c r="G453" s="18">
        <v>4.7310499999999991E-2</v>
      </c>
      <c r="I453" s="18">
        <f>AVERAGE(F451:F453)</f>
        <v>3.3250000000000006</v>
      </c>
      <c r="J453" s="18">
        <f>AVERAGE(G451:G453)</f>
        <v>6.8008291666666665E-2</v>
      </c>
      <c r="L453">
        <f>+J453/I453</f>
        <v>2.0453621553884707E-2</v>
      </c>
      <c r="M453">
        <f>+(L453-$L$927)/$L$928</f>
        <v>-0.14337567011796629</v>
      </c>
      <c r="N453">
        <f>+N450+M453</f>
        <v>-17.87592504495478</v>
      </c>
    </row>
    <row r="454" spans="1:14">
      <c r="A454" s="15">
        <v>6</v>
      </c>
      <c r="B454" s="78">
        <v>40962</v>
      </c>
      <c r="C454" s="15">
        <v>2012</v>
      </c>
      <c r="D454" s="11" t="s">
        <v>28</v>
      </c>
      <c r="E454" s="15">
        <v>2</v>
      </c>
      <c r="F454" s="29">
        <v>3.669</v>
      </c>
      <c r="G454" s="18">
        <v>7.4891125000000003E-2</v>
      </c>
    </row>
    <row r="455" spans="1:14">
      <c r="A455" s="15">
        <v>8</v>
      </c>
      <c r="B455" s="78">
        <v>40960</v>
      </c>
      <c r="C455" s="15">
        <v>2012</v>
      </c>
      <c r="D455" s="11" t="s">
        <v>28</v>
      </c>
      <c r="E455" s="15">
        <v>2</v>
      </c>
      <c r="F455" s="29">
        <v>1.252</v>
      </c>
      <c r="G455" s="18">
        <v>0.13405287499999999</v>
      </c>
    </row>
    <row r="456" spans="1:14">
      <c r="A456" s="15">
        <v>15</v>
      </c>
      <c r="B456" s="78">
        <v>40960</v>
      </c>
      <c r="C456" s="15">
        <v>2012</v>
      </c>
      <c r="D456" s="11" t="s">
        <v>28</v>
      </c>
      <c r="E456" s="15">
        <v>2</v>
      </c>
      <c r="F456" s="29">
        <v>3.2050000000000001</v>
      </c>
      <c r="G456" s="18">
        <v>9.0903125000000001E-2</v>
      </c>
      <c r="I456" s="18">
        <f>AVERAGE(F454:F456)</f>
        <v>2.7086666666666672</v>
      </c>
      <c r="J456" s="18">
        <f>AVERAGE(G454:G456)</f>
        <v>9.9949041666666669E-2</v>
      </c>
      <c r="L456">
        <f>+J456/I456</f>
        <v>3.6899720034457288E-2</v>
      </c>
      <c r="M456">
        <f>+(L456-$L$927)/$L$928</f>
        <v>0.37649487772622897</v>
      </c>
      <c r="N456">
        <f>+N453+M456</f>
        <v>-17.499430167228549</v>
      </c>
    </row>
    <row r="457" spans="1:14">
      <c r="A457" s="15">
        <v>6</v>
      </c>
      <c r="B457" s="78">
        <v>40980</v>
      </c>
      <c r="C457" s="15">
        <v>2012</v>
      </c>
      <c r="D457" s="11" t="s">
        <v>29</v>
      </c>
      <c r="E457" s="15">
        <v>3</v>
      </c>
      <c r="F457" s="29">
        <v>2.4209999999999998</v>
      </c>
      <c r="G457" s="18">
        <v>3.9877749999999997E-2</v>
      </c>
    </row>
    <row r="458" spans="1:14">
      <c r="A458" s="15">
        <v>8</v>
      </c>
      <c r="B458" s="78">
        <v>40982</v>
      </c>
      <c r="C458" s="15">
        <v>2012</v>
      </c>
      <c r="D458" s="11" t="s">
        <v>29</v>
      </c>
      <c r="E458" s="15">
        <v>3</v>
      </c>
      <c r="F458" s="29">
        <v>1.1220000000000001</v>
      </c>
      <c r="G458" s="18">
        <v>8.1064250000000004E-2</v>
      </c>
    </row>
    <row r="459" spans="1:14">
      <c r="A459" s="15">
        <v>15</v>
      </c>
      <c r="B459" s="78">
        <v>40982</v>
      </c>
      <c r="C459" s="15">
        <v>2012</v>
      </c>
      <c r="D459" s="11" t="s">
        <v>29</v>
      </c>
      <c r="E459" s="15">
        <v>3</v>
      </c>
      <c r="F459" s="29">
        <v>0.95699999999999996</v>
      </c>
      <c r="G459" s="18">
        <v>0.10089724999999999</v>
      </c>
      <c r="I459" s="18">
        <f>AVERAGE(F457:F459)</f>
        <v>1.5</v>
      </c>
      <c r="J459" s="18">
        <f>AVERAGE(G457:G459)</f>
        <v>7.3946416666666667E-2</v>
      </c>
      <c r="L459">
        <f>+J459/I459</f>
        <v>4.9297611111111111E-2</v>
      </c>
      <c r="M459">
        <f>+(L459-$L$927)/$L$928</f>
        <v>0.76839928190734064</v>
      </c>
      <c r="N459">
        <f>+N456+M459</f>
        <v>-16.731030885321211</v>
      </c>
    </row>
    <row r="460" spans="1:14">
      <c r="A460" s="15">
        <v>6</v>
      </c>
      <c r="B460" s="78">
        <v>41015</v>
      </c>
      <c r="C460" s="15">
        <v>2012</v>
      </c>
      <c r="D460" s="11" t="s">
        <v>30</v>
      </c>
      <c r="E460" s="15">
        <v>4</v>
      </c>
      <c r="F460" s="26">
        <v>2.6419999999999999</v>
      </c>
      <c r="G460" s="18">
        <v>2.7193874999999999E-2</v>
      </c>
    </row>
    <row r="461" spans="1:14">
      <c r="A461" s="15">
        <v>8</v>
      </c>
      <c r="B461" s="78">
        <v>41016</v>
      </c>
      <c r="C461" s="15">
        <v>2012</v>
      </c>
      <c r="D461" s="11" t="s">
        <v>30</v>
      </c>
      <c r="E461" s="15">
        <v>4</v>
      </c>
      <c r="F461" s="26">
        <v>1.998</v>
      </c>
      <c r="G461" s="18">
        <v>0.11751112499999999</v>
      </c>
    </row>
    <row r="462" spans="1:14">
      <c r="A462" s="15">
        <v>15</v>
      </c>
      <c r="B462" s="78">
        <v>41016</v>
      </c>
      <c r="C462" s="15">
        <v>2012</v>
      </c>
      <c r="D462" s="11" t="s">
        <v>30</v>
      </c>
      <c r="E462" s="15">
        <v>4</v>
      </c>
      <c r="F462" s="26">
        <v>1.831</v>
      </c>
      <c r="G462" s="18">
        <v>5.9922374999999993E-2</v>
      </c>
      <c r="I462" s="18"/>
      <c r="J462" s="18"/>
    </row>
    <row r="463" spans="1:14">
      <c r="A463" s="15">
        <v>15</v>
      </c>
      <c r="B463" s="78">
        <v>41016</v>
      </c>
      <c r="C463" s="15">
        <v>2012</v>
      </c>
      <c r="D463" s="11" t="s">
        <v>30</v>
      </c>
      <c r="E463" s="15">
        <v>4</v>
      </c>
      <c r="F463" s="26">
        <v>1.831</v>
      </c>
      <c r="G463" s="18">
        <v>5.8782625000000005E-2</v>
      </c>
      <c r="I463" s="18">
        <f>AVERAGE(F460:F463)</f>
        <v>2.0754999999999999</v>
      </c>
      <c r="J463" s="18">
        <f>AVERAGE(G460:G463)</f>
        <v>6.5852500000000008E-2</v>
      </c>
      <c r="L463">
        <f>+J463/I463</f>
        <v>3.1728499156829688E-2</v>
      </c>
      <c r="M463">
        <f>+(L463-$L$927)/$L$928</f>
        <v>0.21302963800075195</v>
      </c>
      <c r="N463">
        <f>+N459+M463</f>
        <v>-16.518001247320459</v>
      </c>
    </row>
    <row r="464" spans="1:14">
      <c r="A464" s="15">
        <v>6</v>
      </c>
      <c r="B464" s="78">
        <v>41045</v>
      </c>
      <c r="C464" s="15">
        <v>2012</v>
      </c>
      <c r="D464" s="11" t="s">
        <v>31</v>
      </c>
      <c r="E464" s="15">
        <v>5</v>
      </c>
      <c r="F464" s="26">
        <v>4.5250000000000004</v>
      </c>
      <c r="G464" s="18">
        <v>0.12234762500000003</v>
      </c>
    </row>
    <row r="465" spans="1:14">
      <c r="A465" s="15">
        <v>8</v>
      </c>
      <c r="B465" s="78">
        <v>41051</v>
      </c>
      <c r="C465" s="15">
        <v>2012</v>
      </c>
      <c r="D465" s="11" t="s">
        <v>31</v>
      </c>
      <c r="E465" s="15">
        <v>5</v>
      </c>
      <c r="F465" s="26">
        <v>2.125</v>
      </c>
      <c r="G465" s="18">
        <v>3.6962999999999996E-2</v>
      </c>
    </row>
    <row r="466" spans="1:14">
      <c r="A466" s="15">
        <v>8</v>
      </c>
      <c r="B466" s="78">
        <v>41051</v>
      </c>
      <c r="C466" s="15">
        <v>2012</v>
      </c>
      <c r="D466" s="11" t="s">
        <v>31</v>
      </c>
      <c r="E466" s="15">
        <v>5</v>
      </c>
      <c r="F466" s="26">
        <v>2.125</v>
      </c>
      <c r="G466" s="18">
        <v>4.3434249999999994E-2</v>
      </c>
      <c r="H466" t="s">
        <v>13</v>
      </c>
    </row>
    <row r="467" spans="1:14">
      <c r="A467" s="15">
        <v>15</v>
      </c>
      <c r="B467" s="78">
        <v>41051</v>
      </c>
      <c r="C467" s="15">
        <v>2012</v>
      </c>
      <c r="D467" s="11" t="s">
        <v>31</v>
      </c>
      <c r="E467" s="15">
        <v>5</v>
      </c>
      <c r="F467" s="26">
        <v>7.6310000000000002</v>
      </c>
      <c r="G467" s="18">
        <v>3.179474999999999E-2</v>
      </c>
      <c r="I467" s="18">
        <f>AVERAGE(F464:F467)</f>
        <v>4.1014999999999997</v>
      </c>
      <c r="J467" s="18">
        <f>AVERAGE(G464:G467)</f>
        <v>5.8634906250000007E-2</v>
      </c>
      <c r="L467">
        <f>+J467/I467</f>
        <v>1.4295966414726323E-2</v>
      </c>
      <c r="M467">
        <f>+(L467-$L$927)/$L$928</f>
        <v>-0.33802265915377816</v>
      </c>
      <c r="N467">
        <f>+N463+M467</f>
        <v>-16.856023906474238</v>
      </c>
    </row>
    <row r="468" spans="1:14">
      <c r="A468" s="15">
        <v>6</v>
      </c>
      <c r="B468" s="78">
        <v>41073</v>
      </c>
      <c r="C468" s="15">
        <v>2012</v>
      </c>
      <c r="D468" s="11" t="s">
        <v>32</v>
      </c>
      <c r="E468" s="15">
        <v>6</v>
      </c>
      <c r="F468" s="26">
        <v>13.755000000000001</v>
      </c>
      <c r="G468" s="18">
        <v>0.21984887499999997</v>
      </c>
    </row>
    <row r="469" spans="1:14">
      <c r="A469" s="15">
        <v>8</v>
      </c>
      <c r="B469" s="78">
        <v>41080</v>
      </c>
      <c r="C469" s="15">
        <v>2012</v>
      </c>
      <c r="D469" s="11" t="s">
        <v>32</v>
      </c>
      <c r="E469" s="15">
        <v>6</v>
      </c>
      <c r="F469" s="26">
        <v>2.5510000000000002</v>
      </c>
      <c r="G469" s="18">
        <v>3.5827375000000002E-2</v>
      </c>
    </row>
    <row r="470" spans="1:14">
      <c r="A470" s="15">
        <v>15</v>
      </c>
      <c r="B470" s="78">
        <v>41080</v>
      </c>
      <c r="C470" s="15">
        <v>2012</v>
      </c>
      <c r="D470" s="11" t="s">
        <v>32</v>
      </c>
      <c r="E470" s="15">
        <v>6</v>
      </c>
      <c r="F470" s="26">
        <v>3.3330000000000002</v>
      </c>
      <c r="G470" s="18">
        <v>4.9978874999999999E-2</v>
      </c>
      <c r="I470" s="18">
        <f>AVERAGE(F468:F470)</f>
        <v>6.546333333333334</v>
      </c>
      <c r="J470" s="18">
        <f>AVERAGE(G468:G470)</f>
        <v>0.10188504166666666</v>
      </c>
      <c r="L470">
        <f>+J470/I470</f>
        <v>1.5563680686389325E-2</v>
      </c>
      <c r="M470">
        <f>+(L470-$L$927)/$L$928</f>
        <v>-0.29794948838334478</v>
      </c>
      <c r="N470">
        <f>+N467+M470</f>
        <v>-17.153973394857584</v>
      </c>
    </row>
    <row r="471" spans="1:14">
      <c r="A471" s="15">
        <v>6</v>
      </c>
      <c r="B471" s="78">
        <v>41107</v>
      </c>
      <c r="C471" s="15">
        <v>2012</v>
      </c>
      <c r="D471" s="11" t="s">
        <v>33</v>
      </c>
      <c r="E471" s="15">
        <v>7</v>
      </c>
      <c r="F471" s="26">
        <v>7.46</v>
      </c>
      <c r="G471" s="18">
        <v>0.35189600000000004</v>
      </c>
    </row>
    <row r="472" spans="1:14">
      <c r="A472" s="15">
        <v>8</v>
      </c>
      <c r="B472" s="78">
        <v>41106</v>
      </c>
      <c r="C472" s="15">
        <v>2012</v>
      </c>
      <c r="D472" s="11" t="s">
        <v>33</v>
      </c>
      <c r="E472" s="15">
        <v>7</v>
      </c>
      <c r="F472" s="26">
        <v>6.9989999999999997</v>
      </c>
      <c r="G472" s="18">
        <v>3.2604624999999998E-2</v>
      </c>
    </row>
    <row r="473" spans="1:14">
      <c r="A473" s="15">
        <v>15</v>
      </c>
      <c r="B473" s="78">
        <v>41106</v>
      </c>
      <c r="C473" s="15">
        <v>2012</v>
      </c>
      <c r="D473" s="11" t="s">
        <v>33</v>
      </c>
      <c r="E473" s="15">
        <v>7</v>
      </c>
      <c r="F473" s="26">
        <v>6.0439999999999996</v>
      </c>
      <c r="G473" s="18">
        <v>9.8703874999999996E-2</v>
      </c>
      <c r="I473" s="18">
        <f>AVERAGE(F471:F473)</f>
        <v>6.8343333333333334</v>
      </c>
      <c r="J473" s="18">
        <f>AVERAGE(G471:G473)</f>
        <v>0.16106816666666668</v>
      </c>
      <c r="L473">
        <f>+J473/I473</f>
        <v>2.356750231673414E-2</v>
      </c>
      <c r="M473">
        <f>+(L473-$L$927)/$L$928</f>
        <v>-4.4944124179195098E-2</v>
      </c>
      <c r="N473">
        <f>+N470+M473</f>
        <v>-17.19891751903678</v>
      </c>
    </row>
    <row r="474" spans="1:14">
      <c r="A474" s="15">
        <v>6</v>
      </c>
      <c r="B474" s="78">
        <v>41135</v>
      </c>
      <c r="C474" s="15">
        <v>2012</v>
      </c>
      <c r="D474" s="11" t="s">
        <v>34</v>
      </c>
      <c r="E474" s="15">
        <v>8</v>
      </c>
      <c r="F474" s="26">
        <v>5.58</v>
      </c>
      <c r="G474" s="18">
        <v>0.75351912499999996</v>
      </c>
    </row>
    <row r="475" spans="1:14">
      <c r="A475" s="15">
        <v>8</v>
      </c>
      <c r="B475" s="78">
        <v>41137</v>
      </c>
      <c r="C475" s="15">
        <v>2012</v>
      </c>
      <c r="D475" s="11" t="s">
        <v>34</v>
      </c>
      <c r="E475" s="15">
        <v>8</v>
      </c>
      <c r="F475" s="26">
        <v>13.215999999999999</v>
      </c>
      <c r="G475" s="18">
        <v>5.9300374999999995E-2</v>
      </c>
    </row>
    <row r="476" spans="1:14">
      <c r="A476" s="15">
        <v>15</v>
      </c>
      <c r="B476" s="78">
        <v>41137</v>
      </c>
      <c r="C476" s="15">
        <v>2012</v>
      </c>
      <c r="D476" s="11" t="s">
        <v>34</v>
      </c>
      <c r="E476" s="15">
        <v>8</v>
      </c>
      <c r="F476" s="26">
        <v>7.7359999999999998</v>
      </c>
      <c r="G476" s="18">
        <v>2.5932330000000001</v>
      </c>
      <c r="I476" s="18">
        <f>AVERAGE(F474:F476)</f>
        <v>8.8439999999999994</v>
      </c>
      <c r="J476" s="18">
        <f>AVERAGE(G474:G476)</f>
        <v>1.1353508333333333</v>
      </c>
      <c r="L476">
        <f>+J476/I476</f>
        <v>0.1283752638323534</v>
      </c>
      <c r="M476">
        <f>+(L476-$L$927)/$L$928</f>
        <v>3.2680889615591902</v>
      </c>
      <c r="N476">
        <f>+N473+M476</f>
        <v>-13.930828557477589</v>
      </c>
    </row>
    <row r="477" spans="1:14">
      <c r="A477" s="15">
        <v>6</v>
      </c>
      <c r="B477" s="78">
        <v>41164</v>
      </c>
      <c r="C477" s="15">
        <v>2012</v>
      </c>
      <c r="D477" s="11" t="s">
        <v>40</v>
      </c>
      <c r="E477" s="15">
        <v>9</v>
      </c>
      <c r="F477" s="26">
        <v>12.352</v>
      </c>
      <c r="G477" s="18">
        <v>0</v>
      </c>
    </row>
    <row r="478" spans="1:14">
      <c r="A478" s="15">
        <v>8</v>
      </c>
      <c r="B478" s="78">
        <v>41163</v>
      </c>
      <c r="C478" s="15">
        <v>2012</v>
      </c>
      <c r="D478" s="11" t="s">
        <v>40</v>
      </c>
      <c r="E478" s="15">
        <v>9</v>
      </c>
      <c r="F478" s="26">
        <v>15.667999999999999</v>
      </c>
      <c r="G478" s="18">
        <v>4.4621871249999998</v>
      </c>
    </row>
    <row r="479" spans="1:14">
      <c r="A479" s="15">
        <v>15</v>
      </c>
      <c r="B479" s="78">
        <v>41163</v>
      </c>
      <c r="C479" s="15">
        <v>2012</v>
      </c>
      <c r="D479" s="11" t="s">
        <v>40</v>
      </c>
      <c r="E479" s="15">
        <v>9</v>
      </c>
      <c r="F479" s="26">
        <v>9.2889999999999997</v>
      </c>
      <c r="G479" s="18">
        <v>1.7925757499999999</v>
      </c>
      <c r="I479" s="18">
        <f>AVERAGE(F477:F479)</f>
        <v>12.436333333333332</v>
      </c>
      <c r="J479" s="18">
        <f>AVERAGE(G477:G479)</f>
        <v>2.0849209583333335</v>
      </c>
      <c r="L479">
        <f>+J479/I479</f>
        <v>0.16764756158031577</v>
      </c>
      <c r="M479">
        <f>+(L479-$L$927)/$L$928</f>
        <v>4.5095086800079844</v>
      </c>
      <c r="N479">
        <f>+N476+M479</f>
        <v>-9.421319877469605</v>
      </c>
    </row>
    <row r="480" spans="1:14">
      <c r="A480" s="15">
        <v>6</v>
      </c>
      <c r="B480" s="78">
        <v>41199</v>
      </c>
      <c r="C480" s="15">
        <v>2012</v>
      </c>
      <c r="D480" s="11" t="s">
        <v>36</v>
      </c>
      <c r="E480" s="15">
        <v>10</v>
      </c>
      <c r="F480" s="26">
        <v>6.0670000000000002</v>
      </c>
      <c r="G480" s="18">
        <v>0</v>
      </c>
    </row>
    <row r="481" spans="1:14">
      <c r="A481" s="15">
        <v>8</v>
      </c>
      <c r="B481" s="78">
        <v>41199</v>
      </c>
      <c r="C481" s="15">
        <v>2012</v>
      </c>
      <c r="D481" s="11" t="s">
        <v>36</v>
      </c>
      <c r="E481" s="15">
        <v>10</v>
      </c>
      <c r="F481" s="26">
        <v>1.466</v>
      </c>
      <c r="G481" s="18">
        <v>0</v>
      </c>
    </row>
    <row r="482" spans="1:14">
      <c r="A482" s="15">
        <v>15</v>
      </c>
      <c r="B482" s="78">
        <v>41199</v>
      </c>
      <c r="C482" s="15">
        <v>2012</v>
      </c>
      <c r="D482" s="11" t="s">
        <v>36</v>
      </c>
      <c r="E482" s="15">
        <v>10</v>
      </c>
      <c r="F482" s="26">
        <v>9.5060000000000002</v>
      </c>
      <c r="G482" s="18">
        <v>0</v>
      </c>
      <c r="I482" s="18">
        <f>AVERAGE(F480:F482)</f>
        <v>5.6796666666666669</v>
      </c>
      <c r="J482" s="18">
        <f>AVERAGE(G480:G482)</f>
        <v>0</v>
      </c>
      <c r="L482">
        <f>+J482/I482</f>
        <v>0</v>
      </c>
      <c r="M482">
        <f>+(L482-$L$927)/$L$928</f>
        <v>-0.78992630674322384</v>
      </c>
      <c r="N482">
        <f>+N479+M482</f>
        <v>-10.211246184212829</v>
      </c>
    </row>
    <row r="483" spans="1:14">
      <c r="A483" s="15">
        <v>6</v>
      </c>
      <c r="B483" s="78">
        <v>41225</v>
      </c>
      <c r="C483" s="15">
        <v>2012</v>
      </c>
      <c r="D483" s="11" t="s">
        <v>37</v>
      </c>
      <c r="E483" s="15">
        <v>11</v>
      </c>
      <c r="F483" s="26">
        <v>7.7229999999999999</v>
      </c>
      <c r="G483" s="18">
        <v>7.5187000000000004E-2</v>
      </c>
    </row>
    <row r="484" spans="1:14">
      <c r="A484" s="15">
        <v>8</v>
      </c>
      <c r="B484" s="78">
        <v>41225</v>
      </c>
      <c r="C484" s="15">
        <v>2012</v>
      </c>
      <c r="D484" s="11" t="s">
        <v>37</v>
      </c>
      <c r="E484" s="15">
        <v>11</v>
      </c>
      <c r="F484" s="26">
        <v>2.4769999999999999</v>
      </c>
      <c r="G484" s="18">
        <v>0</v>
      </c>
    </row>
    <row r="485" spans="1:14">
      <c r="A485" s="15">
        <v>15</v>
      </c>
      <c r="B485" s="78">
        <v>41225</v>
      </c>
      <c r="C485" s="15">
        <v>2012</v>
      </c>
      <c r="D485" s="11" t="s">
        <v>37</v>
      </c>
      <c r="E485" s="15">
        <v>11</v>
      </c>
      <c r="F485" s="26">
        <v>8.2490000000000006</v>
      </c>
      <c r="G485" s="18">
        <v>0</v>
      </c>
      <c r="I485" s="18">
        <f>AVERAGE(F483:F485)</f>
        <v>6.1496666666666657</v>
      </c>
      <c r="J485" s="18">
        <f>AVERAGE(G483:G485)</f>
        <v>2.5062333333333336E-2</v>
      </c>
      <c r="L485">
        <f>+J485/I485</f>
        <v>4.0753970404900008E-3</v>
      </c>
      <c r="M485">
        <f>+(L485-$L$927)/$L$928</f>
        <v>-0.66110068316904302</v>
      </c>
      <c r="N485">
        <f>+N482+M485</f>
        <v>-10.872346867381872</v>
      </c>
    </row>
    <row r="486" spans="1:14">
      <c r="A486" s="15">
        <v>6</v>
      </c>
      <c r="B486" s="78">
        <v>41254</v>
      </c>
      <c r="C486" s="15">
        <v>2012</v>
      </c>
      <c r="D486" s="11" t="s">
        <v>38</v>
      </c>
      <c r="E486" s="15">
        <v>12</v>
      </c>
      <c r="F486" s="26">
        <v>3.5219999999999998</v>
      </c>
      <c r="G486" s="18">
        <v>5.2222999999999999E-2</v>
      </c>
    </row>
    <row r="487" spans="1:14">
      <c r="A487" s="15">
        <v>8</v>
      </c>
      <c r="B487" s="78">
        <v>41255</v>
      </c>
      <c r="C487" s="15">
        <v>2012</v>
      </c>
      <c r="D487" s="11" t="s">
        <v>38</v>
      </c>
      <c r="E487" s="15">
        <v>12</v>
      </c>
      <c r="F487" s="26">
        <v>1.3089999999999999</v>
      </c>
      <c r="G487" s="18">
        <v>5.7485250000000002E-2</v>
      </c>
    </row>
    <row r="488" spans="1:14">
      <c r="A488" s="15">
        <v>15</v>
      </c>
      <c r="B488" s="78">
        <v>41255</v>
      </c>
      <c r="C488" s="15">
        <v>2012</v>
      </c>
      <c r="D488" s="11" t="s">
        <v>38</v>
      </c>
      <c r="E488" s="15">
        <v>12</v>
      </c>
      <c r="F488" s="26">
        <v>2.9049999999999998</v>
      </c>
      <c r="G488" s="18">
        <v>8.7256249999999994E-2</v>
      </c>
      <c r="I488" s="18">
        <f>AVERAGE(F486:F488)</f>
        <v>2.5786666666666664</v>
      </c>
      <c r="J488" s="18">
        <f>AVERAGE(G486:G488)</f>
        <v>6.5654833333333329E-2</v>
      </c>
      <c r="L488">
        <f>+J488/I488</f>
        <v>2.5460767838676318E-2</v>
      </c>
      <c r="M488">
        <f>+(L488-$L$927)/$L$928</f>
        <v>1.4903078199489632E-2</v>
      </c>
      <c r="N488">
        <f>+N485+M488</f>
        <v>-10.857443789182382</v>
      </c>
    </row>
    <row r="489" spans="1:14">
      <c r="A489" s="15">
        <v>6</v>
      </c>
      <c r="B489" s="78">
        <v>41288</v>
      </c>
      <c r="C489" s="15">
        <v>2013</v>
      </c>
      <c r="D489" s="11" t="s">
        <v>39</v>
      </c>
      <c r="E489" s="15">
        <v>1</v>
      </c>
      <c r="F489" s="26">
        <v>2.8029999999999999</v>
      </c>
      <c r="G489" s="18">
        <v>5.4873875000000003E-2</v>
      </c>
    </row>
    <row r="490" spans="1:14">
      <c r="A490" s="15">
        <v>8</v>
      </c>
      <c r="B490" s="78">
        <v>41297</v>
      </c>
      <c r="C490" s="15">
        <v>2013</v>
      </c>
      <c r="D490" s="11" t="s">
        <v>39</v>
      </c>
      <c r="E490" s="15">
        <v>1</v>
      </c>
      <c r="F490" s="26">
        <v>1.788</v>
      </c>
      <c r="G490" s="18">
        <v>0</v>
      </c>
    </row>
    <row r="491" spans="1:14">
      <c r="A491" s="15">
        <v>15</v>
      </c>
      <c r="B491" s="78">
        <v>41297</v>
      </c>
      <c r="C491" s="15">
        <v>2013</v>
      </c>
      <c r="D491" s="11" t="s">
        <v>39</v>
      </c>
      <c r="E491" s="15">
        <v>1</v>
      </c>
      <c r="F491" s="26">
        <v>5.1769999999999996</v>
      </c>
      <c r="G491" s="18">
        <v>0</v>
      </c>
      <c r="I491" s="18">
        <f>AVERAGE(F489:F491)</f>
        <v>3.2560000000000002</v>
      </c>
      <c r="J491" s="18">
        <f>AVERAGE(G489:G491)</f>
        <v>1.8291291666666668E-2</v>
      </c>
      <c r="L491">
        <f>+J491/I491</f>
        <v>5.617718570843571E-3</v>
      </c>
      <c r="M491">
        <f>+(L491-$L$927)/$L$928</f>
        <v>-0.61234702041529232</v>
      </c>
      <c r="N491">
        <f>+N488+M491</f>
        <v>-11.469790809597674</v>
      </c>
    </row>
    <row r="492" spans="1:14">
      <c r="A492" s="15">
        <v>6</v>
      </c>
      <c r="B492" s="78">
        <v>41318</v>
      </c>
      <c r="C492" s="15">
        <v>2013</v>
      </c>
      <c r="D492" s="11" t="s">
        <v>28</v>
      </c>
      <c r="E492" s="15">
        <v>2</v>
      </c>
      <c r="F492" s="30">
        <v>9.032</v>
      </c>
      <c r="G492" s="18">
        <v>0</v>
      </c>
    </row>
    <row r="493" spans="1:14">
      <c r="A493" s="15">
        <v>8</v>
      </c>
      <c r="B493" s="78">
        <v>41319</v>
      </c>
      <c r="C493" s="15">
        <v>2013</v>
      </c>
      <c r="D493" s="11" t="s">
        <v>28</v>
      </c>
      <c r="E493" s="15">
        <v>2</v>
      </c>
      <c r="F493" s="30">
        <v>2.504</v>
      </c>
      <c r="G493" s="18">
        <v>8.3030124999999996E-2</v>
      </c>
    </row>
    <row r="494" spans="1:14">
      <c r="A494" s="15">
        <v>15</v>
      </c>
      <c r="B494" s="78">
        <v>41319</v>
      </c>
      <c r="C494" s="15">
        <v>2013</v>
      </c>
      <c r="D494" s="11" t="s">
        <v>28</v>
      </c>
      <c r="E494" s="15">
        <v>2</v>
      </c>
      <c r="F494" s="30">
        <v>7.0979999999999999</v>
      </c>
      <c r="G494" s="18">
        <v>5.2084833333333316E-2</v>
      </c>
      <c r="I494" s="18">
        <f>AVERAGE(F492:F494)</f>
        <v>6.2113333333333332</v>
      </c>
      <c r="J494" s="18">
        <f>AVERAGE(G492:G494)</f>
        <v>4.503831944444444E-2</v>
      </c>
      <c r="L494">
        <f>+J494/I494</f>
        <v>7.2509905727880927E-3</v>
      </c>
      <c r="M494">
        <f>+(L494-$L$927)/$L$928</f>
        <v>-0.56071836140948039</v>
      </c>
      <c r="N494">
        <f>+N491+M494</f>
        <v>-12.030509171007154</v>
      </c>
    </row>
    <row r="495" spans="1:14">
      <c r="A495" s="15">
        <v>6</v>
      </c>
      <c r="B495" s="78">
        <v>41344</v>
      </c>
      <c r="C495" s="15">
        <v>2013</v>
      </c>
      <c r="D495" s="11" t="s">
        <v>29</v>
      </c>
      <c r="E495" s="15">
        <v>3</v>
      </c>
      <c r="F495" s="30">
        <v>9.4570000000000007</v>
      </c>
      <c r="G495" s="18">
        <v>6.772475E-2</v>
      </c>
    </row>
    <row r="496" spans="1:14">
      <c r="A496" s="15">
        <v>8</v>
      </c>
      <c r="B496" s="78">
        <v>41346</v>
      </c>
      <c r="C496" s="15">
        <v>2013</v>
      </c>
      <c r="D496" s="11" t="s">
        <v>29</v>
      </c>
      <c r="E496" s="15">
        <v>3</v>
      </c>
      <c r="F496" s="30">
        <v>9.9120000000000008</v>
      </c>
      <c r="G496" s="18">
        <v>0</v>
      </c>
    </row>
    <row r="497" spans="1:14">
      <c r="A497" s="15">
        <v>8</v>
      </c>
      <c r="B497" s="78">
        <v>41346</v>
      </c>
      <c r="C497" s="15">
        <v>2013</v>
      </c>
      <c r="D497" s="11" t="s">
        <v>29</v>
      </c>
      <c r="E497" s="15">
        <v>3</v>
      </c>
      <c r="F497" s="30">
        <v>9.9120000000000008</v>
      </c>
      <c r="G497" s="18">
        <v>0</v>
      </c>
      <c r="H497" t="s">
        <v>13</v>
      </c>
    </row>
    <row r="498" spans="1:14">
      <c r="A498" s="15">
        <v>15</v>
      </c>
      <c r="B498" s="78">
        <v>41346</v>
      </c>
      <c r="C498" s="15">
        <v>2013</v>
      </c>
      <c r="D498" s="11" t="s">
        <v>29</v>
      </c>
      <c r="E498" s="15">
        <v>3</v>
      </c>
      <c r="F498" s="30">
        <v>9.0190000000000001</v>
      </c>
      <c r="G498" s="18">
        <v>0</v>
      </c>
      <c r="I498" s="18">
        <f>AVERAGE(F495:F498)</f>
        <v>9.5749999999999993</v>
      </c>
      <c r="J498" s="18">
        <f>AVERAGE(G495:G498)</f>
        <v>1.69311875E-2</v>
      </c>
      <c r="L498">
        <f>+J498/I498</f>
        <v>1.7682702349869452E-3</v>
      </c>
      <c r="M498">
        <f>+(L498-$L$927)/$L$928</f>
        <v>-0.73403027663704623</v>
      </c>
      <c r="N498">
        <f>+N494+M498</f>
        <v>-12.7645394476442</v>
      </c>
    </row>
    <row r="499" spans="1:14">
      <c r="A499" s="15">
        <v>6</v>
      </c>
      <c r="B499" s="78">
        <v>41379</v>
      </c>
      <c r="C499" s="15">
        <v>2013</v>
      </c>
      <c r="D499" s="11" t="s">
        <v>30</v>
      </c>
      <c r="E499" s="15">
        <v>4</v>
      </c>
      <c r="F499" s="31">
        <v>0.59499999999999997</v>
      </c>
      <c r="G499" s="18">
        <v>0</v>
      </c>
    </row>
    <row r="500" spans="1:14">
      <c r="A500" s="15">
        <v>8</v>
      </c>
      <c r="B500" s="78">
        <v>41380</v>
      </c>
      <c r="C500" s="15">
        <v>2013</v>
      </c>
      <c r="D500" s="11" t="s">
        <v>30</v>
      </c>
      <c r="E500" s="15">
        <v>4</v>
      </c>
      <c r="F500" s="31">
        <v>0.70699999999999996</v>
      </c>
      <c r="G500" s="18">
        <v>0</v>
      </c>
    </row>
    <row r="501" spans="1:14">
      <c r="A501" s="15">
        <v>15</v>
      </c>
      <c r="B501" s="78">
        <v>41380</v>
      </c>
      <c r="C501" s="15">
        <v>2013</v>
      </c>
      <c r="D501" s="11" t="s">
        <v>30</v>
      </c>
      <c r="E501" s="15">
        <v>4</v>
      </c>
      <c r="F501" s="31">
        <v>0.377</v>
      </c>
      <c r="G501" s="18">
        <v>0</v>
      </c>
      <c r="I501" s="18">
        <f>AVERAGE(F499:F501)</f>
        <v>0.55966666666666665</v>
      </c>
      <c r="J501" s="18">
        <f>AVERAGE(G499:G501)</f>
        <v>0</v>
      </c>
      <c r="L501">
        <f>+J501/I501</f>
        <v>0</v>
      </c>
      <c r="M501">
        <f>+(L501-$L$927)/$L$928</f>
        <v>-0.78992630674322384</v>
      </c>
      <c r="N501">
        <f>+N498+M501</f>
        <v>-13.554465754387424</v>
      </c>
    </row>
    <row r="502" spans="1:14">
      <c r="A502" s="15">
        <v>6</v>
      </c>
      <c r="B502" s="78">
        <v>41408</v>
      </c>
      <c r="C502" s="15">
        <v>2013</v>
      </c>
      <c r="D502" s="11" t="s">
        <v>31</v>
      </c>
      <c r="E502" s="15">
        <v>5</v>
      </c>
      <c r="F502" s="31">
        <v>0.69199999999999995</v>
      </c>
      <c r="G502" s="18">
        <v>2.5223374999999999E-2</v>
      </c>
    </row>
    <row r="503" spans="1:14">
      <c r="A503" s="15">
        <v>6</v>
      </c>
      <c r="B503" s="78">
        <v>41408</v>
      </c>
      <c r="C503" s="15">
        <v>2013</v>
      </c>
      <c r="D503" s="11" t="s">
        <v>31</v>
      </c>
      <c r="E503" s="15">
        <v>5</v>
      </c>
      <c r="F503" s="31">
        <v>0.69199999999999995</v>
      </c>
      <c r="G503" s="18">
        <v>2.6374874999999999E-2</v>
      </c>
    </row>
    <row r="504" spans="1:14">
      <c r="A504" s="15">
        <v>8</v>
      </c>
      <c r="B504" s="78">
        <v>41407</v>
      </c>
      <c r="C504" s="15">
        <v>2013</v>
      </c>
      <c r="D504" s="11" t="s">
        <v>31</v>
      </c>
      <c r="E504" s="15">
        <v>5</v>
      </c>
      <c r="F504" s="31">
        <v>1.17</v>
      </c>
      <c r="G504" s="18">
        <v>0</v>
      </c>
      <c r="I504" s="18"/>
      <c r="J504" s="18"/>
    </row>
    <row r="505" spans="1:14">
      <c r="A505" s="15">
        <v>15</v>
      </c>
      <c r="B505" s="78">
        <v>41407</v>
      </c>
      <c r="C505" s="15">
        <v>2013</v>
      </c>
      <c r="D505" s="11" t="s">
        <v>31</v>
      </c>
      <c r="E505" s="15">
        <v>5</v>
      </c>
      <c r="F505" s="31">
        <v>0.76100000000000001</v>
      </c>
      <c r="G505" s="18">
        <v>5.2428749999999996E-2</v>
      </c>
      <c r="I505" s="18">
        <f>AVERAGE(F502:F505)</f>
        <v>0.82874999999999999</v>
      </c>
      <c r="J505" s="18">
        <f>AVERAGE(G502:G505)</f>
        <v>2.6006749999999999E-2</v>
      </c>
      <c r="L505">
        <f>+J505/I505</f>
        <v>3.1380693815987931E-2</v>
      </c>
      <c r="M505">
        <f>+(L505-$L$927)/$L$928</f>
        <v>0.20203531291507082</v>
      </c>
      <c r="N505">
        <f>+N501+M505</f>
        <v>-13.352430441472354</v>
      </c>
    </row>
    <row r="506" spans="1:14">
      <c r="A506" s="15">
        <v>6</v>
      </c>
      <c r="B506" s="78">
        <v>41436</v>
      </c>
      <c r="C506" s="15">
        <v>2013</v>
      </c>
      <c r="D506" s="11" t="s">
        <v>32</v>
      </c>
      <c r="E506" s="15">
        <v>6</v>
      </c>
      <c r="F506" s="31">
        <v>10.188000000000001</v>
      </c>
      <c r="G506" s="18">
        <v>0</v>
      </c>
    </row>
    <row r="507" spans="1:14">
      <c r="A507" s="15">
        <v>8</v>
      </c>
      <c r="B507" s="78">
        <v>41437</v>
      </c>
      <c r="C507" s="15">
        <v>2013</v>
      </c>
      <c r="D507" s="11" t="s">
        <v>32</v>
      </c>
      <c r="E507" s="15">
        <v>6</v>
      </c>
      <c r="F507" s="31">
        <v>4.4930000000000003</v>
      </c>
      <c r="G507" s="18">
        <v>0.13520399999999999</v>
      </c>
    </row>
    <row r="508" spans="1:14">
      <c r="A508" s="15">
        <v>15</v>
      </c>
      <c r="B508" s="78">
        <v>41437</v>
      </c>
      <c r="C508" s="15">
        <v>2013</v>
      </c>
      <c r="D508" s="11" t="s">
        <v>32</v>
      </c>
      <c r="E508" s="15">
        <v>6</v>
      </c>
      <c r="F508" s="31">
        <v>3.3330000000000002</v>
      </c>
      <c r="G508" s="18">
        <v>5.8493125000000007E-2</v>
      </c>
      <c r="I508" s="18">
        <f>AVERAGE(F506:F508)</f>
        <v>6.0046666666666679</v>
      </c>
      <c r="J508" s="18">
        <f>AVERAGE(G506:G508)</f>
        <v>6.4565708333333333E-2</v>
      </c>
      <c r="L508">
        <f>+J508/I508</f>
        <v>1.0752588264683022E-2</v>
      </c>
      <c r="M508">
        <f>+(L508-$L$927)/$L$928</f>
        <v>-0.45003086233085338</v>
      </c>
      <c r="N508">
        <f>+N505+M508</f>
        <v>-13.802461303803208</v>
      </c>
    </row>
    <row r="509" spans="1:14">
      <c r="A509" s="15">
        <v>6</v>
      </c>
      <c r="B509" s="78">
        <v>41470</v>
      </c>
      <c r="C509" s="15">
        <v>2013</v>
      </c>
      <c r="D509" s="11" t="s">
        <v>33</v>
      </c>
      <c r="E509" s="15">
        <v>7</v>
      </c>
      <c r="F509" s="31">
        <v>4.2619999999999996</v>
      </c>
      <c r="G509" s="18">
        <v>0.21942025000000001</v>
      </c>
    </row>
    <row r="510" spans="1:14">
      <c r="A510" s="15">
        <v>8</v>
      </c>
      <c r="B510" s="78">
        <v>41470</v>
      </c>
      <c r="C510" s="15">
        <v>2013</v>
      </c>
      <c r="D510" s="11" t="s">
        <v>33</v>
      </c>
      <c r="E510" s="15">
        <v>7</v>
      </c>
      <c r="F510" s="31">
        <v>4.1459999999999999</v>
      </c>
      <c r="G510" s="18">
        <v>0.17816137499999998</v>
      </c>
    </row>
    <row r="511" spans="1:14">
      <c r="A511" s="15">
        <v>15</v>
      </c>
      <c r="B511" s="78">
        <v>41470</v>
      </c>
      <c r="C511" s="15">
        <v>2013</v>
      </c>
      <c r="D511" s="11" t="s">
        <v>33</v>
      </c>
      <c r="E511" s="15">
        <v>7</v>
      </c>
      <c r="F511" s="31">
        <v>3.3679999999999999</v>
      </c>
      <c r="G511" s="18">
        <v>4.7196624999999992E-2</v>
      </c>
      <c r="I511" s="18">
        <f>AVERAGE(F509:F511)</f>
        <v>3.9253333333333331</v>
      </c>
      <c r="J511" s="18">
        <f>AVERAGE(G509:G511)</f>
        <v>0.14825941666666667</v>
      </c>
      <c r="L511">
        <f>+J511/I511</f>
        <v>3.776989215353261E-2</v>
      </c>
      <c r="M511">
        <f>+(L511-$L$927)/$L$928</f>
        <v>0.4040015144399039</v>
      </c>
      <c r="N511">
        <f>+N508+M511</f>
        <v>-13.398459789363304</v>
      </c>
    </row>
    <row r="512" spans="1:14">
      <c r="A512" s="15">
        <v>6</v>
      </c>
      <c r="B512" s="78">
        <v>41498</v>
      </c>
      <c r="C512" s="15">
        <v>2013</v>
      </c>
      <c r="D512" s="11" t="s">
        <v>34</v>
      </c>
      <c r="E512" s="15">
        <v>8</v>
      </c>
      <c r="F512" s="31">
        <v>3.323</v>
      </c>
      <c r="G512" s="18">
        <v>0.105514</v>
      </c>
    </row>
    <row r="513" spans="1:14">
      <c r="A513" s="15">
        <v>8</v>
      </c>
      <c r="B513" s="78">
        <v>41498</v>
      </c>
      <c r="C513" s="15">
        <v>2013</v>
      </c>
      <c r="D513" s="11" t="s">
        <v>34</v>
      </c>
      <c r="E513" s="15">
        <v>8</v>
      </c>
      <c r="F513" s="31">
        <v>3.33</v>
      </c>
      <c r="G513" s="18">
        <v>0.14407937499999998</v>
      </c>
    </row>
    <row r="514" spans="1:14">
      <c r="A514" s="15">
        <v>15</v>
      </c>
      <c r="B514" s="78">
        <v>41498</v>
      </c>
      <c r="C514" s="15">
        <v>2013</v>
      </c>
      <c r="D514" s="11" t="s">
        <v>34</v>
      </c>
      <c r="E514" s="15">
        <v>8</v>
      </c>
      <c r="F514" s="31">
        <v>1.9870000000000001</v>
      </c>
      <c r="G514" s="18">
        <v>0.23078237500000001</v>
      </c>
      <c r="I514" s="18">
        <f>AVERAGE(F512:F514)</f>
        <v>2.8800000000000003</v>
      </c>
      <c r="J514" s="18">
        <f>AVERAGE(G512:G514)</f>
        <v>0.16012525</v>
      </c>
      <c r="L514">
        <f>+J514/I514</f>
        <v>5.5599045138888879E-2</v>
      </c>
      <c r="M514">
        <f>+(L514-$L$927)/$L$928</f>
        <v>0.96759120357159834</v>
      </c>
      <c r="N514">
        <f>+N511+M514</f>
        <v>-12.430868585791707</v>
      </c>
    </row>
    <row r="515" spans="1:14">
      <c r="A515" s="15">
        <v>6</v>
      </c>
      <c r="B515" s="78">
        <v>41535</v>
      </c>
      <c r="C515" s="15">
        <v>2013</v>
      </c>
      <c r="D515" s="11" t="s">
        <v>40</v>
      </c>
      <c r="E515" s="15">
        <v>9</v>
      </c>
      <c r="F515" s="31">
        <v>1.4730000000000001</v>
      </c>
      <c r="G515" s="18">
        <v>4.1458749999999996E-2</v>
      </c>
    </row>
    <row r="516" spans="1:14">
      <c r="A516" s="15">
        <v>8</v>
      </c>
      <c r="B516" s="78">
        <v>41535</v>
      </c>
      <c r="C516" s="15">
        <v>2013</v>
      </c>
      <c r="D516" s="11" t="s">
        <v>40</v>
      </c>
      <c r="E516" s="15">
        <v>9</v>
      </c>
      <c r="F516" s="31">
        <v>2.9580000000000002</v>
      </c>
      <c r="G516" s="18">
        <v>0</v>
      </c>
    </row>
    <row r="517" spans="1:14">
      <c r="A517" s="15">
        <v>15</v>
      </c>
      <c r="B517" s="78">
        <v>41535</v>
      </c>
      <c r="C517" s="15">
        <v>2013</v>
      </c>
      <c r="D517" s="11" t="s">
        <v>40</v>
      </c>
      <c r="E517" s="15">
        <v>9</v>
      </c>
      <c r="F517" s="31">
        <v>2.5760000000000001</v>
      </c>
      <c r="G517" s="18">
        <v>5.5762999999999993E-2</v>
      </c>
      <c r="I517" s="18">
        <f>AVERAGE(F515:F517)</f>
        <v>2.3356666666666666</v>
      </c>
      <c r="J517" s="18">
        <f>AVERAGE(G515:G517)</f>
        <v>3.2407249999999999E-2</v>
      </c>
      <c r="L517">
        <f>+J517/I517</f>
        <v>1.387494648208934E-2</v>
      </c>
      <c r="M517">
        <f>+(L517-$L$927)/$L$928</f>
        <v>-0.35133133922108212</v>
      </c>
      <c r="N517">
        <f>+N514+M517</f>
        <v>-12.782199925012788</v>
      </c>
    </row>
    <row r="518" spans="1:14">
      <c r="A518" s="15">
        <v>6</v>
      </c>
      <c r="B518" s="78">
        <v>41569</v>
      </c>
      <c r="C518" s="15">
        <v>2013</v>
      </c>
      <c r="D518" s="11" t="s">
        <v>36</v>
      </c>
      <c r="E518" s="15">
        <v>10</v>
      </c>
      <c r="F518" s="26">
        <v>1.5389999999999999</v>
      </c>
      <c r="G518" s="18">
        <v>5.199612499999999E-2</v>
      </c>
    </row>
    <row r="519" spans="1:14">
      <c r="A519" s="15">
        <v>8</v>
      </c>
      <c r="B519" s="78">
        <v>406810</v>
      </c>
      <c r="C519" s="15">
        <v>2013</v>
      </c>
      <c r="D519" s="11" t="s">
        <v>36</v>
      </c>
      <c r="E519" s="15">
        <v>10</v>
      </c>
      <c r="F519" s="26">
        <v>0.92200000000000004</v>
      </c>
      <c r="G519" s="18">
        <v>0</v>
      </c>
    </row>
    <row r="520" spans="1:14">
      <c r="A520" s="15">
        <v>15</v>
      </c>
      <c r="B520" s="78">
        <v>406810</v>
      </c>
      <c r="C520" s="15">
        <v>2013</v>
      </c>
      <c r="D520" s="11" t="s">
        <v>36</v>
      </c>
      <c r="E520" s="15">
        <v>10</v>
      </c>
      <c r="F520" s="26">
        <v>1.8380000000000001</v>
      </c>
      <c r="G520" s="18">
        <v>4.0808749999999991E-2</v>
      </c>
      <c r="I520" s="18">
        <f>AVERAGE(F518:F520)</f>
        <v>1.4329999999999998</v>
      </c>
      <c r="J520" s="18">
        <f>AVERAGE(G518:G520)</f>
        <v>3.0934958333333328E-2</v>
      </c>
      <c r="L520">
        <f>+J520/I520</f>
        <v>2.1587549430100023E-2</v>
      </c>
      <c r="M520">
        <f>+(L520-$L$927)/$L$928</f>
        <v>-0.10753156357073751</v>
      </c>
      <c r="N520">
        <f>+N517+M520</f>
        <v>-12.889731488583527</v>
      </c>
    </row>
    <row r="521" spans="1:14">
      <c r="A521" s="15">
        <v>6</v>
      </c>
      <c r="B521" s="78">
        <v>41599</v>
      </c>
      <c r="C521" s="15">
        <v>2013</v>
      </c>
      <c r="D521" s="11" t="s">
        <v>37</v>
      </c>
      <c r="E521" s="15">
        <v>11</v>
      </c>
      <c r="F521" s="26">
        <v>2.1930000000000001</v>
      </c>
      <c r="G521" s="18">
        <v>0.15699399999999999</v>
      </c>
    </row>
    <row r="522" spans="1:14">
      <c r="A522" s="15">
        <v>8</v>
      </c>
      <c r="B522" s="78">
        <v>41599</v>
      </c>
      <c r="C522" s="15">
        <v>2013</v>
      </c>
      <c r="D522" s="11" t="s">
        <v>37</v>
      </c>
      <c r="E522" s="15">
        <v>11</v>
      </c>
      <c r="F522" s="26">
        <v>0.51</v>
      </c>
      <c r="G522" s="18">
        <v>0</v>
      </c>
    </row>
    <row r="523" spans="1:14">
      <c r="A523" s="15">
        <v>15</v>
      </c>
      <c r="B523" s="78">
        <v>41599</v>
      </c>
      <c r="C523" s="15">
        <v>2013</v>
      </c>
      <c r="D523" s="11" t="s">
        <v>37</v>
      </c>
      <c r="E523" s="15">
        <v>11</v>
      </c>
      <c r="F523" s="26">
        <v>1.6080000000000001</v>
      </c>
      <c r="G523" s="18">
        <v>1.2926874999999999E-2</v>
      </c>
      <c r="I523" s="18">
        <f>AVERAGE(F521:F523)</f>
        <v>1.4370000000000001</v>
      </c>
      <c r="J523" s="18">
        <f>AVERAGE(G521:G523)</f>
        <v>5.6640291666666669E-2</v>
      </c>
      <c r="L523">
        <f>+J523/I523</f>
        <v>3.9415651820923221E-2</v>
      </c>
      <c r="M523">
        <f>+(L523-$L$927)/$L$928</f>
        <v>0.45602491566888953</v>
      </c>
      <c r="N523">
        <f>+N520+M523</f>
        <v>-12.433706572914637</v>
      </c>
    </row>
    <row r="524" spans="1:14">
      <c r="A524" s="15">
        <v>6</v>
      </c>
      <c r="B524" s="78">
        <v>41624</v>
      </c>
      <c r="C524" s="15">
        <v>2013</v>
      </c>
      <c r="D524" s="11" t="s">
        <v>38</v>
      </c>
      <c r="E524" s="15">
        <v>12</v>
      </c>
      <c r="F524" s="26">
        <v>4.742</v>
      </c>
      <c r="G524" s="18">
        <v>3.6453999999999993E-2</v>
      </c>
    </row>
    <row r="525" spans="1:14">
      <c r="A525" s="15">
        <v>8</v>
      </c>
      <c r="B525" s="78">
        <v>41627</v>
      </c>
      <c r="C525" s="15">
        <v>2013</v>
      </c>
      <c r="D525" s="11" t="s">
        <v>38</v>
      </c>
      <c r="E525" s="15">
        <v>12</v>
      </c>
      <c r="F525" s="26">
        <v>1.417</v>
      </c>
      <c r="G525" s="18">
        <v>8.0112249999999996E-2</v>
      </c>
    </row>
    <row r="526" spans="1:14">
      <c r="A526" s="15">
        <v>15</v>
      </c>
      <c r="B526" s="78">
        <v>41627</v>
      </c>
      <c r="C526" s="15">
        <v>2013</v>
      </c>
      <c r="D526" s="11" t="s">
        <v>38</v>
      </c>
      <c r="E526" s="15">
        <v>12</v>
      </c>
      <c r="F526" s="26">
        <v>3.1640000000000001</v>
      </c>
      <c r="G526" s="18">
        <v>5.9317124999999984E-2</v>
      </c>
      <c r="I526" s="18">
        <f>AVERAGE(F524:F526)</f>
        <v>3.1076666666666668</v>
      </c>
      <c r="J526" s="18">
        <f>AVERAGE(G524:G526)</f>
        <v>5.8627791666666651E-2</v>
      </c>
      <c r="L526">
        <f>+J526/I526</f>
        <v>1.8865534162823119E-2</v>
      </c>
      <c r="M526">
        <f>+(L526-$L$927)/$L$928</f>
        <v>-0.19357601781689984</v>
      </c>
      <c r="N526">
        <f>+N523+M526</f>
        <v>-12.627282590731538</v>
      </c>
    </row>
    <row r="527" spans="1:14">
      <c r="A527" s="15">
        <v>6</v>
      </c>
      <c r="B527" s="78">
        <v>41654</v>
      </c>
      <c r="C527" s="15">
        <v>2014</v>
      </c>
      <c r="D527" s="11" t="s">
        <v>39</v>
      </c>
      <c r="E527" s="15">
        <v>1</v>
      </c>
      <c r="F527" s="26">
        <v>2.57</v>
      </c>
      <c r="G527" s="18">
        <v>6.0505624999999987E-2</v>
      </c>
    </row>
    <row r="528" spans="1:14">
      <c r="A528" s="15">
        <v>8</v>
      </c>
      <c r="B528" s="78">
        <v>41655</v>
      </c>
      <c r="C528" s="15">
        <v>2014</v>
      </c>
      <c r="D528" s="11" t="s">
        <v>39</v>
      </c>
      <c r="E528" s="15">
        <v>1</v>
      </c>
      <c r="F528" s="26">
        <v>1.9390000000000001</v>
      </c>
      <c r="G528" s="18">
        <v>4.7891249999999996E-2</v>
      </c>
    </row>
    <row r="529" spans="1:14">
      <c r="A529" s="15">
        <v>15</v>
      </c>
      <c r="B529" s="78">
        <v>41655</v>
      </c>
      <c r="C529" s="15">
        <v>2014</v>
      </c>
      <c r="D529" s="11" t="s">
        <v>39</v>
      </c>
      <c r="E529" s="15">
        <v>1</v>
      </c>
      <c r="F529" s="26">
        <v>2.8519999999999999</v>
      </c>
      <c r="G529" s="18">
        <v>9.7167249999999997E-2</v>
      </c>
      <c r="I529" s="18">
        <f>AVERAGE(F527:F529)</f>
        <v>2.4536666666666669</v>
      </c>
      <c r="J529" s="18">
        <f>AVERAGE(G527:G529)</f>
        <v>6.8521374999999995E-2</v>
      </c>
      <c r="L529">
        <f>+J529/I529</f>
        <v>2.7926113979078925E-2</v>
      </c>
      <c r="M529">
        <f>+(L529-$L$927)/$L$928</f>
        <v>9.2834075034433403E-2</v>
      </c>
      <c r="N529">
        <f>+N526+M529</f>
        <v>-12.534448515697104</v>
      </c>
    </row>
    <row r="530" spans="1:14">
      <c r="A530" s="15">
        <v>6</v>
      </c>
      <c r="B530" s="78">
        <v>41688</v>
      </c>
      <c r="C530" s="15">
        <v>2014</v>
      </c>
      <c r="D530" s="11" t="s">
        <v>28</v>
      </c>
      <c r="E530" s="15">
        <v>2</v>
      </c>
      <c r="F530" s="26">
        <v>5.194</v>
      </c>
      <c r="G530" s="18">
        <v>0.10904712499999999</v>
      </c>
    </row>
    <row r="531" spans="1:14">
      <c r="A531" s="15">
        <v>8</v>
      </c>
      <c r="B531" s="78">
        <v>41690</v>
      </c>
      <c r="C531" s="15">
        <v>2014</v>
      </c>
      <c r="D531" s="11" t="s">
        <v>28</v>
      </c>
      <c r="E531" s="15">
        <v>2</v>
      </c>
      <c r="F531" s="26">
        <v>2.6349999999999998</v>
      </c>
      <c r="G531" s="18">
        <v>6.2707499999999999E-2</v>
      </c>
    </row>
    <row r="532" spans="1:14">
      <c r="A532" s="15">
        <v>15</v>
      </c>
      <c r="B532" s="78">
        <v>41690</v>
      </c>
      <c r="C532" s="15">
        <v>2014</v>
      </c>
      <c r="D532" s="11" t="s">
        <v>28</v>
      </c>
      <c r="E532" s="15">
        <v>2</v>
      </c>
      <c r="F532" s="26">
        <v>2.0369999999999999</v>
      </c>
      <c r="G532" s="18">
        <v>5.0547750000000002E-2</v>
      </c>
      <c r="I532" s="18">
        <f>AVERAGE(F530:F532)</f>
        <v>3.2886666666666664</v>
      </c>
      <c r="J532" s="18">
        <f>AVERAGE(G530:G532)</f>
        <v>7.4100791666666666E-2</v>
      </c>
      <c r="L532">
        <f>+J532/I532</f>
        <v>2.2532168558686397E-2</v>
      </c>
      <c r="M532">
        <f>+(L532-$L$927)/$L$928</f>
        <v>-7.767161444891954E-2</v>
      </c>
      <c r="N532">
        <f>+N529+M532</f>
        <v>-12.612120130146023</v>
      </c>
    </row>
    <row r="533" spans="1:14">
      <c r="A533" s="32">
        <v>6</v>
      </c>
      <c r="B533" s="80">
        <v>41719</v>
      </c>
      <c r="C533" s="32">
        <v>2014</v>
      </c>
      <c r="D533" s="34" t="s">
        <v>29</v>
      </c>
      <c r="E533" s="15">
        <v>3</v>
      </c>
      <c r="F533" s="35">
        <v>3.532</v>
      </c>
      <c r="G533" s="36">
        <v>6.6729250000000004E-2</v>
      </c>
    </row>
    <row r="534" spans="1:14">
      <c r="A534" s="15">
        <v>8</v>
      </c>
      <c r="B534" s="78">
        <v>41718</v>
      </c>
      <c r="C534" s="15">
        <v>2014</v>
      </c>
      <c r="D534" s="11" t="s">
        <v>29</v>
      </c>
      <c r="E534" s="15">
        <v>3</v>
      </c>
      <c r="F534" s="26">
        <v>3.2989999999999999</v>
      </c>
      <c r="G534" s="18">
        <v>8.9904749999999992E-2</v>
      </c>
    </row>
    <row r="535" spans="1:14">
      <c r="A535" s="15">
        <v>15</v>
      </c>
      <c r="B535" s="78">
        <v>41718</v>
      </c>
      <c r="C535" s="15">
        <v>2014</v>
      </c>
      <c r="D535" s="11" t="s">
        <v>29</v>
      </c>
      <c r="E535" s="15">
        <v>3</v>
      </c>
      <c r="F535" s="26">
        <v>5.0549999999999997</v>
      </c>
      <c r="G535" s="18">
        <v>6.8582624999999994E-2</v>
      </c>
      <c r="I535" s="18">
        <f>AVERAGE(F533:F535)</f>
        <v>3.9619999999999997</v>
      </c>
      <c r="J535" s="18">
        <f>AVERAGE(G533:G535)</f>
        <v>7.5072208333333335E-2</v>
      </c>
      <c r="L535">
        <f>+J535/I535</f>
        <v>1.8948058640417299E-2</v>
      </c>
      <c r="M535">
        <f>+(L535-$L$927)/$L$928</f>
        <v>-0.19096737203819911</v>
      </c>
      <c r="N535">
        <f>+N532+M535</f>
        <v>-12.803087502184223</v>
      </c>
    </row>
    <row r="536" spans="1:14">
      <c r="A536" s="15">
        <v>6</v>
      </c>
      <c r="B536" s="78">
        <v>41747</v>
      </c>
      <c r="C536" s="15">
        <v>2014</v>
      </c>
      <c r="D536" s="11" t="s">
        <v>30</v>
      </c>
      <c r="E536" s="15">
        <v>4</v>
      </c>
      <c r="F536" s="38">
        <v>3.5249999999999999</v>
      </c>
      <c r="G536" s="18">
        <v>3.5647999999999999E-2</v>
      </c>
    </row>
    <row r="537" spans="1:14">
      <c r="A537" s="15">
        <v>8</v>
      </c>
      <c r="B537" s="78">
        <v>41750</v>
      </c>
      <c r="C537" s="15">
        <v>2014</v>
      </c>
      <c r="D537" s="11" t="s">
        <v>30</v>
      </c>
      <c r="E537" s="15">
        <v>4</v>
      </c>
      <c r="F537" s="38">
        <v>1.02</v>
      </c>
      <c r="G537" s="18">
        <v>1.88545E-2</v>
      </c>
    </row>
    <row r="538" spans="1:14">
      <c r="A538" s="15">
        <v>15</v>
      </c>
      <c r="B538" s="78">
        <v>41750</v>
      </c>
      <c r="C538" s="15">
        <v>2014</v>
      </c>
      <c r="D538" s="11" t="s">
        <v>30</v>
      </c>
      <c r="E538" s="15">
        <v>4</v>
      </c>
      <c r="F538" s="38">
        <v>2.5870000000000002</v>
      </c>
      <c r="G538" s="18">
        <v>0</v>
      </c>
      <c r="I538" s="18">
        <f>AVERAGE(F536:F538)</f>
        <v>2.3773333333333331</v>
      </c>
      <c r="J538" s="18">
        <f>AVERAGE(G536:G538)</f>
        <v>1.81675E-2</v>
      </c>
      <c r="L538">
        <f>+J538/I538</f>
        <v>7.641965787997757E-3</v>
      </c>
      <c r="M538">
        <f>+(L538-$L$927)/$L$928</f>
        <v>-0.54835941198663385</v>
      </c>
      <c r="N538">
        <f>+N535+M538</f>
        <v>-13.351446914170857</v>
      </c>
    </row>
    <row r="539" spans="1:14">
      <c r="A539" s="15">
        <v>6</v>
      </c>
      <c r="B539" s="78">
        <v>41772</v>
      </c>
      <c r="C539" s="15">
        <v>2014</v>
      </c>
      <c r="D539" s="11" t="s">
        <v>31</v>
      </c>
      <c r="E539" s="15">
        <v>5</v>
      </c>
      <c r="F539" s="38">
        <v>1.8720000000000001</v>
      </c>
      <c r="G539" s="18">
        <v>0</v>
      </c>
    </row>
    <row r="540" spans="1:14">
      <c r="A540" s="15">
        <v>8</v>
      </c>
      <c r="B540" s="78">
        <v>41406</v>
      </c>
      <c r="C540" s="15">
        <v>2014</v>
      </c>
      <c r="D540" s="11" t="s">
        <v>31</v>
      </c>
      <c r="E540" s="15">
        <v>5</v>
      </c>
      <c r="F540" s="38">
        <v>1.1919999999999999</v>
      </c>
      <c r="G540" s="18">
        <v>0</v>
      </c>
    </row>
    <row r="541" spans="1:14">
      <c r="A541" s="15">
        <v>15</v>
      </c>
      <c r="B541" s="78">
        <v>41406</v>
      </c>
      <c r="C541" s="15">
        <v>2014</v>
      </c>
      <c r="D541" s="11" t="s">
        <v>31</v>
      </c>
      <c r="E541" s="15">
        <v>5</v>
      </c>
      <c r="F541" s="38">
        <v>1.1439999999999999</v>
      </c>
      <c r="G541" s="18">
        <v>0</v>
      </c>
      <c r="I541" s="18">
        <f>AVERAGE(F539:F541)</f>
        <v>1.4026666666666667</v>
      </c>
      <c r="J541" s="18">
        <f>AVERAGE(G539:G541)</f>
        <v>0</v>
      </c>
      <c r="L541">
        <f>+J541/I541</f>
        <v>0</v>
      </c>
      <c r="M541">
        <f>+(L541-$L$927)/$L$928</f>
        <v>-0.78992630674322384</v>
      </c>
      <c r="N541">
        <f>+N538+M541</f>
        <v>-14.141373220914081</v>
      </c>
    </row>
    <row r="542" spans="1:14">
      <c r="A542" s="15">
        <v>6</v>
      </c>
      <c r="B542" s="78">
        <v>41808</v>
      </c>
      <c r="C542" s="15">
        <v>2014</v>
      </c>
      <c r="D542" s="11" t="s">
        <v>32</v>
      </c>
      <c r="E542" s="15">
        <v>6</v>
      </c>
      <c r="F542" s="38">
        <v>4.5490000000000004</v>
      </c>
      <c r="G542" s="18">
        <v>0.32144287500000002</v>
      </c>
    </row>
    <row r="543" spans="1:14">
      <c r="A543" s="15">
        <v>8</v>
      </c>
      <c r="B543" s="78">
        <v>41807</v>
      </c>
      <c r="C543" s="15">
        <v>2014</v>
      </c>
      <c r="D543" s="11" t="s">
        <v>32</v>
      </c>
      <c r="E543" s="15">
        <v>6</v>
      </c>
      <c r="F543" s="38">
        <v>2.823</v>
      </c>
      <c r="G543" s="18">
        <v>5.6033624999999997E-2</v>
      </c>
    </row>
    <row r="544" spans="1:14">
      <c r="A544" s="15">
        <v>15</v>
      </c>
      <c r="B544" s="78">
        <v>41807</v>
      </c>
      <c r="C544" s="15">
        <v>2014</v>
      </c>
      <c r="D544" s="11" t="s">
        <v>32</v>
      </c>
      <c r="E544" s="15">
        <v>6</v>
      </c>
      <c r="F544" s="38">
        <v>2.129</v>
      </c>
      <c r="G544" s="18">
        <v>5.5231499999999996E-2</v>
      </c>
      <c r="I544" s="18">
        <f>AVERAGE(F542:F544)</f>
        <v>3.1669999999999998</v>
      </c>
      <c r="J544" s="18">
        <f>AVERAGE(G542:G544)</f>
        <v>0.144236</v>
      </c>
      <c r="L544">
        <f>+J544/I544</f>
        <v>4.5543416482475535E-2</v>
      </c>
      <c r="M544">
        <f>+(L544-$L$927)/$L$928</f>
        <v>0.64972704966891592</v>
      </c>
      <c r="N544">
        <f>+N541+M544</f>
        <v>-13.491646171245165</v>
      </c>
    </row>
    <row r="545" spans="1:14">
      <c r="A545" s="15">
        <v>6</v>
      </c>
      <c r="B545" s="78">
        <v>41834</v>
      </c>
      <c r="C545" s="15">
        <v>2014</v>
      </c>
      <c r="D545" s="11" t="s">
        <v>33</v>
      </c>
      <c r="E545" s="15">
        <v>7</v>
      </c>
      <c r="F545" s="38">
        <v>1.706</v>
      </c>
      <c r="G545" s="18">
        <v>0.22016137499999999</v>
      </c>
    </row>
    <row r="546" spans="1:14">
      <c r="A546" s="15">
        <v>8</v>
      </c>
      <c r="B546" s="78">
        <v>41837</v>
      </c>
      <c r="C546" s="15">
        <v>2014</v>
      </c>
      <c r="D546" s="11" t="s">
        <v>33</v>
      </c>
      <c r="E546" s="15">
        <v>7</v>
      </c>
      <c r="F546" s="38">
        <v>2.9140000000000001</v>
      </c>
      <c r="G546" s="18">
        <v>0.15629937500000002</v>
      </c>
    </row>
    <row r="547" spans="1:14">
      <c r="A547" s="15">
        <v>15</v>
      </c>
      <c r="B547" s="78">
        <v>41837</v>
      </c>
      <c r="C547" s="15">
        <v>2014</v>
      </c>
      <c r="D547" s="11" t="s">
        <v>33</v>
      </c>
      <c r="E547" s="15">
        <v>7</v>
      </c>
      <c r="F547" s="38">
        <v>3.3260000000000001</v>
      </c>
      <c r="G547" s="18">
        <v>0.13892699999999997</v>
      </c>
      <c r="I547" s="18">
        <f>AVERAGE(F545:F547)</f>
        <v>2.6486666666666667</v>
      </c>
      <c r="J547" s="18">
        <f>AVERAGE(G545:G547)</f>
        <v>0.17179591666666663</v>
      </c>
      <c r="L547">
        <f>+J547/I547</f>
        <v>6.4861282406242116E-2</v>
      </c>
      <c r="M547">
        <f>+(L547-$L$927)/$L$928</f>
        <v>1.2603758034041908</v>
      </c>
      <c r="N547">
        <f>+N544+M547</f>
        <v>-12.231270367840974</v>
      </c>
    </row>
    <row r="548" spans="1:14">
      <c r="A548" s="15">
        <v>6</v>
      </c>
      <c r="B548" s="78">
        <v>41862</v>
      </c>
      <c r="C548" s="15">
        <v>2014</v>
      </c>
      <c r="D548" s="11" t="s">
        <v>34</v>
      </c>
      <c r="E548" s="15">
        <v>8</v>
      </c>
      <c r="F548" s="38">
        <v>2.972</v>
      </c>
      <c r="G548" s="18">
        <v>0.32487799999999994</v>
      </c>
    </row>
    <row r="549" spans="1:14">
      <c r="A549" s="15">
        <v>8</v>
      </c>
      <c r="B549" s="78">
        <v>41862</v>
      </c>
      <c r="C549" s="15">
        <v>2014</v>
      </c>
      <c r="D549" s="11" t="s">
        <v>34</v>
      </c>
      <c r="E549" s="15">
        <v>8</v>
      </c>
      <c r="F549" s="38">
        <v>4.1749999999999998</v>
      </c>
      <c r="G549" s="18">
        <v>7.7050999999999994E-2</v>
      </c>
    </row>
    <row r="550" spans="1:14">
      <c r="A550" s="15">
        <v>15</v>
      </c>
      <c r="B550" s="78">
        <v>41862</v>
      </c>
      <c r="C550" s="15">
        <v>2014</v>
      </c>
      <c r="D550" s="11" t="s">
        <v>34</v>
      </c>
      <c r="E550" s="15">
        <v>8</v>
      </c>
      <c r="F550" s="38">
        <v>1.121</v>
      </c>
      <c r="G550" s="18">
        <v>3.4140875000000001E-2</v>
      </c>
      <c r="I550" s="18">
        <f>AVERAGE(F548:F550)</f>
        <v>2.7560000000000002</v>
      </c>
      <c r="J550" s="18">
        <f>AVERAGE(G548:G550)</f>
        <v>0.14535662499999999</v>
      </c>
      <c r="L550">
        <f>+J550/I550</f>
        <v>5.2741881349782284E-2</v>
      </c>
      <c r="M550">
        <f>+(L550-$L$927)/$L$928</f>
        <v>0.87727462751083474</v>
      </c>
      <c r="N550">
        <f>+N547+M550</f>
        <v>-11.35399574033014</v>
      </c>
    </row>
    <row r="551" spans="1:14">
      <c r="A551" s="15">
        <v>6</v>
      </c>
      <c r="B551" s="78">
        <v>41898</v>
      </c>
      <c r="C551" s="15">
        <v>2014</v>
      </c>
      <c r="D551" s="11" t="s">
        <v>40</v>
      </c>
      <c r="E551" s="15">
        <v>9</v>
      </c>
      <c r="F551" s="38">
        <v>3.35</v>
      </c>
      <c r="G551" s="18">
        <v>0.25814900000000002</v>
      </c>
    </row>
    <row r="552" spans="1:14">
      <c r="A552" s="15">
        <v>8</v>
      </c>
      <c r="B552" s="78">
        <v>41897</v>
      </c>
      <c r="C552" s="15">
        <v>2014</v>
      </c>
      <c r="D552" s="11" t="s">
        <v>40</v>
      </c>
      <c r="E552" s="15">
        <v>9</v>
      </c>
      <c r="F552" s="38">
        <v>1.718</v>
      </c>
      <c r="G552" s="18">
        <v>3.4482499999999999E-2</v>
      </c>
    </row>
    <row r="553" spans="1:14">
      <c r="A553" s="15">
        <v>15</v>
      </c>
      <c r="B553" s="78">
        <v>41897</v>
      </c>
      <c r="C553" s="15">
        <v>2014</v>
      </c>
      <c r="D553" s="11" t="s">
        <v>40</v>
      </c>
      <c r="E553" s="15">
        <v>9</v>
      </c>
      <c r="F553" s="38">
        <v>1.7669999999999999</v>
      </c>
      <c r="G553" s="18">
        <v>0</v>
      </c>
      <c r="I553" s="18">
        <f>AVERAGE(F551:F553)</f>
        <v>2.2783333333333329</v>
      </c>
      <c r="J553" s="18">
        <f>AVERAGE(G551:G553)</f>
        <v>9.7543833333333343E-2</v>
      </c>
      <c r="L553">
        <f>+J553/I553</f>
        <v>4.281367959034383E-2</v>
      </c>
      <c r="M553">
        <f>+(L553-$L$927)/$L$928</f>
        <v>0.56343851045948679</v>
      </c>
      <c r="N553">
        <f>+N550+M553</f>
        <v>-10.790557229870654</v>
      </c>
    </row>
    <row r="554" spans="1:14">
      <c r="A554" s="15">
        <v>6</v>
      </c>
      <c r="B554" s="78">
        <v>41929</v>
      </c>
      <c r="C554" s="15">
        <v>2014</v>
      </c>
      <c r="D554" s="11" t="s">
        <v>36</v>
      </c>
      <c r="E554" s="15">
        <v>10</v>
      </c>
      <c r="F554" s="26">
        <v>1.51</v>
      </c>
      <c r="G554" s="18">
        <v>1.6669E-2</v>
      </c>
    </row>
    <row r="555" spans="1:14">
      <c r="A555" s="15">
        <v>8</v>
      </c>
      <c r="B555" s="78">
        <v>41928</v>
      </c>
      <c r="C555" s="15">
        <v>2014</v>
      </c>
      <c r="D555" s="11" t="s">
        <v>36</v>
      </c>
      <c r="E555" s="15">
        <v>10</v>
      </c>
      <c r="F555" s="26">
        <v>1.224</v>
      </c>
      <c r="G555" s="18">
        <v>0</v>
      </c>
    </row>
    <row r="556" spans="1:14">
      <c r="A556" s="15">
        <v>15</v>
      </c>
      <c r="B556" s="78">
        <v>41928</v>
      </c>
      <c r="C556" s="15">
        <v>2014</v>
      </c>
      <c r="D556" s="11" t="s">
        <v>36</v>
      </c>
      <c r="E556" s="15">
        <v>10</v>
      </c>
      <c r="F556" s="26">
        <v>2.0169999999999999</v>
      </c>
      <c r="G556" s="18">
        <v>2.2946874999999999E-2</v>
      </c>
      <c r="I556" s="18">
        <f>AVERAGE(F554:F556)</f>
        <v>1.5836666666666666</v>
      </c>
      <c r="J556" s="18">
        <f>AVERAGE(G554:G556)</f>
        <v>1.3205291666666666E-2</v>
      </c>
      <c r="L556">
        <f>+J556/I556</f>
        <v>8.3384287518417175E-3</v>
      </c>
      <c r="M556">
        <f>+(L556-$L$927)/$L$928</f>
        <v>-0.52634382069034813</v>
      </c>
      <c r="N556">
        <f>+N553+M556</f>
        <v>-11.316901050561002</v>
      </c>
    </row>
    <row r="557" spans="1:14">
      <c r="A557" s="15">
        <v>6</v>
      </c>
      <c r="B557" s="78">
        <v>41953</v>
      </c>
      <c r="C557" s="15">
        <v>2014</v>
      </c>
      <c r="D557" s="11" t="s">
        <v>37</v>
      </c>
      <c r="E557" s="15">
        <v>11</v>
      </c>
      <c r="F557" s="26">
        <v>3.0049999999999999</v>
      </c>
      <c r="G557" s="18">
        <v>6.1075874999999995E-2</v>
      </c>
    </row>
    <row r="558" spans="1:14">
      <c r="A558" s="15">
        <v>8</v>
      </c>
      <c r="B558" s="78">
        <v>41955</v>
      </c>
      <c r="C558" s="15">
        <v>2014</v>
      </c>
      <c r="D558" s="11" t="s">
        <v>37</v>
      </c>
      <c r="E558" s="15">
        <v>11</v>
      </c>
      <c r="F558" s="26">
        <v>0.77900000000000003</v>
      </c>
      <c r="G558" s="18">
        <v>0</v>
      </c>
    </row>
    <row r="559" spans="1:14">
      <c r="A559" s="15">
        <v>15</v>
      </c>
      <c r="B559" s="78">
        <v>41955</v>
      </c>
      <c r="C559" s="15">
        <v>2014</v>
      </c>
      <c r="D559" s="11" t="s">
        <v>37</v>
      </c>
      <c r="E559" s="15">
        <v>11</v>
      </c>
      <c r="F559" s="26">
        <v>1.903</v>
      </c>
      <c r="G559" s="18">
        <v>4.5334625000000003E-2</v>
      </c>
      <c r="I559" s="18">
        <f>AVERAGE(F557:F559)</f>
        <v>1.8956666666666664</v>
      </c>
      <c r="J559" s="18">
        <f>AVERAGE(G557:G559)</f>
        <v>3.5470166666666664E-2</v>
      </c>
      <c r="L559">
        <f>+J559/I559</f>
        <v>1.8711183400738528E-2</v>
      </c>
      <c r="M559">
        <f>+(L559-$L$927)/$L$928</f>
        <v>-0.19845513339193266</v>
      </c>
      <c r="N559">
        <f>+N556+M559</f>
        <v>-11.515356183952935</v>
      </c>
    </row>
    <row r="560" spans="1:14">
      <c r="A560" s="15">
        <v>6</v>
      </c>
      <c r="B560" s="78">
        <v>41988</v>
      </c>
      <c r="C560" s="15">
        <v>2014</v>
      </c>
      <c r="D560" s="11" t="s">
        <v>38</v>
      </c>
      <c r="E560" s="15">
        <v>12</v>
      </c>
      <c r="F560" s="26">
        <v>3.819</v>
      </c>
      <c r="G560" s="18">
        <v>0.23277450000000002</v>
      </c>
    </row>
    <row r="561" spans="1:14">
      <c r="A561" s="15">
        <v>8</v>
      </c>
      <c r="B561" s="78">
        <v>41992</v>
      </c>
      <c r="C561" s="15">
        <v>2014</v>
      </c>
      <c r="D561" s="11" t="s">
        <v>38</v>
      </c>
      <c r="E561" s="15">
        <v>12</v>
      </c>
      <c r="F561" s="26">
        <v>1.2869999999999999</v>
      </c>
      <c r="G561" s="18">
        <v>0.11462237499999998</v>
      </c>
    </row>
    <row r="562" spans="1:14">
      <c r="A562" s="15">
        <v>15</v>
      </c>
      <c r="B562" s="78">
        <v>41992</v>
      </c>
      <c r="C562" s="15">
        <v>2014</v>
      </c>
      <c r="D562" s="11" t="s">
        <v>38</v>
      </c>
      <c r="E562" s="15">
        <v>12</v>
      </c>
      <c r="F562" s="26">
        <v>2.2200000000000002</v>
      </c>
      <c r="G562" s="18">
        <v>0.11047999999999999</v>
      </c>
      <c r="I562" s="18">
        <f>AVERAGE(F560:F562)</f>
        <v>2.4420000000000002</v>
      </c>
      <c r="J562" s="18">
        <f>AVERAGE(G560:G562)</f>
        <v>0.15262562499999999</v>
      </c>
      <c r="L562">
        <f>+J562/I562</f>
        <v>6.2500255937755933E-2</v>
      </c>
      <c r="M562">
        <f>+(L562-$L$927)/$L$928</f>
        <v>1.185742410864526</v>
      </c>
      <c r="N562">
        <f>+N559+M562</f>
        <v>-10.329613773088409</v>
      </c>
    </row>
    <row r="563" spans="1:14">
      <c r="A563" s="8">
        <v>6</v>
      </c>
      <c r="B563" s="73">
        <v>42014</v>
      </c>
      <c r="E563" s="10">
        <v>1</v>
      </c>
      <c r="F563" s="83">
        <v>3.9870000000000001</v>
      </c>
      <c r="G563" s="84">
        <v>4.4999999999999998E-2</v>
      </c>
    </row>
    <row r="564" spans="1:14">
      <c r="A564" s="8">
        <v>8</v>
      </c>
      <c r="B564" s="73">
        <v>42009</v>
      </c>
      <c r="E564" s="10">
        <v>1</v>
      </c>
      <c r="F564" s="83">
        <v>4.7270000000000003</v>
      </c>
      <c r="G564" s="84">
        <v>4.5999999999999999E-2</v>
      </c>
    </row>
    <row r="565" spans="1:14">
      <c r="A565" s="8">
        <v>15</v>
      </c>
      <c r="B565" s="73">
        <v>42009</v>
      </c>
      <c r="E565" s="10">
        <v>1</v>
      </c>
      <c r="F565" s="83">
        <v>1.9930000000000001</v>
      </c>
      <c r="G565" s="84">
        <v>0.13200000000000001</v>
      </c>
      <c r="I565" s="18">
        <f>AVERAGE(F563:F565)</f>
        <v>3.5690000000000004</v>
      </c>
      <c r="J565" s="18">
        <f>AVERAGE(G563:G565)</f>
        <v>7.4333333333333335E-2</v>
      </c>
      <c r="L565">
        <f>+J565/I565</f>
        <v>2.0827496030634163E-2</v>
      </c>
      <c r="M565">
        <f>+(L565-$L$927)/$L$928</f>
        <v>-0.13155728478588877</v>
      </c>
      <c r="N565">
        <f>+N562+M565</f>
        <v>-10.461171057874298</v>
      </c>
    </row>
    <row r="566" spans="1:14">
      <c r="A566" s="8">
        <v>6</v>
      </c>
      <c r="B566" s="74">
        <v>42036</v>
      </c>
      <c r="E566" s="12">
        <v>2</v>
      </c>
    </row>
    <row r="567" spans="1:14">
      <c r="A567" s="8">
        <v>8</v>
      </c>
      <c r="B567" s="74">
        <v>42036</v>
      </c>
      <c r="E567" s="12">
        <v>2</v>
      </c>
    </row>
    <row r="568" spans="1:14">
      <c r="A568" s="8">
        <v>15</v>
      </c>
      <c r="B568" s="74">
        <v>42036</v>
      </c>
      <c r="E568" s="12">
        <v>2</v>
      </c>
      <c r="I568" s="18"/>
      <c r="J568" s="18"/>
    </row>
    <row r="569" spans="1:14">
      <c r="A569" s="8">
        <v>6</v>
      </c>
      <c r="B569" s="74">
        <v>42064</v>
      </c>
      <c r="E569" s="12">
        <v>3</v>
      </c>
      <c r="F569" s="83">
        <v>10.461</v>
      </c>
      <c r="G569" s="84">
        <v>0.14699999999999999</v>
      </c>
    </row>
    <row r="570" spans="1:14">
      <c r="A570" s="8">
        <v>8</v>
      </c>
      <c r="B570" s="74">
        <v>42064</v>
      </c>
      <c r="E570" s="12">
        <v>3</v>
      </c>
      <c r="F570" s="83">
        <v>9.5190000000000001</v>
      </c>
      <c r="G570" s="84">
        <v>5.3999999999999999E-2</v>
      </c>
    </row>
    <row r="571" spans="1:14">
      <c r="A571" s="8">
        <v>15</v>
      </c>
      <c r="B571" s="74">
        <v>42064</v>
      </c>
      <c r="E571" s="12">
        <v>3</v>
      </c>
      <c r="F571" s="83">
        <v>7.3259999999999996</v>
      </c>
      <c r="G571" s="84">
        <v>0.112</v>
      </c>
      <c r="I571" s="18">
        <f>AVERAGE(F569:F571)</f>
        <v>9.1020000000000003</v>
      </c>
      <c r="J571" s="18">
        <f>AVERAGE(G569:G571)</f>
        <v>0.10433333333333333</v>
      </c>
      <c r="L571">
        <f>+J571/I571</f>
        <v>1.1462682194389512E-2</v>
      </c>
      <c r="M571">
        <f>+(L571-$L$927)/$L$928</f>
        <v>-0.42758438843350766</v>
      </c>
      <c r="N571">
        <f>+N565+M571</f>
        <v>-10.888755446307805</v>
      </c>
    </row>
    <row r="572" spans="1:14">
      <c r="A572" s="8">
        <v>6</v>
      </c>
      <c r="B572" s="74">
        <v>42095</v>
      </c>
      <c r="E572" s="12">
        <v>4</v>
      </c>
      <c r="F572" s="83">
        <v>3.7189999999999999</v>
      </c>
      <c r="G572" s="84">
        <v>9.9000000000000005E-2</v>
      </c>
    </row>
    <row r="573" spans="1:14">
      <c r="A573" s="8">
        <v>8</v>
      </c>
      <c r="B573" s="74">
        <v>42095</v>
      </c>
      <c r="E573" s="12">
        <v>4</v>
      </c>
      <c r="F573" s="83">
        <v>0.97899999999999998</v>
      </c>
      <c r="G573" s="84">
        <v>0.01</v>
      </c>
    </row>
    <row r="574" spans="1:14">
      <c r="A574" s="8">
        <v>15</v>
      </c>
      <c r="B574" s="74">
        <v>42095</v>
      </c>
      <c r="E574" s="12">
        <v>4</v>
      </c>
      <c r="F574" s="83">
        <v>1.6140000000000001</v>
      </c>
      <c r="G574" s="84">
        <v>5.7000000000000002E-2</v>
      </c>
      <c r="I574" s="18">
        <f>AVERAGE(F572:F574)</f>
        <v>2.1039999999999996</v>
      </c>
      <c r="J574" s="18">
        <f>AVERAGE(G572:G574)</f>
        <v>5.5333333333333339E-2</v>
      </c>
      <c r="L574">
        <f>+J574/I574</f>
        <v>2.6299112801013949E-2</v>
      </c>
      <c r="M574">
        <f>+(L574-$L$927)/$L$928</f>
        <v>4.14036403460512E-2</v>
      </c>
      <c r="N574">
        <f>+N571+M574</f>
        <v>-10.847351805961754</v>
      </c>
    </row>
    <row r="575" spans="1:14">
      <c r="A575" s="8">
        <v>6</v>
      </c>
      <c r="B575" s="74">
        <v>42125</v>
      </c>
      <c r="E575" s="12">
        <v>5</v>
      </c>
      <c r="F575" s="83">
        <v>4.6970000000000001</v>
      </c>
      <c r="G575" s="84">
        <v>1.825</v>
      </c>
    </row>
    <row r="576" spans="1:14">
      <c r="A576" s="8">
        <v>8</v>
      </c>
      <c r="B576" s="74">
        <v>42125</v>
      </c>
      <c r="E576" s="12">
        <v>5</v>
      </c>
      <c r="F576" s="83">
        <v>2.3340000000000001</v>
      </c>
      <c r="G576" s="84">
        <v>0.02</v>
      </c>
    </row>
    <row r="577" spans="1:14">
      <c r="A577" s="8">
        <v>15</v>
      </c>
      <c r="B577" s="74">
        <v>42125</v>
      </c>
      <c r="E577" s="12">
        <v>5</v>
      </c>
      <c r="F577" s="83">
        <v>3.5310000000000001</v>
      </c>
      <c r="G577" s="84">
        <v>1.3620000000000001</v>
      </c>
      <c r="I577" s="18">
        <f>AVERAGE(F575:F577)</f>
        <v>3.5206666666666671</v>
      </c>
      <c r="J577" s="18">
        <f>AVERAGE(G575:G577)</f>
        <v>1.069</v>
      </c>
      <c r="L577">
        <f>+J577/I577</f>
        <v>0.30363567506154132</v>
      </c>
      <c r="M577">
        <f>+(L577-$L$927)/$L$928</f>
        <v>8.8081704653119708</v>
      </c>
      <c r="N577">
        <f>+N574+M577</f>
        <v>-2.0391813406497832</v>
      </c>
    </row>
    <row r="578" spans="1:14">
      <c r="A578" s="8">
        <v>6</v>
      </c>
      <c r="B578" s="74">
        <v>42156</v>
      </c>
      <c r="E578" s="12">
        <v>6</v>
      </c>
      <c r="F578" s="83">
        <v>3.234</v>
      </c>
      <c r="G578" s="84">
        <v>0.30599999999999999</v>
      </c>
    </row>
    <row r="579" spans="1:14">
      <c r="A579" s="8">
        <v>8</v>
      </c>
      <c r="B579" s="74">
        <v>42156</v>
      </c>
      <c r="E579" s="12">
        <v>6</v>
      </c>
      <c r="F579" s="83">
        <v>4.1740000000000004</v>
      </c>
      <c r="G579" s="84">
        <v>8.7999999999999995E-2</v>
      </c>
    </row>
    <row r="580" spans="1:14">
      <c r="A580" s="8">
        <v>15</v>
      </c>
      <c r="B580" s="74">
        <v>42156</v>
      </c>
      <c r="E580" s="12">
        <v>6</v>
      </c>
      <c r="F580" s="83">
        <v>1.8779999999999999</v>
      </c>
      <c r="G580" s="84">
        <v>5.0999999999999997E-2</v>
      </c>
      <c r="I580" s="18">
        <f>AVERAGE(F578:F580)</f>
        <v>3.095333333333333</v>
      </c>
      <c r="J580" s="18">
        <f>AVERAGE(G578:G580)</f>
        <v>0.14833333333333334</v>
      </c>
      <c r="L580">
        <f>+J580/I580</f>
        <v>4.7921602412233477E-2</v>
      </c>
      <c r="M580">
        <f>+(L580-$L$927)/$L$928</f>
        <v>0.72490286256089698</v>
      </c>
      <c r="N580">
        <f>+N577+M580</f>
        <v>-1.3142784780888861</v>
      </c>
    </row>
    <row r="581" spans="1:14">
      <c r="A581" s="8">
        <v>6</v>
      </c>
      <c r="B581" s="74">
        <v>42186</v>
      </c>
      <c r="E581" s="12">
        <v>7</v>
      </c>
      <c r="F581" s="83">
        <v>7.84</v>
      </c>
      <c r="G581" s="84">
        <v>0.39300000000000002</v>
      </c>
    </row>
    <row r="582" spans="1:14">
      <c r="A582" s="8">
        <v>8</v>
      </c>
      <c r="B582" s="74">
        <v>42186</v>
      </c>
      <c r="E582" s="12">
        <v>7</v>
      </c>
      <c r="F582" s="83">
        <v>1.8819999999999999</v>
      </c>
      <c r="G582" s="84">
        <v>4.1000000000000002E-2</v>
      </c>
    </row>
    <row r="583" spans="1:14">
      <c r="A583" s="8">
        <v>15</v>
      </c>
      <c r="B583" s="74">
        <v>42186</v>
      </c>
      <c r="E583" s="12">
        <v>7</v>
      </c>
      <c r="F583" s="83">
        <v>2.536</v>
      </c>
      <c r="G583" s="84">
        <v>0.121</v>
      </c>
      <c r="I583" s="18">
        <f>AVERAGE(F581:F583)</f>
        <v>4.0859999999999994</v>
      </c>
      <c r="J583" s="18">
        <f>AVERAGE(G581:G583)</f>
        <v>0.18499999999999997</v>
      </c>
      <c r="L583">
        <f>+J583/I583</f>
        <v>4.5276554087126775E-2</v>
      </c>
      <c r="M583">
        <f>+(L583-$L$927)/$L$928</f>
        <v>0.64129137723068641</v>
      </c>
      <c r="N583">
        <f>+N580+M583</f>
        <v>-0.67298710085819968</v>
      </c>
    </row>
    <row r="584" spans="1:14">
      <c r="A584" s="8">
        <v>6</v>
      </c>
      <c r="B584" s="74">
        <v>42217</v>
      </c>
      <c r="E584" s="12">
        <v>8</v>
      </c>
      <c r="F584" s="83">
        <v>5.6269999999999998</v>
      </c>
      <c r="G584" s="84">
        <v>0.16500000000000001</v>
      </c>
    </row>
    <row r="585" spans="1:14">
      <c r="A585" s="8">
        <v>8</v>
      </c>
      <c r="B585" s="74">
        <v>42217</v>
      </c>
      <c r="E585" s="12">
        <v>8</v>
      </c>
      <c r="F585" s="83">
        <v>8.9949999999999992</v>
      </c>
      <c r="G585" s="84">
        <v>2.9750000000000001</v>
      </c>
    </row>
    <row r="586" spans="1:14">
      <c r="A586" s="8">
        <v>15</v>
      </c>
      <c r="B586" s="74">
        <v>42217</v>
      </c>
      <c r="E586" s="12">
        <v>8</v>
      </c>
      <c r="F586" s="83">
        <v>6.1379999999999999</v>
      </c>
      <c r="G586" s="84">
        <v>0.85599999999999998</v>
      </c>
      <c r="I586" s="18">
        <f>AVERAGE(F584:F586)</f>
        <v>6.919999999999999</v>
      </c>
      <c r="J586" s="18">
        <f>AVERAGE(G584:G586)</f>
        <v>1.3320000000000001</v>
      </c>
      <c r="L586">
        <f>+J586/I586</f>
        <v>0.19248554913294802</v>
      </c>
      <c r="M586">
        <f>+(L586-$L$927)/$L$928</f>
        <v>5.2946516251014684</v>
      </c>
      <c r="N586">
        <f>+N583+M586</f>
        <v>4.6216645242432683</v>
      </c>
    </row>
    <row r="587" spans="1:14">
      <c r="A587" s="8">
        <v>6</v>
      </c>
      <c r="B587" s="74">
        <v>42248</v>
      </c>
      <c r="E587" s="12">
        <v>9</v>
      </c>
      <c r="F587" s="83">
        <v>10.029999999999999</v>
      </c>
      <c r="G587" s="84">
        <v>5.7000000000000002E-2</v>
      </c>
    </row>
    <row r="588" spans="1:14">
      <c r="A588" s="8">
        <v>8</v>
      </c>
      <c r="B588" s="74">
        <v>42248</v>
      </c>
      <c r="E588" s="12">
        <v>9</v>
      </c>
      <c r="F588" s="83">
        <v>2.4670000000000001</v>
      </c>
      <c r="G588" s="84">
        <v>9.9989999999999996E-4</v>
      </c>
    </row>
    <row r="589" spans="1:14">
      <c r="A589" s="8">
        <v>15</v>
      </c>
      <c r="B589" s="74">
        <v>42248</v>
      </c>
      <c r="E589" s="12">
        <v>9</v>
      </c>
      <c r="F589" s="83">
        <v>7.7430000000000003</v>
      </c>
      <c r="G589" s="84">
        <v>0.10299999999999999</v>
      </c>
      <c r="I589" s="18">
        <f>AVERAGE(F587:F589)</f>
        <v>6.746666666666667</v>
      </c>
      <c r="J589" s="18">
        <f>AVERAGE(G587:G589)</f>
        <v>5.3666633333333331E-2</v>
      </c>
      <c r="L589">
        <f>+J589/I589</f>
        <v>7.9545405138339922E-3</v>
      </c>
      <c r="M589">
        <f>+(L589-$L$927)/$L$928</f>
        <v>-0.53847874672400708</v>
      </c>
      <c r="N589">
        <f>+N586+M589</f>
        <v>4.0831857775192617</v>
      </c>
    </row>
    <row r="590" spans="1:14">
      <c r="A590" s="8">
        <v>6</v>
      </c>
      <c r="B590" s="74">
        <v>42278</v>
      </c>
      <c r="E590" s="12">
        <v>10</v>
      </c>
      <c r="F590" s="83">
        <v>6.0460000000000003</v>
      </c>
      <c r="G590" s="84">
        <v>0.24099999999999999</v>
      </c>
    </row>
    <row r="591" spans="1:14">
      <c r="A591" s="8">
        <v>8</v>
      </c>
      <c r="B591" s="74">
        <v>42278</v>
      </c>
      <c r="E591" s="12">
        <v>10</v>
      </c>
      <c r="F591" s="83">
        <v>1.417</v>
      </c>
      <c r="G591" s="84">
        <v>8.9999999999999993E-3</v>
      </c>
    </row>
    <row r="592" spans="1:14">
      <c r="A592" s="8">
        <v>15</v>
      </c>
      <c r="B592" s="74">
        <v>42278</v>
      </c>
      <c r="E592" s="12">
        <v>10</v>
      </c>
      <c r="F592" s="83">
        <v>7.5430000000000001</v>
      </c>
      <c r="G592" s="84">
        <v>0.56100000000000005</v>
      </c>
      <c r="I592" s="18">
        <f>AVERAGE(F590:F592)</f>
        <v>5.0019999999999998</v>
      </c>
      <c r="J592" s="18">
        <f>AVERAGE(G590:G592)</f>
        <v>0.27033333333333337</v>
      </c>
      <c r="L592">
        <f>+J592/I592</f>
        <v>5.4045048647207793E-2</v>
      </c>
      <c r="M592">
        <f>+(L592-$L$927)/$L$928</f>
        <v>0.91846848863513297</v>
      </c>
      <c r="N592">
        <f>+N589+M592</f>
        <v>5.0016542661543948</v>
      </c>
    </row>
    <row r="593" spans="1:14">
      <c r="A593" s="8">
        <v>6</v>
      </c>
      <c r="B593" s="74">
        <v>42309</v>
      </c>
      <c r="E593" s="12">
        <v>11</v>
      </c>
      <c r="F593" s="83">
        <v>0.97499999999999998</v>
      </c>
      <c r="G593" s="84">
        <v>3.6999999999999998E-2</v>
      </c>
    </row>
    <row r="594" spans="1:14">
      <c r="A594" s="8">
        <v>8</v>
      </c>
      <c r="B594" s="74">
        <v>42309</v>
      </c>
      <c r="E594" s="12">
        <v>11</v>
      </c>
      <c r="F594" s="83">
        <v>0.56899999999999995</v>
      </c>
      <c r="G594" s="85">
        <v>1.0999999999999999E-2</v>
      </c>
    </row>
    <row r="595" spans="1:14">
      <c r="A595" s="8">
        <v>15</v>
      </c>
      <c r="B595" s="74">
        <v>42309</v>
      </c>
      <c r="E595" s="12">
        <v>11</v>
      </c>
      <c r="F595" s="83">
        <v>2.7330000000000001</v>
      </c>
      <c r="G595" s="84">
        <v>0.109</v>
      </c>
      <c r="I595" s="18">
        <f>AVERAGE(F593:F595)</f>
        <v>1.4256666666666666</v>
      </c>
      <c r="J595" s="18">
        <f>AVERAGE(G593:G595)</f>
        <v>5.2333333333333336E-2</v>
      </c>
      <c r="L595">
        <f>+J595/I595</f>
        <v>3.6707972878185648E-2</v>
      </c>
      <c r="M595">
        <f>+(L595-$L$927)/$L$928</f>
        <v>0.37043364081364094</v>
      </c>
      <c r="N595">
        <f>+N592+M595</f>
        <v>5.3720879069680354</v>
      </c>
    </row>
    <row r="596" spans="1:14">
      <c r="A596" s="8">
        <v>6</v>
      </c>
      <c r="B596" s="75">
        <v>42339</v>
      </c>
      <c r="E596" s="12">
        <v>12</v>
      </c>
      <c r="F596" s="83">
        <v>3.2559999999999998</v>
      </c>
      <c r="G596" s="84">
        <v>0.109</v>
      </c>
    </row>
    <row r="597" spans="1:14">
      <c r="A597" s="8">
        <v>8</v>
      </c>
      <c r="B597" s="74">
        <v>42339</v>
      </c>
      <c r="E597" s="12">
        <v>12</v>
      </c>
      <c r="F597" s="83">
        <v>0.64300000000000002</v>
      </c>
      <c r="G597" s="84">
        <v>1.7000000000000001E-2</v>
      </c>
    </row>
    <row r="598" spans="1:14">
      <c r="A598" s="8">
        <v>15</v>
      </c>
      <c r="B598" s="74">
        <v>42339</v>
      </c>
      <c r="E598" s="12">
        <v>12</v>
      </c>
      <c r="F598" s="83">
        <v>2.294</v>
      </c>
      <c r="G598" s="84">
        <v>0.13800000000000001</v>
      </c>
      <c r="I598" s="18">
        <f>AVERAGE(F596:F598)</f>
        <v>2.0643333333333334</v>
      </c>
      <c r="J598" s="18">
        <f>AVERAGE(G596:G598)</f>
        <v>8.8000000000000009E-2</v>
      </c>
      <c r="L598">
        <f>+J598/I598</f>
        <v>4.2628774422735348E-2</v>
      </c>
      <c r="M598">
        <f>+(L598-$L$927)/$L$928</f>
        <v>0.55759355270872313</v>
      </c>
      <c r="N598">
        <f>+N595+M598</f>
        <v>5.9296814596767584</v>
      </c>
    </row>
    <row r="599" spans="1:14">
      <c r="A599" s="8">
        <v>6</v>
      </c>
      <c r="B599" s="73">
        <v>42379</v>
      </c>
      <c r="E599" s="10">
        <v>1</v>
      </c>
      <c r="F599" s="86">
        <v>3.8580000000000001</v>
      </c>
      <c r="G599" s="86">
        <v>2.3E-2</v>
      </c>
    </row>
    <row r="600" spans="1:14">
      <c r="A600" s="8">
        <v>8</v>
      </c>
      <c r="B600" s="73">
        <v>42374</v>
      </c>
      <c r="E600" s="10">
        <v>1</v>
      </c>
      <c r="F600" s="86">
        <v>1.9019999999999999</v>
      </c>
      <c r="G600" s="86">
        <v>7.9000000000000001E-2</v>
      </c>
    </row>
    <row r="601" spans="1:14">
      <c r="A601" s="8">
        <v>15</v>
      </c>
      <c r="B601" s="73">
        <v>42374</v>
      </c>
      <c r="E601" s="10">
        <v>1</v>
      </c>
      <c r="F601" s="86">
        <v>2.6739999999999999</v>
      </c>
      <c r="G601" s="86">
        <v>7.1999999999999995E-2</v>
      </c>
      <c r="I601" s="18">
        <f>AVERAGE(F599:F601)</f>
        <v>2.8113333333333332</v>
      </c>
      <c r="J601" s="18">
        <f>AVERAGE(G599:G601)</f>
        <v>5.7999999999999996E-2</v>
      </c>
      <c r="L601">
        <f>+J601/I601</f>
        <v>2.0630780175480198E-2</v>
      </c>
      <c r="M601">
        <f>+(L601-$L$927)/$L$928</f>
        <v>-0.13777558510248583</v>
      </c>
      <c r="N601">
        <f>+N598+M601</f>
        <v>5.7919058745742724</v>
      </c>
    </row>
    <row r="602" spans="1:14">
      <c r="A602" s="8">
        <v>6</v>
      </c>
      <c r="B602" s="74">
        <v>42401</v>
      </c>
      <c r="E602" s="12">
        <v>2</v>
      </c>
      <c r="F602" s="86">
        <v>2.6349999999999998</v>
      </c>
      <c r="G602" s="86">
        <v>0.129</v>
      </c>
    </row>
    <row r="603" spans="1:14">
      <c r="A603" s="8">
        <v>8</v>
      </c>
      <c r="B603" s="74">
        <v>42401</v>
      </c>
      <c r="E603" s="12">
        <v>2</v>
      </c>
      <c r="F603" s="86">
        <v>5.01</v>
      </c>
      <c r="G603" s="86">
        <v>0.47699999999999998</v>
      </c>
    </row>
    <row r="604" spans="1:14">
      <c r="A604" s="8">
        <v>15</v>
      </c>
      <c r="B604" s="74">
        <v>42401</v>
      </c>
      <c r="E604" s="12">
        <v>2</v>
      </c>
      <c r="F604" s="86">
        <v>3.0190000000000001</v>
      </c>
      <c r="G604" s="86">
        <v>0.13700000000000001</v>
      </c>
      <c r="I604" s="18">
        <f>AVERAGE(F602:F604)</f>
        <v>3.5546666666666664</v>
      </c>
      <c r="J604" s="18">
        <f>AVERAGE(G602:G604)</f>
        <v>0.24766666666666667</v>
      </c>
      <c r="L604">
        <f>+J604/I604</f>
        <v>6.967366841710429E-2</v>
      </c>
      <c r="M604">
        <f>+(L604-$L$927)/$L$928</f>
        <v>1.4124980684423092</v>
      </c>
      <c r="N604">
        <f>+N601+M604</f>
        <v>7.2044039430165814</v>
      </c>
    </row>
    <row r="605" spans="1:14">
      <c r="A605" s="8">
        <v>6</v>
      </c>
      <c r="B605" s="74">
        <v>42430</v>
      </c>
      <c r="E605" s="12">
        <v>3</v>
      </c>
      <c r="F605" s="86">
        <v>1.98</v>
      </c>
      <c r="G605" s="86">
        <v>0.23400000000000001</v>
      </c>
    </row>
    <row r="606" spans="1:14">
      <c r="A606" s="8">
        <v>8</v>
      </c>
      <c r="B606" s="74">
        <v>42430</v>
      </c>
      <c r="E606" s="12">
        <v>3</v>
      </c>
      <c r="F606" s="86">
        <v>0.80100000000000005</v>
      </c>
      <c r="G606" s="86">
        <v>2.4E-2</v>
      </c>
    </row>
    <row r="607" spans="1:14">
      <c r="A607" s="8">
        <v>15</v>
      </c>
      <c r="B607" s="74">
        <v>42430</v>
      </c>
      <c r="E607" s="12">
        <v>3</v>
      </c>
      <c r="F607" s="86">
        <v>1.99</v>
      </c>
      <c r="G607" s="86">
        <v>9.7000000000000003E-2</v>
      </c>
      <c r="I607" s="18">
        <f>AVERAGE(F605:F607)</f>
        <v>1.5903333333333334</v>
      </c>
      <c r="J607" s="18">
        <f>AVERAGE(G605:G607)</f>
        <v>0.11833333333333333</v>
      </c>
      <c r="L607">
        <f>+J607/I607</f>
        <v>7.4407880947390481E-2</v>
      </c>
      <c r="M607">
        <f>+(L607-$L$927)/$L$928</f>
        <v>1.5621492251976985</v>
      </c>
      <c r="N607">
        <f>+N604+M607</f>
        <v>8.7665531682142799</v>
      </c>
    </row>
    <row r="608" spans="1:14">
      <c r="A608" s="8">
        <v>6</v>
      </c>
      <c r="B608" s="74">
        <v>42461</v>
      </c>
      <c r="E608" s="12">
        <v>4</v>
      </c>
      <c r="F608" s="86">
        <v>4.5380000000000003</v>
      </c>
      <c r="G608" s="86">
        <v>2.8000000000000001E-2</v>
      </c>
    </row>
    <row r="609" spans="1:14">
      <c r="A609" s="8">
        <v>8</v>
      </c>
      <c r="B609" s="74">
        <v>42461</v>
      </c>
      <c r="E609" s="12">
        <v>4</v>
      </c>
      <c r="F609" s="86">
        <v>0.54300000000000004</v>
      </c>
      <c r="G609" s="86">
        <v>9.9989999999999996E-4</v>
      </c>
    </row>
    <row r="610" spans="1:14">
      <c r="A610" s="8">
        <v>15</v>
      </c>
      <c r="B610" s="74">
        <v>42461</v>
      </c>
      <c r="E610" s="12">
        <v>4</v>
      </c>
      <c r="F610" s="86">
        <v>1.58</v>
      </c>
      <c r="G610" s="86">
        <v>1.4E-2</v>
      </c>
      <c r="I610" s="18">
        <f>AVERAGE(F608:F610)</f>
        <v>2.2203333333333335</v>
      </c>
      <c r="J610" s="18">
        <f>AVERAGE(G608:G610)</f>
        <v>1.43333E-2</v>
      </c>
      <c r="L610">
        <f>+J610/I610</f>
        <v>6.4554721513286287E-3</v>
      </c>
      <c r="M610">
        <f>+(L610-$L$927)/$L$928</f>
        <v>-0.58586515218619983</v>
      </c>
      <c r="N610">
        <f>+N607+M610</f>
        <v>8.1806880160280802</v>
      </c>
    </row>
    <row r="611" spans="1:14">
      <c r="A611" s="8">
        <v>6</v>
      </c>
      <c r="B611" s="74">
        <v>42491</v>
      </c>
      <c r="E611" s="12">
        <v>5</v>
      </c>
      <c r="F611" s="86">
        <v>4.0369999999999999</v>
      </c>
      <c r="G611" s="86">
        <v>1.4E-2</v>
      </c>
    </row>
    <row r="612" spans="1:14">
      <c r="A612" s="8">
        <v>8</v>
      </c>
      <c r="B612" s="74">
        <v>42491</v>
      </c>
      <c r="E612" s="12">
        <v>5</v>
      </c>
      <c r="F612" s="86">
        <v>6.3419999999999996</v>
      </c>
      <c r="G612" s="86">
        <v>3.5000000000000003E-2</v>
      </c>
    </row>
    <row r="613" spans="1:14">
      <c r="A613" s="8">
        <v>15</v>
      </c>
      <c r="B613" s="74">
        <v>42491</v>
      </c>
      <c r="E613" s="12">
        <v>5</v>
      </c>
      <c r="F613" s="86">
        <v>9.5250000000000004</v>
      </c>
      <c r="G613" s="86">
        <v>0.215</v>
      </c>
      <c r="I613" s="18">
        <f>AVERAGE(F611:F613)</f>
        <v>6.6346666666666669</v>
      </c>
      <c r="J613" s="18">
        <f>AVERAGE(G611:G613)</f>
        <v>8.8000000000000009E-2</v>
      </c>
      <c r="L613">
        <f>+J613/I613</f>
        <v>1.3263665594855307E-2</v>
      </c>
      <c r="M613">
        <f>+(L613-$L$927)/$L$928</f>
        <v>-0.37065427651885141</v>
      </c>
      <c r="N613">
        <f>+N610+M613</f>
        <v>7.8100337395092287</v>
      </c>
    </row>
    <row r="614" spans="1:14">
      <c r="A614" s="8">
        <v>6</v>
      </c>
      <c r="B614" s="74">
        <v>42522</v>
      </c>
      <c r="E614" s="12">
        <v>6</v>
      </c>
      <c r="F614" s="86">
        <v>10.295999999999999</v>
      </c>
      <c r="G614" s="86">
        <v>0.33100000000000002</v>
      </c>
    </row>
    <row r="615" spans="1:14">
      <c r="A615" s="8">
        <v>8</v>
      </c>
      <c r="B615" s="74">
        <v>42522</v>
      </c>
      <c r="E615" s="12">
        <v>6</v>
      </c>
      <c r="F615" s="86">
        <v>3.5720000000000001</v>
      </c>
      <c r="G615" s="86">
        <v>1.6E-2</v>
      </c>
    </row>
    <row r="616" spans="1:14">
      <c r="A616" s="8">
        <v>15</v>
      </c>
      <c r="B616" s="74">
        <v>42522</v>
      </c>
      <c r="E616" s="12">
        <v>6</v>
      </c>
      <c r="F616" s="86">
        <v>19.372</v>
      </c>
      <c r="G616" s="86">
        <v>7.2999999999999995E-2</v>
      </c>
      <c r="I616" s="18">
        <f>AVERAGE(F614:F616)</f>
        <v>11.079999999999998</v>
      </c>
      <c r="J616" s="18">
        <f>AVERAGE(G614:G616)</f>
        <v>0.14000000000000001</v>
      </c>
      <c r="L616">
        <f>+J616/I616</f>
        <v>1.2635379061371844E-2</v>
      </c>
      <c r="M616">
        <f>+(L616-$L$927)/$L$928</f>
        <v>-0.39051477198840101</v>
      </c>
      <c r="N616">
        <f>+N613+M616</f>
        <v>7.419518967520828</v>
      </c>
    </row>
    <row r="617" spans="1:14">
      <c r="A617" s="8">
        <v>6</v>
      </c>
      <c r="B617" s="74">
        <v>42552</v>
      </c>
      <c r="E617" s="12">
        <v>7</v>
      </c>
      <c r="F617" s="86">
        <v>7.4660000000000002</v>
      </c>
      <c r="G617" s="86">
        <v>7.5999999999999998E-2</v>
      </c>
    </row>
    <row r="618" spans="1:14">
      <c r="A618" s="8">
        <v>8</v>
      </c>
      <c r="B618" s="74">
        <v>42552</v>
      </c>
      <c r="E618" s="12">
        <v>7</v>
      </c>
      <c r="F618" s="86">
        <v>7.5570000000000004</v>
      </c>
      <c r="G618" s="86">
        <v>7.0000000000000007E-2</v>
      </c>
    </row>
    <row r="619" spans="1:14">
      <c r="A619" s="8">
        <v>15</v>
      </c>
      <c r="B619" s="74">
        <v>42552</v>
      </c>
      <c r="E619" s="12">
        <v>7</v>
      </c>
      <c r="F619" s="86">
        <v>6.8620000000000001</v>
      </c>
      <c r="G619" s="86">
        <v>0.10199999999999999</v>
      </c>
      <c r="I619" s="18">
        <f>AVERAGE(F617:F619)</f>
        <v>7.294999999999999</v>
      </c>
      <c r="J619" s="18">
        <f>AVERAGE(G617:G619)</f>
        <v>8.2666666666666666E-2</v>
      </c>
      <c r="L619">
        <f>+J619/I619</f>
        <v>1.1331962531414212E-2</v>
      </c>
      <c r="M619">
        <f>+(L619-$L$927)/$L$928</f>
        <v>-0.4317165114951112</v>
      </c>
      <c r="N619">
        <f>+N616+M619</f>
        <v>6.987802456025717</v>
      </c>
    </row>
    <row r="620" spans="1:14">
      <c r="A620" s="8">
        <v>6</v>
      </c>
      <c r="B620" s="74">
        <v>42583</v>
      </c>
      <c r="E620" s="12">
        <v>8</v>
      </c>
      <c r="F620" s="86">
        <v>5.8949999999999996</v>
      </c>
      <c r="G620" s="86">
        <v>4.3999999999999997E-2</v>
      </c>
    </row>
    <row r="621" spans="1:14">
      <c r="A621" s="8">
        <v>8</v>
      </c>
      <c r="B621" s="74">
        <v>42583</v>
      </c>
      <c r="E621" s="12">
        <v>8</v>
      </c>
      <c r="F621" s="86">
        <v>2.8050000000000002</v>
      </c>
      <c r="G621" s="86">
        <v>9.9989999999999996E-4</v>
      </c>
    </row>
    <row r="622" spans="1:14">
      <c r="A622" s="8">
        <v>15</v>
      </c>
      <c r="B622" s="74">
        <v>42583</v>
      </c>
      <c r="E622" s="12">
        <v>8</v>
      </c>
      <c r="F622" s="86">
        <v>5.9660000000000002</v>
      </c>
      <c r="G622" s="86">
        <v>6.8000000000000005E-2</v>
      </c>
      <c r="I622" s="18">
        <f>AVERAGE(F620:F622)</f>
        <v>4.8886666666666665</v>
      </c>
      <c r="J622" s="18">
        <f>AVERAGE(G620:G622)</f>
        <v>3.7666633333333331E-2</v>
      </c>
      <c r="L622">
        <f>+J622/I622</f>
        <v>7.7048888585844813E-3</v>
      </c>
      <c r="M622">
        <f>+(L622-$L$927)/$L$928</f>
        <v>-0.54637037785695253</v>
      </c>
      <c r="N622">
        <f>+N619+M622</f>
        <v>6.4414320781687646</v>
      </c>
    </row>
    <row r="623" spans="1:14">
      <c r="A623" s="8">
        <v>6</v>
      </c>
      <c r="B623" s="74">
        <v>42614</v>
      </c>
      <c r="E623" s="12">
        <v>9</v>
      </c>
      <c r="F623" s="86">
        <v>16.298999999999999</v>
      </c>
      <c r="G623" s="86">
        <v>0.17299999999999999</v>
      </c>
    </row>
    <row r="624" spans="1:14">
      <c r="A624" s="8">
        <v>8</v>
      </c>
      <c r="B624" s="74">
        <v>42614</v>
      </c>
      <c r="E624" s="12">
        <v>9</v>
      </c>
      <c r="F624" s="86">
        <v>6.4720000000000004</v>
      </c>
      <c r="G624" s="86">
        <v>9.9989999999999996E-4</v>
      </c>
    </row>
    <row r="625" spans="1:14">
      <c r="A625" s="8">
        <v>15</v>
      </c>
      <c r="B625" s="74">
        <v>42614</v>
      </c>
      <c r="E625" s="12">
        <v>9</v>
      </c>
      <c r="F625" s="86">
        <v>8.6649999999999991</v>
      </c>
      <c r="G625" s="86">
        <v>1.4E-2</v>
      </c>
      <c r="I625" s="18">
        <f>AVERAGE(F623:F625)</f>
        <v>10.478666666666667</v>
      </c>
      <c r="J625" s="18">
        <f>AVERAGE(G623:G625)</f>
        <v>6.2666633333333333E-2</v>
      </c>
      <c r="L625">
        <f>+J625/I625</f>
        <v>5.9804014505662291E-3</v>
      </c>
      <c r="M625">
        <f>+(L625-$L$927)/$L$928</f>
        <v>-0.60088240784484859</v>
      </c>
      <c r="N625">
        <f>+N622+M625</f>
        <v>5.8405496703239157</v>
      </c>
    </row>
    <row r="626" spans="1:14">
      <c r="A626" s="8">
        <v>6</v>
      </c>
      <c r="B626" s="74">
        <v>42644</v>
      </c>
      <c r="E626" s="12">
        <v>10</v>
      </c>
      <c r="F626" s="86">
        <v>6.2480000000000002</v>
      </c>
      <c r="G626" s="86">
        <v>0.16700000000000001</v>
      </c>
    </row>
    <row r="627" spans="1:14">
      <c r="A627" s="8">
        <v>8</v>
      </c>
      <c r="B627" s="74">
        <v>42644</v>
      </c>
      <c r="E627" s="12">
        <v>10</v>
      </c>
      <c r="F627" s="86">
        <v>3.7010000000000001</v>
      </c>
      <c r="G627" s="86">
        <v>4.2999999999999997E-2</v>
      </c>
    </row>
    <row r="628" spans="1:14">
      <c r="A628" s="8">
        <v>15</v>
      </c>
      <c r="B628" s="74">
        <v>42644</v>
      </c>
      <c r="E628" s="12">
        <v>10</v>
      </c>
      <c r="F628" s="86">
        <v>4.4660000000000002</v>
      </c>
      <c r="G628" s="86">
        <v>8.6999999999999994E-2</v>
      </c>
      <c r="I628" s="18">
        <f>AVERAGE(F626:F628)</f>
        <v>4.8049999999999997</v>
      </c>
      <c r="J628" s="18">
        <f>AVERAGE(G626:G628)</f>
        <v>9.9000000000000019E-2</v>
      </c>
      <c r="L628">
        <f>+J628/I628</f>
        <v>2.0603537981269515E-2</v>
      </c>
      <c r="M628">
        <f>+(L628-$L$927)/$L$928</f>
        <v>-0.13863672639052538</v>
      </c>
      <c r="N628">
        <f>+N625+M628</f>
        <v>5.7019129439333902</v>
      </c>
    </row>
    <row r="629" spans="1:14">
      <c r="A629" s="8">
        <v>6</v>
      </c>
      <c r="B629" s="74">
        <v>42675</v>
      </c>
      <c r="E629" s="12">
        <v>11</v>
      </c>
      <c r="F629" s="86">
        <v>1.3</v>
      </c>
      <c r="G629" s="86">
        <v>9.9989999999999996E-4</v>
      </c>
    </row>
    <row r="630" spans="1:14">
      <c r="A630" s="8">
        <v>8</v>
      </c>
      <c r="B630" s="74">
        <v>42675</v>
      </c>
      <c r="E630" s="12">
        <v>11</v>
      </c>
      <c r="F630" s="86">
        <v>0.68300000000000005</v>
      </c>
      <c r="G630" s="86">
        <v>8.9999999999999993E-3</v>
      </c>
    </row>
    <row r="631" spans="1:14">
      <c r="A631" s="8">
        <v>15</v>
      </c>
      <c r="B631" s="74">
        <v>42675</v>
      </c>
      <c r="E631" s="12">
        <v>11</v>
      </c>
      <c r="F631" s="86">
        <v>2.0070000000000001</v>
      </c>
      <c r="G631" s="86">
        <v>1.4E-2</v>
      </c>
      <c r="I631" s="18">
        <f>AVERAGE(F629:F631)</f>
        <v>1.33</v>
      </c>
      <c r="J631" s="18">
        <f>AVERAGE(G629:G631)</f>
        <v>7.9999666666666653E-3</v>
      </c>
      <c r="L631">
        <f>+J631/I631</f>
        <v>6.0150125313283192E-3</v>
      </c>
      <c r="M631">
        <f>+(L631-$L$927)/$L$928</f>
        <v>-0.59978833185238623</v>
      </c>
      <c r="N631">
        <f>+N628+M631</f>
        <v>5.1021246120810044</v>
      </c>
    </row>
    <row r="632" spans="1:14">
      <c r="A632" s="8">
        <v>6</v>
      </c>
      <c r="B632" s="75">
        <v>42705</v>
      </c>
      <c r="E632" s="12">
        <v>12</v>
      </c>
      <c r="F632" s="86">
        <v>1.9239999999999999</v>
      </c>
      <c r="G632" s="86">
        <v>0.27</v>
      </c>
    </row>
    <row r="633" spans="1:14">
      <c r="A633" s="8">
        <v>8</v>
      </c>
      <c r="B633" s="74">
        <v>42705</v>
      </c>
      <c r="E633" s="12">
        <v>12</v>
      </c>
      <c r="F633" s="86">
        <v>1.639</v>
      </c>
      <c r="G633" s="86">
        <v>8.2000000000000003E-2</v>
      </c>
    </row>
    <row r="634" spans="1:14">
      <c r="A634" s="8">
        <v>15</v>
      </c>
      <c r="B634" s="74">
        <v>42705</v>
      </c>
      <c r="E634" s="12">
        <v>12</v>
      </c>
      <c r="F634" s="86">
        <v>2.9009999999999998</v>
      </c>
      <c r="G634" s="86">
        <v>0.30299999999999999</v>
      </c>
      <c r="I634" s="18">
        <f>AVERAGE(F632:F634)</f>
        <v>2.1546666666666665</v>
      </c>
      <c r="J634" s="18">
        <f>AVERAGE(G632:G634)</f>
        <v>0.21833333333333335</v>
      </c>
      <c r="L634">
        <f>+J634/I634</f>
        <v>0.10133044554455448</v>
      </c>
      <c r="M634">
        <f>+(L634-$L$927)/$L$928</f>
        <v>2.4131868389534379</v>
      </c>
      <c r="N634">
        <f>+N631+M634</f>
        <v>7.5153114510344423</v>
      </c>
    </row>
    <row r="635" spans="1:14">
      <c r="A635" s="8">
        <v>6</v>
      </c>
      <c r="B635" s="73">
        <v>42745</v>
      </c>
      <c r="E635" s="10">
        <v>1</v>
      </c>
    </row>
    <row r="636" spans="1:14">
      <c r="A636" s="8">
        <v>8</v>
      </c>
      <c r="B636" s="73">
        <v>42740</v>
      </c>
      <c r="E636" s="10">
        <v>1</v>
      </c>
    </row>
    <row r="637" spans="1:14">
      <c r="A637" s="8">
        <v>15</v>
      </c>
      <c r="B637" s="73">
        <v>42740</v>
      </c>
      <c r="E637" s="10">
        <v>1</v>
      </c>
    </row>
    <row r="638" spans="1:14">
      <c r="A638" s="8">
        <v>6</v>
      </c>
      <c r="B638" s="74">
        <v>42767</v>
      </c>
      <c r="E638" s="12">
        <v>2</v>
      </c>
    </row>
    <row r="639" spans="1:14">
      <c r="A639" s="8">
        <v>8</v>
      </c>
      <c r="B639" s="74">
        <v>42767</v>
      </c>
      <c r="E639" s="12">
        <v>2</v>
      </c>
    </row>
    <row r="640" spans="1:14">
      <c r="A640" s="8">
        <v>15</v>
      </c>
      <c r="B640" s="74">
        <v>42767</v>
      </c>
      <c r="E640" s="12">
        <v>2</v>
      </c>
    </row>
    <row r="641" spans="1:14">
      <c r="A641" s="8">
        <v>6</v>
      </c>
      <c r="B641" s="74">
        <v>42795</v>
      </c>
      <c r="E641" s="12">
        <v>3</v>
      </c>
      <c r="F641" s="86">
        <v>1.609</v>
      </c>
      <c r="G641" s="86">
        <v>9.9989999999999996E-4</v>
      </c>
    </row>
    <row r="642" spans="1:14">
      <c r="A642" s="8">
        <v>8</v>
      </c>
      <c r="B642" s="74">
        <v>42795</v>
      </c>
      <c r="E642" s="12">
        <v>3</v>
      </c>
      <c r="F642" s="86">
        <v>1.3740000000000001</v>
      </c>
      <c r="G642" s="86">
        <v>2.1000000000000001E-2</v>
      </c>
    </row>
    <row r="643" spans="1:14">
      <c r="A643" s="8">
        <v>15</v>
      </c>
      <c r="B643" s="74">
        <v>42795</v>
      </c>
      <c r="E643" s="12">
        <v>3</v>
      </c>
      <c r="F643" s="86">
        <v>2.113</v>
      </c>
      <c r="G643" s="86">
        <v>1.7000000000000001E-2</v>
      </c>
      <c r="I643" s="18">
        <f>AVERAGE(F641:F643)</f>
        <v>1.6986666666666668</v>
      </c>
      <c r="J643" s="18">
        <f>AVERAGE(G641:G643)</f>
        <v>1.2999966666666668E-2</v>
      </c>
      <c r="L643">
        <f>+J643/I643</f>
        <v>7.6530416012558873E-3</v>
      </c>
      <c r="M643">
        <f>+(L643-$L$927)/$L$928</f>
        <v>-0.54800929921592856</v>
      </c>
      <c r="N643">
        <f>+N634+M643</f>
        <v>6.9673021518185134</v>
      </c>
    </row>
    <row r="644" spans="1:14">
      <c r="A644" s="8">
        <v>6</v>
      </c>
      <c r="B644" s="74">
        <v>42826</v>
      </c>
      <c r="E644" s="12">
        <v>4</v>
      </c>
    </row>
    <row r="645" spans="1:14">
      <c r="A645" s="8">
        <v>8</v>
      </c>
      <c r="B645" s="74">
        <v>42826</v>
      </c>
      <c r="E645" s="12">
        <v>4</v>
      </c>
      <c r="F645" s="86">
        <v>3.9209999999999998</v>
      </c>
      <c r="G645" s="86">
        <v>1.7000000000000001E-2</v>
      </c>
    </row>
    <row r="646" spans="1:14">
      <c r="A646" s="8">
        <v>15</v>
      </c>
      <c r="B646" s="74">
        <v>42826</v>
      </c>
      <c r="E646" s="12">
        <v>4</v>
      </c>
      <c r="F646" s="86">
        <v>3.8730000000000002</v>
      </c>
      <c r="G646" s="86">
        <v>3.5999999999999997E-2</v>
      </c>
      <c r="I646" s="18">
        <f>AVERAGE(F644:F646)</f>
        <v>3.8970000000000002</v>
      </c>
      <c r="J646" s="18">
        <f>AVERAGE(G644:G646)</f>
        <v>2.6499999999999999E-2</v>
      </c>
      <c r="L646">
        <f>+J646/I646</f>
        <v>6.8001026430587622E-3</v>
      </c>
      <c r="M646">
        <f>+(L646-$L$927)/$L$928</f>
        <v>-0.57497118589071639</v>
      </c>
      <c r="N646">
        <f>+N643+M646</f>
        <v>6.3923309659277967</v>
      </c>
    </row>
    <row r="647" spans="1:14">
      <c r="A647" s="8">
        <v>6</v>
      </c>
      <c r="B647" s="74">
        <v>42856</v>
      </c>
      <c r="E647" s="12">
        <v>5</v>
      </c>
      <c r="F647" s="86">
        <v>14.352</v>
      </c>
      <c r="G647" s="86">
        <v>4.4999999999999998E-2</v>
      </c>
    </row>
    <row r="648" spans="1:14">
      <c r="A648" s="8">
        <v>8</v>
      </c>
      <c r="B648" s="74">
        <v>42856</v>
      </c>
      <c r="E648" s="12">
        <v>5</v>
      </c>
      <c r="F648" s="86">
        <v>7.2270000000000003</v>
      </c>
      <c r="G648" s="86">
        <v>4.2000000000000003E-2</v>
      </c>
    </row>
    <row r="649" spans="1:14">
      <c r="A649" s="8">
        <v>15</v>
      </c>
      <c r="B649" s="74">
        <v>42856</v>
      </c>
      <c r="E649" s="12">
        <v>5</v>
      </c>
      <c r="F649" s="86">
        <v>7.1390000000000002</v>
      </c>
      <c r="G649" s="86">
        <v>2.5999999999999999E-2</v>
      </c>
      <c r="I649" s="18">
        <f>AVERAGE(F647:F649)</f>
        <v>9.5726666666666667</v>
      </c>
      <c r="J649" s="18">
        <f>AVERAGE(G647:G649)</f>
        <v>3.7666666666666661E-2</v>
      </c>
      <c r="L649">
        <f>+J649/I649</f>
        <v>3.9348144021171382E-3</v>
      </c>
      <c r="M649">
        <f>+(L649-$L$927)/$L$928</f>
        <v>-0.6655445805052177</v>
      </c>
      <c r="N649">
        <f>+N646+M649</f>
        <v>5.7267863854225789</v>
      </c>
    </row>
    <row r="650" spans="1:14">
      <c r="A650" s="8">
        <v>6</v>
      </c>
      <c r="B650" s="74">
        <v>42887</v>
      </c>
      <c r="E650" s="12">
        <v>6</v>
      </c>
      <c r="F650" s="86">
        <v>5.657</v>
      </c>
      <c r="G650" s="86">
        <v>4.8000000000000001E-2</v>
      </c>
    </row>
    <row r="651" spans="1:14">
      <c r="A651" s="8">
        <v>8</v>
      </c>
      <c r="B651" s="74">
        <v>42887</v>
      </c>
      <c r="E651" s="12">
        <v>6</v>
      </c>
      <c r="F651" s="86">
        <v>3.6970000000000001</v>
      </c>
      <c r="G651" s="86">
        <v>2.5999999999999999E-2</v>
      </c>
    </row>
    <row r="652" spans="1:14">
      <c r="A652" s="8">
        <v>15</v>
      </c>
      <c r="B652" s="74">
        <v>42887</v>
      </c>
      <c r="E652" s="12">
        <v>6</v>
      </c>
      <c r="F652" s="86">
        <v>2.2309999999999999</v>
      </c>
      <c r="G652" s="86">
        <v>9.9989999999999996E-4</v>
      </c>
      <c r="I652" s="18">
        <f>AVERAGE(F650:F652)</f>
        <v>3.8616666666666664</v>
      </c>
      <c r="J652" s="18">
        <f>AVERAGE(G650:G652)</f>
        <v>2.4999966666666665E-2</v>
      </c>
      <c r="L652">
        <f>+J652/I652</f>
        <v>6.4738800172637031E-3</v>
      </c>
      <c r="M652">
        <f>+(L652-$L$927)/$L$928</f>
        <v>-0.58528326905084016</v>
      </c>
      <c r="N652">
        <f>+N649+M652</f>
        <v>5.1415031163717391</v>
      </c>
    </row>
    <row r="653" spans="1:14">
      <c r="A653" s="8">
        <v>6</v>
      </c>
      <c r="B653" s="74">
        <v>42917</v>
      </c>
      <c r="E653" s="12">
        <v>7</v>
      </c>
      <c r="F653" s="86">
        <v>2.9420000000000002</v>
      </c>
      <c r="G653" s="86">
        <v>3.5000000000000003E-2</v>
      </c>
    </row>
    <row r="654" spans="1:14">
      <c r="A654" s="8">
        <v>8</v>
      </c>
      <c r="B654" s="74">
        <v>42917</v>
      </c>
      <c r="E654" s="12">
        <v>7</v>
      </c>
      <c r="F654" s="86">
        <v>0.92100000000000004</v>
      </c>
      <c r="G654" s="86">
        <v>2.1000000000000001E-2</v>
      </c>
    </row>
    <row r="655" spans="1:14">
      <c r="A655" s="8">
        <v>15</v>
      </c>
      <c r="B655" s="74">
        <v>42917</v>
      </c>
      <c r="E655" s="12">
        <v>7</v>
      </c>
      <c r="F655" s="86">
        <v>2.2549999999999999</v>
      </c>
      <c r="G655" s="86">
        <v>5.2999999999999999E-2</v>
      </c>
      <c r="I655" s="18">
        <f>AVERAGE(F653:F655)</f>
        <v>2.0393333333333334</v>
      </c>
      <c r="J655" s="18">
        <f>AVERAGE(G653:G655)</f>
        <v>3.6333333333333336E-2</v>
      </c>
      <c r="L655">
        <f>+J655/I655</f>
        <v>1.7816279830009808E-2</v>
      </c>
      <c r="M655">
        <f>+(L655-$L$927)/$L$928</f>
        <v>-0.226743545390197</v>
      </c>
      <c r="N655">
        <f>+N652+M655</f>
        <v>4.9147595709815421</v>
      </c>
    </row>
    <row r="656" spans="1:14">
      <c r="A656" s="8">
        <v>6</v>
      </c>
      <c r="B656" s="74">
        <v>42948</v>
      </c>
      <c r="E656" s="12">
        <v>8</v>
      </c>
    </row>
    <row r="657" spans="1:14">
      <c r="A657" s="8">
        <v>8</v>
      </c>
      <c r="B657" s="74">
        <v>42948</v>
      </c>
      <c r="E657" s="12">
        <v>8</v>
      </c>
    </row>
    <row r="658" spans="1:14">
      <c r="A658" s="8">
        <v>15</v>
      </c>
      <c r="B658" s="74">
        <v>42948</v>
      </c>
      <c r="E658" s="12">
        <v>8</v>
      </c>
      <c r="I658" s="18"/>
      <c r="J658" s="18"/>
    </row>
    <row r="659" spans="1:14">
      <c r="A659" s="8">
        <v>6</v>
      </c>
      <c r="B659" s="74">
        <v>42979</v>
      </c>
      <c r="E659" s="12">
        <v>9</v>
      </c>
      <c r="F659" s="86">
        <v>4.4960000000000004</v>
      </c>
      <c r="G659" s="86">
        <v>4.3999999999999997E-2</v>
      </c>
    </row>
    <row r="660" spans="1:14">
      <c r="A660" s="8">
        <v>8</v>
      </c>
      <c r="B660" s="74">
        <v>42979</v>
      </c>
      <c r="E660" s="12">
        <v>9</v>
      </c>
      <c r="F660" s="86">
        <v>1.0920000000000001</v>
      </c>
      <c r="G660" s="86">
        <v>9.9989999999999996E-4</v>
      </c>
    </row>
    <row r="661" spans="1:14">
      <c r="A661" s="8">
        <v>15</v>
      </c>
      <c r="B661" s="74">
        <v>42979</v>
      </c>
      <c r="E661" s="12">
        <v>9</v>
      </c>
      <c r="F661" s="86">
        <v>1.2729999999999999</v>
      </c>
      <c r="G661" s="86">
        <v>9.9989999999999996E-4</v>
      </c>
      <c r="I661" s="18">
        <f>AVERAGE(F659:F661)</f>
        <v>2.2870000000000004</v>
      </c>
      <c r="J661" s="18">
        <f>AVERAGE(G659:G661)</f>
        <v>1.5333266666666664E-2</v>
      </c>
      <c r="L661">
        <f>+J661/I661</f>
        <v>6.7045328669290173E-3</v>
      </c>
      <c r="M661">
        <f>+(L661-$L$927)/$L$928</f>
        <v>-0.5779922009924201</v>
      </c>
      <c r="N661">
        <f>+N655+M661</f>
        <v>4.336767369989122</v>
      </c>
    </row>
    <row r="662" spans="1:14">
      <c r="A662" s="8">
        <v>6</v>
      </c>
      <c r="B662" s="74">
        <v>43009</v>
      </c>
      <c r="E662" s="12">
        <v>10</v>
      </c>
      <c r="F662" s="86">
        <v>2.2679999999999998</v>
      </c>
      <c r="G662" s="86">
        <v>0.05</v>
      </c>
    </row>
    <row r="663" spans="1:14">
      <c r="A663" s="8">
        <v>8</v>
      </c>
      <c r="B663" s="74">
        <v>43009</v>
      </c>
      <c r="E663" s="12">
        <v>10</v>
      </c>
      <c r="F663" s="86">
        <v>0.34799999999999998</v>
      </c>
      <c r="G663" s="86">
        <v>9.9989999999999996E-4</v>
      </c>
    </row>
    <row r="664" spans="1:14">
      <c r="A664" s="8">
        <v>15</v>
      </c>
      <c r="B664" s="74">
        <v>43009</v>
      </c>
      <c r="E664" s="12">
        <v>10</v>
      </c>
      <c r="F664" s="86">
        <v>1.5429999999999999</v>
      </c>
      <c r="G664" s="86">
        <v>1.2999999999999999E-2</v>
      </c>
      <c r="I664" s="18">
        <f>AVERAGE(F662:F664)</f>
        <v>1.3863333333333332</v>
      </c>
      <c r="J664" s="18">
        <f>AVERAGE(G662:G664)</f>
        <v>2.1333299999999999E-2</v>
      </c>
      <c r="L664">
        <f>+J664/I664</f>
        <v>1.5388290454436163E-2</v>
      </c>
      <c r="M664">
        <f>+(L664-$L$927)/$L$928</f>
        <v>-0.30349367359418494</v>
      </c>
      <c r="N664">
        <f>+N661+M664</f>
        <v>4.0332736963949367</v>
      </c>
    </row>
    <row r="665" spans="1:14">
      <c r="A665" s="8">
        <v>6</v>
      </c>
      <c r="B665" s="74">
        <v>43040</v>
      </c>
      <c r="E665" s="12">
        <v>11</v>
      </c>
    </row>
    <row r="666" spans="1:14">
      <c r="A666" s="8">
        <v>8</v>
      </c>
      <c r="B666" s="74">
        <v>43040</v>
      </c>
      <c r="E666" s="12">
        <v>11</v>
      </c>
    </row>
    <row r="667" spans="1:14">
      <c r="A667" s="8">
        <v>15</v>
      </c>
      <c r="B667" s="74">
        <v>43040</v>
      </c>
      <c r="E667" s="12">
        <v>11</v>
      </c>
      <c r="I667" s="18"/>
      <c r="J667" s="18"/>
    </row>
    <row r="668" spans="1:14">
      <c r="A668" s="8">
        <v>6</v>
      </c>
      <c r="B668" s="75">
        <v>43070</v>
      </c>
      <c r="E668" s="12">
        <v>12</v>
      </c>
      <c r="F668" s="86">
        <v>2.6429999999999998</v>
      </c>
      <c r="G668" s="86">
        <v>0.06</v>
      </c>
    </row>
    <row r="669" spans="1:14">
      <c r="A669" s="8">
        <v>8</v>
      </c>
      <c r="B669" s="74">
        <v>43070</v>
      </c>
      <c r="E669" s="12">
        <v>12</v>
      </c>
      <c r="F669" s="86">
        <v>1.196</v>
      </c>
      <c r="G669" s="86">
        <v>2.4E-2</v>
      </c>
    </row>
    <row r="670" spans="1:14">
      <c r="A670" s="8">
        <v>15</v>
      </c>
      <c r="B670" s="74">
        <v>43070</v>
      </c>
      <c r="E670" s="12">
        <v>12</v>
      </c>
      <c r="F670" s="86">
        <v>3.036</v>
      </c>
      <c r="G670" s="86">
        <v>6.7000000000000004E-2</v>
      </c>
      <c r="I670" s="18">
        <f>AVERAGE(F668:F670)</f>
        <v>2.2916666666666665</v>
      </c>
      <c r="J670" s="18">
        <f>AVERAGE(G668:G670)</f>
        <v>5.0333333333333334E-2</v>
      </c>
      <c r="L670">
        <f>+J670/I670</f>
        <v>2.1963636363636366E-2</v>
      </c>
      <c r="M670">
        <f>+(L670-$L$927)/$L$928</f>
        <v>-9.5643241218445779E-2</v>
      </c>
      <c r="N670">
        <f>+N664+M670</f>
        <v>3.9376304551764911</v>
      </c>
    </row>
    <row r="671" spans="1:14">
      <c r="A671" s="8">
        <v>6</v>
      </c>
      <c r="B671" s="73">
        <v>43110</v>
      </c>
      <c r="E671" s="10">
        <v>1</v>
      </c>
      <c r="F671" s="81">
        <v>4.03</v>
      </c>
      <c r="G671" s="81">
        <v>6.9000000000000006E-2</v>
      </c>
    </row>
    <row r="672" spans="1:14">
      <c r="A672" s="8">
        <v>8</v>
      </c>
      <c r="B672" s="73">
        <v>43105</v>
      </c>
      <c r="E672" s="10">
        <v>1</v>
      </c>
      <c r="F672" s="81">
        <v>7.7279999999999998</v>
      </c>
      <c r="G672" s="81">
        <v>0.14499999999999999</v>
      </c>
    </row>
    <row r="673" spans="1:14">
      <c r="A673" s="8">
        <v>15</v>
      </c>
      <c r="B673" s="73">
        <v>43105</v>
      </c>
      <c r="E673" s="10">
        <v>1</v>
      </c>
      <c r="F673" s="81">
        <v>5.9379999999999997</v>
      </c>
      <c r="G673" s="81">
        <v>0.13600000000000001</v>
      </c>
      <c r="I673">
        <v>5.8986666666666663</v>
      </c>
      <c r="J673">
        <v>0.11666666666666665</v>
      </c>
      <c r="L673">
        <v>1.9778481012658226E-2</v>
      </c>
      <c r="M673">
        <f>+(L673-$L$927)/$L$928</f>
        <v>-0.16471724748075839</v>
      </c>
      <c r="N673">
        <f>+N670+M673</f>
        <v>3.7729132076957326</v>
      </c>
    </row>
    <row r="674" spans="1:14">
      <c r="A674" s="8">
        <v>6</v>
      </c>
      <c r="B674" s="74">
        <v>43132</v>
      </c>
      <c r="E674" s="12">
        <v>2</v>
      </c>
      <c r="F674" s="81">
        <v>1.829</v>
      </c>
      <c r="G674" s="81">
        <v>5.7000000000000002E-2</v>
      </c>
    </row>
    <row r="675" spans="1:14">
      <c r="A675" s="8">
        <v>8</v>
      </c>
      <c r="B675" s="74">
        <v>43132</v>
      </c>
      <c r="E675" s="12">
        <v>2</v>
      </c>
      <c r="F675" s="81">
        <v>1.119</v>
      </c>
      <c r="G675" s="81">
        <v>8.9999999999999993E-3</v>
      </c>
    </row>
    <row r="676" spans="1:14">
      <c r="A676" s="8">
        <v>15</v>
      </c>
      <c r="B676" s="74">
        <v>43132</v>
      </c>
      <c r="E676" s="12">
        <v>2</v>
      </c>
      <c r="F676" s="81">
        <v>1.149</v>
      </c>
      <c r="G676" s="81">
        <v>1.9E-2</v>
      </c>
      <c r="I676">
        <v>1.3656666666666666</v>
      </c>
      <c r="J676">
        <v>2.8333333333333335E-2</v>
      </c>
      <c r="L676">
        <v>2.0746887966804982E-2</v>
      </c>
      <c r="M676">
        <f>+(L676-$L$927)/$L$928</f>
        <v>-0.13410535163305246</v>
      </c>
      <c r="N676">
        <f>+N673+M676</f>
        <v>3.6388078560626802</v>
      </c>
    </row>
    <row r="677" spans="1:14">
      <c r="A677" s="8">
        <v>6</v>
      </c>
      <c r="B677" s="74">
        <v>43160</v>
      </c>
      <c r="E677" s="12">
        <v>3</v>
      </c>
      <c r="F677" s="81">
        <v>4.4370000000000003</v>
      </c>
      <c r="G677" s="81">
        <v>1.7000000000000001E-2</v>
      </c>
    </row>
    <row r="678" spans="1:14">
      <c r="A678" s="8">
        <v>8</v>
      </c>
      <c r="B678" s="74">
        <v>43160</v>
      </c>
      <c r="E678" s="12">
        <v>3</v>
      </c>
      <c r="F678" s="81">
        <v>3.7730000000000001</v>
      </c>
      <c r="G678" s="81">
        <v>2.1999999999999999E-2</v>
      </c>
    </row>
    <row r="679" spans="1:14">
      <c r="A679" s="8">
        <v>15</v>
      </c>
      <c r="B679" s="74">
        <v>43160</v>
      </c>
      <c r="E679" s="12">
        <v>3</v>
      </c>
      <c r="F679" s="81">
        <v>3.5169999999999999</v>
      </c>
      <c r="G679" s="81">
        <v>8.9999999999999993E-3</v>
      </c>
      <c r="I679">
        <v>3.9090000000000003</v>
      </c>
      <c r="J679">
        <v>1.6E-2</v>
      </c>
      <c r="L679">
        <v>4.0931184446149913E-3</v>
      </c>
      <c r="M679">
        <f>+(L679-$L$927)/$L$928</f>
        <v>-0.66054049948280835</v>
      </c>
      <c r="N679">
        <f>+N676+M679</f>
        <v>2.9782673565798721</v>
      </c>
    </row>
    <row r="680" spans="1:14">
      <c r="A680" s="8">
        <v>6</v>
      </c>
      <c r="B680" s="74">
        <v>43191</v>
      </c>
      <c r="E680" s="12">
        <v>4</v>
      </c>
      <c r="F680" s="81">
        <v>3.8260000000000001</v>
      </c>
      <c r="G680" s="81">
        <v>9.9989999999999996E-4</v>
      </c>
    </row>
    <row r="681" spans="1:14">
      <c r="A681" s="8">
        <v>8</v>
      </c>
      <c r="B681" s="74">
        <v>43191</v>
      </c>
      <c r="E681" s="12">
        <v>4</v>
      </c>
      <c r="F681" s="81">
        <v>1.375</v>
      </c>
      <c r="G681" s="81">
        <v>9.9989999999999996E-4</v>
      </c>
    </row>
    <row r="682" spans="1:14">
      <c r="A682" s="8">
        <v>15</v>
      </c>
      <c r="B682" s="74">
        <v>43191</v>
      </c>
      <c r="E682" s="12">
        <v>4</v>
      </c>
      <c r="F682" s="82">
        <v>0.83899999999999997</v>
      </c>
      <c r="G682" s="82">
        <v>9.9989999999999996E-4</v>
      </c>
      <c r="I682">
        <v>2.0133333333333336</v>
      </c>
      <c r="J682">
        <v>9.9989999999999996E-4</v>
      </c>
      <c r="L682">
        <v>4.9663907284768199E-4</v>
      </c>
      <c r="M682">
        <f>+(L682-$L$927)/$L$928</f>
        <v>-0.77422726254820395</v>
      </c>
      <c r="N682">
        <f>+N679+M682</f>
        <v>2.2040400940316682</v>
      </c>
    </row>
    <row r="683" spans="1:14">
      <c r="A683" s="8">
        <v>6</v>
      </c>
      <c r="B683" s="74">
        <v>43221</v>
      </c>
      <c r="E683" s="12">
        <v>5</v>
      </c>
      <c r="F683" s="82">
        <v>11.643000000000001</v>
      </c>
      <c r="G683" s="82">
        <v>6.9000000000000006E-2</v>
      </c>
    </row>
    <row r="684" spans="1:14">
      <c r="A684" s="8">
        <v>8</v>
      </c>
      <c r="B684" s="74">
        <v>43221</v>
      </c>
      <c r="E684" s="12">
        <v>5</v>
      </c>
      <c r="F684" s="82">
        <v>2.782</v>
      </c>
      <c r="G684" s="82">
        <v>3.2000000000000001E-2</v>
      </c>
    </row>
    <row r="685" spans="1:14">
      <c r="A685" s="8">
        <v>15</v>
      </c>
      <c r="B685" s="74">
        <v>43221</v>
      </c>
      <c r="E685" s="12">
        <v>5</v>
      </c>
      <c r="F685" s="82">
        <v>6.2859999999999996</v>
      </c>
      <c r="G685" s="82">
        <v>8.8999999999999996E-2</v>
      </c>
      <c r="I685">
        <v>6.9036666666666662</v>
      </c>
      <c r="J685">
        <v>6.3333333333333339E-2</v>
      </c>
      <c r="L685">
        <v>9.1738689585244577E-3</v>
      </c>
      <c r="M685">
        <f>+(L685-$L$927)/$L$928</f>
        <v>-0.49993507952585386</v>
      </c>
      <c r="N685">
        <f>+N682+M685</f>
        <v>1.7041050145058143</v>
      </c>
    </row>
    <row r="686" spans="1:14">
      <c r="A686" s="8">
        <v>6</v>
      </c>
      <c r="B686" s="74">
        <v>43252</v>
      </c>
      <c r="E686" s="12">
        <v>6</v>
      </c>
      <c r="F686" s="82">
        <v>4.6680000000000001</v>
      </c>
      <c r="G686" s="82">
        <v>3.9E-2</v>
      </c>
    </row>
    <row r="687" spans="1:14">
      <c r="A687" s="8">
        <v>8</v>
      </c>
      <c r="B687" s="74">
        <v>43252</v>
      </c>
      <c r="E687" s="12">
        <v>6</v>
      </c>
      <c r="F687" s="82">
        <v>2.66</v>
      </c>
      <c r="G687" s="82">
        <v>3.5000000000000003E-2</v>
      </c>
    </row>
    <row r="688" spans="1:14">
      <c r="A688" s="8">
        <v>15</v>
      </c>
      <c r="B688" s="74">
        <v>43252</v>
      </c>
      <c r="E688" s="12">
        <v>6</v>
      </c>
      <c r="F688" s="82">
        <v>5.0890000000000004</v>
      </c>
      <c r="G688" s="82">
        <v>7.2999999999999995E-2</v>
      </c>
      <c r="I688">
        <v>4.1390000000000002</v>
      </c>
      <c r="J688">
        <v>4.9000000000000009E-2</v>
      </c>
      <c r="L688">
        <v>1.1838608359507129E-2</v>
      </c>
      <c r="M688">
        <f>+(L688-$L$927)/$L$928</f>
        <v>-0.41570114806257563</v>
      </c>
      <c r="N688">
        <f>+N685+M688</f>
        <v>1.2884038664432387</v>
      </c>
    </row>
    <row r="689" spans="1:14">
      <c r="A689" s="8">
        <v>6</v>
      </c>
      <c r="B689" s="74">
        <v>43282</v>
      </c>
      <c r="E689" s="12">
        <v>7</v>
      </c>
      <c r="F689" s="82">
        <v>17.873000000000001</v>
      </c>
      <c r="G689" s="82">
        <v>0.151</v>
      </c>
    </row>
    <row r="690" spans="1:14">
      <c r="A690" s="8">
        <v>8</v>
      </c>
      <c r="B690" s="74">
        <v>43282</v>
      </c>
      <c r="E690" s="12">
        <v>7</v>
      </c>
      <c r="F690" s="82">
        <v>4.2279999999999998</v>
      </c>
      <c r="G690" s="82">
        <v>9.5000000000000001E-2</v>
      </c>
    </row>
    <row r="691" spans="1:14">
      <c r="A691" s="8">
        <v>15</v>
      </c>
      <c r="B691" s="74">
        <v>43282</v>
      </c>
      <c r="E691" s="12">
        <v>7</v>
      </c>
      <c r="F691" s="82">
        <v>2.0680000000000001</v>
      </c>
      <c r="G691" s="82">
        <v>9.9989999999999996E-4</v>
      </c>
      <c r="I691">
        <v>8.0563333333333329</v>
      </c>
      <c r="J691">
        <v>8.2333299999999998E-2</v>
      </c>
      <c r="L691">
        <v>1.0219698787703256E-2</v>
      </c>
      <c r="M691">
        <f>+(L691-$L$927)/$L$928</f>
        <v>-0.46687580246453503</v>
      </c>
      <c r="N691">
        <f>+N688+M691</f>
        <v>0.8215280639787037</v>
      </c>
    </row>
    <row r="692" spans="1:14">
      <c r="A692" s="8">
        <v>6</v>
      </c>
      <c r="B692" s="74">
        <v>43313</v>
      </c>
      <c r="E692" s="12">
        <v>8</v>
      </c>
      <c r="F692" s="82">
        <v>2.2989999999999999</v>
      </c>
      <c r="G692" s="82">
        <v>9.9989999999999996E-4</v>
      </c>
    </row>
    <row r="693" spans="1:14">
      <c r="A693" s="8">
        <v>8</v>
      </c>
      <c r="B693" s="74">
        <v>43313</v>
      </c>
      <c r="E693" s="12">
        <v>8</v>
      </c>
      <c r="F693" s="82">
        <v>2.919</v>
      </c>
      <c r="G693" s="82">
        <v>2.1000000000000001E-2</v>
      </c>
    </row>
    <row r="694" spans="1:14">
      <c r="A694" s="8">
        <v>15</v>
      </c>
      <c r="B694" s="74">
        <v>43313</v>
      </c>
      <c r="E694" s="12">
        <v>8</v>
      </c>
      <c r="F694" s="82">
        <v>1.7390000000000001</v>
      </c>
      <c r="G694" s="82">
        <v>9.9989999999999996E-4</v>
      </c>
      <c r="I694">
        <v>2.319</v>
      </c>
      <c r="J694">
        <v>7.6666000000000017E-3</v>
      </c>
      <c r="L694">
        <v>3.3059939629150503E-3</v>
      </c>
      <c r="M694">
        <f>+(L694-$L$927)/$L$928</f>
        <v>-0.68542195303887876</v>
      </c>
      <c r="N694">
        <f>+N691+M694</f>
        <v>0.13610611093982494</v>
      </c>
    </row>
    <row r="695" spans="1:14">
      <c r="A695" s="8">
        <v>6</v>
      </c>
      <c r="B695" s="74">
        <v>43344</v>
      </c>
      <c r="E695" s="12">
        <v>9</v>
      </c>
      <c r="F695" s="82">
        <v>7.1219999999999999</v>
      </c>
      <c r="G695" s="82">
        <v>6.7000000000000004E-2</v>
      </c>
    </row>
    <row r="696" spans="1:14">
      <c r="A696" s="8">
        <v>8</v>
      </c>
      <c r="B696" s="74">
        <v>43344</v>
      </c>
      <c r="E696" s="12">
        <v>9</v>
      </c>
      <c r="F696" s="82">
        <v>2.97</v>
      </c>
      <c r="G696" s="82">
        <v>9.9989999999999996E-4</v>
      </c>
    </row>
    <row r="697" spans="1:14">
      <c r="A697" s="8">
        <v>15</v>
      </c>
      <c r="B697" s="74">
        <v>43344</v>
      </c>
      <c r="E697" s="12">
        <v>9</v>
      </c>
      <c r="F697" s="82">
        <v>5.1970000000000001</v>
      </c>
      <c r="G697" s="82">
        <v>4.1000000000000002E-2</v>
      </c>
      <c r="I697">
        <v>5.0963333333333338</v>
      </c>
      <c r="J697">
        <v>3.6333300000000006E-2</v>
      </c>
      <c r="L697">
        <v>7.1293021126299962E-3</v>
      </c>
      <c r="M697">
        <f>+(L697-$L$927)/$L$928</f>
        <v>-0.5645650030019187</v>
      </c>
      <c r="N697">
        <f>+N694+M697</f>
        <v>-0.42845889206209375</v>
      </c>
    </row>
    <row r="698" spans="1:14">
      <c r="A698" s="8">
        <v>6</v>
      </c>
      <c r="B698" s="74">
        <v>43374</v>
      </c>
      <c r="E698" s="12">
        <v>10</v>
      </c>
      <c r="F698" s="82">
        <v>2.7970000000000002</v>
      </c>
      <c r="G698" s="82">
        <v>2.4E-2</v>
      </c>
    </row>
    <row r="699" spans="1:14">
      <c r="A699" s="8">
        <v>8</v>
      </c>
      <c r="B699" s="74">
        <v>43374</v>
      </c>
      <c r="E699" s="12">
        <v>10</v>
      </c>
      <c r="F699" s="82">
        <v>0.69499999999999995</v>
      </c>
      <c r="G699" s="82">
        <v>3.2000000000000001E-2</v>
      </c>
    </row>
    <row r="700" spans="1:14">
      <c r="A700" s="8">
        <v>15</v>
      </c>
      <c r="B700" s="74">
        <v>43374</v>
      </c>
      <c r="E700" s="12">
        <v>10</v>
      </c>
      <c r="F700" s="82">
        <v>3.7160000000000002</v>
      </c>
      <c r="G700" s="82">
        <v>7.4999999999999997E-2</v>
      </c>
      <c r="I700">
        <v>2.4026666666666667</v>
      </c>
      <c r="J700">
        <v>4.3666666666666666E-2</v>
      </c>
      <c r="L700">
        <v>1.8174250832408433E-2</v>
      </c>
      <c r="M700">
        <f>+(L700-$L$927)/$L$928</f>
        <v>-0.21542787794790708</v>
      </c>
      <c r="N700">
        <f>+N697+M700</f>
        <v>-0.64388677001000083</v>
      </c>
    </row>
    <row r="701" spans="1:14">
      <c r="A701" s="8">
        <v>6</v>
      </c>
      <c r="B701" s="74">
        <v>43405</v>
      </c>
      <c r="E701" s="12">
        <v>11</v>
      </c>
      <c r="F701" s="82">
        <v>3.2709999999999999</v>
      </c>
      <c r="G701" s="82">
        <v>0.128</v>
      </c>
      <c r="I701">
        <v>3.2709999999999999</v>
      </c>
      <c r="J701">
        <v>0.128</v>
      </c>
      <c r="L701">
        <v>3.9131763986548461E-2</v>
      </c>
      <c r="M701">
        <f>+(L701-$L$927)/$L$928</f>
        <v>0.44705105939792972</v>
      </c>
      <c r="N701">
        <f>+N700+M701</f>
        <v>-0.19683571061207111</v>
      </c>
    </row>
    <row r="702" spans="1:14">
      <c r="A702" s="8">
        <v>8</v>
      </c>
      <c r="B702" s="74">
        <v>43405</v>
      </c>
      <c r="E702" s="12">
        <v>11</v>
      </c>
    </row>
    <row r="703" spans="1:14">
      <c r="A703" s="8">
        <v>15</v>
      </c>
      <c r="B703" s="74">
        <v>43405</v>
      </c>
      <c r="E703" s="12">
        <v>11</v>
      </c>
    </row>
    <row r="704" spans="1:14">
      <c r="A704" s="8">
        <v>6</v>
      </c>
      <c r="B704" s="75">
        <v>43435</v>
      </c>
      <c r="E704" s="12">
        <v>12</v>
      </c>
    </row>
    <row r="705" spans="1:14">
      <c r="A705" s="8">
        <v>8</v>
      </c>
      <c r="B705" s="74">
        <v>43435</v>
      </c>
      <c r="E705" s="12">
        <v>12</v>
      </c>
    </row>
    <row r="706" spans="1:14">
      <c r="A706" s="8">
        <v>15</v>
      </c>
      <c r="B706" s="74">
        <v>43435</v>
      </c>
      <c r="E706" s="12">
        <v>12</v>
      </c>
    </row>
    <row r="707" spans="1:14">
      <c r="A707" s="8">
        <v>6</v>
      </c>
      <c r="B707" s="73">
        <v>43475</v>
      </c>
      <c r="E707" s="10">
        <v>1</v>
      </c>
    </row>
    <row r="708" spans="1:14">
      <c r="A708" s="8">
        <v>8</v>
      </c>
      <c r="B708" s="73">
        <v>43470</v>
      </c>
      <c r="E708" s="10">
        <v>1</v>
      </c>
    </row>
    <row r="709" spans="1:14">
      <c r="A709" s="8">
        <v>15</v>
      </c>
      <c r="B709" s="73">
        <v>43470</v>
      </c>
      <c r="E709" s="10">
        <v>1</v>
      </c>
    </row>
    <row r="710" spans="1:14">
      <c r="A710" s="8">
        <v>6</v>
      </c>
      <c r="B710" s="74">
        <v>43497</v>
      </c>
      <c r="E710" s="12">
        <v>2</v>
      </c>
    </row>
    <row r="711" spans="1:14">
      <c r="A711" s="8">
        <v>8</v>
      </c>
      <c r="B711" s="74">
        <v>43497</v>
      </c>
      <c r="E711" s="12">
        <v>2</v>
      </c>
    </row>
    <row r="712" spans="1:14">
      <c r="A712" s="8">
        <v>15</v>
      </c>
      <c r="B712" s="74">
        <v>43497</v>
      </c>
      <c r="E712" s="12">
        <v>2</v>
      </c>
    </row>
    <row r="713" spans="1:14">
      <c r="A713" s="8">
        <v>6</v>
      </c>
      <c r="B713" s="74">
        <v>43525</v>
      </c>
      <c r="E713" s="12">
        <v>3</v>
      </c>
      <c r="F713" s="85">
        <v>0.65200000000000002</v>
      </c>
      <c r="G713" s="84">
        <v>4.4999999999999998E-2</v>
      </c>
    </row>
    <row r="714" spans="1:14">
      <c r="A714" s="8">
        <v>8</v>
      </c>
      <c r="B714" s="74">
        <v>43525</v>
      </c>
      <c r="E714" s="12">
        <v>3</v>
      </c>
      <c r="F714" s="85">
        <v>0.38100000000000001</v>
      </c>
      <c r="G714" s="84">
        <v>1.4E-2</v>
      </c>
    </row>
    <row r="715" spans="1:14">
      <c r="A715" s="8">
        <v>15</v>
      </c>
      <c r="B715" s="74">
        <v>43525</v>
      </c>
      <c r="E715" s="12">
        <v>3</v>
      </c>
      <c r="F715" s="85">
        <v>0.67500000000000004</v>
      </c>
      <c r="G715" s="84">
        <v>1.9E-2</v>
      </c>
      <c r="I715" s="18">
        <f>AVERAGE(F713:F715)</f>
        <v>0.56933333333333336</v>
      </c>
      <c r="J715" s="18">
        <f>AVERAGE(G713:G715)</f>
        <v>2.5999999999999999E-2</v>
      </c>
      <c r="L715">
        <f>+J715/I715</f>
        <v>4.5667447306791564E-2</v>
      </c>
      <c r="M715">
        <f>+(L715-$L$927)/$L$928</f>
        <v>0.65364773472761906</v>
      </c>
      <c r="N715">
        <f>+N701+M715</f>
        <v>0.45681202411554794</v>
      </c>
    </row>
    <row r="716" spans="1:14">
      <c r="A716" s="8">
        <v>6</v>
      </c>
      <c r="B716" s="74">
        <v>43556</v>
      </c>
      <c r="E716" s="12">
        <v>4</v>
      </c>
      <c r="F716" s="81">
        <v>1.5649999999999999</v>
      </c>
      <c r="G716" s="84">
        <v>9.9989999999999996E-4</v>
      </c>
    </row>
    <row r="717" spans="1:14">
      <c r="A717" s="8">
        <v>8</v>
      </c>
      <c r="B717" s="74">
        <v>43556</v>
      </c>
      <c r="E717" s="12">
        <v>4</v>
      </c>
      <c r="F717" s="81">
        <v>1.157</v>
      </c>
      <c r="G717" s="84">
        <v>8.9999999999999993E-3</v>
      </c>
    </row>
    <row r="718" spans="1:14">
      <c r="A718" s="8">
        <v>15</v>
      </c>
      <c r="B718" s="74">
        <v>43556</v>
      </c>
      <c r="E718" s="12">
        <v>4</v>
      </c>
      <c r="F718" s="81">
        <v>0.80500000000000005</v>
      </c>
      <c r="G718" s="84">
        <v>1.6E-2</v>
      </c>
      <c r="I718" s="18">
        <f>AVERAGE(F716:F718)</f>
        <v>1.1756666666666666</v>
      </c>
      <c r="J718" s="18">
        <f>AVERAGE(G716:G718)</f>
        <v>8.6666333333333331E-3</v>
      </c>
      <c r="L718">
        <f>+J718/I718</f>
        <v>7.3716756450240995E-3</v>
      </c>
      <c r="M718">
        <f>+(L718-$L$927)/$L$928</f>
        <v>-0.55690343748122695</v>
      </c>
      <c r="N718">
        <f>+N715+M718</f>
        <v>-0.10009141336567901</v>
      </c>
    </row>
    <row r="719" spans="1:14">
      <c r="A719" s="8">
        <v>6</v>
      </c>
      <c r="B719" s="74">
        <v>43586</v>
      </c>
      <c r="E719" s="12">
        <v>5</v>
      </c>
      <c r="F719" s="81">
        <v>6.4119999999999999</v>
      </c>
      <c r="G719" s="84">
        <v>7.1999999999999995E-2</v>
      </c>
    </row>
    <row r="720" spans="1:14">
      <c r="A720" s="8">
        <v>8</v>
      </c>
      <c r="B720" s="74">
        <v>43586</v>
      </c>
      <c r="E720" s="12">
        <v>5</v>
      </c>
      <c r="F720" s="81">
        <v>1.66</v>
      </c>
      <c r="G720" s="84">
        <v>1.9E-2</v>
      </c>
    </row>
    <row r="721" spans="1:14">
      <c r="A721" s="8">
        <v>15</v>
      </c>
      <c r="B721" s="74">
        <v>43586</v>
      </c>
      <c r="E721" s="12">
        <v>5</v>
      </c>
      <c r="F721" s="81">
        <v>3.5920000000000001</v>
      </c>
      <c r="G721" s="84">
        <v>3.7999999999999999E-2</v>
      </c>
      <c r="I721" s="18">
        <f>AVERAGE(F719:F721)</f>
        <v>3.8879999999999999</v>
      </c>
      <c r="J721" s="18">
        <f>AVERAGE(G719:G721)</f>
        <v>4.3000000000000003E-2</v>
      </c>
      <c r="L721">
        <f>+J721/I721</f>
        <v>1.1059670781893006E-2</v>
      </c>
      <c r="M721">
        <f>+(L721-$L$927)/$L$928</f>
        <v>-0.44032380891366074</v>
      </c>
      <c r="N721">
        <f>+N718+M721</f>
        <v>-0.54041522227933969</v>
      </c>
    </row>
    <row r="722" spans="1:14">
      <c r="A722" s="8">
        <v>6</v>
      </c>
      <c r="B722" s="74">
        <v>43617</v>
      </c>
      <c r="E722" s="12">
        <v>6</v>
      </c>
      <c r="F722" s="81">
        <v>5.2050000000000001</v>
      </c>
      <c r="G722" s="84">
        <v>6.0999999999999999E-2</v>
      </c>
    </row>
    <row r="723" spans="1:14">
      <c r="A723" s="8">
        <v>8</v>
      </c>
      <c r="B723" s="74">
        <v>43617</v>
      </c>
      <c r="E723" s="12">
        <v>6</v>
      </c>
      <c r="F723" s="82">
        <v>2.4590000000000001</v>
      </c>
      <c r="G723" s="82">
        <v>9.9989999999999996E-4</v>
      </c>
    </row>
    <row r="724" spans="1:14">
      <c r="A724" s="8">
        <v>15</v>
      </c>
      <c r="B724" s="74">
        <v>43617</v>
      </c>
      <c r="E724" s="12">
        <v>6</v>
      </c>
      <c r="F724" s="82">
        <v>2.0099999999999998</v>
      </c>
      <c r="G724" s="82">
        <v>2.4E-2</v>
      </c>
      <c r="I724" s="18">
        <f>AVERAGE(F722:F724)</f>
        <v>3.2246666666666663</v>
      </c>
      <c r="J724" s="18">
        <f>AVERAGE(G722:G724)</f>
        <v>2.866663333333333E-2</v>
      </c>
      <c r="L724">
        <f>+J724/I724</f>
        <v>8.8897973950795954E-3</v>
      </c>
      <c r="M724">
        <f>+(L724-$L$927)/$L$928</f>
        <v>-0.50891474357745181</v>
      </c>
      <c r="N724">
        <f>+N721+M724</f>
        <v>-1.0493299658567916</v>
      </c>
    </row>
    <row r="725" spans="1:14">
      <c r="A725" s="8">
        <v>6</v>
      </c>
      <c r="B725" s="74">
        <v>43647</v>
      </c>
      <c r="E725" s="12">
        <v>7</v>
      </c>
    </row>
    <row r="726" spans="1:14">
      <c r="A726" s="8">
        <v>8</v>
      </c>
      <c r="B726" s="74">
        <v>43647</v>
      </c>
      <c r="E726" s="12">
        <v>7</v>
      </c>
      <c r="F726" s="82">
        <v>4.9550000000000001</v>
      </c>
      <c r="G726" s="82">
        <v>8.8999999999999996E-2</v>
      </c>
    </row>
    <row r="727" spans="1:14">
      <c r="A727" s="8">
        <v>15</v>
      </c>
      <c r="B727" s="74">
        <v>43647</v>
      </c>
      <c r="E727" s="12">
        <v>7</v>
      </c>
      <c r="F727" s="82">
        <v>1.256</v>
      </c>
      <c r="G727" s="82">
        <v>5.0999999999999997E-2</v>
      </c>
      <c r="I727" s="18">
        <f>AVERAGE(F725:F727)</f>
        <v>3.1055000000000001</v>
      </c>
      <c r="J727" s="18">
        <f>AVERAGE(G725:G727)</f>
        <v>6.9999999999999993E-2</v>
      </c>
      <c r="L727">
        <f>+J727/I727</f>
        <v>2.2540653678956687E-2</v>
      </c>
      <c r="M727">
        <f>+(L727-$L$927)/$L$928</f>
        <v>-7.7403394960349051E-2</v>
      </c>
      <c r="N727">
        <f>+N724+M727</f>
        <v>-1.1267333608171406</v>
      </c>
    </row>
    <row r="728" spans="1:14">
      <c r="A728" s="8">
        <v>6</v>
      </c>
      <c r="B728" s="74">
        <v>43678</v>
      </c>
      <c r="E728" s="12">
        <v>8</v>
      </c>
      <c r="F728" s="89">
        <v>3.0449999999999999</v>
      </c>
      <c r="G728" s="82">
        <v>2.8000000000000001E-2</v>
      </c>
    </row>
    <row r="729" spans="1:14">
      <c r="A729" s="8">
        <v>8</v>
      </c>
      <c r="B729" s="74">
        <v>43678</v>
      </c>
      <c r="E729" s="12">
        <v>8</v>
      </c>
    </row>
    <row r="730" spans="1:14">
      <c r="A730" s="8">
        <v>15</v>
      </c>
      <c r="B730" s="74">
        <v>43678</v>
      </c>
      <c r="E730" s="12">
        <v>8</v>
      </c>
      <c r="I730" s="18">
        <f>AVERAGE(F728:F730)</f>
        <v>3.0449999999999999</v>
      </c>
      <c r="J730" s="18">
        <f>AVERAGE(G728:G730)</f>
        <v>2.8000000000000001E-2</v>
      </c>
      <c r="L730">
        <f>+J730/I730</f>
        <v>9.1954022988505746E-3</v>
      </c>
      <c r="M730">
        <f>+(L730-$L$927)/$L$928</f>
        <v>-0.49925439836335939</v>
      </c>
      <c r="N730">
        <f>+N727+M730</f>
        <v>-1.6259877591805001</v>
      </c>
    </row>
    <row r="731" spans="1:14">
      <c r="A731" s="8">
        <v>6</v>
      </c>
      <c r="B731" s="74">
        <v>43709</v>
      </c>
      <c r="E731" s="12">
        <v>9</v>
      </c>
      <c r="F731" s="82">
        <v>2.77</v>
      </c>
      <c r="G731" s="82">
        <v>9.9989999999999996E-4</v>
      </c>
    </row>
    <row r="732" spans="1:14">
      <c r="A732" s="8">
        <v>8</v>
      </c>
      <c r="B732" s="74">
        <v>43709</v>
      </c>
      <c r="E732" s="12">
        <v>9</v>
      </c>
      <c r="F732" s="82">
        <v>1.7789999999999999</v>
      </c>
      <c r="G732" s="82">
        <v>9.9989999999999996E-4</v>
      </c>
    </row>
    <row r="733" spans="1:14">
      <c r="A733" s="8">
        <v>15</v>
      </c>
      <c r="B733" s="74">
        <v>43709</v>
      </c>
      <c r="E733" s="12">
        <v>9</v>
      </c>
      <c r="F733" s="82">
        <v>2.2629999999999999</v>
      </c>
      <c r="G733" s="82">
        <v>9.9989999999999996E-4</v>
      </c>
      <c r="I733" s="18">
        <f>AVERAGE(F731:F733)</f>
        <v>2.2706666666666666</v>
      </c>
      <c r="J733" s="18">
        <f>AVERAGE(G731:G733)</f>
        <v>9.9989999999999996E-4</v>
      </c>
      <c r="L733">
        <f>+J733/I733</f>
        <v>4.4035525543159132E-4</v>
      </c>
      <c r="M733">
        <f>+(L733-$L$927)/$L$928</f>
        <v>-0.77600642610054615</v>
      </c>
      <c r="N733">
        <f>+N730+M733</f>
        <v>-2.4019941852810462</v>
      </c>
    </row>
    <row r="734" spans="1:14">
      <c r="A734" s="8">
        <v>6</v>
      </c>
      <c r="B734" s="74">
        <v>43739</v>
      </c>
      <c r="E734" s="12">
        <v>10</v>
      </c>
      <c r="F734" s="82">
        <v>1.4550000000000001</v>
      </c>
      <c r="G734" s="82">
        <v>9.9989999999999996E-4</v>
      </c>
    </row>
    <row r="735" spans="1:14">
      <c r="A735" s="8">
        <v>8</v>
      </c>
      <c r="B735" s="74">
        <v>43739</v>
      </c>
      <c r="E735" s="12">
        <v>10</v>
      </c>
      <c r="F735" s="82">
        <v>1.024</v>
      </c>
      <c r="G735" s="82">
        <v>9.9989999999999996E-4</v>
      </c>
    </row>
    <row r="736" spans="1:14">
      <c r="A736" s="8">
        <v>15</v>
      </c>
      <c r="B736" s="74">
        <v>43739</v>
      </c>
      <c r="E736" s="12">
        <v>10</v>
      </c>
      <c r="F736" s="82">
        <v>1.47</v>
      </c>
      <c r="G736" s="82">
        <v>9.9989999999999996E-4</v>
      </c>
      <c r="I736" s="18">
        <f>AVERAGE(F734:F736)</f>
        <v>1.3163333333333334</v>
      </c>
      <c r="J736" s="18">
        <f>AVERAGE(G734:G736)</f>
        <v>9.9989999999999996E-4</v>
      </c>
      <c r="L736">
        <f>+J736/I736</f>
        <v>7.5961002785515316E-4</v>
      </c>
      <c r="M736">
        <f>+(L736-$L$927)/$L$928</f>
        <v>-0.7659146007574249</v>
      </c>
      <c r="N736">
        <f>+N733+M736</f>
        <v>-3.1679087860384714</v>
      </c>
    </row>
    <row r="737" spans="1:14">
      <c r="A737" s="8">
        <v>6</v>
      </c>
      <c r="B737" s="74">
        <v>43770</v>
      </c>
      <c r="E737" s="12">
        <v>11</v>
      </c>
      <c r="F737" s="82"/>
    </row>
    <row r="738" spans="1:14">
      <c r="A738" s="8">
        <v>8</v>
      </c>
      <c r="B738" s="74">
        <v>43770</v>
      </c>
      <c r="E738" s="12">
        <v>11</v>
      </c>
      <c r="F738" s="82"/>
    </row>
    <row r="739" spans="1:14">
      <c r="A739" s="8">
        <v>15</v>
      </c>
      <c r="B739" s="74">
        <v>43770</v>
      </c>
      <c r="E739" s="12">
        <v>11</v>
      </c>
      <c r="F739" s="82"/>
      <c r="I739" s="18"/>
      <c r="J739" s="18"/>
    </row>
    <row r="740" spans="1:14">
      <c r="A740" s="8">
        <v>6</v>
      </c>
      <c r="B740" s="75">
        <v>43800</v>
      </c>
      <c r="E740" s="12">
        <v>12</v>
      </c>
      <c r="F740" s="82">
        <v>0.65400000000000003</v>
      </c>
      <c r="G740" s="82">
        <v>1.2999999999999999E-2</v>
      </c>
    </row>
    <row r="741" spans="1:14">
      <c r="A741" s="8">
        <v>8</v>
      </c>
      <c r="B741" s="74">
        <v>43800</v>
      </c>
      <c r="E741" s="12">
        <v>12</v>
      </c>
      <c r="F741" s="82">
        <v>2.3490000000000002</v>
      </c>
      <c r="G741" s="82">
        <v>2.7E-2</v>
      </c>
    </row>
    <row r="742" spans="1:14">
      <c r="A742" s="8">
        <v>15</v>
      </c>
      <c r="B742" s="74">
        <v>43800</v>
      </c>
      <c r="E742" s="12">
        <v>12</v>
      </c>
      <c r="F742" s="82">
        <v>0.68200000000000005</v>
      </c>
      <c r="G742" s="82">
        <v>9.9989999999999996E-4</v>
      </c>
      <c r="I742" s="18">
        <f>AVERAGE(F740:F742)</f>
        <v>1.2283333333333333</v>
      </c>
      <c r="J742" s="18">
        <f>AVERAGE(G740:G742)</f>
        <v>1.3666633333333332E-2</v>
      </c>
      <c r="L742">
        <f>+J742/I742</f>
        <v>1.1126160108548168E-2</v>
      </c>
      <c r="M742">
        <f>+(L742-$L$927)/$L$928</f>
        <v>-0.43822204339676063</v>
      </c>
      <c r="N742">
        <f>+N736+M742</f>
        <v>-3.6061308294352319</v>
      </c>
    </row>
    <row r="743" spans="1:14">
      <c r="A743" s="97">
        <v>6</v>
      </c>
      <c r="B743" s="93">
        <v>43840</v>
      </c>
      <c r="C743" s="94">
        <v>2020</v>
      </c>
      <c r="D743" s="95" t="s">
        <v>39</v>
      </c>
      <c r="E743" s="96">
        <v>1</v>
      </c>
    </row>
    <row r="744" spans="1:14">
      <c r="A744" s="8">
        <v>8</v>
      </c>
      <c r="B744" s="76">
        <v>43835</v>
      </c>
      <c r="C744">
        <v>2020</v>
      </c>
      <c r="D744" s="11" t="s">
        <v>39</v>
      </c>
      <c r="E744" s="15">
        <v>1</v>
      </c>
    </row>
    <row r="745" spans="1:14">
      <c r="A745" s="8">
        <v>15</v>
      </c>
      <c r="B745" s="76">
        <v>43835</v>
      </c>
      <c r="C745">
        <v>2020</v>
      </c>
      <c r="D745" s="11" t="s">
        <v>39</v>
      </c>
      <c r="E745" s="15">
        <v>1</v>
      </c>
    </row>
    <row r="746" spans="1:14">
      <c r="A746" s="8">
        <v>6</v>
      </c>
      <c r="B746" s="74">
        <v>43862</v>
      </c>
      <c r="C746">
        <v>2020</v>
      </c>
      <c r="D746" s="11" t="s">
        <v>28</v>
      </c>
      <c r="E746" s="15">
        <v>2</v>
      </c>
      <c r="F746" s="98">
        <v>1.083</v>
      </c>
      <c r="G746" s="98">
        <v>9.9989999999999996E-4</v>
      </c>
    </row>
    <row r="747" spans="1:14">
      <c r="A747" s="8">
        <v>8</v>
      </c>
      <c r="B747" s="74">
        <v>43862</v>
      </c>
      <c r="C747">
        <v>2020</v>
      </c>
      <c r="D747" s="11" t="s">
        <v>28</v>
      </c>
      <c r="E747" s="15">
        <v>2</v>
      </c>
      <c r="F747" s="98">
        <v>0.52400000000000002</v>
      </c>
      <c r="G747" s="98">
        <v>9.9989999999999996E-4</v>
      </c>
    </row>
    <row r="748" spans="1:14">
      <c r="A748" s="8">
        <v>15</v>
      </c>
      <c r="B748" s="74">
        <v>43862</v>
      </c>
      <c r="C748">
        <v>2020</v>
      </c>
      <c r="D748" s="11" t="s">
        <v>28</v>
      </c>
      <c r="E748" s="15">
        <v>2</v>
      </c>
      <c r="F748" s="98">
        <v>0.94799999999999995</v>
      </c>
      <c r="G748" s="98">
        <v>9.9989999999999996E-4</v>
      </c>
      <c r="I748" s="18">
        <f>AVERAGE(F746:F748)</f>
        <v>0.85166666666666657</v>
      </c>
      <c r="J748" s="18">
        <f>AVERAGE(G746:G748)</f>
        <v>9.9989999999999996E-4</v>
      </c>
      <c r="L748">
        <f>+J748/I748</f>
        <v>1.1740508806262233E-3</v>
      </c>
      <c r="M748">
        <f>+(L748-$L$927)/$L$928</f>
        <v>-0.75281388915499681</v>
      </c>
      <c r="N748">
        <f>+N742+M748</f>
        <v>-4.3589447185902284</v>
      </c>
    </row>
    <row r="749" spans="1:14">
      <c r="A749" s="8">
        <v>6</v>
      </c>
      <c r="B749" s="74">
        <v>43891</v>
      </c>
      <c r="C749">
        <v>2020</v>
      </c>
      <c r="D749" s="11" t="s">
        <v>29</v>
      </c>
      <c r="E749" s="15">
        <v>3</v>
      </c>
    </row>
    <row r="750" spans="1:14">
      <c r="A750" s="8">
        <v>8</v>
      </c>
      <c r="B750" s="74">
        <v>43891</v>
      </c>
      <c r="C750">
        <v>2020</v>
      </c>
      <c r="D750" s="11" t="s">
        <v>29</v>
      </c>
      <c r="E750" s="15">
        <v>3</v>
      </c>
    </row>
    <row r="751" spans="1:14">
      <c r="A751" s="8">
        <v>15</v>
      </c>
      <c r="B751" s="74">
        <v>43891</v>
      </c>
      <c r="C751">
        <v>2020</v>
      </c>
      <c r="D751" s="11" t="s">
        <v>29</v>
      </c>
      <c r="E751" s="15">
        <v>3</v>
      </c>
    </row>
    <row r="752" spans="1:14">
      <c r="A752" s="8">
        <v>6</v>
      </c>
      <c r="B752" s="74">
        <v>43922</v>
      </c>
      <c r="C752">
        <v>2020</v>
      </c>
      <c r="D752" s="11" t="s">
        <v>30</v>
      </c>
      <c r="E752" s="15">
        <v>4</v>
      </c>
    </row>
    <row r="753" spans="1:14">
      <c r="A753" s="8">
        <v>8</v>
      </c>
      <c r="B753" s="74">
        <v>43922</v>
      </c>
      <c r="C753">
        <v>2020</v>
      </c>
      <c r="D753" s="11" t="s">
        <v>30</v>
      </c>
      <c r="E753" s="15">
        <v>4</v>
      </c>
    </row>
    <row r="754" spans="1:14">
      <c r="A754" s="8">
        <v>15</v>
      </c>
      <c r="B754" s="74">
        <v>43922</v>
      </c>
      <c r="C754">
        <v>2020</v>
      </c>
      <c r="D754" s="11" t="s">
        <v>30</v>
      </c>
      <c r="E754" s="15">
        <v>4</v>
      </c>
    </row>
    <row r="755" spans="1:14">
      <c r="A755" s="8">
        <v>6</v>
      </c>
      <c r="B755" s="74">
        <v>43952</v>
      </c>
      <c r="C755">
        <v>2020</v>
      </c>
      <c r="D755" s="11" t="s">
        <v>31</v>
      </c>
      <c r="E755" s="15">
        <v>5</v>
      </c>
    </row>
    <row r="756" spans="1:14">
      <c r="A756" s="8">
        <v>8</v>
      </c>
      <c r="B756" s="74">
        <v>43952</v>
      </c>
      <c r="C756">
        <v>2020</v>
      </c>
      <c r="D756" s="11" t="s">
        <v>31</v>
      </c>
      <c r="E756" s="15">
        <v>5</v>
      </c>
    </row>
    <row r="757" spans="1:14">
      <c r="A757" s="8">
        <v>15</v>
      </c>
      <c r="B757" s="74">
        <v>43952</v>
      </c>
      <c r="C757">
        <v>2020</v>
      </c>
      <c r="D757" s="11" t="s">
        <v>31</v>
      </c>
      <c r="E757" s="15">
        <v>5</v>
      </c>
    </row>
    <row r="758" spans="1:14">
      <c r="A758" s="8">
        <v>6</v>
      </c>
      <c r="B758" s="74">
        <v>43983</v>
      </c>
      <c r="C758">
        <v>2020</v>
      </c>
      <c r="D758" s="11" t="s">
        <v>32</v>
      </c>
      <c r="E758" s="15">
        <v>6</v>
      </c>
      <c r="F758" s="98">
        <v>1.4039999999999999</v>
      </c>
      <c r="G758" s="98">
        <v>1.7000000000000001E-2</v>
      </c>
    </row>
    <row r="759" spans="1:14">
      <c r="A759" s="8">
        <v>8</v>
      </c>
      <c r="B759" s="74">
        <v>43983</v>
      </c>
      <c r="C759">
        <v>2020</v>
      </c>
      <c r="D759" s="11" t="s">
        <v>32</v>
      </c>
      <c r="E759" s="15">
        <v>6</v>
      </c>
      <c r="F759" s="98">
        <v>1.3180000000000001</v>
      </c>
      <c r="G759" s="98">
        <v>1.9E-2</v>
      </c>
    </row>
    <row r="760" spans="1:14">
      <c r="A760" s="8">
        <v>15</v>
      </c>
      <c r="B760" s="74">
        <v>43983</v>
      </c>
      <c r="C760">
        <v>2020</v>
      </c>
      <c r="D760" s="11" t="s">
        <v>32</v>
      </c>
      <c r="E760" s="15">
        <v>6</v>
      </c>
      <c r="F760" s="98">
        <v>1.875</v>
      </c>
      <c r="G760" s="98">
        <v>9.9989999999999996E-4</v>
      </c>
      <c r="I760" s="18">
        <f>AVERAGE(F758:F760)</f>
        <v>1.5323333333333331</v>
      </c>
      <c r="J760" s="18">
        <f>AVERAGE(G758:G760)</f>
        <v>1.23333E-2</v>
      </c>
      <c r="L760">
        <f>+J760/I760</f>
        <v>8.0487056776158382E-3</v>
      </c>
      <c r="M760">
        <f>+(L760-$L$927)/$L$928</f>
        <v>-0.53550213221930032</v>
      </c>
      <c r="N760">
        <f>+N748+M760</f>
        <v>-4.8944468508095289</v>
      </c>
    </row>
    <row r="761" spans="1:14">
      <c r="A761" s="8">
        <v>6</v>
      </c>
      <c r="B761" s="74">
        <v>44013</v>
      </c>
      <c r="C761">
        <v>2020</v>
      </c>
      <c r="D761" s="11" t="s">
        <v>33</v>
      </c>
      <c r="E761" s="15">
        <v>7</v>
      </c>
      <c r="F761" s="98">
        <v>2.8940000000000001</v>
      </c>
      <c r="G761" s="98">
        <v>5.6000000000000001E-2</v>
      </c>
    </row>
    <row r="762" spans="1:14">
      <c r="A762" s="8">
        <v>8</v>
      </c>
      <c r="B762" s="74">
        <v>44013</v>
      </c>
      <c r="C762">
        <v>2020</v>
      </c>
      <c r="D762" s="11" t="s">
        <v>33</v>
      </c>
      <c r="E762" s="15">
        <v>7</v>
      </c>
      <c r="F762" s="98">
        <v>1.2949999999999999</v>
      </c>
      <c r="G762" s="98">
        <v>9.9989999999999996E-4</v>
      </c>
    </row>
    <row r="763" spans="1:14">
      <c r="A763" s="8">
        <v>15</v>
      </c>
      <c r="B763" s="74">
        <v>44013</v>
      </c>
      <c r="C763">
        <v>2020</v>
      </c>
      <c r="D763" s="11" t="s">
        <v>33</v>
      </c>
      <c r="E763" s="15">
        <v>7</v>
      </c>
      <c r="F763" s="98">
        <v>1.96</v>
      </c>
      <c r="G763" s="98">
        <v>7.5999999999999998E-2</v>
      </c>
      <c r="I763" s="18">
        <f t="shared" ref="I763:J763" si="0">AVERAGE(F761:F763)</f>
        <v>2.0496666666666665</v>
      </c>
      <c r="J763" s="18">
        <f t="shared" si="0"/>
        <v>4.4333299999999999E-2</v>
      </c>
      <c r="L763">
        <f t="shared" ref="L763" si="1">+J763/I763</f>
        <v>2.1629516994633276E-2</v>
      </c>
      <c r="M763">
        <f t="shared" ref="M763" si="2">+(L763-$L$927)/$L$928</f>
        <v>-0.10620494493280572</v>
      </c>
      <c r="N763">
        <f>+N760+M763</f>
        <v>-5.0006517957423346</v>
      </c>
    </row>
    <row r="764" spans="1:14">
      <c r="A764" s="8">
        <v>6</v>
      </c>
      <c r="B764" s="74">
        <v>44044</v>
      </c>
      <c r="C764">
        <v>2020</v>
      </c>
      <c r="D764" s="11" t="s">
        <v>34</v>
      </c>
      <c r="E764" s="15">
        <v>8</v>
      </c>
      <c r="F764" s="98">
        <v>3.5720000000000001</v>
      </c>
      <c r="G764" s="98">
        <v>0.13</v>
      </c>
    </row>
    <row r="765" spans="1:14">
      <c r="A765" s="8">
        <v>8</v>
      </c>
      <c r="B765" s="74">
        <v>44044</v>
      </c>
      <c r="C765">
        <v>2020</v>
      </c>
      <c r="D765" s="11" t="s">
        <v>34</v>
      </c>
      <c r="E765" s="15">
        <v>8</v>
      </c>
      <c r="F765" s="98">
        <v>3.8380000000000001</v>
      </c>
      <c r="G765" s="98">
        <v>4.9000000000000002E-2</v>
      </c>
    </row>
    <row r="766" spans="1:14">
      <c r="A766" s="8">
        <v>15</v>
      </c>
      <c r="B766" s="74">
        <v>44044</v>
      </c>
      <c r="C766">
        <v>2020</v>
      </c>
      <c r="D766" s="11" t="s">
        <v>34</v>
      </c>
      <c r="E766" s="15">
        <v>8</v>
      </c>
      <c r="F766" s="98">
        <v>5.1539999999999999</v>
      </c>
      <c r="G766" s="98">
        <v>0.25600000000000001</v>
      </c>
      <c r="I766" s="18">
        <f t="shared" ref="I766:J766" si="3">AVERAGE(F764:F766)</f>
        <v>4.1879999999999997</v>
      </c>
      <c r="J766" s="18">
        <f t="shared" si="3"/>
        <v>0.14499999999999999</v>
      </c>
      <c r="L766">
        <f t="shared" ref="L766" si="4">+J766/I766</f>
        <v>3.4622731614135628E-2</v>
      </c>
      <c r="M766">
        <f t="shared" ref="M766" si="5">+(L766-$L$927)/$L$928</f>
        <v>0.3045179757937837</v>
      </c>
      <c r="N766">
        <f t="shared" ref="N766" si="6">+N763+M766</f>
        <v>-4.6961338199485514</v>
      </c>
    </row>
    <row r="767" spans="1:14">
      <c r="A767" s="8">
        <v>6</v>
      </c>
      <c r="B767" s="74">
        <v>44075</v>
      </c>
      <c r="C767">
        <v>2020</v>
      </c>
      <c r="D767" s="11" t="s">
        <v>40</v>
      </c>
      <c r="E767" s="15">
        <v>9</v>
      </c>
      <c r="F767" s="98">
        <v>4.6669999999999998</v>
      </c>
      <c r="G767" s="98">
        <v>0.26300000000000001</v>
      </c>
    </row>
    <row r="768" spans="1:14">
      <c r="A768" s="8">
        <v>8</v>
      </c>
      <c r="B768" s="74">
        <v>44075</v>
      </c>
      <c r="C768">
        <v>2020</v>
      </c>
      <c r="D768" s="11" t="s">
        <v>40</v>
      </c>
      <c r="E768" s="15">
        <v>9</v>
      </c>
      <c r="F768" s="98">
        <v>0.877</v>
      </c>
      <c r="G768" s="98">
        <v>1.9E-2</v>
      </c>
    </row>
    <row r="769" spans="1:14">
      <c r="A769" s="8">
        <v>15</v>
      </c>
      <c r="B769" s="74">
        <v>44075</v>
      </c>
      <c r="C769">
        <v>2020</v>
      </c>
      <c r="D769" s="11" t="s">
        <v>40</v>
      </c>
      <c r="E769" s="15">
        <v>9</v>
      </c>
      <c r="F769" s="98">
        <v>1.0820000000000001</v>
      </c>
      <c r="G769" s="98">
        <v>4.2000000000000003E-2</v>
      </c>
      <c r="I769" s="18">
        <f t="shared" ref="I769:J769" si="7">AVERAGE(F767:F769)</f>
        <v>2.2086666666666663</v>
      </c>
      <c r="J769" s="18">
        <f t="shared" si="7"/>
        <v>0.108</v>
      </c>
      <c r="L769">
        <f t="shared" ref="L769" si="8">+J769/I769</f>
        <v>4.8898279504980387E-2</v>
      </c>
      <c r="M769">
        <f t="shared" ref="M769" si="9">+(L769-$L$927)/$L$928</f>
        <v>0.75577618220403309</v>
      </c>
      <c r="N769">
        <f t="shared" ref="N769" si="10">+N766+M769</f>
        <v>-3.9403576377445182</v>
      </c>
    </row>
    <row r="770" spans="1:14">
      <c r="A770" s="8">
        <v>6</v>
      </c>
      <c r="B770" s="74">
        <v>44105</v>
      </c>
      <c r="C770">
        <v>2020</v>
      </c>
      <c r="D770" s="11" t="s">
        <v>36</v>
      </c>
      <c r="E770" s="15">
        <v>10</v>
      </c>
      <c r="F770" s="98">
        <v>1.3939999999999999</v>
      </c>
      <c r="G770" s="98">
        <v>0.03</v>
      </c>
    </row>
    <row r="771" spans="1:14">
      <c r="A771" s="8">
        <v>8</v>
      </c>
      <c r="B771" s="74">
        <v>44105</v>
      </c>
      <c r="C771">
        <v>2020</v>
      </c>
      <c r="D771" s="11" t="s">
        <v>36</v>
      </c>
      <c r="E771" s="15">
        <v>10</v>
      </c>
      <c r="F771" s="98">
        <v>0.89</v>
      </c>
      <c r="G771" s="98">
        <v>1.7000000000000001E-2</v>
      </c>
    </row>
    <row r="772" spans="1:14">
      <c r="A772" s="8">
        <v>15</v>
      </c>
      <c r="B772" s="74">
        <v>44105</v>
      </c>
      <c r="C772">
        <v>2020</v>
      </c>
      <c r="D772" s="11" t="s">
        <v>36</v>
      </c>
      <c r="E772" s="15">
        <v>10</v>
      </c>
      <c r="F772" s="98">
        <v>1.417</v>
      </c>
      <c r="G772" s="98">
        <v>1.7000000000000001E-2</v>
      </c>
      <c r="I772" s="18">
        <f t="shared" ref="I772:J772" si="11">AVERAGE(F770:F772)</f>
        <v>1.2336666666666665</v>
      </c>
      <c r="J772" s="18">
        <f t="shared" si="11"/>
        <v>2.1333333333333333E-2</v>
      </c>
      <c r="L772">
        <f t="shared" ref="L772" si="12">+J772/I772</f>
        <v>1.7292623615239127E-2</v>
      </c>
      <c r="M772">
        <f t="shared" ref="M772" si="13">+(L772-$L$927)/$L$928</f>
        <v>-0.24329661684215473</v>
      </c>
      <c r="N772">
        <f t="shared" ref="N772" si="14">+N769+M772</f>
        <v>-4.1836542545866733</v>
      </c>
    </row>
    <row r="773" spans="1:14">
      <c r="A773" s="8">
        <v>6</v>
      </c>
      <c r="B773" s="74">
        <v>44136</v>
      </c>
      <c r="C773">
        <v>2020</v>
      </c>
      <c r="D773" s="11" t="s">
        <v>37</v>
      </c>
      <c r="E773" s="15">
        <v>11</v>
      </c>
      <c r="F773" s="98">
        <v>1.1379999999999999</v>
      </c>
      <c r="G773" s="98">
        <v>9.9989999999999996E-4</v>
      </c>
    </row>
    <row r="774" spans="1:14">
      <c r="A774" s="8">
        <v>8</v>
      </c>
      <c r="B774" s="74">
        <v>44136</v>
      </c>
      <c r="C774">
        <v>2020</v>
      </c>
      <c r="D774" s="11" t="s">
        <v>37</v>
      </c>
      <c r="E774" s="15">
        <v>11</v>
      </c>
      <c r="F774" s="98">
        <v>0.64400000000000002</v>
      </c>
      <c r="G774" s="98">
        <v>9.9989999999999996E-4</v>
      </c>
    </row>
    <row r="775" spans="1:14">
      <c r="A775" s="8">
        <v>15</v>
      </c>
      <c r="B775" s="74">
        <v>44136</v>
      </c>
      <c r="C775">
        <v>2020</v>
      </c>
      <c r="D775" s="11" t="s">
        <v>37</v>
      </c>
      <c r="E775" s="15">
        <v>11</v>
      </c>
      <c r="F775" s="98">
        <v>1.998</v>
      </c>
      <c r="G775" s="98">
        <v>1.6E-2</v>
      </c>
      <c r="I775" s="18">
        <f t="shared" ref="I775:J775" si="15">AVERAGE(F773:F775)</f>
        <v>1.26</v>
      </c>
      <c r="J775" s="18">
        <f t="shared" si="15"/>
        <v>5.999933333333333E-3</v>
      </c>
      <c r="L775">
        <f t="shared" ref="L775" si="16">+J775/I775</f>
        <v>4.7618518518518513E-3</v>
      </c>
      <c r="M775">
        <f t="shared" ref="M775" si="17">+(L775-$L$927)/$L$928</f>
        <v>-0.63940145527772718</v>
      </c>
      <c r="N775">
        <f t="shared" ref="N775" si="18">+N772+M775</f>
        <v>-4.8230557098644002</v>
      </c>
    </row>
    <row r="776" spans="1:14">
      <c r="A776" s="8">
        <v>6</v>
      </c>
      <c r="B776" s="75">
        <v>44166</v>
      </c>
      <c r="C776">
        <v>2020</v>
      </c>
      <c r="D776" s="11" t="s">
        <v>38</v>
      </c>
      <c r="E776" s="15">
        <v>12</v>
      </c>
    </row>
    <row r="777" spans="1:14">
      <c r="A777" s="8">
        <v>8</v>
      </c>
      <c r="B777" s="74">
        <v>44166</v>
      </c>
      <c r="C777">
        <v>2020</v>
      </c>
      <c r="D777" s="11" t="s">
        <v>38</v>
      </c>
      <c r="E777" s="15">
        <v>12</v>
      </c>
    </row>
    <row r="778" spans="1:14">
      <c r="A778" s="8">
        <v>15</v>
      </c>
      <c r="B778" s="74">
        <v>44166</v>
      </c>
      <c r="C778">
        <v>2020</v>
      </c>
      <c r="D778" s="11" t="s">
        <v>38</v>
      </c>
      <c r="E778" s="15">
        <v>12</v>
      </c>
      <c r="I778" s="18"/>
      <c r="J778" s="18"/>
    </row>
    <row r="779" spans="1:14">
      <c r="A779" s="97">
        <v>6</v>
      </c>
      <c r="B779" s="93">
        <v>44206</v>
      </c>
      <c r="C779" s="94">
        <v>2021</v>
      </c>
      <c r="D779" s="95" t="s">
        <v>39</v>
      </c>
      <c r="E779" s="96">
        <v>1</v>
      </c>
    </row>
    <row r="780" spans="1:14">
      <c r="A780" s="8">
        <v>8</v>
      </c>
      <c r="B780" s="76">
        <v>44201</v>
      </c>
      <c r="C780">
        <v>2021</v>
      </c>
      <c r="D780" s="11" t="s">
        <v>39</v>
      </c>
      <c r="E780" s="15">
        <v>1</v>
      </c>
    </row>
    <row r="781" spans="1:14">
      <c r="A781" s="8">
        <v>15</v>
      </c>
      <c r="B781" s="76">
        <v>44201</v>
      </c>
      <c r="C781">
        <v>2021</v>
      </c>
      <c r="D781" s="11" t="s">
        <v>39</v>
      </c>
      <c r="E781" s="15">
        <v>1</v>
      </c>
      <c r="I781" s="18"/>
      <c r="J781" s="18"/>
    </row>
    <row r="782" spans="1:14">
      <c r="A782" s="8">
        <v>6</v>
      </c>
      <c r="B782" s="74">
        <v>44228</v>
      </c>
      <c r="C782">
        <v>2021</v>
      </c>
      <c r="D782" s="11" t="s">
        <v>28</v>
      </c>
      <c r="E782" s="15">
        <v>2</v>
      </c>
      <c r="F782" s="98">
        <v>2.1869999999999998</v>
      </c>
      <c r="G782" s="98">
        <v>2.4E-2</v>
      </c>
    </row>
    <row r="783" spans="1:14">
      <c r="A783" s="8">
        <v>8</v>
      </c>
      <c r="B783" s="74">
        <v>44228</v>
      </c>
      <c r="C783">
        <v>2021</v>
      </c>
      <c r="D783" s="11" t="s">
        <v>28</v>
      </c>
      <c r="E783" s="15">
        <v>2</v>
      </c>
      <c r="F783" s="98">
        <v>4.0350000000000001</v>
      </c>
      <c r="G783" s="98">
        <v>8.5000000000000006E-2</v>
      </c>
    </row>
    <row r="784" spans="1:14">
      <c r="A784" s="8">
        <v>15</v>
      </c>
      <c r="B784" s="74">
        <v>44228</v>
      </c>
      <c r="C784">
        <v>2021</v>
      </c>
      <c r="D784" s="11" t="s">
        <v>28</v>
      </c>
      <c r="E784" s="15">
        <v>2</v>
      </c>
      <c r="F784" s="98">
        <v>4.0049999999999999</v>
      </c>
      <c r="G784" s="98">
        <v>7.4999999999999997E-2</v>
      </c>
      <c r="I784" s="18">
        <f t="shared" ref="I784:J784" si="19">AVERAGE(F782:F784)</f>
        <v>3.4090000000000003</v>
      </c>
      <c r="J784" s="18">
        <f t="shared" si="19"/>
        <v>6.133333333333333E-2</v>
      </c>
      <c r="L784">
        <f t="shared" ref="L784" si="20">+J784/I784</f>
        <v>1.7991590886868091E-2</v>
      </c>
      <c r="M784">
        <f t="shared" ref="M784" si="21">+(L784-$L$927)/$L$928</f>
        <v>-0.22120186294923869</v>
      </c>
      <c r="N784">
        <f>+N775+M784</f>
        <v>-5.0442575728136392</v>
      </c>
    </row>
    <row r="785" spans="1:14">
      <c r="A785" s="8">
        <v>6</v>
      </c>
      <c r="B785" s="74">
        <v>44256</v>
      </c>
      <c r="C785">
        <v>2021</v>
      </c>
      <c r="D785" s="11" t="s">
        <v>29</v>
      </c>
      <c r="E785" s="15">
        <v>3</v>
      </c>
      <c r="F785" s="98">
        <v>1.544</v>
      </c>
      <c r="G785" s="98">
        <v>9.9989999999999996E-4</v>
      </c>
    </row>
    <row r="786" spans="1:14">
      <c r="A786" s="8">
        <v>8</v>
      </c>
      <c r="B786" s="74">
        <v>44256</v>
      </c>
      <c r="C786">
        <v>2021</v>
      </c>
      <c r="D786" s="11" t="s">
        <v>29</v>
      </c>
      <c r="E786" s="15">
        <v>3</v>
      </c>
      <c r="F786" s="98">
        <v>1.1639999999999999</v>
      </c>
      <c r="G786" s="98">
        <v>6.3E-2</v>
      </c>
    </row>
    <row r="787" spans="1:14">
      <c r="A787" s="8">
        <v>15</v>
      </c>
      <c r="B787" s="74">
        <v>44256</v>
      </c>
      <c r="C787">
        <v>2021</v>
      </c>
      <c r="D787" s="11" t="s">
        <v>29</v>
      </c>
      <c r="E787" s="15">
        <v>3</v>
      </c>
      <c r="F787" s="98">
        <v>1.7290000000000001</v>
      </c>
      <c r="G787" s="98">
        <v>9.9989999999999996E-4</v>
      </c>
      <c r="I787" s="18">
        <f t="shared" ref="I787:J787" si="22">AVERAGE(F785:F787)</f>
        <v>1.4790000000000001</v>
      </c>
      <c r="J787" s="18">
        <f t="shared" si="22"/>
        <v>2.1666599999999998E-2</v>
      </c>
      <c r="L787">
        <f t="shared" ref="L787" si="23">+J787/I787</f>
        <v>1.4649492900608517E-2</v>
      </c>
      <c r="M787">
        <f t="shared" ref="M787" si="24">+(L787-$L$927)/$L$928</f>
        <v>-0.32684748541210845</v>
      </c>
      <c r="N787">
        <f t="shared" ref="N787" si="25">+N784+M787</f>
        <v>-5.3711050582257478</v>
      </c>
    </row>
    <row r="788" spans="1:14">
      <c r="A788" s="8">
        <v>6</v>
      </c>
      <c r="B788" s="74">
        <v>44287</v>
      </c>
      <c r="C788">
        <v>2021</v>
      </c>
      <c r="D788" s="11" t="s">
        <v>30</v>
      </c>
      <c r="E788" s="15">
        <v>4</v>
      </c>
      <c r="F788" s="98">
        <v>0.67800000000000005</v>
      </c>
      <c r="G788" s="98">
        <v>1.6E-2</v>
      </c>
    </row>
    <row r="789" spans="1:14">
      <c r="A789" s="8">
        <v>8</v>
      </c>
      <c r="B789" s="74">
        <v>44287</v>
      </c>
      <c r="C789">
        <v>2021</v>
      </c>
      <c r="D789" s="11" t="s">
        <v>30</v>
      </c>
      <c r="E789" s="15">
        <v>4</v>
      </c>
      <c r="F789" s="98">
        <v>0.56000000000000005</v>
      </c>
      <c r="G789" s="98">
        <v>8.9999999999999993E-3</v>
      </c>
    </row>
    <row r="790" spans="1:14">
      <c r="A790" s="8">
        <v>15</v>
      </c>
      <c r="B790" s="74">
        <v>44287</v>
      </c>
      <c r="C790">
        <v>2021</v>
      </c>
      <c r="D790" s="11" t="s">
        <v>30</v>
      </c>
      <c r="E790" s="15">
        <v>4</v>
      </c>
      <c r="F790" s="98">
        <v>1.1479999999999999</v>
      </c>
      <c r="G790" s="98">
        <v>1.7999999999999999E-2</v>
      </c>
      <c r="I790" s="18">
        <f t="shared" ref="I790:J790" si="26">AVERAGE(F788:F790)</f>
        <v>0.79533333333333334</v>
      </c>
      <c r="J790" s="18">
        <f t="shared" si="26"/>
        <v>1.4333333333333332E-2</v>
      </c>
      <c r="L790">
        <f t="shared" ref="L790" si="27">+J790/I790</f>
        <v>1.8021793797150038E-2</v>
      </c>
      <c r="M790">
        <f t="shared" ref="M790" si="28">+(L790-$L$927)/$L$928</f>
        <v>-0.2202471317384708</v>
      </c>
      <c r="N790">
        <f t="shared" ref="N790" si="29">+N787+M790</f>
        <v>-5.5913521899642182</v>
      </c>
    </row>
    <row r="791" spans="1:14">
      <c r="A791" s="8">
        <v>6</v>
      </c>
      <c r="B791" s="74">
        <v>44317</v>
      </c>
      <c r="C791">
        <v>2021</v>
      </c>
      <c r="D791" s="11" t="s">
        <v>31</v>
      </c>
      <c r="E791" s="15">
        <v>5</v>
      </c>
      <c r="F791" s="98">
        <v>1.7669999999999999</v>
      </c>
      <c r="G791" s="98">
        <v>9.0999999999999998E-2</v>
      </c>
    </row>
    <row r="792" spans="1:14">
      <c r="A792" s="8">
        <v>8</v>
      </c>
      <c r="B792" s="74">
        <v>44317</v>
      </c>
      <c r="C792">
        <v>2021</v>
      </c>
      <c r="D792" s="11" t="s">
        <v>31</v>
      </c>
      <c r="E792" s="15">
        <v>5</v>
      </c>
      <c r="F792" s="98">
        <v>1.22</v>
      </c>
      <c r="G792" s="98">
        <v>1.4E-2</v>
      </c>
    </row>
    <row r="793" spans="1:14">
      <c r="A793" s="8">
        <v>15</v>
      </c>
      <c r="B793" s="74">
        <v>44317</v>
      </c>
      <c r="C793">
        <v>2021</v>
      </c>
      <c r="D793" s="11" t="s">
        <v>31</v>
      </c>
      <c r="E793" s="15">
        <v>5</v>
      </c>
      <c r="F793" s="98">
        <v>1.2649999999999999</v>
      </c>
      <c r="G793" s="98">
        <v>1.7000000000000001E-2</v>
      </c>
      <c r="I793" s="18">
        <f t="shared" ref="I793:J793" si="30">AVERAGE(F791:F793)</f>
        <v>1.4173333333333333</v>
      </c>
      <c r="J793" s="18">
        <f t="shared" si="30"/>
        <v>4.0666666666666663E-2</v>
      </c>
      <c r="L793">
        <f t="shared" ref="L793" si="31">+J793/I793</f>
        <v>2.8692380056444023E-2</v>
      </c>
      <c r="M793">
        <f t="shared" ref="M793" si="32">+(L793-$L$927)/$L$928</f>
        <v>0.11705618253943158</v>
      </c>
      <c r="N793">
        <f t="shared" ref="N793" si="33">+N790+M793</f>
        <v>-5.4742960074247868</v>
      </c>
    </row>
    <row r="794" spans="1:14">
      <c r="A794" s="8">
        <v>6</v>
      </c>
      <c r="B794" s="74">
        <v>44348</v>
      </c>
      <c r="C794">
        <v>2021</v>
      </c>
      <c r="D794" s="11" t="s">
        <v>32</v>
      </c>
      <c r="E794" s="15">
        <v>6</v>
      </c>
      <c r="F794" s="98">
        <v>2.4929999999999999</v>
      </c>
      <c r="G794" s="98">
        <v>0.13</v>
      </c>
    </row>
    <row r="795" spans="1:14">
      <c r="A795" s="8">
        <v>8</v>
      </c>
      <c r="B795" s="74">
        <v>44348</v>
      </c>
      <c r="C795">
        <v>2021</v>
      </c>
      <c r="D795" s="11" t="s">
        <v>32</v>
      </c>
      <c r="E795" s="15">
        <v>6</v>
      </c>
      <c r="F795" s="98">
        <v>2.9580000000000002</v>
      </c>
      <c r="G795" s="98">
        <v>8.7999999999999995E-2</v>
      </c>
    </row>
    <row r="796" spans="1:14">
      <c r="A796" s="8">
        <v>15</v>
      </c>
      <c r="B796" s="74">
        <v>44348</v>
      </c>
      <c r="C796">
        <v>2021</v>
      </c>
      <c r="D796" s="11" t="s">
        <v>32</v>
      </c>
      <c r="E796" s="15">
        <v>6</v>
      </c>
      <c r="F796" s="98">
        <v>3.5</v>
      </c>
      <c r="G796" s="98">
        <v>0.10199999999999999</v>
      </c>
      <c r="I796" s="18">
        <f t="shared" ref="I796:J796" si="34">AVERAGE(F794:F796)</f>
        <v>2.9836666666666667</v>
      </c>
      <c r="J796" s="18">
        <f t="shared" si="34"/>
        <v>0.10666666666666667</v>
      </c>
      <c r="L796">
        <f t="shared" ref="L796" si="35">+J796/I796</f>
        <v>3.5750195508881692E-2</v>
      </c>
      <c r="M796">
        <f t="shared" ref="M796" si="36">+(L796-$L$927)/$L$928</f>
        <v>0.34015775220206529</v>
      </c>
      <c r="N796">
        <f t="shared" ref="N796" si="37">+N793+M796</f>
        <v>-5.1341382552227213</v>
      </c>
    </row>
    <row r="797" spans="1:14">
      <c r="A797" s="8">
        <v>6</v>
      </c>
      <c r="B797" s="74">
        <v>44378</v>
      </c>
      <c r="C797">
        <v>2021</v>
      </c>
      <c r="D797" s="11" t="s">
        <v>33</v>
      </c>
      <c r="E797" s="15">
        <v>7</v>
      </c>
      <c r="H797" s="101" t="s">
        <v>91</v>
      </c>
    </row>
    <row r="798" spans="1:14">
      <c r="A798" s="8">
        <v>8</v>
      </c>
      <c r="B798" s="74">
        <v>44378</v>
      </c>
      <c r="C798">
        <v>2021</v>
      </c>
      <c r="D798" s="11" t="s">
        <v>33</v>
      </c>
      <c r="E798" s="15">
        <v>7</v>
      </c>
      <c r="H798" s="101" t="s">
        <v>92</v>
      </c>
    </row>
    <row r="799" spans="1:14">
      <c r="A799" s="8">
        <v>15</v>
      </c>
      <c r="B799" s="74">
        <v>44378</v>
      </c>
      <c r="C799">
        <v>2021</v>
      </c>
      <c r="D799" s="11" t="s">
        <v>33</v>
      </c>
      <c r="E799" s="15">
        <v>7</v>
      </c>
      <c r="I799" s="18"/>
      <c r="J799" s="18"/>
    </row>
    <row r="800" spans="1:14">
      <c r="A800" s="8">
        <v>6</v>
      </c>
      <c r="B800" s="74">
        <v>44409</v>
      </c>
      <c r="C800">
        <v>2021</v>
      </c>
      <c r="D800" s="11" t="s">
        <v>34</v>
      </c>
      <c r="E800" s="15">
        <v>8</v>
      </c>
      <c r="F800" s="98">
        <v>3.915</v>
      </c>
      <c r="G800" s="98">
        <v>0.79700000000000004</v>
      </c>
    </row>
    <row r="801" spans="1:14">
      <c r="A801" s="8">
        <v>8</v>
      </c>
      <c r="B801" s="74">
        <v>44409</v>
      </c>
      <c r="C801">
        <v>2021</v>
      </c>
      <c r="D801" s="11" t="s">
        <v>34</v>
      </c>
      <c r="E801" s="15">
        <v>8</v>
      </c>
      <c r="F801" s="98">
        <v>1.6639999999999999</v>
      </c>
      <c r="G801" s="98">
        <v>2.8000000000000001E-2</v>
      </c>
    </row>
    <row r="802" spans="1:14">
      <c r="A802" s="8">
        <v>15</v>
      </c>
      <c r="B802" s="74">
        <v>44409</v>
      </c>
      <c r="C802">
        <v>2021</v>
      </c>
      <c r="D802" s="11" t="s">
        <v>34</v>
      </c>
      <c r="E802" s="15">
        <v>8</v>
      </c>
      <c r="F802" s="98">
        <v>1.4710000000000001</v>
      </c>
      <c r="G802" s="98">
        <v>8.5999999999999993E-2</v>
      </c>
      <c r="I802" s="18">
        <f t="shared" ref="I802:J802" si="38">AVERAGE(F800:F802)</f>
        <v>2.35</v>
      </c>
      <c r="J802" s="18">
        <f t="shared" si="38"/>
        <v>0.3036666666666667</v>
      </c>
      <c r="L802">
        <f t="shared" ref="L802" si="39">+J802/I802</f>
        <v>0.12921985815602838</v>
      </c>
      <c r="M802">
        <f t="shared" ref="M802" si="40">+(L802-$L$927)/$L$928</f>
        <v>3.2947870695799883</v>
      </c>
      <c r="N802">
        <f>+N796+M802</f>
        <v>-1.8393511856427329</v>
      </c>
    </row>
    <row r="803" spans="1:14">
      <c r="A803" s="8">
        <v>6</v>
      </c>
      <c r="B803" s="74">
        <v>44440</v>
      </c>
      <c r="C803">
        <v>2021</v>
      </c>
      <c r="D803" s="11" t="s">
        <v>40</v>
      </c>
      <c r="E803" s="15">
        <v>9</v>
      </c>
      <c r="F803" s="98">
        <v>1.972</v>
      </c>
      <c r="G803" s="98">
        <v>1.7999999999999999E-2</v>
      </c>
    </row>
    <row r="804" spans="1:14">
      <c r="A804" s="8">
        <v>8</v>
      </c>
      <c r="B804" s="74">
        <v>44440</v>
      </c>
      <c r="C804">
        <v>2021</v>
      </c>
      <c r="D804" s="11" t="s">
        <v>40</v>
      </c>
      <c r="E804" s="15">
        <v>9</v>
      </c>
      <c r="F804" s="98">
        <v>0.97699999999999998</v>
      </c>
      <c r="G804" s="98">
        <v>9.9989999999999996E-4</v>
      </c>
    </row>
    <row r="805" spans="1:14">
      <c r="A805" s="8">
        <v>15</v>
      </c>
      <c r="B805" s="74">
        <v>44440</v>
      </c>
      <c r="C805">
        <v>2021</v>
      </c>
      <c r="D805" s="11" t="s">
        <v>40</v>
      </c>
      <c r="E805" s="15">
        <v>9</v>
      </c>
      <c r="F805" s="98">
        <v>2.64</v>
      </c>
      <c r="G805" s="98">
        <v>3.7999999999999999E-2</v>
      </c>
      <c r="I805" s="18">
        <f t="shared" ref="I805:J805" si="41">AVERAGE(F803:F805)</f>
        <v>1.8630000000000002</v>
      </c>
      <c r="J805" s="18">
        <f t="shared" si="41"/>
        <v>1.8999966666666666E-2</v>
      </c>
      <c r="L805">
        <f t="shared" ref="L805" si="42">+J805/I805</f>
        <v>1.0198586509214527E-2</v>
      </c>
      <c r="M805">
        <f t="shared" ref="M805" si="43">+(L805-$L$927)/$L$928</f>
        <v>-0.46754317362232906</v>
      </c>
      <c r="N805">
        <f t="shared" ref="N805" si="44">+N802+M805</f>
        <v>-2.3068943592650619</v>
      </c>
    </row>
    <row r="806" spans="1:14">
      <c r="A806" s="8">
        <v>6</v>
      </c>
      <c r="B806" s="74">
        <v>44470</v>
      </c>
      <c r="C806">
        <v>2021</v>
      </c>
      <c r="D806" s="11" t="s">
        <v>36</v>
      </c>
      <c r="E806" s="15">
        <v>10</v>
      </c>
      <c r="F806" s="98">
        <v>2.2690000000000001</v>
      </c>
      <c r="G806" s="98">
        <v>4.5999999999999999E-2</v>
      </c>
    </row>
    <row r="807" spans="1:14">
      <c r="A807" s="8">
        <v>8</v>
      </c>
      <c r="B807" s="74">
        <v>44470</v>
      </c>
      <c r="C807">
        <v>2021</v>
      </c>
      <c r="D807" s="11" t="s">
        <v>36</v>
      </c>
      <c r="E807" s="15">
        <v>10</v>
      </c>
      <c r="F807" s="98">
        <v>1.655</v>
      </c>
      <c r="G807" s="98">
        <v>7.3999999999999996E-2</v>
      </c>
    </row>
    <row r="808" spans="1:14">
      <c r="A808" s="8">
        <v>15</v>
      </c>
      <c r="B808" s="74">
        <v>44470</v>
      </c>
      <c r="C808">
        <v>2021</v>
      </c>
      <c r="D808" s="11" t="s">
        <v>36</v>
      </c>
      <c r="E808" s="15">
        <v>10</v>
      </c>
      <c r="F808" s="98">
        <v>2.1030000000000002</v>
      </c>
      <c r="G808" s="98">
        <v>3.7999999999999999E-2</v>
      </c>
      <c r="I808" s="18">
        <f t="shared" ref="I808:J808" si="45">AVERAGE(F806:F808)</f>
        <v>2.0090000000000003</v>
      </c>
      <c r="J808" s="18">
        <f t="shared" si="45"/>
        <v>5.2666666666666667E-2</v>
      </c>
      <c r="L808">
        <f t="shared" ref="L808" si="46">+J808/I808</f>
        <v>2.6215364194458267E-2</v>
      </c>
      <c r="M808">
        <f t="shared" ref="M808" si="47">+(L808-$L$927)/$L$928</f>
        <v>3.8756299153079411E-2</v>
      </c>
      <c r="N808">
        <f t="shared" ref="N808" si="48">+N805+M808</f>
        <v>-2.2681380601119825</v>
      </c>
    </row>
    <row r="809" spans="1:14">
      <c r="A809" s="8">
        <v>6</v>
      </c>
      <c r="B809" s="74">
        <v>44501</v>
      </c>
      <c r="C809">
        <v>2021</v>
      </c>
      <c r="D809" s="11" t="s">
        <v>37</v>
      </c>
      <c r="E809" s="15">
        <v>11</v>
      </c>
      <c r="F809" s="98">
        <v>0.873</v>
      </c>
      <c r="G809" s="98">
        <v>2.5000000000000001E-2</v>
      </c>
    </row>
    <row r="810" spans="1:14">
      <c r="A810" s="8">
        <v>8</v>
      </c>
      <c r="B810" s="74">
        <v>44501</v>
      </c>
      <c r="C810">
        <v>2021</v>
      </c>
      <c r="D810" s="11" t="s">
        <v>37</v>
      </c>
      <c r="E810" s="15">
        <v>11</v>
      </c>
      <c r="F810" s="98">
        <v>0.90500000000000003</v>
      </c>
      <c r="G810" s="98">
        <v>3.4000000000000002E-2</v>
      </c>
    </row>
    <row r="811" spans="1:14">
      <c r="A811" s="8">
        <v>15</v>
      </c>
      <c r="B811" s="74">
        <v>44501</v>
      </c>
      <c r="C811">
        <v>2021</v>
      </c>
      <c r="D811" s="11" t="s">
        <v>37</v>
      </c>
      <c r="E811" s="15">
        <v>11</v>
      </c>
      <c r="F811" s="98">
        <v>0.92</v>
      </c>
      <c r="G811" s="98">
        <v>2.1999999999999999E-2</v>
      </c>
      <c r="I811" s="18">
        <f t="shared" ref="I811:J811" si="49">AVERAGE(F809:F811)</f>
        <v>0.89933333333333332</v>
      </c>
      <c r="J811" s="18">
        <f t="shared" si="49"/>
        <v>2.7E-2</v>
      </c>
      <c r="L811">
        <f t="shared" ref="L811" si="50">+J811/I811</f>
        <v>3.0022238695329873E-2</v>
      </c>
      <c r="M811">
        <f t="shared" ref="M811" si="51">+(L811-$L$927)/$L$928</f>
        <v>0.15909377218232498</v>
      </c>
      <c r="N811">
        <f t="shared" ref="N811" si="52">+N808+M811</f>
        <v>-2.1090442879296574</v>
      </c>
    </row>
    <row r="812" spans="1:14">
      <c r="A812" s="8">
        <v>6</v>
      </c>
      <c r="B812" s="75">
        <v>44531</v>
      </c>
      <c r="C812">
        <v>2021</v>
      </c>
      <c r="D812" s="11" t="s">
        <v>38</v>
      </c>
      <c r="E812" s="15">
        <v>12</v>
      </c>
      <c r="F812" s="98">
        <v>0.75</v>
      </c>
      <c r="G812" s="98">
        <v>0.11</v>
      </c>
    </row>
    <row r="813" spans="1:14">
      <c r="A813" s="8">
        <v>8</v>
      </c>
      <c r="B813" s="74">
        <v>44531</v>
      </c>
      <c r="C813">
        <v>2021</v>
      </c>
      <c r="D813" s="11" t="s">
        <v>38</v>
      </c>
      <c r="E813" s="15">
        <v>12</v>
      </c>
      <c r="F813" s="98">
        <v>13.305</v>
      </c>
      <c r="G813" s="98">
        <v>0.64700000000000002</v>
      </c>
    </row>
    <row r="814" spans="1:14">
      <c r="A814" s="8">
        <v>15</v>
      </c>
      <c r="B814" s="74">
        <v>44531</v>
      </c>
      <c r="C814">
        <v>2021</v>
      </c>
      <c r="D814" s="11" t="s">
        <v>38</v>
      </c>
      <c r="E814" s="15">
        <v>12</v>
      </c>
      <c r="F814" s="98">
        <v>0.76</v>
      </c>
      <c r="G814" s="98">
        <v>0.11</v>
      </c>
      <c r="I814" s="18">
        <f t="shared" ref="I814:J814" si="53">AVERAGE(F812:F814)</f>
        <v>4.9383333333333335</v>
      </c>
      <c r="J814" s="18">
        <f t="shared" si="53"/>
        <v>0.28899999999999998</v>
      </c>
      <c r="L814">
        <f t="shared" ref="L814" si="54">+J814/I814</f>
        <v>5.8521768477894018E-2</v>
      </c>
      <c r="M814">
        <f t="shared" ref="M814" si="55">+(L814-$L$927)/$L$928</f>
        <v>1.0599801543759788</v>
      </c>
      <c r="N814">
        <f t="shared" ref="N814" si="56">+N811+M814</f>
        <v>-1.0490641335536786</v>
      </c>
    </row>
    <row r="815" spans="1:14">
      <c r="A815" s="97">
        <v>6</v>
      </c>
      <c r="B815" s="93">
        <v>44571</v>
      </c>
      <c r="C815" s="94">
        <v>2022</v>
      </c>
      <c r="D815" s="95" t="s">
        <v>39</v>
      </c>
      <c r="E815" s="96">
        <v>1</v>
      </c>
      <c r="H815" s="101" t="s">
        <v>93</v>
      </c>
    </row>
    <row r="816" spans="1:14">
      <c r="A816" s="8">
        <v>8</v>
      </c>
      <c r="B816" s="76">
        <v>44566</v>
      </c>
      <c r="C816">
        <v>2022</v>
      </c>
      <c r="D816" s="11" t="s">
        <v>39</v>
      </c>
      <c r="E816" s="15">
        <v>1</v>
      </c>
      <c r="H816" s="101" t="s">
        <v>94</v>
      </c>
    </row>
    <row r="817" spans="1:8">
      <c r="A817" s="8">
        <v>15</v>
      </c>
      <c r="B817" s="76">
        <v>44566</v>
      </c>
      <c r="C817">
        <v>2022</v>
      </c>
      <c r="D817" s="11" t="s">
        <v>39</v>
      </c>
      <c r="E817" s="15">
        <v>1</v>
      </c>
      <c r="H817" s="101" t="s">
        <v>95</v>
      </c>
    </row>
    <row r="818" spans="1:8">
      <c r="A818" s="8">
        <v>6</v>
      </c>
      <c r="B818" s="74">
        <v>44593</v>
      </c>
      <c r="C818">
        <v>2022</v>
      </c>
      <c r="D818" s="11" t="s">
        <v>28</v>
      </c>
      <c r="E818" s="15">
        <v>2</v>
      </c>
    </row>
    <row r="819" spans="1:8">
      <c r="A819" s="8">
        <v>8</v>
      </c>
      <c r="B819" s="74">
        <v>44593</v>
      </c>
      <c r="C819">
        <v>2022</v>
      </c>
      <c r="D819" s="11" t="s">
        <v>28</v>
      </c>
      <c r="E819" s="15">
        <v>2</v>
      </c>
    </row>
    <row r="820" spans="1:8">
      <c r="A820" s="8">
        <v>15</v>
      </c>
      <c r="B820" s="74">
        <v>44593</v>
      </c>
      <c r="C820">
        <v>2022</v>
      </c>
      <c r="D820" s="11" t="s">
        <v>28</v>
      </c>
      <c r="E820" s="15">
        <v>2</v>
      </c>
    </row>
    <row r="821" spans="1:8">
      <c r="A821" s="8">
        <v>6</v>
      </c>
      <c r="B821" s="74">
        <v>44621</v>
      </c>
      <c r="C821">
        <v>2022</v>
      </c>
      <c r="D821" s="11" t="s">
        <v>29</v>
      </c>
      <c r="E821" s="15">
        <v>3</v>
      </c>
    </row>
    <row r="822" spans="1:8">
      <c r="A822" s="8">
        <v>8</v>
      </c>
      <c r="B822" s="74">
        <v>44621</v>
      </c>
      <c r="C822">
        <v>2022</v>
      </c>
      <c r="D822" s="11" t="s">
        <v>29</v>
      </c>
      <c r="E822" s="15">
        <v>3</v>
      </c>
    </row>
    <row r="823" spans="1:8">
      <c r="A823" s="8">
        <v>15</v>
      </c>
      <c r="B823" s="74">
        <v>44621</v>
      </c>
      <c r="C823">
        <v>2022</v>
      </c>
      <c r="D823" s="11" t="s">
        <v>29</v>
      </c>
      <c r="E823" s="15">
        <v>3</v>
      </c>
    </row>
    <row r="824" spans="1:8">
      <c r="A824" s="8">
        <v>6</v>
      </c>
      <c r="B824" s="74">
        <v>44652</v>
      </c>
      <c r="C824">
        <v>2022</v>
      </c>
      <c r="D824" s="11" t="s">
        <v>30</v>
      </c>
      <c r="E824" s="15">
        <v>4</v>
      </c>
    </row>
    <row r="825" spans="1:8">
      <c r="A825" s="8">
        <v>8</v>
      </c>
      <c r="B825" s="74">
        <v>44652</v>
      </c>
      <c r="C825">
        <v>2022</v>
      </c>
      <c r="D825" s="11" t="s">
        <v>30</v>
      </c>
      <c r="E825" s="15">
        <v>4</v>
      </c>
    </row>
    <row r="826" spans="1:8">
      <c r="A826" s="8">
        <v>15</v>
      </c>
      <c r="B826" s="74">
        <v>44652</v>
      </c>
      <c r="C826">
        <v>2022</v>
      </c>
      <c r="D826" s="11" t="s">
        <v>30</v>
      </c>
      <c r="E826" s="15">
        <v>4</v>
      </c>
    </row>
    <row r="827" spans="1:8">
      <c r="A827" s="8">
        <v>6</v>
      </c>
      <c r="B827" s="74">
        <v>44682</v>
      </c>
      <c r="C827">
        <v>2022</v>
      </c>
      <c r="D827" s="11" t="s">
        <v>31</v>
      </c>
      <c r="E827" s="15">
        <v>5</v>
      </c>
    </row>
    <row r="828" spans="1:8">
      <c r="A828" s="8">
        <v>8</v>
      </c>
      <c r="B828" s="74">
        <v>44682</v>
      </c>
      <c r="C828">
        <v>2022</v>
      </c>
      <c r="D828" s="11" t="s">
        <v>31</v>
      </c>
      <c r="E828" s="15">
        <v>5</v>
      </c>
    </row>
    <row r="829" spans="1:8">
      <c r="A829" s="8">
        <v>15</v>
      </c>
      <c r="B829" s="74">
        <v>44682</v>
      </c>
      <c r="C829">
        <v>2022</v>
      </c>
      <c r="D829" s="11" t="s">
        <v>31</v>
      </c>
      <c r="E829" s="15">
        <v>5</v>
      </c>
    </row>
    <row r="830" spans="1:8">
      <c r="A830" s="8">
        <v>6</v>
      </c>
      <c r="B830" s="74">
        <v>44713</v>
      </c>
      <c r="C830">
        <v>2022</v>
      </c>
      <c r="D830" s="11" t="s">
        <v>32</v>
      </c>
      <c r="E830" s="15">
        <v>6</v>
      </c>
    </row>
    <row r="831" spans="1:8">
      <c r="A831" s="8">
        <v>8</v>
      </c>
      <c r="B831" s="74">
        <v>44713</v>
      </c>
      <c r="C831">
        <v>2022</v>
      </c>
      <c r="D831" s="11" t="s">
        <v>32</v>
      </c>
      <c r="E831" s="15">
        <v>6</v>
      </c>
    </row>
    <row r="832" spans="1:8">
      <c r="A832" s="8">
        <v>15</v>
      </c>
      <c r="B832" s="74">
        <v>44713</v>
      </c>
      <c r="C832">
        <v>2022</v>
      </c>
      <c r="D832" s="11" t="s">
        <v>32</v>
      </c>
      <c r="E832" s="15">
        <v>6</v>
      </c>
    </row>
    <row r="833" spans="1:5">
      <c r="A833" s="8">
        <v>6</v>
      </c>
      <c r="B833" s="74">
        <v>44743</v>
      </c>
      <c r="C833">
        <v>2022</v>
      </c>
      <c r="D833" s="11" t="s">
        <v>33</v>
      </c>
      <c r="E833" s="15">
        <v>7</v>
      </c>
    </row>
    <row r="834" spans="1:5">
      <c r="A834" s="8">
        <v>8</v>
      </c>
      <c r="B834" s="74">
        <v>44743</v>
      </c>
      <c r="C834">
        <v>2022</v>
      </c>
      <c r="D834" s="11" t="s">
        <v>33</v>
      </c>
      <c r="E834" s="15">
        <v>7</v>
      </c>
    </row>
    <row r="835" spans="1:5">
      <c r="A835" s="8">
        <v>15</v>
      </c>
      <c r="B835" s="74">
        <v>44743</v>
      </c>
      <c r="C835">
        <v>2022</v>
      </c>
      <c r="D835" s="11" t="s">
        <v>33</v>
      </c>
      <c r="E835" s="15">
        <v>7</v>
      </c>
    </row>
    <row r="836" spans="1:5">
      <c r="A836" s="8">
        <v>6</v>
      </c>
      <c r="B836" s="74">
        <v>44774</v>
      </c>
      <c r="C836">
        <v>2022</v>
      </c>
      <c r="D836" s="11" t="s">
        <v>34</v>
      </c>
      <c r="E836" s="15">
        <v>8</v>
      </c>
    </row>
    <row r="837" spans="1:5">
      <c r="A837" s="8">
        <v>8</v>
      </c>
      <c r="B837" s="74">
        <v>44774</v>
      </c>
      <c r="C837">
        <v>2022</v>
      </c>
      <c r="D837" s="11" t="s">
        <v>34</v>
      </c>
      <c r="E837" s="15">
        <v>8</v>
      </c>
    </row>
    <row r="838" spans="1:5">
      <c r="A838" s="8">
        <v>15</v>
      </c>
      <c r="B838" s="74">
        <v>44774</v>
      </c>
      <c r="C838">
        <v>2022</v>
      </c>
      <c r="D838" s="11" t="s">
        <v>34</v>
      </c>
      <c r="E838" s="15">
        <v>8</v>
      </c>
    </row>
    <row r="839" spans="1:5">
      <c r="A839" s="8">
        <v>6</v>
      </c>
      <c r="B839" s="74">
        <v>44805</v>
      </c>
      <c r="C839">
        <v>2022</v>
      </c>
      <c r="D839" s="11" t="s">
        <v>40</v>
      </c>
      <c r="E839" s="15">
        <v>9</v>
      </c>
    </row>
    <row r="840" spans="1:5">
      <c r="A840" s="8">
        <v>8</v>
      </c>
      <c r="B840" s="74">
        <v>44805</v>
      </c>
      <c r="C840">
        <v>2022</v>
      </c>
      <c r="D840" s="11" t="s">
        <v>40</v>
      </c>
      <c r="E840" s="15">
        <v>9</v>
      </c>
    </row>
    <row r="841" spans="1:5">
      <c r="A841" s="8">
        <v>15</v>
      </c>
      <c r="B841" s="74">
        <v>44805</v>
      </c>
      <c r="C841">
        <v>2022</v>
      </c>
      <c r="D841" s="11" t="s">
        <v>40</v>
      </c>
      <c r="E841" s="15">
        <v>9</v>
      </c>
    </row>
    <row r="842" spans="1:5">
      <c r="A842" s="8">
        <v>6</v>
      </c>
      <c r="B842" s="74">
        <v>44835</v>
      </c>
      <c r="C842">
        <v>2022</v>
      </c>
      <c r="D842" s="11" t="s">
        <v>36</v>
      </c>
      <c r="E842" s="15">
        <v>10</v>
      </c>
    </row>
    <row r="843" spans="1:5">
      <c r="A843" s="8">
        <v>8</v>
      </c>
      <c r="B843" s="74">
        <v>44835</v>
      </c>
      <c r="C843">
        <v>2022</v>
      </c>
      <c r="D843" s="11" t="s">
        <v>36</v>
      </c>
      <c r="E843" s="15">
        <v>10</v>
      </c>
    </row>
    <row r="844" spans="1:5">
      <c r="A844" s="8">
        <v>15</v>
      </c>
      <c r="B844" s="74">
        <v>44835</v>
      </c>
      <c r="C844">
        <v>2022</v>
      </c>
      <c r="D844" s="11" t="s">
        <v>36</v>
      </c>
      <c r="E844" s="15">
        <v>10</v>
      </c>
    </row>
    <row r="845" spans="1:5">
      <c r="A845" s="8">
        <v>6</v>
      </c>
      <c r="B845" s="74">
        <v>44866</v>
      </c>
      <c r="C845">
        <v>2022</v>
      </c>
      <c r="D845" s="11" t="s">
        <v>37</v>
      </c>
      <c r="E845" s="15">
        <v>11</v>
      </c>
    </row>
    <row r="846" spans="1:5">
      <c r="A846" s="8">
        <v>8</v>
      </c>
      <c r="B846" s="74">
        <v>44866</v>
      </c>
      <c r="C846">
        <v>2022</v>
      </c>
      <c r="D846" s="11" t="s">
        <v>37</v>
      </c>
      <c r="E846" s="15">
        <v>11</v>
      </c>
    </row>
    <row r="847" spans="1:5">
      <c r="A847" s="8">
        <v>15</v>
      </c>
      <c r="B847" s="74">
        <v>44866</v>
      </c>
      <c r="C847">
        <v>2022</v>
      </c>
      <c r="D847" s="11" t="s">
        <v>37</v>
      </c>
      <c r="E847" s="15">
        <v>11</v>
      </c>
    </row>
    <row r="848" spans="1:5">
      <c r="A848" s="8">
        <v>6</v>
      </c>
      <c r="B848" s="75">
        <v>44896</v>
      </c>
      <c r="C848">
        <v>2022</v>
      </c>
      <c r="D848" s="11" t="s">
        <v>38</v>
      </c>
      <c r="E848" s="15">
        <v>12</v>
      </c>
    </row>
    <row r="849" spans="1:14">
      <c r="A849" s="8">
        <v>8</v>
      </c>
      <c r="B849" s="74">
        <v>44896</v>
      </c>
      <c r="C849">
        <v>2022</v>
      </c>
      <c r="D849" s="11" t="s">
        <v>38</v>
      </c>
      <c r="E849" s="15">
        <v>12</v>
      </c>
    </row>
    <row r="850" spans="1:14">
      <c r="A850" s="8">
        <v>15</v>
      </c>
      <c r="B850" s="74">
        <v>44896</v>
      </c>
      <c r="C850">
        <v>2022</v>
      </c>
      <c r="D850" s="11" t="s">
        <v>38</v>
      </c>
      <c r="E850" s="15">
        <v>12</v>
      </c>
    </row>
    <row r="851" spans="1:14">
      <c r="A851" s="97">
        <v>6</v>
      </c>
      <c r="B851" s="93">
        <v>44936</v>
      </c>
      <c r="C851" s="94">
        <v>2023</v>
      </c>
      <c r="D851" s="95" t="s">
        <v>39</v>
      </c>
      <c r="E851" s="96">
        <v>1</v>
      </c>
      <c r="F851" s="99">
        <v>7.2089999999999996</v>
      </c>
      <c r="G851" s="98">
        <v>5.7000000000000002E-2</v>
      </c>
    </row>
    <row r="852" spans="1:14">
      <c r="A852" s="8">
        <v>8</v>
      </c>
      <c r="B852" s="76">
        <v>44931</v>
      </c>
      <c r="C852">
        <v>2023</v>
      </c>
      <c r="D852" s="11" t="s">
        <v>39</v>
      </c>
      <c r="E852" s="15">
        <v>1</v>
      </c>
      <c r="F852" s="99">
        <v>2.8679999999999999</v>
      </c>
      <c r="G852" s="98">
        <v>0.10199999999999999</v>
      </c>
    </row>
    <row r="853" spans="1:14">
      <c r="A853" s="8">
        <v>15</v>
      </c>
      <c r="B853" s="76">
        <v>44931</v>
      </c>
      <c r="C853">
        <v>2023</v>
      </c>
      <c r="D853" s="11" t="s">
        <v>39</v>
      </c>
      <c r="E853" s="15">
        <v>1</v>
      </c>
      <c r="I853" s="18">
        <f>AVERAGE(F851:F853)</f>
        <v>5.0385</v>
      </c>
      <c r="J853" s="18">
        <f>AVERAGE(G851:G853)</f>
        <v>7.9500000000000001E-2</v>
      </c>
      <c r="L853">
        <f>+J853/I853</f>
        <v>1.5778505507591547E-2</v>
      </c>
      <c r="M853">
        <f>+(L853-$L$927)/$L$928</f>
        <v>-0.2911587533271941</v>
      </c>
      <c r="N853">
        <f>+N814+M853</f>
        <v>-1.3402228868808725</v>
      </c>
    </row>
    <row r="854" spans="1:14">
      <c r="A854" s="8">
        <v>6</v>
      </c>
      <c r="B854" s="74">
        <v>44958</v>
      </c>
      <c r="C854">
        <v>2023</v>
      </c>
      <c r="D854" s="11" t="s">
        <v>28</v>
      </c>
      <c r="E854" s="15">
        <v>2</v>
      </c>
      <c r="F854" s="82">
        <v>1.2170000000000001</v>
      </c>
      <c r="G854" s="100">
        <v>9.9989999999999996E-4</v>
      </c>
    </row>
    <row r="855" spans="1:14">
      <c r="A855" s="8">
        <v>8</v>
      </c>
      <c r="B855" s="74">
        <v>44958</v>
      </c>
      <c r="C855">
        <v>2023</v>
      </c>
      <c r="D855" s="11" t="s">
        <v>28</v>
      </c>
      <c r="E855" s="15">
        <v>2</v>
      </c>
      <c r="F855" s="82">
        <v>3.633</v>
      </c>
      <c r="G855" s="82">
        <v>2.9000000000000001E-2</v>
      </c>
    </row>
    <row r="856" spans="1:14">
      <c r="A856" s="8">
        <v>15</v>
      </c>
      <c r="B856" s="74">
        <v>44958</v>
      </c>
      <c r="C856">
        <v>2023</v>
      </c>
      <c r="D856" s="11" t="s">
        <v>28</v>
      </c>
      <c r="E856" s="15">
        <v>2</v>
      </c>
      <c r="F856" s="82">
        <v>1.1779999999999999</v>
      </c>
      <c r="G856" s="82">
        <v>8.5999999999999993E-2</v>
      </c>
      <c r="I856" s="18">
        <f t="shared" ref="I856:J856" si="57">AVERAGE(F854:F856)</f>
        <v>2.0093333333333332</v>
      </c>
      <c r="J856" s="18">
        <f t="shared" si="57"/>
        <v>3.8666633333333332E-2</v>
      </c>
      <c r="L856">
        <f t="shared" ref="L856" si="58">+J856/I856</f>
        <v>1.9243513603185138E-2</v>
      </c>
      <c r="M856">
        <f t="shared" ref="M856" si="59">+(L856-$L$927)/$L$928</f>
        <v>-0.18162787224505089</v>
      </c>
      <c r="N856">
        <f>+N853+M856</f>
        <v>-1.5218507591259234</v>
      </c>
    </row>
    <row r="857" spans="1:14">
      <c r="A857" s="8">
        <v>6</v>
      </c>
      <c r="B857" s="74">
        <v>44986</v>
      </c>
      <c r="C857">
        <v>2023</v>
      </c>
      <c r="D857" s="11" t="s">
        <v>29</v>
      </c>
      <c r="E857" s="15">
        <v>3</v>
      </c>
      <c r="F857" s="82">
        <v>1.413</v>
      </c>
      <c r="G857" s="82">
        <v>6.3E-2</v>
      </c>
    </row>
    <row r="858" spans="1:14">
      <c r="A858" s="8">
        <v>8</v>
      </c>
      <c r="B858" s="74">
        <v>44986</v>
      </c>
      <c r="C858">
        <v>2023</v>
      </c>
      <c r="D858" s="11" t="s">
        <v>29</v>
      </c>
      <c r="E858" s="15">
        <v>3</v>
      </c>
      <c r="F858" s="82">
        <v>2.8460000000000001</v>
      </c>
      <c r="G858" s="82">
        <v>0.03</v>
      </c>
    </row>
    <row r="859" spans="1:14">
      <c r="A859" s="8">
        <v>15</v>
      </c>
      <c r="B859" s="74">
        <v>44986</v>
      </c>
      <c r="C859">
        <v>2023</v>
      </c>
      <c r="D859" s="11" t="s">
        <v>29</v>
      </c>
      <c r="E859" s="15">
        <v>3</v>
      </c>
      <c r="F859" s="82">
        <v>1.7729999999999999</v>
      </c>
      <c r="G859" s="82">
        <v>6.3E-2</v>
      </c>
      <c r="I859" s="18">
        <f t="shared" ref="I859:J859" si="60">AVERAGE(F857:F859)</f>
        <v>2.0106666666666668</v>
      </c>
      <c r="J859" s="18">
        <f t="shared" si="60"/>
        <v>5.1999999999999998E-2</v>
      </c>
      <c r="L859">
        <f t="shared" ref="L859" si="61">+J859/I859</f>
        <v>2.5862068965517238E-2</v>
      </c>
      <c r="M859">
        <f t="shared" ref="M859" si="62">+(L859-$L$927)/$L$928</f>
        <v>2.7588435575144739E-2</v>
      </c>
      <c r="N859">
        <f t="shared" ref="N859" si="63">+N856+M859</f>
        <v>-1.4942623235507786</v>
      </c>
    </row>
    <row r="860" spans="1:14">
      <c r="A860" s="8">
        <v>6</v>
      </c>
      <c r="B860" s="74">
        <v>45017</v>
      </c>
      <c r="C860">
        <v>2023</v>
      </c>
      <c r="D860" s="11" t="s">
        <v>30</v>
      </c>
      <c r="E860" s="15">
        <v>4</v>
      </c>
      <c r="F860" s="82">
        <v>1.28</v>
      </c>
      <c r="G860" s="82">
        <v>5.2999999999999999E-2</v>
      </c>
    </row>
    <row r="861" spans="1:14">
      <c r="A861" s="8">
        <v>8</v>
      </c>
      <c r="B861" s="74">
        <v>45017</v>
      </c>
      <c r="C861">
        <v>2023</v>
      </c>
      <c r="D861" s="11" t="s">
        <v>30</v>
      </c>
      <c r="E861" s="15">
        <v>4</v>
      </c>
      <c r="F861" s="82">
        <v>8.6859999999999999</v>
      </c>
      <c r="G861" s="82">
        <v>3.5000000000000003E-2</v>
      </c>
    </row>
    <row r="862" spans="1:14">
      <c r="A862" s="8">
        <v>15</v>
      </c>
      <c r="B862" s="74">
        <v>45017</v>
      </c>
      <c r="C862">
        <v>2023</v>
      </c>
      <c r="D862" s="11" t="s">
        <v>30</v>
      </c>
      <c r="E862" s="15">
        <v>4</v>
      </c>
      <c r="F862" s="82">
        <v>1.6379999999999999</v>
      </c>
      <c r="G862" s="82">
        <v>6.3E-2</v>
      </c>
      <c r="I862" s="18">
        <f t="shared" ref="I862:J862" si="64">AVERAGE(F860:F862)</f>
        <v>3.8679999999999999</v>
      </c>
      <c r="J862" s="18">
        <f t="shared" si="64"/>
        <v>5.0333333333333334E-2</v>
      </c>
      <c r="L862">
        <f t="shared" ref="L862" si="65">+J862/I862</f>
        <v>1.3012754222681834E-2</v>
      </c>
      <c r="M862">
        <f t="shared" ref="M862" si="66">+(L862-$L$927)/$L$928</f>
        <v>-0.37858572802184765</v>
      </c>
      <c r="N862">
        <f t="shared" ref="N862" si="67">+N859+M862</f>
        <v>-1.8728480515726262</v>
      </c>
    </row>
    <row r="863" spans="1:14">
      <c r="A863" s="8">
        <v>6</v>
      </c>
      <c r="B863" s="74">
        <v>45047</v>
      </c>
      <c r="C863">
        <v>2023</v>
      </c>
      <c r="D863" s="11" t="s">
        <v>31</v>
      </c>
      <c r="E863" s="15">
        <v>5</v>
      </c>
      <c r="F863" s="82">
        <v>2.9079999999999999</v>
      </c>
      <c r="G863" s="100">
        <v>0.20599999999999999</v>
      </c>
    </row>
    <row r="864" spans="1:14">
      <c r="A864" s="8">
        <v>8</v>
      </c>
      <c r="B864" s="74">
        <v>45047</v>
      </c>
      <c r="C864">
        <v>2023</v>
      </c>
      <c r="D864" s="11" t="s">
        <v>31</v>
      </c>
      <c r="E864" s="15">
        <v>5</v>
      </c>
      <c r="F864" s="82">
        <v>6.0209999999999999</v>
      </c>
      <c r="G864" s="100">
        <v>5.3999999999999999E-2</v>
      </c>
    </row>
    <row r="865" spans="1:14">
      <c r="A865" s="8">
        <v>15</v>
      </c>
      <c r="B865" s="74">
        <v>45047</v>
      </c>
      <c r="C865">
        <v>2023</v>
      </c>
      <c r="D865" s="11" t="s">
        <v>31</v>
      </c>
      <c r="E865" s="15">
        <v>5</v>
      </c>
      <c r="F865" s="82">
        <v>5.5359999999999996</v>
      </c>
      <c r="G865" s="100">
        <v>0.06</v>
      </c>
      <c r="I865" s="18">
        <f t="shared" ref="I865:J865" si="68">AVERAGE(F863:F865)</f>
        <v>4.8216666666666663</v>
      </c>
      <c r="J865" s="18">
        <f t="shared" si="68"/>
        <v>0.10666666666666667</v>
      </c>
      <c r="L865">
        <f t="shared" ref="L865" si="69">+J865/I865</f>
        <v>2.2122364327687525E-2</v>
      </c>
      <c r="M865">
        <f t="shared" ref="M865" si="70">+(L865-$L$927)/$L$928</f>
        <v>-9.0625759794085672E-2</v>
      </c>
      <c r="N865">
        <f t="shared" ref="N865" si="71">+N862+M865</f>
        <v>-1.9634738113667118</v>
      </c>
    </row>
    <row r="866" spans="1:14">
      <c r="A866" s="8">
        <v>6</v>
      </c>
      <c r="B866" s="74">
        <v>45078</v>
      </c>
      <c r="C866">
        <v>2023</v>
      </c>
      <c r="D866" s="11" t="s">
        <v>32</v>
      </c>
      <c r="E866" s="15">
        <v>6</v>
      </c>
      <c r="F866" s="82">
        <v>2.2200000000000002</v>
      </c>
      <c r="G866" s="100">
        <v>0.08</v>
      </c>
    </row>
    <row r="867" spans="1:14">
      <c r="A867" s="8">
        <v>8</v>
      </c>
      <c r="B867" s="74">
        <v>45078</v>
      </c>
      <c r="C867">
        <v>2023</v>
      </c>
      <c r="D867" s="11" t="s">
        <v>32</v>
      </c>
      <c r="E867" s="15">
        <v>6</v>
      </c>
      <c r="F867" s="82">
        <v>1.5409999999999999</v>
      </c>
      <c r="G867" s="100">
        <v>5.0999999999999997E-2</v>
      </c>
    </row>
    <row r="868" spans="1:14">
      <c r="A868" s="8">
        <v>15</v>
      </c>
      <c r="B868" s="74">
        <v>45078</v>
      </c>
      <c r="C868">
        <v>2023</v>
      </c>
      <c r="D868" s="11" t="s">
        <v>32</v>
      </c>
      <c r="E868" s="15">
        <v>6</v>
      </c>
      <c r="F868" s="82">
        <v>1.954</v>
      </c>
      <c r="G868" s="100">
        <v>8.2000000000000003E-2</v>
      </c>
      <c r="I868" s="18">
        <f t="shared" ref="I868:J868" si="72">AVERAGE(F866:F868)</f>
        <v>1.905</v>
      </c>
      <c r="J868" s="18">
        <f t="shared" si="72"/>
        <v>7.1000000000000008E-2</v>
      </c>
      <c r="L868">
        <f t="shared" ref="L868" si="73">+J868/I868</f>
        <v>3.7270341207349088E-2</v>
      </c>
      <c r="M868">
        <f t="shared" ref="M868" si="74">+(L868-$L$927)/$L$928</f>
        <v>0.38821042426886465</v>
      </c>
      <c r="N868">
        <f t="shared" ref="N868" si="75">+N865+M868</f>
        <v>-1.5752633870978472</v>
      </c>
    </row>
    <row r="869" spans="1:14">
      <c r="A869" s="8">
        <v>6</v>
      </c>
      <c r="B869" s="74">
        <v>45108</v>
      </c>
      <c r="C869">
        <v>2023</v>
      </c>
      <c r="D869" s="11" t="s">
        <v>33</v>
      </c>
      <c r="E869" s="15">
        <v>7</v>
      </c>
      <c r="F869" s="82">
        <v>2.0750000000000002</v>
      </c>
      <c r="G869" s="100">
        <v>0.13200000000000001</v>
      </c>
    </row>
    <row r="870" spans="1:14">
      <c r="A870" s="8">
        <v>8</v>
      </c>
      <c r="B870" s="74">
        <v>45108</v>
      </c>
      <c r="C870">
        <v>2023</v>
      </c>
      <c r="D870" s="11" t="s">
        <v>33</v>
      </c>
      <c r="E870" s="15">
        <v>7</v>
      </c>
      <c r="F870" s="82">
        <v>3.8210000000000002</v>
      </c>
      <c r="G870" s="100">
        <v>0.127</v>
      </c>
    </row>
    <row r="871" spans="1:14">
      <c r="A871" s="8">
        <v>15</v>
      </c>
      <c r="B871" s="74">
        <v>45108</v>
      </c>
      <c r="C871">
        <v>2023</v>
      </c>
      <c r="D871" s="11" t="s">
        <v>33</v>
      </c>
      <c r="E871" s="15">
        <v>7</v>
      </c>
      <c r="F871" s="82">
        <v>2.8319999999999999</v>
      </c>
      <c r="G871" s="100">
        <v>0.11899999999999999</v>
      </c>
      <c r="I871" s="18">
        <f t="shared" ref="I871:J871" si="76">AVERAGE(F869:F871)</f>
        <v>2.909333333333334</v>
      </c>
      <c r="J871" s="18">
        <f t="shared" si="76"/>
        <v>0.126</v>
      </c>
      <c r="L871">
        <f t="shared" ref="L871" si="77">+J871/I871</f>
        <v>4.3308890925756176E-2</v>
      </c>
      <c r="M871">
        <f t="shared" ref="M871" si="78">+(L871-$L$927)/$L$928</f>
        <v>0.5790924230603135</v>
      </c>
      <c r="N871">
        <f t="shared" ref="N871" si="79">+N868+M871</f>
        <v>-0.99617096403753369</v>
      </c>
    </row>
    <row r="872" spans="1:14">
      <c r="A872" s="8">
        <v>6</v>
      </c>
      <c r="B872" s="74">
        <v>45139</v>
      </c>
      <c r="C872">
        <v>2023</v>
      </c>
      <c r="D872" s="11" t="s">
        <v>34</v>
      </c>
      <c r="E872" s="15">
        <v>8</v>
      </c>
      <c r="F872" s="82">
        <v>2.1749999999999998</v>
      </c>
      <c r="G872" s="100">
        <v>5.2999999999999999E-2</v>
      </c>
    </row>
    <row r="873" spans="1:14">
      <c r="A873" s="8">
        <v>8</v>
      </c>
      <c r="B873" s="74">
        <v>45139</v>
      </c>
      <c r="C873">
        <v>2023</v>
      </c>
      <c r="D873" s="11" t="s">
        <v>34</v>
      </c>
      <c r="E873" s="15">
        <v>8</v>
      </c>
      <c r="F873" s="82">
        <v>4.1269999999999998</v>
      </c>
      <c r="G873" s="100">
        <v>3.5999999999999997E-2</v>
      </c>
    </row>
    <row r="874" spans="1:14">
      <c r="A874" s="8">
        <v>15</v>
      </c>
      <c r="B874" s="74">
        <v>45139</v>
      </c>
      <c r="C874">
        <v>2023</v>
      </c>
      <c r="D874" s="11" t="s">
        <v>34</v>
      </c>
      <c r="E874" s="15">
        <v>8</v>
      </c>
      <c r="F874" s="82">
        <v>1.47</v>
      </c>
      <c r="G874" s="100">
        <v>2.9000000000000001E-2</v>
      </c>
      <c r="I874" s="18">
        <f t="shared" ref="I874:J874" si="80">AVERAGE(F872:F874)</f>
        <v>2.5906666666666665</v>
      </c>
      <c r="J874" s="18">
        <f t="shared" si="80"/>
        <v>3.9333333333333331E-2</v>
      </c>
      <c r="L874">
        <f t="shared" ref="L874" si="81">+J874/I874</f>
        <v>1.5182707153885745E-2</v>
      </c>
      <c r="M874">
        <f t="shared" ref="M874" si="82">+(L874-$L$927)/$L$928</f>
        <v>-0.30999227891452974</v>
      </c>
      <c r="N874">
        <f t="shared" ref="N874" si="83">+N871+M874</f>
        <v>-1.3061632429520635</v>
      </c>
    </row>
    <row r="875" spans="1:14">
      <c r="A875" s="8">
        <v>6</v>
      </c>
      <c r="B875" s="74">
        <v>45170</v>
      </c>
      <c r="C875">
        <v>2023</v>
      </c>
      <c r="D875" s="11" t="s">
        <v>40</v>
      </c>
      <c r="E875" s="15">
        <v>9</v>
      </c>
      <c r="F875" s="82">
        <v>3.113</v>
      </c>
      <c r="G875" s="100">
        <v>0.31900000000000001</v>
      </c>
    </row>
    <row r="876" spans="1:14">
      <c r="A876" s="8">
        <v>8</v>
      </c>
      <c r="B876" s="74">
        <v>45170</v>
      </c>
      <c r="C876">
        <v>2023</v>
      </c>
      <c r="D876" s="11" t="s">
        <v>40</v>
      </c>
      <c r="E876" s="15">
        <v>9</v>
      </c>
      <c r="F876" s="82">
        <v>1.782</v>
      </c>
      <c r="G876" s="100">
        <v>0.19600000000000001</v>
      </c>
    </row>
    <row r="877" spans="1:14">
      <c r="A877" s="8">
        <v>15</v>
      </c>
      <c r="B877" s="74">
        <v>45170</v>
      </c>
      <c r="C877">
        <v>2023</v>
      </c>
      <c r="D877" s="11" t="s">
        <v>40</v>
      </c>
      <c r="E877" s="15">
        <v>9</v>
      </c>
      <c r="F877" s="82">
        <v>2.3119999999999998</v>
      </c>
      <c r="G877" s="100">
        <v>0.29399999999999998</v>
      </c>
      <c r="I877" s="18">
        <f t="shared" ref="I877:J877" si="84">AVERAGE(F875:F877)</f>
        <v>2.402333333333333</v>
      </c>
      <c r="J877" s="18">
        <f t="shared" si="84"/>
        <v>0.26966666666666667</v>
      </c>
      <c r="L877">
        <f t="shared" ref="L877" si="85">+J877/I877</f>
        <v>0.1122519772443458</v>
      </c>
      <c r="M877">
        <f t="shared" ref="M877" si="86">+(L877-$L$927)/$L$928</f>
        <v>2.758422681653474</v>
      </c>
      <c r="N877">
        <f t="shared" ref="N877" si="87">+N874+M877</f>
        <v>1.4522594387014105</v>
      </c>
    </row>
    <row r="878" spans="1:14">
      <c r="A878" s="8">
        <v>6</v>
      </c>
      <c r="B878" s="74">
        <v>45200</v>
      </c>
      <c r="C878">
        <v>2023</v>
      </c>
      <c r="D878" s="11" t="s">
        <v>36</v>
      </c>
      <c r="E878" s="15">
        <v>10</v>
      </c>
      <c r="F878" s="100">
        <v>1.2150000000000001</v>
      </c>
      <c r="G878" s="100">
        <v>9.9989999999999996E-4</v>
      </c>
    </row>
    <row r="879" spans="1:14">
      <c r="A879" s="8">
        <v>8</v>
      </c>
      <c r="B879" s="74">
        <v>45200</v>
      </c>
      <c r="C879">
        <v>2023</v>
      </c>
      <c r="D879" s="11" t="s">
        <v>36</v>
      </c>
      <c r="E879" s="15">
        <v>10</v>
      </c>
      <c r="F879" s="82">
        <v>0.91900000000000004</v>
      </c>
      <c r="G879" s="100">
        <v>2.1999999999999999E-2</v>
      </c>
    </row>
    <row r="880" spans="1:14">
      <c r="A880" s="8">
        <v>15</v>
      </c>
      <c r="B880" s="74">
        <v>45200</v>
      </c>
      <c r="C880">
        <v>2023</v>
      </c>
      <c r="D880" s="11" t="s">
        <v>36</v>
      </c>
      <c r="E880" s="15">
        <v>10</v>
      </c>
      <c r="F880" s="82">
        <v>1.343</v>
      </c>
      <c r="G880" s="100">
        <v>9.9989999999999996E-4</v>
      </c>
      <c r="I880" s="18">
        <f t="shared" ref="I880:J880" si="88">AVERAGE(F878:F880)</f>
        <v>1.159</v>
      </c>
      <c r="J880" s="18">
        <f t="shared" si="88"/>
        <v>7.9999333333333339E-3</v>
      </c>
      <c r="L880">
        <f t="shared" ref="L880" si="89">+J880/I880</f>
        <v>6.9024446361806158E-3</v>
      </c>
      <c r="M880">
        <f t="shared" ref="M880" si="90">+(L880-$L$927)/$L$928</f>
        <v>-0.57173609714948237</v>
      </c>
      <c r="N880">
        <f t="shared" ref="N880" si="91">+N877+M880</f>
        <v>0.88052334155192813</v>
      </c>
    </row>
    <row r="881" spans="1:14">
      <c r="A881" s="8">
        <v>6</v>
      </c>
      <c r="B881" s="74">
        <v>45231</v>
      </c>
      <c r="C881">
        <v>2023</v>
      </c>
      <c r="D881" s="11" t="s">
        <v>37</v>
      </c>
      <c r="E881" s="15">
        <v>11</v>
      </c>
      <c r="F881" s="82">
        <v>0.46800000000000003</v>
      </c>
      <c r="G881" s="100">
        <v>9.9989999999999996E-4</v>
      </c>
    </row>
    <row r="882" spans="1:14">
      <c r="A882" s="8">
        <v>8</v>
      </c>
      <c r="B882" s="74">
        <v>45231</v>
      </c>
      <c r="C882">
        <v>2023</v>
      </c>
      <c r="D882" s="11" t="s">
        <v>37</v>
      </c>
      <c r="E882" s="15">
        <v>11</v>
      </c>
      <c r="F882" s="82">
        <v>1.262</v>
      </c>
      <c r="G882" s="100">
        <v>4.3999999999999997E-2</v>
      </c>
    </row>
    <row r="883" spans="1:14">
      <c r="A883" s="8">
        <v>15</v>
      </c>
      <c r="B883" s="74">
        <v>45231</v>
      </c>
      <c r="C883">
        <v>2023</v>
      </c>
      <c r="D883" s="11" t="s">
        <v>37</v>
      </c>
      <c r="E883" s="15">
        <v>11</v>
      </c>
      <c r="F883" s="82">
        <v>0.68700000000000006</v>
      </c>
      <c r="G883" s="100">
        <v>9.9989999999999996E-4</v>
      </c>
      <c r="I883" s="18">
        <f t="shared" ref="I883:J883" si="92">AVERAGE(F881:F883)</f>
        <v>0.80566666666666664</v>
      </c>
      <c r="J883" s="18">
        <f t="shared" si="92"/>
        <v>1.5333266666666664E-2</v>
      </c>
      <c r="L883">
        <f t="shared" ref="L883" si="93">+J883/I883</f>
        <v>1.9031774927596192E-2</v>
      </c>
      <c r="M883">
        <f t="shared" ref="M883" si="94">+(L883-$L$927)/$L$928</f>
        <v>-0.18832105247915085</v>
      </c>
      <c r="N883">
        <f t="shared" ref="N883" si="95">+N880+M883</f>
        <v>0.69220228907277725</v>
      </c>
    </row>
    <row r="884" spans="1:14">
      <c r="A884" s="8">
        <v>6</v>
      </c>
      <c r="B884" s="75">
        <v>45261</v>
      </c>
      <c r="C884">
        <v>2023</v>
      </c>
      <c r="D884" s="11" t="s">
        <v>38</v>
      </c>
      <c r="E884" s="15">
        <v>12</v>
      </c>
      <c r="F884" s="82">
        <v>1.716</v>
      </c>
      <c r="G884" s="100">
        <v>1.9E-2</v>
      </c>
    </row>
    <row r="885" spans="1:14">
      <c r="A885" s="8">
        <v>8</v>
      </c>
      <c r="B885" s="74">
        <v>45261</v>
      </c>
      <c r="C885">
        <v>2023</v>
      </c>
      <c r="D885" s="11" t="s">
        <v>38</v>
      </c>
      <c r="E885" s="15">
        <v>12</v>
      </c>
      <c r="F885" s="82">
        <v>0.36099999999999999</v>
      </c>
      <c r="G885" s="100">
        <v>1E-3</v>
      </c>
    </row>
    <row r="886" spans="1:14">
      <c r="A886" s="8">
        <v>15</v>
      </c>
      <c r="B886" s="74">
        <v>45261</v>
      </c>
      <c r="C886">
        <v>2023</v>
      </c>
      <c r="D886" s="11" t="s">
        <v>38</v>
      </c>
      <c r="E886" s="15">
        <v>12</v>
      </c>
      <c r="F886" s="82">
        <v>1.167</v>
      </c>
      <c r="G886" s="100">
        <v>8.0000000000000002E-3</v>
      </c>
      <c r="I886" s="18">
        <f t="shared" ref="I886:J886" si="96">AVERAGE(F884:F886)</f>
        <v>1.0813333333333333</v>
      </c>
      <c r="J886" s="18">
        <f t="shared" si="96"/>
        <v>9.3333333333333341E-3</v>
      </c>
      <c r="L886">
        <f t="shared" ref="L886" si="97">+J886/I886</f>
        <v>8.6313193588162772E-3</v>
      </c>
      <c r="M886">
        <f t="shared" ref="M886" si="98">+(L886-$L$927)/$L$928</f>
        <v>-0.51708538164560136</v>
      </c>
      <c r="N886">
        <f t="shared" ref="N886" si="99">+N883+M886</f>
        <v>0.17511690742717589</v>
      </c>
    </row>
    <row r="887" spans="1:14">
      <c r="A887" s="97">
        <v>6</v>
      </c>
      <c r="B887" s="93">
        <v>45292</v>
      </c>
      <c r="C887" s="94">
        <v>2024</v>
      </c>
      <c r="D887" s="95" t="s">
        <v>39</v>
      </c>
      <c r="E887" s="96">
        <v>1</v>
      </c>
      <c r="F887" s="82">
        <v>1.3340000000000001</v>
      </c>
      <c r="G887" s="100">
        <v>5.0999999999999997E-2</v>
      </c>
    </row>
    <row r="888" spans="1:14">
      <c r="A888" s="8">
        <v>8</v>
      </c>
      <c r="B888" s="76">
        <v>45292</v>
      </c>
      <c r="C888">
        <v>2024</v>
      </c>
      <c r="D888" s="11" t="s">
        <v>39</v>
      </c>
      <c r="E888" s="15">
        <v>1</v>
      </c>
      <c r="F888" s="82">
        <v>1.147</v>
      </c>
      <c r="G888" s="100">
        <v>1.2E-2</v>
      </c>
    </row>
    <row r="889" spans="1:14">
      <c r="A889" s="8">
        <v>15</v>
      </c>
      <c r="B889" s="76">
        <v>45292</v>
      </c>
      <c r="C889">
        <v>2024</v>
      </c>
      <c r="D889" s="11" t="s">
        <v>39</v>
      </c>
      <c r="E889" s="15">
        <v>1</v>
      </c>
      <c r="F889" s="82">
        <v>0.875</v>
      </c>
      <c r="G889" s="100">
        <v>2.8000000000000001E-2</v>
      </c>
      <c r="I889" s="18">
        <f t="shared" ref="I889:J889" si="100">AVERAGE(F887:F889)</f>
        <v>1.1186666666666667</v>
      </c>
      <c r="J889" s="18">
        <f t="shared" si="100"/>
        <v>3.0333333333333334E-2</v>
      </c>
      <c r="L889">
        <f t="shared" ref="L889" si="101">+J889/I889</f>
        <v>2.7115613825983313E-2</v>
      </c>
      <c r="M889">
        <f t="shared" ref="M889" si="102">+(L889-$L$927)/$L$928</f>
        <v>6.7213703180564396E-2</v>
      </c>
      <c r="N889">
        <f t="shared" ref="N889" si="103">+N886+M889</f>
        <v>0.2423306106077403</v>
      </c>
    </row>
    <row r="890" spans="1:14">
      <c r="A890" s="8">
        <v>6</v>
      </c>
      <c r="B890" s="74">
        <v>45323</v>
      </c>
      <c r="C890">
        <v>2024</v>
      </c>
      <c r="D890" s="11" t="s">
        <v>28</v>
      </c>
      <c r="E890" s="15">
        <v>2</v>
      </c>
    </row>
    <row r="891" spans="1:14">
      <c r="A891" s="8">
        <v>8</v>
      </c>
      <c r="B891" s="74">
        <v>45323</v>
      </c>
      <c r="C891">
        <v>2024</v>
      </c>
      <c r="D891" s="11" t="s">
        <v>28</v>
      </c>
      <c r="E891" s="15">
        <v>2</v>
      </c>
    </row>
    <row r="892" spans="1:14">
      <c r="A892" s="8">
        <v>15</v>
      </c>
      <c r="B892" s="74">
        <v>45323</v>
      </c>
      <c r="C892">
        <v>2024</v>
      </c>
      <c r="D892" s="11" t="s">
        <v>28</v>
      </c>
      <c r="E892" s="15">
        <v>2</v>
      </c>
      <c r="I892" s="18"/>
      <c r="J892" s="18"/>
    </row>
    <row r="893" spans="1:14">
      <c r="A893" s="8">
        <v>6</v>
      </c>
      <c r="B893" s="74">
        <v>45352</v>
      </c>
      <c r="C893">
        <v>2024</v>
      </c>
      <c r="D893" s="11" t="s">
        <v>29</v>
      </c>
      <c r="E893" s="15">
        <v>3</v>
      </c>
    </row>
    <row r="894" spans="1:14">
      <c r="A894" s="8">
        <v>8</v>
      </c>
      <c r="B894" s="74">
        <v>45352</v>
      </c>
      <c r="C894">
        <v>2024</v>
      </c>
      <c r="D894" s="11" t="s">
        <v>29</v>
      </c>
      <c r="E894" s="15">
        <v>3</v>
      </c>
      <c r="F894" s="82">
        <v>0.51300000000000001</v>
      </c>
      <c r="G894" s="100">
        <v>8.9999999999999993E-3</v>
      </c>
    </row>
    <row r="895" spans="1:14">
      <c r="A895" s="8">
        <v>15</v>
      </c>
      <c r="B895" s="74">
        <v>45352</v>
      </c>
      <c r="C895">
        <v>2024</v>
      </c>
      <c r="D895" s="11" t="s">
        <v>29</v>
      </c>
      <c r="E895" s="15">
        <v>3</v>
      </c>
      <c r="I895" s="18">
        <f t="shared" ref="I895:J895" si="104">AVERAGE(F893:F895)</f>
        <v>0.51300000000000001</v>
      </c>
      <c r="J895" s="18">
        <f t="shared" si="104"/>
        <v>8.9999999999999993E-3</v>
      </c>
      <c r="L895">
        <f t="shared" ref="L895" si="105">+J895/I895</f>
        <v>1.7543859649122806E-2</v>
      </c>
      <c r="M895">
        <f t="shared" ref="M895" si="106">+(L895-$L$927)/$L$928</f>
        <v>-0.23535490259742989</v>
      </c>
      <c r="N895">
        <f>+N889+M895</f>
        <v>6.9757080103104163E-3</v>
      </c>
    </row>
    <row r="896" spans="1:14">
      <c r="A896" s="8">
        <v>6</v>
      </c>
      <c r="B896" s="74">
        <v>45383</v>
      </c>
      <c r="C896">
        <v>2024</v>
      </c>
      <c r="D896" s="11" t="s">
        <v>30</v>
      </c>
      <c r="E896" s="15">
        <v>4</v>
      </c>
      <c r="F896" s="82">
        <v>0.79700000000000004</v>
      </c>
      <c r="G896" s="100">
        <v>1.4E-2</v>
      </c>
    </row>
    <row r="897" spans="1:14">
      <c r="A897" s="8">
        <v>8</v>
      </c>
      <c r="B897" s="74">
        <v>45383</v>
      </c>
      <c r="C897">
        <v>2024</v>
      </c>
      <c r="D897" s="11" t="s">
        <v>30</v>
      </c>
      <c r="E897" s="15">
        <v>4</v>
      </c>
      <c r="F897" s="82">
        <v>0.436</v>
      </c>
      <c r="G897" s="100">
        <v>1.4E-2</v>
      </c>
    </row>
    <row r="898" spans="1:14">
      <c r="A898" s="8">
        <v>15</v>
      </c>
      <c r="B898" s="74">
        <v>45383</v>
      </c>
      <c r="C898">
        <v>2024</v>
      </c>
      <c r="D898" s="11" t="s">
        <v>30</v>
      </c>
      <c r="E898" s="15">
        <v>4</v>
      </c>
      <c r="F898" s="82">
        <v>0.55400000000000005</v>
      </c>
      <c r="G898" s="100">
        <v>0.02</v>
      </c>
      <c r="I898" s="18">
        <f t="shared" ref="I898:J898" si="107">AVERAGE(F896:F898)</f>
        <v>0.59566666666666668</v>
      </c>
      <c r="J898" s="18">
        <f t="shared" si="107"/>
        <v>1.6E-2</v>
      </c>
      <c r="L898">
        <f t="shared" ref="L898" si="108">+J898/I898</f>
        <v>2.6860660324566313E-2</v>
      </c>
      <c r="M898">
        <f t="shared" ref="M898" si="109">+(L898-$L$927)/$L$928</f>
        <v>5.9154477668019775E-2</v>
      </c>
      <c r="N898">
        <f t="shared" ref="N898" si="110">+N895+M898</f>
        <v>6.6130185678330192E-2</v>
      </c>
    </row>
    <row r="899" spans="1:14">
      <c r="A899" s="8">
        <v>6</v>
      </c>
      <c r="B899" s="74">
        <v>45413</v>
      </c>
      <c r="C899">
        <v>2024</v>
      </c>
      <c r="D899" s="11" t="s">
        <v>31</v>
      </c>
      <c r="E899" s="15">
        <v>5</v>
      </c>
      <c r="F899" s="82">
        <v>2.819</v>
      </c>
      <c r="G899" s="100">
        <v>1.4E-2</v>
      </c>
    </row>
    <row r="900" spans="1:14">
      <c r="A900" s="8">
        <v>8</v>
      </c>
      <c r="B900" s="74">
        <v>45413</v>
      </c>
      <c r="C900">
        <v>2024</v>
      </c>
      <c r="D900" s="11" t="s">
        <v>31</v>
      </c>
      <c r="E900" s="15">
        <v>5</v>
      </c>
      <c r="F900" s="82">
        <v>4.9580000000000002</v>
      </c>
      <c r="G900" s="100">
        <v>0.22</v>
      </c>
    </row>
    <row r="901" spans="1:14">
      <c r="A901" s="8">
        <v>15</v>
      </c>
      <c r="B901" s="74">
        <v>45413</v>
      </c>
      <c r="C901">
        <v>2024</v>
      </c>
      <c r="D901" s="11" t="s">
        <v>31</v>
      </c>
      <c r="E901" s="15">
        <v>5</v>
      </c>
      <c r="F901" s="82">
        <v>3.1850000000000001</v>
      </c>
      <c r="G901" s="100">
        <v>1.7000000000000001E-2</v>
      </c>
      <c r="I901" s="18">
        <f t="shared" ref="I901:J901" si="111">AVERAGE(F899:F901)</f>
        <v>3.6539999999999999</v>
      </c>
      <c r="J901" s="18">
        <f t="shared" si="111"/>
        <v>8.3666666666666667E-2</v>
      </c>
      <c r="L901">
        <f t="shared" ref="L901" si="112">+J901/I901</f>
        <v>2.2897281517971175E-2</v>
      </c>
      <c r="M901">
        <f t="shared" ref="M901" si="113">+(L901-$L$927)/$L$928</f>
        <v>-6.613018567828359E-2</v>
      </c>
      <c r="N901">
        <f t="shared" ref="N901" si="114">+N898+M901</f>
        <v>4.6601611458640946E-14</v>
      </c>
    </row>
    <row r="902" spans="1:14">
      <c r="A902" s="8">
        <v>6</v>
      </c>
      <c r="B902" s="74">
        <v>45444</v>
      </c>
      <c r="C902">
        <v>2024</v>
      </c>
      <c r="D902" s="11" t="s">
        <v>32</v>
      </c>
      <c r="E902" s="15">
        <v>6</v>
      </c>
      <c r="H902" s="101" t="s">
        <v>96</v>
      </c>
    </row>
    <row r="903" spans="1:14">
      <c r="A903" s="8">
        <v>8</v>
      </c>
      <c r="B903" s="74">
        <v>45444</v>
      </c>
      <c r="C903">
        <v>2024</v>
      </c>
      <c r="D903" s="11" t="s">
        <v>32</v>
      </c>
      <c r="E903" s="15">
        <v>6</v>
      </c>
      <c r="H903" s="101" t="s">
        <v>97</v>
      </c>
    </row>
    <row r="904" spans="1:14">
      <c r="A904" s="8">
        <v>15</v>
      </c>
      <c r="B904" s="74">
        <v>45444</v>
      </c>
      <c r="C904">
        <v>2024</v>
      </c>
      <c r="D904" s="11" t="s">
        <v>32</v>
      </c>
      <c r="E904" s="15">
        <v>6</v>
      </c>
    </row>
    <row r="905" spans="1:14">
      <c r="A905" s="8">
        <v>6</v>
      </c>
      <c r="B905" s="74">
        <v>45474</v>
      </c>
      <c r="C905">
        <v>2024</v>
      </c>
      <c r="D905" s="11" t="s">
        <v>33</v>
      </c>
      <c r="E905" s="15">
        <v>7</v>
      </c>
    </row>
    <row r="906" spans="1:14">
      <c r="A906" s="8">
        <v>8</v>
      </c>
      <c r="B906" s="74">
        <v>45474</v>
      </c>
      <c r="C906">
        <v>2024</v>
      </c>
      <c r="D906" s="11" t="s">
        <v>33</v>
      </c>
      <c r="E906" s="15">
        <v>7</v>
      </c>
    </row>
    <row r="907" spans="1:14">
      <c r="A907" s="8">
        <v>15</v>
      </c>
      <c r="B907" s="74">
        <v>45474</v>
      </c>
      <c r="C907">
        <v>2024</v>
      </c>
      <c r="D907" s="11" t="s">
        <v>33</v>
      </c>
      <c r="E907" s="15">
        <v>7</v>
      </c>
    </row>
    <row r="908" spans="1:14">
      <c r="A908" s="8">
        <v>6</v>
      </c>
      <c r="B908" s="74">
        <v>45505</v>
      </c>
      <c r="C908">
        <v>2024</v>
      </c>
      <c r="D908" s="11" t="s">
        <v>34</v>
      </c>
      <c r="E908" s="15">
        <v>8</v>
      </c>
    </row>
    <row r="909" spans="1:14">
      <c r="A909" s="8">
        <v>8</v>
      </c>
      <c r="B909" s="74">
        <v>45505</v>
      </c>
      <c r="C909">
        <v>2024</v>
      </c>
      <c r="D909" s="11" t="s">
        <v>34</v>
      </c>
      <c r="E909" s="15">
        <v>8</v>
      </c>
    </row>
    <row r="910" spans="1:14">
      <c r="A910" s="8">
        <v>15</v>
      </c>
      <c r="B910" s="74">
        <v>45505</v>
      </c>
      <c r="C910">
        <v>2024</v>
      </c>
      <c r="D910" s="11" t="s">
        <v>34</v>
      </c>
      <c r="E910" s="15">
        <v>8</v>
      </c>
    </row>
    <row r="911" spans="1:14">
      <c r="A911" s="8">
        <v>6</v>
      </c>
      <c r="B911" s="74">
        <v>45536</v>
      </c>
      <c r="C911">
        <v>2024</v>
      </c>
      <c r="D911" s="11" t="s">
        <v>40</v>
      </c>
      <c r="E911" s="15">
        <v>9</v>
      </c>
    </row>
    <row r="912" spans="1:14">
      <c r="A912" s="8">
        <v>8</v>
      </c>
      <c r="B912" s="74">
        <v>45536</v>
      </c>
      <c r="C912">
        <v>2024</v>
      </c>
      <c r="D912" s="11" t="s">
        <v>40</v>
      </c>
      <c r="E912" s="15">
        <v>9</v>
      </c>
    </row>
    <row r="913" spans="1:12">
      <c r="A913" s="8">
        <v>15</v>
      </c>
      <c r="B913" s="74">
        <v>45536</v>
      </c>
      <c r="C913">
        <v>2024</v>
      </c>
      <c r="D913" s="11" t="s">
        <v>40</v>
      </c>
      <c r="E913" s="15">
        <v>9</v>
      </c>
    </row>
    <row r="914" spans="1:12">
      <c r="A914" s="8">
        <v>6</v>
      </c>
      <c r="B914" s="74">
        <v>45566</v>
      </c>
      <c r="C914">
        <v>2024</v>
      </c>
      <c r="D914" s="11" t="s">
        <v>36</v>
      </c>
      <c r="E914" s="15">
        <v>10</v>
      </c>
    </row>
    <row r="915" spans="1:12">
      <c r="A915" s="8">
        <v>8</v>
      </c>
      <c r="B915" s="74">
        <v>45566</v>
      </c>
      <c r="C915">
        <v>2024</v>
      </c>
      <c r="D915" s="11" t="s">
        <v>36</v>
      </c>
      <c r="E915" s="15">
        <v>10</v>
      </c>
    </row>
    <row r="916" spans="1:12">
      <c r="A916" s="8">
        <v>15</v>
      </c>
      <c r="B916" s="74">
        <v>45566</v>
      </c>
      <c r="C916">
        <v>2024</v>
      </c>
      <c r="D916" s="11" t="s">
        <v>36</v>
      </c>
      <c r="E916" s="15">
        <v>10</v>
      </c>
    </row>
    <row r="917" spans="1:12">
      <c r="A917" s="8">
        <v>6</v>
      </c>
      <c r="B917" s="74">
        <v>45597</v>
      </c>
      <c r="C917">
        <v>2024</v>
      </c>
      <c r="D917" s="11" t="s">
        <v>37</v>
      </c>
      <c r="E917" s="15">
        <v>11</v>
      </c>
    </row>
    <row r="918" spans="1:12">
      <c r="A918" s="8">
        <v>8</v>
      </c>
      <c r="B918" s="74">
        <v>45597</v>
      </c>
      <c r="C918">
        <v>2024</v>
      </c>
      <c r="D918" s="11" t="s">
        <v>37</v>
      </c>
      <c r="E918" s="15">
        <v>11</v>
      </c>
    </row>
    <row r="919" spans="1:12">
      <c r="A919" s="8">
        <v>15</v>
      </c>
      <c r="B919" s="74">
        <v>45597</v>
      </c>
      <c r="C919">
        <v>2024</v>
      </c>
      <c r="D919" s="11" t="s">
        <v>37</v>
      </c>
      <c r="E919" s="15">
        <v>11</v>
      </c>
    </row>
    <row r="920" spans="1:12">
      <c r="A920" s="8">
        <v>6</v>
      </c>
      <c r="B920" s="75">
        <v>45627</v>
      </c>
      <c r="C920">
        <v>2024</v>
      </c>
      <c r="D920" s="11" t="s">
        <v>38</v>
      </c>
      <c r="E920" s="15">
        <v>12</v>
      </c>
    </row>
    <row r="921" spans="1:12">
      <c r="A921" s="8">
        <v>8</v>
      </c>
      <c r="B921" s="74">
        <v>45627</v>
      </c>
      <c r="C921">
        <v>2024</v>
      </c>
      <c r="D921" s="11" t="s">
        <v>38</v>
      </c>
      <c r="E921" s="15">
        <v>12</v>
      </c>
    </row>
    <row r="922" spans="1:12">
      <c r="A922" s="8">
        <v>15</v>
      </c>
      <c r="B922" s="74">
        <v>45627</v>
      </c>
      <c r="C922">
        <v>2024</v>
      </c>
      <c r="D922" s="11" t="s">
        <v>38</v>
      </c>
      <c r="E922" s="15">
        <v>12</v>
      </c>
    </row>
    <row r="927" spans="1:12">
      <c r="K927" s="92" t="s">
        <v>86</v>
      </c>
      <c r="L927" s="92">
        <f>AVERAGE(L4:L922)</f>
        <v>2.4989309140450666E-2</v>
      </c>
    </row>
    <row r="928" spans="1:12">
      <c r="K928" s="92" t="s">
        <v>87</v>
      </c>
      <c r="L928" s="92">
        <f>STDEV(L4:L922)</f>
        <v>3.1634987880678062E-2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Zea update</vt:lpstr>
      <vt:lpstr>Fuco update</vt:lpstr>
      <vt:lpstr>But Fuco update</vt:lpstr>
      <vt:lpstr>Peridin 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2026-02-18T21:03:41Z</dcterms:modified>
</cp:coreProperties>
</file>