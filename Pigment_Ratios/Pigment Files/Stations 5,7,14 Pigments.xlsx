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1D1222-1402-444E-A72B-1472F8B5050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1" sheetId="1" r:id="rId1"/>
    <sheet name="Sheet2" sheetId="2" r:id="rId2"/>
    <sheet name="Zea update" sheetId="6" r:id="rId3"/>
    <sheet name="Fuco update" sheetId="5" r:id="rId4"/>
    <sheet name="But-fuco update" sheetId="4" r:id="rId5"/>
    <sheet name="Peridin update" sheetId="7" r:id="rId6"/>
    <sheet name="sheet 3" sheetId="3" r:id="rId7"/>
  </sheets>
  <externalReferences>
    <externalReference r:id="rId8"/>
  </externalReferences>
  <definedNames>
    <definedName name="_xlnm._FilterDatabase" localSheetId="1" hidden="1">Sheet2!$L$1:$L$551</definedName>
  </definedNames>
  <calcPr calcId="191029"/>
</workbook>
</file>

<file path=xl/calcChain.xml><?xml version="1.0" encoding="utf-8"?>
<calcChain xmlns="http://schemas.openxmlformats.org/spreadsheetml/2006/main">
  <c r="L932" i="7" l="1"/>
  <c r="L931" i="7"/>
  <c r="L862" i="7"/>
  <c r="L865" i="7"/>
  <c r="L868" i="7"/>
  <c r="L871" i="7"/>
  <c r="L874" i="7"/>
  <c r="L877" i="7"/>
  <c r="L880" i="7"/>
  <c r="L883" i="7"/>
  <c r="L886" i="7"/>
  <c r="L889" i="7"/>
  <c r="L892" i="7"/>
  <c r="L895" i="7"/>
  <c r="L901" i="7"/>
  <c r="L904" i="7"/>
  <c r="L907" i="7"/>
  <c r="J862" i="7"/>
  <c r="J865" i="7"/>
  <c r="J868" i="7"/>
  <c r="J871" i="7"/>
  <c r="J874" i="7"/>
  <c r="J877" i="7"/>
  <c r="J880" i="7"/>
  <c r="J883" i="7"/>
  <c r="J886" i="7"/>
  <c r="J889" i="7"/>
  <c r="J892" i="7"/>
  <c r="J895" i="7"/>
  <c r="J901" i="7"/>
  <c r="J904" i="7"/>
  <c r="J907" i="7"/>
  <c r="I862" i="7"/>
  <c r="I865" i="7"/>
  <c r="I868" i="7"/>
  <c r="I871" i="7"/>
  <c r="I874" i="7"/>
  <c r="I877" i="7"/>
  <c r="I880" i="7"/>
  <c r="I883" i="7"/>
  <c r="I886" i="7"/>
  <c r="I889" i="7"/>
  <c r="I892" i="7"/>
  <c r="I895" i="7"/>
  <c r="I901" i="7"/>
  <c r="I904" i="7"/>
  <c r="I907" i="7"/>
  <c r="L859" i="7"/>
  <c r="J859" i="7"/>
  <c r="I859" i="7"/>
  <c r="L769" i="7"/>
  <c r="L772" i="7"/>
  <c r="L775" i="7"/>
  <c r="L778" i="7"/>
  <c r="L781" i="7"/>
  <c r="L790" i="7"/>
  <c r="L793" i="7"/>
  <c r="L796" i="7"/>
  <c r="L799" i="7"/>
  <c r="L802" i="7"/>
  <c r="L808" i="7"/>
  <c r="L811" i="7"/>
  <c r="L814" i="7"/>
  <c r="L817" i="7"/>
  <c r="L820" i="7"/>
  <c r="J769" i="7"/>
  <c r="J772" i="7"/>
  <c r="J775" i="7"/>
  <c r="J778" i="7"/>
  <c r="J781" i="7"/>
  <c r="J790" i="7"/>
  <c r="J793" i="7"/>
  <c r="J796" i="7"/>
  <c r="J799" i="7"/>
  <c r="J802" i="7"/>
  <c r="J808" i="7"/>
  <c r="J811" i="7"/>
  <c r="J814" i="7"/>
  <c r="J817" i="7"/>
  <c r="J820" i="7"/>
  <c r="I769" i="7"/>
  <c r="I772" i="7"/>
  <c r="I775" i="7"/>
  <c r="I778" i="7"/>
  <c r="I781" i="7"/>
  <c r="I790" i="7"/>
  <c r="I793" i="7"/>
  <c r="I796" i="7"/>
  <c r="I799" i="7"/>
  <c r="I802" i="7"/>
  <c r="I808" i="7"/>
  <c r="I811" i="7"/>
  <c r="I814" i="7"/>
  <c r="I817" i="7"/>
  <c r="I820" i="7"/>
  <c r="L766" i="7"/>
  <c r="J766" i="7"/>
  <c r="I766" i="7"/>
  <c r="L754" i="7"/>
  <c r="J754" i="7"/>
  <c r="I754" i="7"/>
  <c r="N901" i="4"/>
  <c r="N865" i="4"/>
  <c r="N868" i="4" s="1"/>
  <c r="N871" i="4" s="1"/>
  <c r="N874" i="4" s="1"/>
  <c r="N877" i="4" s="1"/>
  <c r="N880" i="4" s="1"/>
  <c r="N883" i="4" s="1"/>
  <c r="N886" i="4" s="1"/>
  <c r="N889" i="4" s="1"/>
  <c r="N892" i="4" s="1"/>
  <c r="N895" i="4" s="1"/>
  <c r="N862" i="4"/>
  <c r="M862" i="4"/>
  <c r="M865" i="4"/>
  <c r="M868" i="4"/>
  <c r="M871" i="4"/>
  <c r="M874" i="4"/>
  <c r="M877" i="4"/>
  <c r="M880" i="4"/>
  <c r="M883" i="4"/>
  <c r="M886" i="4"/>
  <c r="M889" i="4"/>
  <c r="M892" i="4"/>
  <c r="M895" i="4"/>
  <c r="M901" i="4"/>
  <c r="M904" i="4"/>
  <c r="M907" i="4"/>
  <c r="L862" i="4"/>
  <c r="L865" i="4"/>
  <c r="L868" i="4"/>
  <c r="L871" i="4"/>
  <c r="L874" i="4"/>
  <c r="L877" i="4"/>
  <c r="L880" i="4"/>
  <c r="L883" i="4"/>
  <c r="L886" i="4"/>
  <c r="L889" i="4"/>
  <c r="L892" i="4"/>
  <c r="L895" i="4"/>
  <c r="L901" i="4"/>
  <c r="L904" i="4"/>
  <c r="L907" i="4"/>
  <c r="J862" i="4"/>
  <c r="J865" i="4"/>
  <c r="J868" i="4"/>
  <c r="J871" i="4"/>
  <c r="J874" i="4"/>
  <c r="J877" i="4"/>
  <c r="J880" i="4"/>
  <c r="J883" i="4"/>
  <c r="J886" i="4"/>
  <c r="J889" i="4"/>
  <c r="J892" i="4"/>
  <c r="J895" i="4"/>
  <c r="J901" i="4"/>
  <c r="J904" i="4"/>
  <c r="J907" i="4"/>
  <c r="I862" i="4"/>
  <c r="I865" i="4"/>
  <c r="I868" i="4"/>
  <c r="I871" i="4"/>
  <c r="I874" i="4"/>
  <c r="I877" i="4"/>
  <c r="I880" i="4"/>
  <c r="I883" i="4"/>
  <c r="I886" i="4"/>
  <c r="I889" i="4"/>
  <c r="I892" i="4"/>
  <c r="I895" i="4"/>
  <c r="I901" i="4"/>
  <c r="I904" i="4"/>
  <c r="I907" i="4"/>
  <c r="L859" i="4"/>
  <c r="J859" i="4"/>
  <c r="I859" i="4"/>
  <c r="L932" i="4"/>
  <c r="L931" i="4"/>
  <c r="M859" i="4" s="1"/>
  <c r="L769" i="4"/>
  <c r="L772" i="4"/>
  <c r="L775" i="4"/>
  <c r="L778" i="4"/>
  <c r="L781" i="4"/>
  <c r="L790" i="4"/>
  <c r="L793" i="4"/>
  <c r="L796" i="4"/>
  <c r="L799" i="4"/>
  <c r="L802" i="4"/>
  <c r="L808" i="4"/>
  <c r="L811" i="4"/>
  <c r="L814" i="4"/>
  <c r="L817" i="4"/>
  <c r="L820" i="4"/>
  <c r="J769" i="4"/>
  <c r="J772" i="4"/>
  <c r="J775" i="4"/>
  <c r="J778" i="4"/>
  <c r="J781" i="4"/>
  <c r="J790" i="4"/>
  <c r="J793" i="4"/>
  <c r="J796" i="4"/>
  <c r="J799" i="4"/>
  <c r="J802" i="4"/>
  <c r="J808" i="4"/>
  <c r="J811" i="4"/>
  <c r="J814" i="4"/>
  <c r="J817" i="4"/>
  <c r="J820" i="4"/>
  <c r="I769" i="4"/>
  <c r="I772" i="4"/>
  <c r="I775" i="4"/>
  <c r="I778" i="4"/>
  <c r="I781" i="4"/>
  <c r="I790" i="4"/>
  <c r="I793" i="4"/>
  <c r="I796" i="4"/>
  <c r="I799" i="4"/>
  <c r="I802" i="4"/>
  <c r="I808" i="4"/>
  <c r="I811" i="4"/>
  <c r="I814" i="4"/>
  <c r="I817" i="4"/>
  <c r="I820" i="4"/>
  <c r="L766" i="4"/>
  <c r="J766" i="4"/>
  <c r="I766" i="4"/>
  <c r="L754" i="4"/>
  <c r="J754" i="4"/>
  <c r="I754" i="4"/>
  <c r="L932" i="5"/>
  <c r="L931" i="5"/>
  <c r="L862" i="5"/>
  <c r="L865" i="5"/>
  <c r="L868" i="5"/>
  <c r="L871" i="5"/>
  <c r="L874" i="5"/>
  <c r="L877" i="5"/>
  <c r="L880" i="5"/>
  <c r="L883" i="5"/>
  <c r="L886" i="5"/>
  <c r="L889" i="5"/>
  <c r="L892" i="5"/>
  <c r="L895" i="5"/>
  <c r="L901" i="5"/>
  <c r="L904" i="5"/>
  <c r="L907" i="5"/>
  <c r="J862" i="5"/>
  <c r="J865" i="5"/>
  <c r="J868" i="5"/>
  <c r="J871" i="5"/>
  <c r="J874" i="5"/>
  <c r="J877" i="5"/>
  <c r="J880" i="5"/>
  <c r="J883" i="5"/>
  <c r="J886" i="5"/>
  <c r="J889" i="5"/>
  <c r="J892" i="5"/>
  <c r="J895" i="5"/>
  <c r="J901" i="5"/>
  <c r="J904" i="5"/>
  <c r="J907" i="5"/>
  <c r="I862" i="5"/>
  <c r="I865" i="5"/>
  <c r="I868" i="5"/>
  <c r="I871" i="5"/>
  <c r="I874" i="5"/>
  <c r="I877" i="5"/>
  <c r="I880" i="5"/>
  <c r="I883" i="5"/>
  <c r="I886" i="5"/>
  <c r="I889" i="5"/>
  <c r="I892" i="5"/>
  <c r="I895" i="5"/>
  <c r="I901" i="5"/>
  <c r="I904" i="5"/>
  <c r="I907" i="5"/>
  <c r="L859" i="5"/>
  <c r="J859" i="5"/>
  <c r="I859" i="5"/>
  <c r="L769" i="5"/>
  <c r="L772" i="5"/>
  <c r="L775" i="5"/>
  <c r="L778" i="5"/>
  <c r="L781" i="5"/>
  <c r="L790" i="5"/>
  <c r="L793" i="5"/>
  <c r="L796" i="5"/>
  <c r="L799" i="5"/>
  <c r="L802" i="5"/>
  <c r="L808" i="5"/>
  <c r="L811" i="5"/>
  <c r="L814" i="5"/>
  <c r="L817" i="5"/>
  <c r="L820" i="5"/>
  <c r="J769" i="5"/>
  <c r="J772" i="5"/>
  <c r="J775" i="5"/>
  <c r="J778" i="5"/>
  <c r="J781" i="5"/>
  <c r="J790" i="5"/>
  <c r="J793" i="5"/>
  <c r="J796" i="5"/>
  <c r="J799" i="5"/>
  <c r="J802" i="5"/>
  <c r="J808" i="5"/>
  <c r="J811" i="5"/>
  <c r="J814" i="5"/>
  <c r="J817" i="5"/>
  <c r="J820" i="5"/>
  <c r="I769" i="5"/>
  <c r="I772" i="5"/>
  <c r="I775" i="5"/>
  <c r="I778" i="5"/>
  <c r="I781" i="5"/>
  <c r="I790" i="5"/>
  <c r="I793" i="5"/>
  <c r="I796" i="5"/>
  <c r="I799" i="5"/>
  <c r="I802" i="5"/>
  <c r="I808" i="5"/>
  <c r="I811" i="5"/>
  <c r="I814" i="5"/>
  <c r="I817" i="5"/>
  <c r="I820" i="5"/>
  <c r="L766" i="5"/>
  <c r="J766" i="5"/>
  <c r="I766" i="5"/>
  <c r="L754" i="5"/>
  <c r="J754" i="5"/>
  <c r="I754" i="5"/>
  <c r="N766" i="6"/>
  <c r="L754" i="6"/>
  <c r="J754" i="6"/>
  <c r="I754" i="6"/>
  <c r="L862" i="6"/>
  <c r="L865" i="6"/>
  <c r="L868" i="6"/>
  <c r="L871" i="6"/>
  <c r="L874" i="6"/>
  <c r="L877" i="6"/>
  <c r="L880" i="6"/>
  <c r="L883" i="6"/>
  <c r="L886" i="6"/>
  <c r="L889" i="6"/>
  <c r="L892" i="6"/>
  <c r="L895" i="6"/>
  <c r="L901" i="6"/>
  <c r="L904" i="6"/>
  <c r="L907" i="6"/>
  <c r="J862" i="6"/>
  <c r="J865" i="6"/>
  <c r="J868" i="6"/>
  <c r="J871" i="6"/>
  <c r="J874" i="6"/>
  <c r="J877" i="6"/>
  <c r="J880" i="6"/>
  <c r="J883" i="6"/>
  <c r="J886" i="6"/>
  <c r="J889" i="6"/>
  <c r="J892" i="6"/>
  <c r="J895" i="6"/>
  <c r="J901" i="6"/>
  <c r="J904" i="6"/>
  <c r="J907" i="6"/>
  <c r="I862" i="6"/>
  <c r="I865" i="6"/>
  <c r="I868" i="6"/>
  <c r="I871" i="6"/>
  <c r="I874" i="6"/>
  <c r="I877" i="6"/>
  <c r="I880" i="6"/>
  <c r="I883" i="6"/>
  <c r="I886" i="6"/>
  <c r="I889" i="6"/>
  <c r="I892" i="6"/>
  <c r="I895" i="6"/>
  <c r="I901" i="6"/>
  <c r="I904" i="6"/>
  <c r="I907" i="6"/>
  <c r="L859" i="6"/>
  <c r="J859" i="6"/>
  <c r="I859" i="6"/>
  <c r="L769" i="6"/>
  <c r="L772" i="6"/>
  <c r="L775" i="6"/>
  <c r="L778" i="6"/>
  <c r="L781" i="6"/>
  <c r="L790" i="6"/>
  <c r="L793" i="6"/>
  <c r="L796" i="6"/>
  <c r="L799" i="6"/>
  <c r="L802" i="6"/>
  <c r="L808" i="6"/>
  <c r="L811" i="6"/>
  <c r="L814" i="6"/>
  <c r="L817" i="6"/>
  <c r="L820" i="6"/>
  <c r="J769" i="6"/>
  <c r="J772" i="6"/>
  <c r="J775" i="6"/>
  <c r="J778" i="6"/>
  <c r="J781" i="6"/>
  <c r="J790" i="6"/>
  <c r="J793" i="6"/>
  <c r="J796" i="6"/>
  <c r="J799" i="6"/>
  <c r="J802" i="6"/>
  <c r="J808" i="6"/>
  <c r="J811" i="6"/>
  <c r="J814" i="6"/>
  <c r="J817" i="6"/>
  <c r="J820" i="6"/>
  <c r="I769" i="6"/>
  <c r="I772" i="6"/>
  <c r="I775" i="6"/>
  <c r="I778" i="6"/>
  <c r="I781" i="6"/>
  <c r="I790" i="6"/>
  <c r="I793" i="6"/>
  <c r="I796" i="6"/>
  <c r="I799" i="6"/>
  <c r="I802" i="6"/>
  <c r="I808" i="6"/>
  <c r="I811" i="6"/>
  <c r="I814" i="6"/>
  <c r="I817" i="6"/>
  <c r="I820" i="6"/>
  <c r="L766" i="6"/>
  <c r="J766" i="6"/>
  <c r="I766" i="6"/>
  <c r="L931" i="6"/>
  <c r="M874" i="7" l="1"/>
  <c r="M793" i="7"/>
  <c r="M868" i="7"/>
  <c r="M766" i="7"/>
  <c r="M817" i="7"/>
  <c r="M790" i="7"/>
  <c r="M889" i="7"/>
  <c r="M865" i="7"/>
  <c r="M796" i="7"/>
  <c r="M820" i="7"/>
  <c r="M892" i="7"/>
  <c r="M814" i="7"/>
  <c r="M781" i="7"/>
  <c r="M886" i="7"/>
  <c r="M862" i="7"/>
  <c r="M811" i="7"/>
  <c r="M883" i="7"/>
  <c r="M754" i="7"/>
  <c r="M808" i="7"/>
  <c r="M775" i="7"/>
  <c r="M907" i="7"/>
  <c r="M880" i="7"/>
  <c r="M895" i="7"/>
  <c r="M778" i="7"/>
  <c r="M802" i="7"/>
  <c r="M772" i="7"/>
  <c r="M859" i="7"/>
  <c r="M904" i="7"/>
  <c r="M877" i="7"/>
  <c r="M871" i="7"/>
  <c r="M799" i="7"/>
  <c r="M769" i="7"/>
  <c r="M901" i="7"/>
  <c r="N904" i="4"/>
  <c r="N907" i="4" s="1"/>
  <c r="M793" i="4"/>
  <c r="M814" i="4"/>
  <c r="M754" i="4"/>
  <c r="M775" i="4"/>
  <c r="M802" i="4"/>
  <c r="M769" i="4"/>
  <c r="M766" i="4"/>
  <c r="M796" i="4"/>
  <c r="M817" i="4"/>
  <c r="M790" i="4"/>
  <c r="M781" i="4"/>
  <c r="M811" i="4"/>
  <c r="M778" i="4"/>
  <c r="M808" i="4"/>
  <c r="M772" i="4"/>
  <c r="M799" i="4"/>
  <c r="M820" i="4"/>
  <c r="M883" i="5"/>
  <c r="M775" i="5"/>
  <c r="M859" i="5"/>
  <c r="M769" i="5"/>
  <c r="M901" i="5"/>
  <c r="M874" i="5"/>
  <c r="M871" i="5"/>
  <c r="M820" i="5"/>
  <c r="M793" i="5"/>
  <c r="M892" i="5"/>
  <c r="M868" i="5"/>
  <c r="M754" i="5"/>
  <c r="M880" i="5"/>
  <c r="M904" i="5"/>
  <c r="M796" i="5"/>
  <c r="M895" i="5"/>
  <c r="M766" i="5"/>
  <c r="M817" i="5"/>
  <c r="M790" i="5"/>
  <c r="M889" i="5"/>
  <c r="M865" i="5"/>
  <c r="M808" i="5"/>
  <c r="M907" i="5"/>
  <c r="M802" i="5"/>
  <c r="M772" i="5"/>
  <c r="M877" i="5"/>
  <c r="M799" i="5"/>
  <c r="M814" i="5"/>
  <c r="M781" i="5"/>
  <c r="M886" i="5"/>
  <c r="M862" i="5"/>
  <c r="M811" i="5"/>
  <c r="M778" i="5"/>
  <c r="F932" i="6" l="1"/>
  <c r="F931" i="6"/>
  <c r="L932" i="6"/>
  <c r="M754" i="6" s="1"/>
  <c r="M859" i="6" l="1"/>
  <c r="M880" i="6"/>
  <c r="M868" i="6"/>
  <c r="M862" i="6"/>
  <c r="M904" i="6"/>
  <c r="M889" i="6"/>
  <c r="M901" i="6"/>
  <c r="M874" i="6"/>
  <c r="M877" i="6"/>
  <c r="M865" i="6"/>
  <c r="M886" i="6"/>
  <c r="M892" i="6"/>
  <c r="M895" i="6"/>
  <c r="M883" i="6"/>
  <c r="M871" i="6"/>
  <c r="M907" i="6"/>
  <c r="M796" i="6"/>
  <c r="M781" i="6"/>
  <c r="M820" i="6"/>
  <c r="M769" i="6"/>
  <c r="M790" i="6"/>
  <c r="M802" i="6"/>
  <c r="M772" i="6"/>
  <c r="M814" i="6"/>
  <c r="M799" i="6"/>
  <c r="M811" i="6"/>
  <c r="M778" i="6"/>
  <c r="M793" i="6"/>
  <c r="M808" i="6"/>
  <c r="M817" i="6"/>
  <c r="M775" i="6"/>
  <c r="M766" i="6"/>
  <c r="Z748" i="6"/>
  <c r="Z742" i="6"/>
  <c r="Z739" i="6"/>
  <c r="Z736" i="6"/>
  <c r="Z733" i="6"/>
  <c r="Z730" i="6"/>
  <c r="Z727" i="6"/>
  <c r="Z724" i="6"/>
  <c r="Z721" i="6"/>
  <c r="Z707" i="6"/>
  <c r="Z706" i="6"/>
  <c r="Z703" i="6"/>
  <c r="Z700" i="6"/>
  <c r="Z697" i="6"/>
  <c r="Z694" i="6"/>
  <c r="Z691" i="6"/>
  <c r="Z688" i="6"/>
  <c r="Z685" i="6"/>
  <c r="Z682" i="6"/>
  <c r="Z679" i="6"/>
  <c r="Z676" i="6"/>
  <c r="Z673" i="6"/>
  <c r="Z667" i="6"/>
  <c r="Z661" i="6"/>
  <c r="Z658" i="6"/>
  <c r="Z655" i="6"/>
  <c r="Z652" i="6"/>
  <c r="Z649" i="6"/>
  <c r="Z640" i="6"/>
  <c r="Z637" i="6"/>
  <c r="Z634" i="6"/>
  <c r="Z630" i="6"/>
  <c r="Z627" i="6"/>
  <c r="Z624" i="6"/>
  <c r="Z621" i="6"/>
  <c r="Z618" i="6"/>
  <c r="Z614" i="6"/>
  <c r="Z611" i="6"/>
  <c r="Z608" i="6"/>
  <c r="Z605" i="6"/>
  <c r="Z602" i="6"/>
  <c r="Z598" i="6"/>
  <c r="Z595" i="6"/>
  <c r="Z592" i="6"/>
  <c r="Z589" i="6"/>
  <c r="Z586" i="6"/>
  <c r="Z583" i="6"/>
  <c r="Z580" i="6"/>
  <c r="Z577" i="6"/>
  <c r="Z571" i="6"/>
  <c r="Z568" i="6"/>
  <c r="Z565" i="6"/>
  <c r="Z562" i="6"/>
  <c r="Z559" i="6"/>
  <c r="Z556" i="6"/>
  <c r="Z552" i="6"/>
  <c r="Z548" i="6"/>
  <c r="Z544" i="6"/>
  <c r="Z541" i="6"/>
  <c r="Z538" i="6"/>
  <c r="Z535" i="6"/>
  <c r="Z531" i="6"/>
  <c r="Z528" i="6"/>
  <c r="Z524" i="6"/>
  <c r="Z520" i="6"/>
  <c r="Z517" i="6"/>
  <c r="Z514" i="6"/>
  <c r="Z511" i="6"/>
  <c r="Z508" i="6"/>
  <c r="Z504" i="6"/>
  <c r="Z501" i="6"/>
  <c r="Z498" i="6"/>
  <c r="Z495" i="6"/>
  <c r="Z491" i="6"/>
  <c r="Z487" i="6"/>
  <c r="Z484" i="6"/>
  <c r="Z480" i="6"/>
  <c r="Z477" i="6"/>
  <c r="Z474" i="6"/>
  <c r="Z471" i="6"/>
  <c r="Z468" i="6"/>
  <c r="Z464" i="6"/>
  <c r="Z461" i="6"/>
  <c r="Z458" i="6"/>
  <c r="Z455" i="6"/>
  <c r="Z451" i="6"/>
  <c r="Z447" i="6"/>
  <c r="Z444" i="6"/>
  <c r="Z441" i="6"/>
  <c r="Z438" i="6"/>
  <c r="Z435" i="6"/>
  <c r="Z431" i="6"/>
  <c r="Z428" i="6"/>
  <c r="Z425" i="6"/>
  <c r="Z422" i="6"/>
  <c r="Z419" i="6"/>
  <c r="Z416" i="6"/>
  <c r="Z412" i="6"/>
  <c r="Z409" i="6"/>
  <c r="Z406" i="6"/>
  <c r="Z403" i="6"/>
  <c r="Z400" i="6"/>
  <c r="Z397" i="6"/>
  <c r="Z394" i="6"/>
  <c r="Z390" i="6"/>
  <c r="Z387" i="6"/>
  <c r="Z384" i="6"/>
  <c r="Z381" i="6"/>
  <c r="Z378" i="6"/>
  <c r="Z374" i="6"/>
  <c r="Z371" i="6"/>
  <c r="Z368" i="6"/>
  <c r="Z365" i="6"/>
  <c r="Z362" i="6"/>
  <c r="Z359" i="6"/>
  <c r="Z356" i="6"/>
  <c r="Z353" i="6"/>
  <c r="Z350" i="6"/>
  <c r="Z347" i="6"/>
  <c r="Z344" i="6"/>
  <c r="Z341" i="6"/>
  <c r="Z338" i="6"/>
  <c r="Z335" i="6"/>
  <c r="Z332" i="6"/>
  <c r="Z329" i="6"/>
  <c r="Z326" i="6"/>
  <c r="Z323" i="6"/>
  <c r="Z320" i="6"/>
  <c r="Z317" i="6"/>
  <c r="Z314" i="6"/>
  <c r="Z311" i="6"/>
  <c r="Z308" i="6"/>
  <c r="Z305" i="6"/>
  <c r="Z302" i="6"/>
  <c r="Z299" i="6"/>
  <c r="Z296" i="6"/>
  <c r="Z293" i="6"/>
  <c r="Z290" i="6"/>
  <c r="Z287" i="6"/>
  <c r="Z284" i="6"/>
  <c r="Z281" i="6"/>
  <c r="Z278" i="6"/>
  <c r="Z275" i="6"/>
  <c r="Z272" i="6"/>
  <c r="Z269" i="6"/>
  <c r="Z266" i="6"/>
  <c r="Z263" i="6"/>
  <c r="Z260" i="6"/>
  <c r="Z257" i="6"/>
  <c r="Z254" i="6"/>
  <c r="Z251" i="6"/>
  <c r="Z248" i="6"/>
  <c r="Z245" i="6"/>
  <c r="Z242" i="6"/>
  <c r="Z239" i="6"/>
  <c r="Z236" i="6"/>
  <c r="Z233" i="6"/>
  <c r="Z230" i="6"/>
  <c r="Z227" i="6"/>
  <c r="Z224" i="6"/>
  <c r="Z221" i="6"/>
  <c r="Z218" i="6"/>
  <c r="Z215" i="6"/>
  <c r="Z212" i="6"/>
  <c r="Z209" i="6"/>
  <c r="Z206" i="6"/>
  <c r="Z203" i="6"/>
  <c r="Z200" i="6"/>
  <c r="Z197" i="6"/>
  <c r="Z194" i="6"/>
  <c r="Z191" i="6"/>
  <c r="Z188" i="6"/>
  <c r="Z185" i="6"/>
  <c r="Z182" i="6"/>
  <c r="Z179" i="6"/>
  <c r="Z176" i="6"/>
  <c r="Z173" i="6"/>
  <c r="Z170" i="6"/>
  <c r="Z167" i="6"/>
  <c r="Z164" i="6"/>
  <c r="Z161" i="6"/>
  <c r="Z158" i="6"/>
  <c r="Z155" i="6"/>
  <c r="Z152" i="6"/>
  <c r="Z149" i="6"/>
  <c r="Z146" i="6"/>
  <c r="Z143" i="6"/>
  <c r="Z140" i="6"/>
  <c r="Z137" i="6"/>
  <c r="Z134" i="6"/>
  <c r="Z131" i="6"/>
  <c r="Z128" i="6"/>
  <c r="Z125" i="6"/>
  <c r="Z122" i="6"/>
  <c r="Z119" i="6"/>
  <c r="Z116" i="6"/>
  <c r="Z113" i="6"/>
  <c r="Z110" i="6"/>
  <c r="Z107" i="6"/>
  <c r="Z104" i="6"/>
  <c r="Z101" i="6"/>
  <c r="Z98" i="6"/>
  <c r="Z95" i="6"/>
  <c r="Z92" i="6"/>
  <c r="Z89" i="6"/>
  <c r="Z86" i="6"/>
  <c r="Z83" i="6"/>
  <c r="Z80" i="6"/>
  <c r="Z77" i="6"/>
  <c r="Z74" i="6"/>
  <c r="Z71" i="6"/>
  <c r="Z68" i="6"/>
  <c r="Z65" i="6"/>
  <c r="Z62" i="6"/>
  <c r="Z59" i="6"/>
  <c r="Z56" i="6"/>
  <c r="Z53" i="6"/>
  <c r="Z50" i="6"/>
  <c r="Z47" i="6"/>
  <c r="Z44" i="6"/>
  <c r="Z41" i="6"/>
  <c r="Z38" i="6"/>
  <c r="Z35" i="6"/>
  <c r="Z32" i="6"/>
  <c r="Z29" i="6"/>
  <c r="Z26" i="6"/>
  <c r="Z23" i="6"/>
  <c r="Z20" i="6"/>
  <c r="Z17" i="6"/>
  <c r="Z14" i="6"/>
  <c r="Z11" i="6"/>
  <c r="Z8" i="6"/>
  <c r="Z5" i="6"/>
  <c r="AA5" i="6" s="1"/>
  <c r="M748" i="6"/>
  <c r="M742" i="6"/>
  <c r="M739" i="6"/>
  <c r="M736" i="6"/>
  <c r="M733" i="6"/>
  <c r="M730" i="6"/>
  <c r="M727" i="6"/>
  <c r="M724" i="6"/>
  <c r="M721" i="6"/>
  <c r="M707" i="6"/>
  <c r="M706" i="6"/>
  <c r="M703" i="6"/>
  <c r="M700" i="6"/>
  <c r="M697" i="6"/>
  <c r="M694" i="6"/>
  <c r="M691" i="6"/>
  <c r="M688" i="6"/>
  <c r="M685" i="6"/>
  <c r="M682" i="6"/>
  <c r="M679" i="6"/>
  <c r="M676" i="6"/>
  <c r="M673" i="6"/>
  <c r="M667" i="6"/>
  <c r="M661" i="6"/>
  <c r="M658" i="6"/>
  <c r="M655" i="6"/>
  <c r="M652" i="6"/>
  <c r="M649" i="6"/>
  <c r="M640" i="6"/>
  <c r="M637" i="6"/>
  <c r="M634" i="6"/>
  <c r="M630" i="6"/>
  <c r="M627" i="6"/>
  <c r="M624" i="6"/>
  <c r="M621" i="6"/>
  <c r="M618" i="6"/>
  <c r="M614" i="6"/>
  <c r="M611" i="6"/>
  <c r="M608" i="6"/>
  <c r="M605" i="6"/>
  <c r="M602" i="6"/>
  <c r="M598" i="6"/>
  <c r="M595" i="6"/>
  <c r="M592" i="6"/>
  <c r="M589" i="6"/>
  <c r="M586" i="6"/>
  <c r="M583" i="6"/>
  <c r="M580" i="6"/>
  <c r="M577" i="6"/>
  <c r="M571" i="6"/>
  <c r="M568" i="6"/>
  <c r="M565" i="6"/>
  <c r="M562" i="6"/>
  <c r="M559" i="6"/>
  <c r="M556" i="6"/>
  <c r="M552" i="6"/>
  <c r="M548" i="6"/>
  <c r="M544" i="6"/>
  <c r="M541" i="6"/>
  <c r="M538" i="6"/>
  <c r="M535" i="6"/>
  <c r="M531" i="6"/>
  <c r="M528" i="6"/>
  <c r="M524" i="6"/>
  <c r="M520" i="6"/>
  <c r="M517" i="6"/>
  <c r="M514" i="6"/>
  <c r="M511" i="6"/>
  <c r="M508" i="6"/>
  <c r="M504" i="6"/>
  <c r="M501" i="6"/>
  <c r="M498" i="6"/>
  <c r="M495" i="6"/>
  <c r="M491" i="6"/>
  <c r="M487" i="6"/>
  <c r="M484" i="6"/>
  <c r="M480" i="6"/>
  <c r="M477" i="6"/>
  <c r="M474" i="6"/>
  <c r="M471" i="6"/>
  <c r="M468" i="6"/>
  <c r="M464" i="6"/>
  <c r="M461" i="6"/>
  <c r="M458" i="6"/>
  <c r="M455" i="6"/>
  <c r="M451" i="6"/>
  <c r="M447" i="6"/>
  <c r="M444" i="6"/>
  <c r="M441" i="6"/>
  <c r="M438" i="6"/>
  <c r="M435" i="6"/>
  <c r="M431" i="6"/>
  <c r="M428" i="6"/>
  <c r="M425" i="6"/>
  <c r="M422" i="6"/>
  <c r="M419" i="6"/>
  <c r="M416" i="6"/>
  <c r="M412" i="6"/>
  <c r="M409" i="6"/>
  <c r="M406" i="6"/>
  <c r="M403" i="6"/>
  <c r="M400" i="6"/>
  <c r="M397" i="6"/>
  <c r="M394" i="6"/>
  <c r="M390" i="6"/>
  <c r="M387" i="6"/>
  <c r="M384" i="6"/>
  <c r="M381" i="6"/>
  <c r="M378" i="6"/>
  <c r="M374" i="6"/>
  <c r="M371" i="6"/>
  <c r="M368" i="6"/>
  <c r="M365" i="6"/>
  <c r="M362" i="6"/>
  <c r="M359" i="6"/>
  <c r="M356" i="6"/>
  <c r="M353" i="6"/>
  <c r="M350" i="6"/>
  <c r="M347" i="6"/>
  <c r="M344" i="6"/>
  <c r="M341" i="6"/>
  <c r="M338" i="6"/>
  <c r="M335" i="6"/>
  <c r="M332" i="6"/>
  <c r="M329" i="6"/>
  <c r="M326" i="6"/>
  <c r="M323" i="6"/>
  <c r="M320" i="6"/>
  <c r="M317" i="6"/>
  <c r="M314" i="6"/>
  <c r="M311" i="6"/>
  <c r="M308" i="6"/>
  <c r="M305" i="6"/>
  <c r="M302" i="6"/>
  <c r="M299" i="6"/>
  <c r="M296" i="6"/>
  <c r="M293" i="6"/>
  <c r="M290" i="6"/>
  <c r="M287" i="6"/>
  <c r="M284" i="6"/>
  <c r="M281" i="6"/>
  <c r="M278" i="6"/>
  <c r="M275" i="6"/>
  <c r="M272" i="6"/>
  <c r="M269" i="6"/>
  <c r="M266" i="6"/>
  <c r="M263" i="6"/>
  <c r="M260" i="6"/>
  <c r="M257" i="6"/>
  <c r="M254" i="6"/>
  <c r="M251" i="6"/>
  <c r="M248" i="6"/>
  <c r="M245" i="6"/>
  <c r="M242" i="6"/>
  <c r="M239" i="6"/>
  <c r="M236" i="6"/>
  <c r="M233" i="6"/>
  <c r="M230" i="6"/>
  <c r="M227" i="6"/>
  <c r="M224" i="6"/>
  <c r="M221" i="6"/>
  <c r="M218" i="6"/>
  <c r="M215" i="6"/>
  <c r="M212" i="6"/>
  <c r="M209" i="6"/>
  <c r="M206" i="6"/>
  <c r="M203" i="6"/>
  <c r="M200" i="6"/>
  <c r="M197" i="6"/>
  <c r="M194" i="6"/>
  <c r="M191" i="6"/>
  <c r="M188" i="6"/>
  <c r="M185" i="6"/>
  <c r="M182" i="6"/>
  <c r="M179" i="6"/>
  <c r="M176" i="6"/>
  <c r="M173" i="6"/>
  <c r="M170" i="6"/>
  <c r="M167" i="6"/>
  <c r="M164" i="6"/>
  <c r="M161" i="6"/>
  <c r="M158" i="6"/>
  <c r="M155" i="6"/>
  <c r="M152" i="6"/>
  <c r="M149" i="6"/>
  <c r="M146" i="6"/>
  <c r="M143" i="6"/>
  <c r="M140" i="6"/>
  <c r="M137" i="6"/>
  <c r="M134" i="6"/>
  <c r="M131" i="6"/>
  <c r="M128" i="6"/>
  <c r="M125" i="6"/>
  <c r="M122" i="6"/>
  <c r="M119" i="6"/>
  <c r="M116" i="6"/>
  <c r="M113" i="6"/>
  <c r="M95" i="6"/>
  <c r="M92" i="6"/>
  <c r="M89" i="6"/>
  <c r="M86" i="6"/>
  <c r="M83" i="6"/>
  <c r="M80" i="6"/>
  <c r="M77" i="6"/>
  <c r="M74" i="6"/>
  <c r="M71" i="6"/>
  <c r="M68" i="6"/>
  <c r="M65" i="6"/>
  <c r="M62" i="6"/>
  <c r="M59" i="6"/>
  <c r="M56" i="6"/>
  <c r="M53" i="6"/>
  <c r="M50" i="6"/>
  <c r="M47" i="6"/>
  <c r="M44" i="6"/>
  <c r="M41" i="6"/>
  <c r="M38" i="6"/>
  <c r="M35" i="6"/>
  <c r="M32" i="6"/>
  <c r="M29" i="6"/>
  <c r="M26" i="6"/>
  <c r="M23" i="6"/>
  <c r="M20" i="6"/>
  <c r="M17" i="6"/>
  <c r="M14" i="6"/>
  <c r="M11" i="6"/>
  <c r="M8" i="6"/>
  <c r="M5" i="6"/>
  <c r="N5" i="6" s="1"/>
  <c r="M748" i="5"/>
  <c r="M742" i="5"/>
  <c r="M739" i="5"/>
  <c r="M736" i="5"/>
  <c r="M733" i="5"/>
  <c r="M730" i="5"/>
  <c r="M727" i="5"/>
  <c r="M724" i="5"/>
  <c r="M721" i="5"/>
  <c r="M707" i="5"/>
  <c r="M706" i="5"/>
  <c r="M703" i="5"/>
  <c r="M700" i="5"/>
  <c r="M697" i="5"/>
  <c r="M694" i="5"/>
  <c r="M691" i="5"/>
  <c r="M688" i="5"/>
  <c r="M685" i="5"/>
  <c r="M682" i="5"/>
  <c r="M679" i="5"/>
  <c r="M676" i="5"/>
  <c r="M673" i="5"/>
  <c r="M667" i="5"/>
  <c r="M661" i="5"/>
  <c r="M658" i="5"/>
  <c r="M655" i="5"/>
  <c r="M652" i="5"/>
  <c r="M649" i="5"/>
  <c r="M640" i="5"/>
  <c r="M637" i="5"/>
  <c r="M634" i="5"/>
  <c r="M630" i="5"/>
  <c r="M627" i="5"/>
  <c r="M624" i="5"/>
  <c r="M621" i="5"/>
  <c r="M618" i="5"/>
  <c r="M614" i="5"/>
  <c r="M611" i="5"/>
  <c r="M608" i="5"/>
  <c r="M605" i="5"/>
  <c r="M602" i="5"/>
  <c r="M598" i="5"/>
  <c r="M595" i="5"/>
  <c r="M592" i="5"/>
  <c r="M589" i="5"/>
  <c r="M586" i="5"/>
  <c r="M583" i="5"/>
  <c r="M580" i="5"/>
  <c r="M577" i="5"/>
  <c r="M571" i="5"/>
  <c r="M568" i="5"/>
  <c r="M565" i="5"/>
  <c r="M562" i="5"/>
  <c r="M559" i="5"/>
  <c r="M556" i="5"/>
  <c r="M552" i="5"/>
  <c r="M548" i="5"/>
  <c r="M544" i="5"/>
  <c r="M541" i="5"/>
  <c r="M538" i="5"/>
  <c r="M535" i="5"/>
  <c r="M531" i="5"/>
  <c r="M528" i="5"/>
  <c r="M524" i="5"/>
  <c r="M520" i="5"/>
  <c r="M517" i="5"/>
  <c r="M514" i="5"/>
  <c r="M511" i="5"/>
  <c r="M508" i="5"/>
  <c r="M504" i="5"/>
  <c r="M501" i="5"/>
  <c r="M498" i="5"/>
  <c r="M495" i="5"/>
  <c r="M491" i="5"/>
  <c r="M487" i="5"/>
  <c r="M484" i="5"/>
  <c r="M480" i="5"/>
  <c r="M477" i="5"/>
  <c r="M474" i="5"/>
  <c r="M471" i="5"/>
  <c r="M468" i="5"/>
  <c r="M464" i="5"/>
  <c r="M461" i="5"/>
  <c r="M458" i="5"/>
  <c r="M455" i="5"/>
  <c r="M451" i="5"/>
  <c r="M447" i="5"/>
  <c r="M444" i="5"/>
  <c r="M441" i="5"/>
  <c r="M438" i="5"/>
  <c r="M435" i="5"/>
  <c r="M431" i="5"/>
  <c r="M428" i="5"/>
  <c r="M425" i="5"/>
  <c r="M422" i="5"/>
  <c r="M419" i="5"/>
  <c r="M416" i="5"/>
  <c r="M412" i="5"/>
  <c r="M409" i="5"/>
  <c r="M406" i="5"/>
  <c r="M403" i="5"/>
  <c r="M400" i="5"/>
  <c r="M397" i="5"/>
  <c r="M394" i="5"/>
  <c r="M390" i="5"/>
  <c r="M387" i="5"/>
  <c r="M384" i="5"/>
  <c r="M381" i="5"/>
  <c r="M378" i="5"/>
  <c r="M374" i="5"/>
  <c r="M371" i="5"/>
  <c r="M368" i="5"/>
  <c r="M365" i="5"/>
  <c r="M362" i="5"/>
  <c r="M359" i="5"/>
  <c r="M356" i="5"/>
  <c r="M353" i="5"/>
  <c r="M350" i="5"/>
  <c r="M347" i="5"/>
  <c r="M344" i="5"/>
  <c r="M341" i="5"/>
  <c r="M338" i="5"/>
  <c r="M335" i="5"/>
  <c r="M332" i="5"/>
  <c r="M329" i="5"/>
  <c r="M326" i="5"/>
  <c r="M323" i="5"/>
  <c r="M320" i="5"/>
  <c r="M317" i="5"/>
  <c r="M314" i="5"/>
  <c r="M311" i="5"/>
  <c r="M308" i="5"/>
  <c r="M305" i="5"/>
  <c r="M302" i="5"/>
  <c r="M299" i="5"/>
  <c r="M296" i="5"/>
  <c r="M293" i="5"/>
  <c r="M290" i="5"/>
  <c r="M287" i="5"/>
  <c r="M284" i="5"/>
  <c r="M281" i="5"/>
  <c r="M278" i="5"/>
  <c r="M275" i="5"/>
  <c r="M272" i="5"/>
  <c r="M269" i="5"/>
  <c r="M266" i="5"/>
  <c r="M263" i="5"/>
  <c r="M260" i="5"/>
  <c r="M257" i="5"/>
  <c r="M254" i="5"/>
  <c r="M251" i="5"/>
  <c r="M248" i="5"/>
  <c r="M245" i="5"/>
  <c r="M242" i="5"/>
  <c r="M239" i="5"/>
  <c r="M236" i="5"/>
  <c r="M233" i="5"/>
  <c r="M230" i="5"/>
  <c r="M227" i="5"/>
  <c r="M224" i="5"/>
  <c r="M221" i="5"/>
  <c r="M218" i="5"/>
  <c r="M215" i="5"/>
  <c r="M212" i="5"/>
  <c r="M209" i="5"/>
  <c r="M206" i="5"/>
  <c r="M203" i="5"/>
  <c r="M200" i="5"/>
  <c r="M197" i="5"/>
  <c r="M194" i="5"/>
  <c r="M191" i="5"/>
  <c r="M188" i="5"/>
  <c r="M185" i="5"/>
  <c r="M182" i="5"/>
  <c r="M179" i="5"/>
  <c r="M176" i="5"/>
  <c r="M173" i="5"/>
  <c r="M170" i="5"/>
  <c r="M167" i="5"/>
  <c r="M164" i="5"/>
  <c r="M161" i="5"/>
  <c r="M158" i="5"/>
  <c r="M155" i="5"/>
  <c r="M152" i="5"/>
  <c r="M149" i="5"/>
  <c r="M146" i="5"/>
  <c r="M143" i="5"/>
  <c r="M140" i="5"/>
  <c r="M137" i="5"/>
  <c r="M134" i="5"/>
  <c r="M131" i="5"/>
  <c r="M128" i="5"/>
  <c r="M125" i="5"/>
  <c r="M122" i="5"/>
  <c r="M119" i="5"/>
  <c r="M116" i="5"/>
  <c r="M113" i="5"/>
  <c r="M95" i="5"/>
  <c r="M92" i="5"/>
  <c r="M89" i="5"/>
  <c r="M86" i="5"/>
  <c r="M83" i="5"/>
  <c r="M80" i="5"/>
  <c r="M77" i="5"/>
  <c r="M74" i="5"/>
  <c r="M71" i="5"/>
  <c r="M68" i="5"/>
  <c r="M65" i="5"/>
  <c r="M62" i="5"/>
  <c r="M59" i="5"/>
  <c r="M56" i="5"/>
  <c r="M53" i="5"/>
  <c r="M50" i="5"/>
  <c r="M47" i="5"/>
  <c r="M44" i="5"/>
  <c r="M41" i="5"/>
  <c r="M38" i="5"/>
  <c r="M35" i="5"/>
  <c r="M32" i="5"/>
  <c r="M29" i="5"/>
  <c r="M26" i="5"/>
  <c r="M23" i="5"/>
  <c r="M20" i="5"/>
  <c r="M17" i="5"/>
  <c r="M14" i="5"/>
  <c r="M11" i="5"/>
  <c r="M8" i="5"/>
  <c r="M5" i="5"/>
  <c r="N5" i="5" s="1"/>
  <c r="M748" i="7"/>
  <c r="M742" i="7"/>
  <c r="M739" i="7"/>
  <c r="M736" i="7"/>
  <c r="M733" i="7"/>
  <c r="M730" i="7"/>
  <c r="M727" i="7"/>
  <c r="M724" i="7"/>
  <c r="M721" i="7"/>
  <c r="M707" i="7"/>
  <c r="M706" i="7"/>
  <c r="M703" i="7"/>
  <c r="M700" i="7"/>
  <c r="M697" i="7"/>
  <c r="M694" i="7"/>
  <c r="M691" i="7"/>
  <c r="M688" i="7"/>
  <c r="M685" i="7"/>
  <c r="M682" i="7"/>
  <c r="M679" i="7"/>
  <c r="M676" i="7"/>
  <c r="M673" i="7"/>
  <c r="M667" i="7"/>
  <c r="M661" i="7"/>
  <c r="M658" i="7"/>
  <c r="M655" i="7"/>
  <c r="M652" i="7"/>
  <c r="M649" i="7"/>
  <c r="M640" i="7"/>
  <c r="M637" i="7"/>
  <c r="M634" i="7"/>
  <c r="M630" i="7"/>
  <c r="M627" i="7"/>
  <c r="M624" i="7"/>
  <c r="M621" i="7"/>
  <c r="M618" i="7"/>
  <c r="M614" i="7"/>
  <c r="M611" i="7"/>
  <c r="M608" i="7"/>
  <c r="M605" i="7"/>
  <c r="M602" i="7"/>
  <c r="M598" i="7"/>
  <c r="M595" i="7"/>
  <c r="M592" i="7"/>
  <c r="M589" i="7"/>
  <c r="M586" i="7"/>
  <c r="M583" i="7"/>
  <c r="M580" i="7"/>
  <c r="M577" i="7"/>
  <c r="M571" i="7"/>
  <c r="M568" i="7"/>
  <c r="M565" i="7"/>
  <c r="M562" i="7"/>
  <c r="M559" i="7"/>
  <c r="M556" i="7"/>
  <c r="M552" i="7"/>
  <c r="M548" i="7"/>
  <c r="M544" i="7"/>
  <c r="M541" i="7"/>
  <c r="M538" i="7"/>
  <c r="M535" i="7"/>
  <c r="M531" i="7"/>
  <c r="M528" i="7"/>
  <c r="M524" i="7"/>
  <c r="M520" i="7"/>
  <c r="M517" i="7"/>
  <c r="M514" i="7"/>
  <c r="M511" i="7"/>
  <c r="M508" i="7"/>
  <c r="M504" i="7"/>
  <c r="M501" i="7"/>
  <c r="M498" i="7"/>
  <c r="M495" i="7"/>
  <c r="M491" i="7"/>
  <c r="M487" i="7"/>
  <c r="M484" i="7"/>
  <c r="M480" i="7"/>
  <c r="M477" i="7"/>
  <c r="M474" i="7"/>
  <c r="M471" i="7"/>
  <c r="M468" i="7"/>
  <c r="M464" i="7"/>
  <c r="M461" i="7"/>
  <c r="M458" i="7"/>
  <c r="M455" i="7"/>
  <c r="M451" i="7"/>
  <c r="M447" i="7"/>
  <c r="M444" i="7"/>
  <c r="M441" i="7"/>
  <c r="M438" i="7"/>
  <c r="M435" i="7"/>
  <c r="M431" i="7"/>
  <c r="M428" i="7"/>
  <c r="M425" i="7"/>
  <c r="M422" i="7"/>
  <c r="M419" i="7"/>
  <c r="M416" i="7"/>
  <c r="M412" i="7"/>
  <c r="M409" i="7"/>
  <c r="M406" i="7"/>
  <c r="M403" i="7"/>
  <c r="M400" i="7"/>
  <c r="M397" i="7"/>
  <c r="M394" i="7"/>
  <c r="M390" i="7"/>
  <c r="M387" i="7"/>
  <c r="M384" i="7"/>
  <c r="M381" i="7"/>
  <c r="M378" i="7"/>
  <c r="M374" i="7"/>
  <c r="M371" i="7"/>
  <c r="M368" i="7"/>
  <c r="M365" i="7"/>
  <c r="M362" i="7"/>
  <c r="M359" i="7"/>
  <c r="M356" i="7"/>
  <c r="M353" i="7"/>
  <c r="M350" i="7"/>
  <c r="M347" i="7"/>
  <c r="M344" i="7"/>
  <c r="M341" i="7"/>
  <c r="M338" i="7"/>
  <c r="M335" i="7"/>
  <c r="M332" i="7"/>
  <c r="M329" i="7"/>
  <c r="M326" i="7"/>
  <c r="M323" i="7"/>
  <c r="M320" i="7"/>
  <c r="M317" i="7"/>
  <c r="M314" i="7"/>
  <c r="M311" i="7"/>
  <c r="M308" i="7"/>
  <c r="M305" i="7"/>
  <c r="M302" i="7"/>
  <c r="M299" i="7"/>
  <c r="M296" i="7"/>
  <c r="M293" i="7"/>
  <c r="M290" i="7"/>
  <c r="M287" i="7"/>
  <c r="M284" i="7"/>
  <c r="M281" i="7"/>
  <c r="M278" i="7"/>
  <c r="M275" i="7"/>
  <c r="M272" i="7"/>
  <c r="M269" i="7"/>
  <c r="M266" i="7"/>
  <c r="M263" i="7"/>
  <c r="M260" i="7"/>
  <c r="M257" i="7"/>
  <c r="M254" i="7"/>
  <c r="M251" i="7"/>
  <c r="M248" i="7"/>
  <c r="M245" i="7"/>
  <c r="M242" i="7"/>
  <c r="M239" i="7"/>
  <c r="M236" i="7"/>
  <c r="M233" i="7"/>
  <c r="M230" i="7"/>
  <c r="M227" i="7"/>
  <c r="M224" i="7"/>
  <c r="M221" i="7"/>
  <c r="M218" i="7"/>
  <c r="M215" i="7"/>
  <c r="M212" i="7"/>
  <c r="M209" i="7"/>
  <c r="M206" i="7"/>
  <c r="M203" i="7"/>
  <c r="M200" i="7"/>
  <c r="M197" i="7"/>
  <c r="M194" i="7"/>
  <c r="M191" i="7"/>
  <c r="M188" i="7"/>
  <c r="M185" i="7"/>
  <c r="M182" i="7"/>
  <c r="M179" i="7"/>
  <c r="M176" i="7"/>
  <c r="M173" i="7"/>
  <c r="M170" i="7"/>
  <c r="M167" i="7"/>
  <c r="M164" i="7"/>
  <c r="M161" i="7"/>
  <c r="M158" i="7"/>
  <c r="M155" i="7"/>
  <c r="M152" i="7"/>
  <c r="M149" i="7"/>
  <c r="M146" i="7"/>
  <c r="M143" i="7"/>
  <c r="M140" i="7"/>
  <c r="M137" i="7"/>
  <c r="M134" i="7"/>
  <c r="M131" i="7"/>
  <c r="M128" i="7"/>
  <c r="M125" i="7"/>
  <c r="M122" i="7"/>
  <c r="M119" i="7"/>
  <c r="M116" i="7"/>
  <c r="M113" i="7"/>
  <c r="M95" i="7"/>
  <c r="M92" i="7"/>
  <c r="M89" i="7"/>
  <c r="M86" i="7"/>
  <c r="M83" i="7"/>
  <c r="M80" i="7"/>
  <c r="M77" i="7"/>
  <c r="M74" i="7"/>
  <c r="M71" i="7"/>
  <c r="M68" i="7"/>
  <c r="M65" i="7"/>
  <c r="M62" i="7"/>
  <c r="M59" i="7"/>
  <c r="M56" i="7"/>
  <c r="M53" i="7"/>
  <c r="M50" i="7"/>
  <c r="M47" i="7"/>
  <c r="M44" i="7"/>
  <c r="M41" i="7"/>
  <c r="M38" i="7"/>
  <c r="M35" i="7"/>
  <c r="M32" i="7"/>
  <c r="M29" i="7"/>
  <c r="M26" i="7"/>
  <c r="M23" i="7"/>
  <c r="M20" i="7"/>
  <c r="M17" i="7"/>
  <c r="M14" i="7"/>
  <c r="M11" i="7"/>
  <c r="M8" i="7"/>
  <c r="M5" i="7"/>
  <c r="N5" i="7" s="1"/>
  <c r="N8" i="7" l="1"/>
  <c r="N11" i="7" s="1"/>
  <c r="N14" i="7" s="1"/>
  <c r="N17" i="7" s="1"/>
  <c r="N20" i="7" s="1"/>
  <c r="N23" i="7" s="1"/>
  <c r="N26" i="7" s="1"/>
  <c r="N29" i="7" s="1"/>
  <c r="N32" i="7" s="1"/>
  <c r="N35" i="7" s="1"/>
  <c r="N38" i="7" s="1"/>
  <c r="N41" i="7" s="1"/>
  <c r="N44" i="7" s="1"/>
  <c r="N47" i="7" s="1"/>
  <c r="N50" i="7" s="1"/>
  <c r="N53" i="7" s="1"/>
  <c r="N56" i="7" s="1"/>
  <c r="N59" i="7" s="1"/>
  <c r="N62" i="7" s="1"/>
  <c r="N65" i="7" s="1"/>
  <c r="N68" i="7" s="1"/>
  <c r="N71" i="7" s="1"/>
  <c r="N74" i="7" s="1"/>
  <c r="N77" i="7" s="1"/>
  <c r="N80" i="7" s="1"/>
  <c r="N83" i="7" s="1"/>
  <c r="N86" i="7" s="1"/>
  <c r="N89" i="7" s="1"/>
  <c r="N92" i="7" s="1"/>
  <c r="N95" i="7" s="1"/>
  <c r="N113" i="7" s="1"/>
  <c r="N116" i="7" s="1"/>
  <c r="N119" i="7" s="1"/>
  <c r="N122" i="7" s="1"/>
  <c r="N125" i="7" s="1"/>
  <c r="N128" i="7" s="1"/>
  <c r="N131" i="7" s="1"/>
  <c r="N134" i="7" s="1"/>
  <c r="N137" i="7" s="1"/>
  <c r="N140" i="7" s="1"/>
  <c r="N143" i="7" s="1"/>
  <c r="N146" i="7" s="1"/>
  <c r="N149" i="7" s="1"/>
  <c r="N152" i="7" s="1"/>
  <c r="N155" i="7" s="1"/>
  <c r="N158" i="7" s="1"/>
  <c r="N161" i="7" s="1"/>
  <c r="N164" i="7" s="1"/>
  <c r="N167" i="7" s="1"/>
  <c r="N170" i="7" s="1"/>
  <c r="N173" i="7" s="1"/>
  <c r="N176" i="7" s="1"/>
  <c r="N179" i="7" s="1"/>
  <c r="N182" i="7" s="1"/>
  <c r="N185" i="7" s="1"/>
  <c r="N188" i="7" s="1"/>
  <c r="N191" i="7" s="1"/>
  <c r="N194" i="7" s="1"/>
  <c r="N197" i="7" s="1"/>
  <c r="N200" i="7" s="1"/>
  <c r="N203" i="7" s="1"/>
  <c r="N206" i="7" s="1"/>
  <c r="N209" i="7" s="1"/>
  <c r="N212" i="7" s="1"/>
  <c r="N215" i="7" s="1"/>
  <c r="N218" i="7" s="1"/>
  <c r="N221" i="7" s="1"/>
  <c r="N224" i="7" s="1"/>
  <c r="N227" i="7" s="1"/>
  <c r="N230" i="7" s="1"/>
  <c r="N233" i="7" s="1"/>
  <c r="N236" i="7" s="1"/>
  <c r="N239" i="7" s="1"/>
  <c r="N242" i="7" s="1"/>
  <c r="N245" i="7" s="1"/>
  <c r="N248" i="7" s="1"/>
  <c r="N251" i="7" s="1"/>
  <c r="N254" i="7" s="1"/>
  <c r="N257" i="7" s="1"/>
  <c r="N260" i="7" s="1"/>
  <c r="N263" i="7" s="1"/>
  <c r="N266" i="7" s="1"/>
  <c r="N269" i="7" s="1"/>
  <c r="N272" i="7" s="1"/>
  <c r="N275" i="7" s="1"/>
  <c r="N278" i="7" s="1"/>
  <c r="N281" i="7" s="1"/>
  <c r="N284" i="7" s="1"/>
  <c r="N287" i="7" s="1"/>
  <c r="N290" i="7" s="1"/>
  <c r="N293" i="7" s="1"/>
  <c r="N296" i="7" s="1"/>
  <c r="N299" i="7" s="1"/>
  <c r="N302" i="7" s="1"/>
  <c r="N305" i="7" s="1"/>
  <c r="N308" i="7" s="1"/>
  <c r="N311" i="7" s="1"/>
  <c r="N314" i="7" s="1"/>
  <c r="N317" i="7" s="1"/>
  <c r="N320" i="7" s="1"/>
  <c r="N323" i="7" s="1"/>
  <c r="N326" i="7" s="1"/>
  <c r="N329" i="7" s="1"/>
  <c r="N332" i="7" s="1"/>
  <c r="N335" i="7" s="1"/>
  <c r="N338" i="7" s="1"/>
  <c r="N341" i="7" s="1"/>
  <c r="N344" i="7" s="1"/>
  <c r="N347" i="7" s="1"/>
  <c r="N350" i="7" s="1"/>
  <c r="N353" i="7" s="1"/>
  <c r="N356" i="7" s="1"/>
  <c r="N359" i="7" s="1"/>
  <c r="N362" i="7" s="1"/>
  <c r="N365" i="7" s="1"/>
  <c r="N368" i="7" s="1"/>
  <c r="N371" i="7" s="1"/>
  <c r="N374" i="7" s="1"/>
  <c r="N378" i="7" s="1"/>
  <c r="N381" i="7" s="1"/>
  <c r="N384" i="7" s="1"/>
  <c r="N387" i="7" s="1"/>
  <c r="N390" i="7" s="1"/>
  <c r="N394" i="7" s="1"/>
  <c r="N397" i="7" s="1"/>
  <c r="N400" i="7" s="1"/>
  <c r="N403" i="7" s="1"/>
  <c r="N406" i="7" s="1"/>
  <c r="N409" i="7" s="1"/>
  <c r="N412" i="7" s="1"/>
  <c r="N416" i="7" s="1"/>
  <c r="N419" i="7" s="1"/>
  <c r="N422" i="7" s="1"/>
  <c r="N425" i="7" s="1"/>
  <c r="N428" i="7" s="1"/>
  <c r="N431" i="7" s="1"/>
  <c r="N435" i="7" s="1"/>
  <c r="N438" i="7" s="1"/>
  <c r="N441" i="7" s="1"/>
  <c r="N444" i="7" s="1"/>
  <c r="N447" i="7" s="1"/>
  <c r="N451" i="7" s="1"/>
  <c r="N455" i="7" s="1"/>
  <c r="N458" i="7" s="1"/>
  <c r="N461" i="7" s="1"/>
  <c r="N464" i="7" s="1"/>
  <c r="N468" i="7" s="1"/>
  <c r="N471" i="7" s="1"/>
  <c r="N474" i="7" s="1"/>
  <c r="N477" i="7" s="1"/>
  <c r="N480" i="7" s="1"/>
  <c r="N484" i="7" s="1"/>
  <c r="N487" i="7" s="1"/>
  <c r="N491" i="7" s="1"/>
  <c r="N495" i="7" s="1"/>
  <c r="N498" i="7" s="1"/>
  <c r="N501" i="7" s="1"/>
  <c r="N504" i="7" s="1"/>
  <c r="N508" i="7" s="1"/>
  <c r="N511" i="7" s="1"/>
  <c r="N514" i="7" s="1"/>
  <c r="N517" i="7" s="1"/>
  <c r="N520" i="7" s="1"/>
  <c r="N524" i="7" s="1"/>
  <c r="N528" i="7" s="1"/>
  <c r="N531" i="7" s="1"/>
  <c r="N535" i="7" s="1"/>
  <c r="N538" i="7" s="1"/>
  <c r="N541" i="7" s="1"/>
  <c r="N544" i="7" s="1"/>
  <c r="N548" i="7" s="1"/>
  <c r="N552" i="7" s="1"/>
  <c r="N556" i="7" s="1"/>
  <c r="N559" i="7" s="1"/>
  <c r="N562" i="7" s="1"/>
  <c r="N565" i="7" s="1"/>
  <c r="N568" i="7" s="1"/>
  <c r="N571" i="7" s="1"/>
  <c r="N577" i="7" s="1"/>
  <c r="N580" i="7" s="1"/>
  <c r="N583" i="7" s="1"/>
  <c r="N586" i="7" s="1"/>
  <c r="N589" i="7" s="1"/>
  <c r="N592" i="7" s="1"/>
  <c r="N595" i="7" s="1"/>
  <c r="N598" i="7" s="1"/>
  <c r="N602" i="7" s="1"/>
  <c r="N605" i="7" s="1"/>
  <c r="N608" i="7" s="1"/>
  <c r="N611" i="7" s="1"/>
  <c r="N614" i="7" s="1"/>
  <c r="N618" i="7" s="1"/>
  <c r="N621" i="7" s="1"/>
  <c r="N624" i="7" s="1"/>
  <c r="N627" i="7" s="1"/>
  <c r="N630" i="7" s="1"/>
  <c r="N634" i="7" s="1"/>
  <c r="N637" i="7" s="1"/>
  <c r="N640" i="7" s="1"/>
  <c r="N649" i="7" s="1"/>
  <c r="N652" i="7" s="1"/>
  <c r="N655" i="7" s="1"/>
  <c r="N658" i="7" s="1"/>
  <c r="N661" i="7" s="1"/>
  <c r="N667" i="7" s="1"/>
  <c r="N673" i="7" s="1"/>
  <c r="N676" i="7" s="1"/>
  <c r="N679" i="7" s="1"/>
  <c r="N682" i="7" s="1"/>
  <c r="N685" i="7" s="1"/>
  <c r="N688" i="7" s="1"/>
  <c r="N691" i="7" s="1"/>
  <c r="N694" i="7" s="1"/>
  <c r="N697" i="7" s="1"/>
  <c r="N700" i="7" s="1"/>
  <c r="N703" i="7" s="1"/>
  <c r="N706" i="7" s="1"/>
  <c r="N707" i="7" s="1"/>
  <c r="N721" i="7" s="1"/>
  <c r="N724" i="7" s="1"/>
  <c r="N727" i="7" s="1"/>
  <c r="N730" i="7" s="1"/>
  <c r="N733" i="7" s="1"/>
  <c r="N736" i="7" s="1"/>
  <c r="N739" i="7" s="1"/>
  <c r="N742" i="7" s="1"/>
  <c r="N748" i="7" s="1"/>
  <c r="N754" i="7" s="1"/>
  <c r="N766" i="7" s="1"/>
  <c r="N769" i="7" s="1"/>
  <c r="N772" i="7" s="1"/>
  <c r="N775" i="7" s="1"/>
  <c r="N778" i="7" s="1"/>
  <c r="N781" i="7" s="1"/>
  <c r="N8" i="5"/>
  <c r="N11" i="5" s="1"/>
  <c r="N14" i="5" s="1"/>
  <c r="N17" i="5" s="1"/>
  <c r="N20" i="5" s="1"/>
  <c r="N23" i="5" s="1"/>
  <c r="N26" i="5" s="1"/>
  <c r="N29" i="5" s="1"/>
  <c r="N32" i="5" s="1"/>
  <c r="N35" i="5" s="1"/>
  <c r="N38" i="5" s="1"/>
  <c r="N41" i="5" s="1"/>
  <c r="N44" i="5" s="1"/>
  <c r="N47" i="5" s="1"/>
  <c r="N50" i="5" s="1"/>
  <c r="N53" i="5" s="1"/>
  <c r="N56" i="5" s="1"/>
  <c r="N59" i="5" s="1"/>
  <c r="N62" i="5" s="1"/>
  <c r="N65" i="5" s="1"/>
  <c r="N68" i="5" s="1"/>
  <c r="N71" i="5" s="1"/>
  <c r="N74" i="5" s="1"/>
  <c r="N77" i="5" s="1"/>
  <c r="N80" i="5" s="1"/>
  <c r="N83" i="5" s="1"/>
  <c r="N86" i="5" s="1"/>
  <c r="N89" i="5" s="1"/>
  <c r="N92" i="5" s="1"/>
  <c r="N95" i="5" s="1"/>
  <c r="N113" i="5" s="1"/>
  <c r="N116" i="5" s="1"/>
  <c r="N119" i="5" s="1"/>
  <c r="N122" i="5" s="1"/>
  <c r="N125" i="5" s="1"/>
  <c r="N128" i="5" s="1"/>
  <c r="N131" i="5" s="1"/>
  <c r="N134" i="5" s="1"/>
  <c r="N137" i="5" s="1"/>
  <c r="N140" i="5" s="1"/>
  <c r="N143" i="5" s="1"/>
  <c r="N146" i="5" s="1"/>
  <c r="N149" i="5" s="1"/>
  <c r="N152" i="5" s="1"/>
  <c r="N155" i="5" s="1"/>
  <c r="N158" i="5" s="1"/>
  <c r="N161" i="5" s="1"/>
  <c r="N164" i="5" s="1"/>
  <c r="N167" i="5" s="1"/>
  <c r="N170" i="5" s="1"/>
  <c r="N173" i="5" s="1"/>
  <c r="N176" i="5" s="1"/>
  <c r="N179" i="5" s="1"/>
  <c r="N182" i="5" s="1"/>
  <c r="N185" i="5" s="1"/>
  <c r="N188" i="5" s="1"/>
  <c r="N191" i="5" s="1"/>
  <c r="N194" i="5" s="1"/>
  <c r="N197" i="5" s="1"/>
  <c r="N200" i="5" s="1"/>
  <c r="N203" i="5" s="1"/>
  <c r="N206" i="5" s="1"/>
  <c r="N209" i="5" s="1"/>
  <c r="N212" i="5" s="1"/>
  <c r="N215" i="5" s="1"/>
  <c r="N218" i="5" s="1"/>
  <c r="N221" i="5" s="1"/>
  <c r="N224" i="5" s="1"/>
  <c r="N227" i="5" s="1"/>
  <c r="N230" i="5" s="1"/>
  <c r="N233" i="5" s="1"/>
  <c r="N236" i="5" s="1"/>
  <c r="N239" i="5" s="1"/>
  <c r="N242" i="5" s="1"/>
  <c r="N245" i="5" s="1"/>
  <c r="N248" i="5" s="1"/>
  <c r="N251" i="5" s="1"/>
  <c r="N254" i="5" s="1"/>
  <c r="N257" i="5" s="1"/>
  <c r="N260" i="5" s="1"/>
  <c r="N263" i="5" s="1"/>
  <c r="N266" i="5" s="1"/>
  <c r="N269" i="5" s="1"/>
  <c r="N272" i="5" s="1"/>
  <c r="N275" i="5" s="1"/>
  <c r="N278" i="5" s="1"/>
  <c r="N281" i="5" s="1"/>
  <c r="N284" i="5" s="1"/>
  <c r="N287" i="5" s="1"/>
  <c r="N290" i="5" s="1"/>
  <c r="N293" i="5" s="1"/>
  <c r="N296" i="5" s="1"/>
  <c r="N299" i="5" s="1"/>
  <c r="N302" i="5" s="1"/>
  <c r="N305" i="5" s="1"/>
  <c r="N308" i="5" s="1"/>
  <c r="N311" i="5" s="1"/>
  <c r="N314" i="5" s="1"/>
  <c r="N317" i="5" s="1"/>
  <c r="N320" i="5" s="1"/>
  <c r="N323" i="5" s="1"/>
  <c r="N326" i="5" s="1"/>
  <c r="N329" i="5" s="1"/>
  <c r="N332" i="5" s="1"/>
  <c r="N335" i="5" s="1"/>
  <c r="N338" i="5" s="1"/>
  <c r="N341" i="5" s="1"/>
  <c r="N344" i="5" s="1"/>
  <c r="N347" i="5" s="1"/>
  <c r="N350" i="5" s="1"/>
  <c r="N353" i="5" s="1"/>
  <c r="N356" i="5" s="1"/>
  <c r="N359" i="5" s="1"/>
  <c r="N362" i="5" s="1"/>
  <c r="N365" i="5" s="1"/>
  <c r="N368" i="5" s="1"/>
  <c r="N371" i="5" s="1"/>
  <c r="N374" i="5" s="1"/>
  <c r="N378" i="5" s="1"/>
  <c r="N381" i="5" s="1"/>
  <c r="N384" i="5" s="1"/>
  <c r="N387" i="5" s="1"/>
  <c r="N390" i="5" s="1"/>
  <c r="N394" i="5" s="1"/>
  <c r="N397" i="5" s="1"/>
  <c r="N400" i="5" s="1"/>
  <c r="N403" i="5" s="1"/>
  <c r="N406" i="5" s="1"/>
  <c r="N409" i="5" s="1"/>
  <c r="N412" i="5" s="1"/>
  <c r="N416" i="5" s="1"/>
  <c r="N419" i="5" s="1"/>
  <c r="N422" i="5" s="1"/>
  <c r="N425" i="5" s="1"/>
  <c r="N428" i="5" s="1"/>
  <c r="N431" i="5" s="1"/>
  <c r="N435" i="5" s="1"/>
  <c r="N438" i="5" s="1"/>
  <c r="N441" i="5" s="1"/>
  <c r="N444" i="5" s="1"/>
  <c r="N447" i="5" s="1"/>
  <c r="N451" i="5" s="1"/>
  <c r="N455" i="5" s="1"/>
  <c r="N458" i="5" s="1"/>
  <c r="N461" i="5" s="1"/>
  <c r="N464" i="5" s="1"/>
  <c r="N468" i="5" s="1"/>
  <c r="N471" i="5" s="1"/>
  <c r="N474" i="5" s="1"/>
  <c r="N477" i="5" s="1"/>
  <c r="N480" i="5" s="1"/>
  <c r="N484" i="5" s="1"/>
  <c r="N487" i="5" s="1"/>
  <c r="N491" i="5" s="1"/>
  <c r="N495" i="5" s="1"/>
  <c r="N498" i="5" s="1"/>
  <c r="N501" i="5" s="1"/>
  <c r="N504" i="5" s="1"/>
  <c r="N508" i="5" s="1"/>
  <c r="N511" i="5" s="1"/>
  <c r="N514" i="5" s="1"/>
  <c r="N517" i="5" s="1"/>
  <c r="N520" i="5" s="1"/>
  <c r="N524" i="5" s="1"/>
  <c r="N528" i="5" s="1"/>
  <c r="N531" i="5" s="1"/>
  <c r="N535" i="5" s="1"/>
  <c r="N538" i="5" s="1"/>
  <c r="N541" i="5" s="1"/>
  <c r="N544" i="5" s="1"/>
  <c r="N548" i="5" s="1"/>
  <c r="N552" i="5" s="1"/>
  <c r="N556" i="5" s="1"/>
  <c r="N559" i="5" s="1"/>
  <c r="N562" i="5" s="1"/>
  <c r="N565" i="5" s="1"/>
  <c r="N568" i="5" s="1"/>
  <c r="N571" i="5" s="1"/>
  <c r="N577" i="5" s="1"/>
  <c r="N580" i="5" s="1"/>
  <c r="N583" i="5" s="1"/>
  <c r="N586" i="5" s="1"/>
  <c r="N589" i="5" s="1"/>
  <c r="N592" i="5" s="1"/>
  <c r="N595" i="5" s="1"/>
  <c r="N598" i="5" s="1"/>
  <c r="N602" i="5" s="1"/>
  <c r="N605" i="5" s="1"/>
  <c r="N608" i="5" s="1"/>
  <c r="N611" i="5" s="1"/>
  <c r="N614" i="5" s="1"/>
  <c r="N618" i="5" s="1"/>
  <c r="N621" i="5" s="1"/>
  <c r="N624" i="5" s="1"/>
  <c r="N627" i="5" s="1"/>
  <c r="N630" i="5" s="1"/>
  <c r="N634" i="5" s="1"/>
  <c r="N637" i="5" s="1"/>
  <c r="N640" i="5" s="1"/>
  <c r="N649" i="5" s="1"/>
  <c r="N652" i="5" s="1"/>
  <c r="N655" i="5" s="1"/>
  <c r="N658" i="5" s="1"/>
  <c r="N661" i="5" s="1"/>
  <c r="N667" i="5" s="1"/>
  <c r="N673" i="5" s="1"/>
  <c r="N676" i="5" s="1"/>
  <c r="N679" i="5" s="1"/>
  <c r="N682" i="5" s="1"/>
  <c r="N685" i="5" s="1"/>
  <c r="N688" i="5" s="1"/>
  <c r="N691" i="5" s="1"/>
  <c r="N694" i="5" s="1"/>
  <c r="N697" i="5" s="1"/>
  <c r="N700" i="5" s="1"/>
  <c r="N703" i="5" s="1"/>
  <c r="N706" i="5" s="1"/>
  <c r="N707" i="5" s="1"/>
  <c r="N721" i="5" s="1"/>
  <c r="N724" i="5" s="1"/>
  <c r="N727" i="5" s="1"/>
  <c r="N730" i="5" s="1"/>
  <c r="N733" i="5" s="1"/>
  <c r="N736" i="5" s="1"/>
  <c r="N739" i="5" s="1"/>
  <c r="N742" i="5" s="1"/>
  <c r="N748" i="5" s="1"/>
  <c r="N754" i="5" s="1"/>
  <c r="N766" i="5" s="1"/>
  <c r="N769" i="5" s="1"/>
  <c r="N772" i="5" s="1"/>
  <c r="N775" i="5" s="1"/>
  <c r="N778" i="5" s="1"/>
  <c r="N781" i="5" s="1"/>
  <c r="N790" i="5" s="1"/>
  <c r="N793" i="5" s="1"/>
  <c r="N796" i="5" s="1"/>
  <c r="N799" i="5" s="1"/>
  <c r="N802" i="5" s="1"/>
  <c r="N808" i="5" s="1"/>
  <c r="N811" i="5" s="1"/>
  <c r="N814" i="5" s="1"/>
  <c r="N817" i="5" s="1"/>
  <c r="N820" i="5" s="1"/>
  <c r="N859" i="5" s="1"/>
  <c r="N862" i="5" s="1"/>
  <c r="N865" i="5" s="1"/>
  <c r="N868" i="5" s="1"/>
  <c r="N871" i="5" s="1"/>
  <c r="N874" i="5" s="1"/>
  <c r="N877" i="5" s="1"/>
  <c r="N880" i="5" s="1"/>
  <c r="N883" i="5" s="1"/>
  <c r="N886" i="5" s="1"/>
  <c r="N889" i="5" s="1"/>
  <c r="N892" i="5" s="1"/>
  <c r="N895" i="5" s="1"/>
  <c r="N901" i="5" s="1"/>
  <c r="N904" i="5" s="1"/>
  <c r="N907" i="5" s="1"/>
  <c r="N8" i="6"/>
  <c r="N11" i="6" s="1"/>
  <c r="N14" i="6" s="1"/>
  <c r="N17" i="6" s="1"/>
  <c r="N20" i="6" s="1"/>
  <c r="N23" i="6" s="1"/>
  <c r="N26" i="6" s="1"/>
  <c r="N29" i="6" s="1"/>
  <c r="N32" i="6" s="1"/>
  <c r="N35" i="6" s="1"/>
  <c r="N38" i="6" s="1"/>
  <c r="N41" i="6" s="1"/>
  <c r="N44" i="6" s="1"/>
  <c r="N47" i="6" s="1"/>
  <c r="N50" i="6" s="1"/>
  <c r="N53" i="6" s="1"/>
  <c r="N56" i="6" s="1"/>
  <c r="N59" i="6" s="1"/>
  <c r="N62" i="6" s="1"/>
  <c r="N65" i="6" s="1"/>
  <c r="N68" i="6" s="1"/>
  <c r="N71" i="6" s="1"/>
  <c r="N74" i="6" s="1"/>
  <c r="N77" i="6" s="1"/>
  <c r="N80" i="6" s="1"/>
  <c r="N83" i="6" s="1"/>
  <c r="N86" i="6" s="1"/>
  <c r="N89" i="6" s="1"/>
  <c r="N92" i="6" s="1"/>
  <c r="N95" i="6" s="1"/>
  <c r="N113" i="6" s="1"/>
  <c r="N116" i="6" s="1"/>
  <c r="N119" i="6" s="1"/>
  <c r="N122" i="6" s="1"/>
  <c r="N125" i="6" s="1"/>
  <c r="N128" i="6" s="1"/>
  <c r="N131" i="6" s="1"/>
  <c r="N134" i="6" s="1"/>
  <c r="N137" i="6" s="1"/>
  <c r="N140" i="6" s="1"/>
  <c r="N143" i="6" s="1"/>
  <c r="N146" i="6" s="1"/>
  <c r="N149" i="6" s="1"/>
  <c r="N152" i="6" s="1"/>
  <c r="N155" i="6" s="1"/>
  <c r="N158" i="6" s="1"/>
  <c r="N161" i="6" s="1"/>
  <c r="N164" i="6" s="1"/>
  <c r="N167" i="6" s="1"/>
  <c r="N170" i="6" s="1"/>
  <c r="N173" i="6" s="1"/>
  <c r="N176" i="6" s="1"/>
  <c r="N179" i="6" s="1"/>
  <c r="N182" i="6" s="1"/>
  <c r="N185" i="6" s="1"/>
  <c r="N188" i="6" s="1"/>
  <c r="N191" i="6" s="1"/>
  <c r="N194" i="6" s="1"/>
  <c r="N197" i="6" s="1"/>
  <c r="N200" i="6" s="1"/>
  <c r="N203" i="6" s="1"/>
  <c r="N206" i="6" s="1"/>
  <c r="N209" i="6" s="1"/>
  <c r="N212" i="6" s="1"/>
  <c r="N215" i="6" s="1"/>
  <c r="N218" i="6" s="1"/>
  <c r="N221" i="6" s="1"/>
  <c r="N224" i="6" s="1"/>
  <c r="N227" i="6" s="1"/>
  <c r="N230" i="6" s="1"/>
  <c r="N233" i="6" s="1"/>
  <c r="N236" i="6" s="1"/>
  <c r="N239" i="6" s="1"/>
  <c r="N242" i="6" s="1"/>
  <c r="N245" i="6" s="1"/>
  <c r="N248" i="6" s="1"/>
  <c r="N251" i="6" s="1"/>
  <c r="N254" i="6" s="1"/>
  <c r="N257" i="6" s="1"/>
  <c r="N260" i="6" s="1"/>
  <c r="N263" i="6" s="1"/>
  <c r="N266" i="6" s="1"/>
  <c r="N269" i="6" s="1"/>
  <c r="N272" i="6" s="1"/>
  <c r="N275" i="6" s="1"/>
  <c r="N278" i="6" s="1"/>
  <c r="N281" i="6" s="1"/>
  <c r="N284" i="6" s="1"/>
  <c r="N287" i="6" s="1"/>
  <c r="N290" i="6" s="1"/>
  <c r="N293" i="6" s="1"/>
  <c r="N296" i="6" s="1"/>
  <c r="N299" i="6" s="1"/>
  <c r="N302" i="6" s="1"/>
  <c r="N305" i="6" s="1"/>
  <c r="N308" i="6" s="1"/>
  <c r="N311" i="6" s="1"/>
  <c r="N314" i="6" s="1"/>
  <c r="N317" i="6" s="1"/>
  <c r="N320" i="6" s="1"/>
  <c r="N323" i="6" s="1"/>
  <c r="N326" i="6" s="1"/>
  <c r="N329" i="6" s="1"/>
  <c r="N332" i="6" s="1"/>
  <c r="N335" i="6" s="1"/>
  <c r="N338" i="6" s="1"/>
  <c r="N341" i="6" s="1"/>
  <c r="N344" i="6" s="1"/>
  <c r="N347" i="6" s="1"/>
  <c r="N350" i="6" s="1"/>
  <c r="N353" i="6" s="1"/>
  <c r="N356" i="6" s="1"/>
  <c r="N359" i="6" s="1"/>
  <c r="N362" i="6" s="1"/>
  <c r="N365" i="6" s="1"/>
  <c r="N368" i="6" s="1"/>
  <c r="N371" i="6" s="1"/>
  <c r="N374" i="6" s="1"/>
  <c r="N378" i="6" s="1"/>
  <c r="N381" i="6" s="1"/>
  <c r="N384" i="6" s="1"/>
  <c r="N387" i="6" s="1"/>
  <c r="N390" i="6" s="1"/>
  <c r="N394" i="6" s="1"/>
  <c r="N397" i="6" s="1"/>
  <c r="N400" i="6" s="1"/>
  <c r="N403" i="6" s="1"/>
  <c r="N406" i="6" s="1"/>
  <c r="N409" i="6" s="1"/>
  <c r="N412" i="6" s="1"/>
  <c r="N416" i="6" s="1"/>
  <c r="N419" i="6" s="1"/>
  <c r="N422" i="6" s="1"/>
  <c r="N425" i="6" s="1"/>
  <c r="N428" i="6" s="1"/>
  <c r="N431" i="6" s="1"/>
  <c r="N435" i="6" s="1"/>
  <c r="N438" i="6" s="1"/>
  <c r="N441" i="6" s="1"/>
  <c r="N444" i="6" s="1"/>
  <c r="N447" i="6" s="1"/>
  <c r="N451" i="6" s="1"/>
  <c r="N455" i="6" s="1"/>
  <c r="N458" i="6" s="1"/>
  <c r="N461" i="6" s="1"/>
  <c r="N464" i="6" s="1"/>
  <c r="N468" i="6" s="1"/>
  <c r="N471" i="6" s="1"/>
  <c r="N474" i="6" s="1"/>
  <c r="N477" i="6" s="1"/>
  <c r="N480" i="6" s="1"/>
  <c r="N484" i="6" s="1"/>
  <c r="N487" i="6" s="1"/>
  <c r="N491" i="6" s="1"/>
  <c r="N495" i="6" s="1"/>
  <c r="N498" i="6" s="1"/>
  <c r="N501" i="6" s="1"/>
  <c r="N504" i="6" s="1"/>
  <c r="N508" i="6" s="1"/>
  <c r="N511" i="6" s="1"/>
  <c r="N514" i="6" s="1"/>
  <c r="N517" i="6" s="1"/>
  <c r="N520" i="6" s="1"/>
  <c r="N524" i="6" s="1"/>
  <c r="N528" i="6" s="1"/>
  <c r="N531" i="6" s="1"/>
  <c r="N535" i="6" s="1"/>
  <c r="N538" i="6" s="1"/>
  <c r="N541" i="6" s="1"/>
  <c r="N544" i="6" s="1"/>
  <c r="N548" i="6" s="1"/>
  <c r="N552" i="6" s="1"/>
  <c r="N556" i="6" s="1"/>
  <c r="N559" i="6" s="1"/>
  <c r="N562" i="6" s="1"/>
  <c r="N565" i="6" s="1"/>
  <c r="N568" i="6" s="1"/>
  <c r="N571" i="6" s="1"/>
  <c r="N577" i="6" s="1"/>
  <c r="N580" i="6" s="1"/>
  <c r="N583" i="6" s="1"/>
  <c r="N586" i="6" s="1"/>
  <c r="N589" i="6" s="1"/>
  <c r="N592" i="6" s="1"/>
  <c r="N595" i="6" s="1"/>
  <c r="N598" i="6" s="1"/>
  <c r="N602" i="6" s="1"/>
  <c r="N605" i="6" s="1"/>
  <c r="N608" i="6" s="1"/>
  <c r="N611" i="6" s="1"/>
  <c r="N614" i="6" s="1"/>
  <c r="N618" i="6" s="1"/>
  <c r="N621" i="6" s="1"/>
  <c r="N624" i="6" s="1"/>
  <c r="N627" i="6" s="1"/>
  <c r="N630" i="6" s="1"/>
  <c r="N634" i="6" s="1"/>
  <c r="N637" i="6" s="1"/>
  <c r="N640" i="6" s="1"/>
  <c r="N649" i="6" s="1"/>
  <c r="N652" i="6" s="1"/>
  <c r="N655" i="6" s="1"/>
  <c r="N658" i="6" s="1"/>
  <c r="N661" i="6" s="1"/>
  <c r="N667" i="6" s="1"/>
  <c r="N673" i="6" s="1"/>
  <c r="N676" i="6" s="1"/>
  <c r="N679" i="6" s="1"/>
  <c r="N682" i="6" s="1"/>
  <c r="N685" i="6" s="1"/>
  <c r="N688" i="6" s="1"/>
  <c r="N691" i="6" s="1"/>
  <c r="N694" i="6" s="1"/>
  <c r="N697" i="6" s="1"/>
  <c r="N700" i="6" s="1"/>
  <c r="N703" i="6" s="1"/>
  <c r="N706" i="6" s="1"/>
  <c r="N707" i="6" s="1"/>
  <c r="N721" i="6" s="1"/>
  <c r="N724" i="6" s="1"/>
  <c r="N727" i="6" s="1"/>
  <c r="N730" i="6" s="1"/>
  <c r="N733" i="6" s="1"/>
  <c r="N736" i="6" s="1"/>
  <c r="N739" i="6" s="1"/>
  <c r="N742" i="6" s="1"/>
  <c r="N748" i="6" s="1"/>
  <c r="AA8" i="6"/>
  <c r="AA11" i="6" s="1"/>
  <c r="AA14" i="6" s="1"/>
  <c r="AA17" i="6" s="1"/>
  <c r="AA20" i="6" s="1"/>
  <c r="AA23" i="6" s="1"/>
  <c r="AA26" i="6" s="1"/>
  <c r="AA29" i="6" s="1"/>
  <c r="AA32" i="6" s="1"/>
  <c r="AA35" i="6" s="1"/>
  <c r="AA38" i="6" s="1"/>
  <c r="AA41" i="6" s="1"/>
  <c r="AA44" i="6" s="1"/>
  <c r="AA47" i="6" s="1"/>
  <c r="AA50" i="6" s="1"/>
  <c r="AA53" i="6" s="1"/>
  <c r="AA56" i="6" s="1"/>
  <c r="AA59" i="6" s="1"/>
  <c r="AA62" i="6" s="1"/>
  <c r="AA65" i="6" s="1"/>
  <c r="AA68" i="6" s="1"/>
  <c r="AA71" i="6" s="1"/>
  <c r="AA74" i="6" s="1"/>
  <c r="AA77" i="6" s="1"/>
  <c r="AA80" i="6" s="1"/>
  <c r="AA83" i="6" s="1"/>
  <c r="AA86" i="6" s="1"/>
  <c r="AA89" i="6" s="1"/>
  <c r="AA92" i="6" s="1"/>
  <c r="AA95" i="6" s="1"/>
  <c r="N790" i="7" l="1"/>
  <c r="N793" i="7" s="1"/>
  <c r="N796" i="7" s="1"/>
  <c r="N799" i="7" s="1"/>
  <c r="N802" i="7" s="1"/>
  <c r="N808" i="7" s="1"/>
  <c r="N811" i="7" s="1"/>
  <c r="N814" i="7" s="1"/>
  <c r="N817" i="7" s="1"/>
  <c r="N820" i="7" s="1"/>
  <c r="N859" i="7" s="1"/>
  <c r="N862" i="7" s="1"/>
  <c r="N865" i="7" s="1"/>
  <c r="N868" i="7" s="1"/>
  <c r="N871" i="7" s="1"/>
  <c r="N874" i="7" s="1"/>
  <c r="N877" i="7" s="1"/>
  <c r="N880" i="7" s="1"/>
  <c r="N883" i="7" s="1"/>
  <c r="N886" i="7" s="1"/>
  <c r="N889" i="7" s="1"/>
  <c r="N892" i="7" s="1"/>
  <c r="N895" i="7" s="1"/>
  <c r="N901" i="7" s="1"/>
  <c r="N904" i="7" s="1"/>
  <c r="N907" i="7" s="1"/>
  <c r="N769" i="6"/>
  <c r="N772" i="6" s="1"/>
  <c r="N775" i="6" s="1"/>
  <c r="N778" i="6" s="1"/>
  <c r="N781" i="6" s="1"/>
  <c r="N790" i="6" s="1"/>
  <c r="N793" i="6" s="1"/>
  <c r="N796" i="6" s="1"/>
  <c r="N799" i="6" s="1"/>
  <c r="N802" i="6" s="1"/>
  <c r="N808" i="6" s="1"/>
  <c r="N811" i="6" s="1"/>
  <c r="N814" i="6" s="1"/>
  <c r="N817" i="6" s="1"/>
  <c r="N820" i="6" s="1"/>
  <c r="N859" i="6" s="1"/>
  <c r="N862" i="6" s="1"/>
  <c r="N865" i="6" s="1"/>
  <c r="N868" i="6" s="1"/>
  <c r="N871" i="6" s="1"/>
  <c r="N874" i="6" s="1"/>
  <c r="N877" i="6" s="1"/>
  <c r="N880" i="6" s="1"/>
  <c r="N883" i="6" s="1"/>
  <c r="N886" i="6" s="1"/>
  <c r="N889" i="6" s="1"/>
  <c r="N892" i="6" s="1"/>
  <c r="N895" i="6" s="1"/>
  <c r="N901" i="6" s="1"/>
  <c r="N904" i="6" s="1"/>
  <c r="N907" i="6" s="1"/>
  <c r="N754" i="6"/>
  <c r="AA98" i="6"/>
  <c r="AA101" i="6" s="1"/>
  <c r="AA104" i="6" s="1"/>
  <c r="AA107" i="6" s="1"/>
  <c r="AA110" i="6" s="1"/>
  <c r="AA113" i="6" s="1"/>
  <c r="AA116" i="6" s="1"/>
  <c r="AA119" i="6" s="1"/>
  <c r="AA122" i="6" s="1"/>
  <c r="AA125" i="6" s="1"/>
  <c r="AA128" i="6" s="1"/>
  <c r="AA131" i="6" s="1"/>
  <c r="AA134" i="6" s="1"/>
  <c r="AA137" i="6" s="1"/>
  <c r="AA140" i="6" s="1"/>
  <c r="AA143" i="6" s="1"/>
  <c r="AA146" i="6" s="1"/>
  <c r="AA149" i="6" s="1"/>
  <c r="AA152" i="6" s="1"/>
  <c r="AA155" i="6" s="1"/>
  <c r="AA158" i="6" s="1"/>
  <c r="AA161" i="6" s="1"/>
  <c r="AA164" i="6" s="1"/>
  <c r="AA167" i="6" s="1"/>
  <c r="AA170" i="6" s="1"/>
  <c r="AA173" i="6" s="1"/>
  <c r="AA176" i="6" s="1"/>
  <c r="AA179" i="6" s="1"/>
  <c r="AA182" i="6" s="1"/>
  <c r="AA185" i="6" s="1"/>
  <c r="AA188" i="6" s="1"/>
  <c r="AA191" i="6" s="1"/>
  <c r="AA194" i="6" s="1"/>
  <c r="AA197" i="6" s="1"/>
  <c r="AA200" i="6" s="1"/>
  <c r="AA203" i="6" s="1"/>
  <c r="AA206" i="6" s="1"/>
  <c r="AA209" i="6" s="1"/>
  <c r="AA212" i="6" s="1"/>
  <c r="AA215" i="6" s="1"/>
  <c r="AA218" i="6" s="1"/>
  <c r="AA221" i="6" s="1"/>
  <c r="AA224" i="6" s="1"/>
  <c r="AA227" i="6" s="1"/>
  <c r="AA230" i="6" s="1"/>
  <c r="AA233" i="6" s="1"/>
  <c r="AA236" i="6" s="1"/>
  <c r="AA239" i="6" s="1"/>
  <c r="AA242" i="6" s="1"/>
  <c r="AA245" i="6" s="1"/>
  <c r="AA248" i="6" s="1"/>
  <c r="AA251" i="6" s="1"/>
  <c r="AA254" i="6" s="1"/>
  <c r="AA257" i="6" s="1"/>
  <c r="AA260" i="6" s="1"/>
  <c r="AA263" i="6" s="1"/>
  <c r="AA266" i="6" s="1"/>
  <c r="AA269" i="6" s="1"/>
  <c r="AA272" i="6" s="1"/>
  <c r="AA275" i="6" s="1"/>
  <c r="AA278" i="6" s="1"/>
  <c r="AA281" i="6" s="1"/>
  <c r="AA284" i="6" s="1"/>
  <c r="AA287" i="6" s="1"/>
  <c r="AA290" i="6" s="1"/>
  <c r="AA293" i="6" s="1"/>
  <c r="AA296" i="6" s="1"/>
  <c r="AA299" i="6" s="1"/>
  <c r="AA302" i="6" s="1"/>
  <c r="AA305" i="6" s="1"/>
  <c r="AA308" i="6" s="1"/>
  <c r="AA311" i="6" s="1"/>
  <c r="AA314" i="6" s="1"/>
  <c r="AA317" i="6" s="1"/>
  <c r="AA320" i="6" s="1"/>
  <c r="AA323" i="6" s="1"/>
  <c r="AA326" i="6" s="1"/>
  <c r="AA329" i="6" s="1"/>
  <c r="AA332" i="6" s="1"/>
  <c r="AA335" i="6" s="1"/>
  <c r="AA338" i="6" s="1"/>
  <c r="AA341" i="6" s="1"/>
  <c r="AA344" i="6" s="1"/>
  <c r="AA347" i="6" s="1"/>
  <c r="AA350" i="6" s="1"/>
  <c r="AA353" i="6" s="1"/>
  <c r="AA356" i="6" s="1"/>
  <c r="AA359" i="6" s="1"/>
  <c r="AA362" i="6" s="1"/>
  <c r="AA365" i="6" s="1"/>
  <c r="AA368" i="6" s="1"/>
  <c r="AA371" i="6" s="1"/>
  <c r="AA374" i="6" s="1"/>
  <c r="AA378" i="6" s="1"/>
  <c r="AA381" i="6" s="1"/>
  <c r="AA384" i="6" s="1"/>
  <c r="AA387" i="6" s="1"/>
  <c r="AA390" i="6" s="1"/>
  <c r="AA394" i="6" s="1"/>
  <c r="AA397" i="6" s="1"/>
  <c r="AA400" i="6" s="1"/>
  <c r="AA403" i="6" s="1"/>
  <c r="AA406" i="6" s="1"/>
  <c r="AA409" i="6" s="1"/>
  <c r="AA412" i="6" s="1"/>
  <c r="AA416" i="6" s="1"/>
  <c r="AA419" i="6" s="1"/>
  <c r="AA422" i="6" s="1"/>
  <c r="AA425" i="6" s="1"/>
  <c r="AA428" i="6" s="1"/>
  <c r="AA431" i="6" s="1"/>
  <c r="AA435" i="6" s="1"/>
  <c r="AA438" i="6" s="1"/>
  <c r="AA441" i="6" s="1"/>
  <c r="AA444" i="6" s="1"/>
  <c r="AA447" i="6" s="1"/>
  <c r="AA451" i="6" s="1"/>
  <c r="AA455" i="6" s="1"/>
  <c r="AA458" i="6" s="1"/>
  <c r="AA461" i="6" s="1"/>
  <c r="AA464" i="6" s="1"/>
  <c r="AA468" i="6" s="1"/>
  <c r="AA471" i="6" s="1"/>
  <c r="AA474" i="6" s="1"/>
  <c r="AA477" i="6" s="1"/>
  <c r="AA480" i="6" s="1"/>
  <c r="AA484" i="6" s="1"/>
  <c r="AA487" i="6" s="1"/>
  <c r="AA491" i="6" s="1"/>
  <c r="AA495" i="6" s="1"/>
  <c r="AA498" i="6" s="1"/>
  <c r="AA501" i="6" s="1"/>
  <c r="AA504" i="6" s="1"/>
  <c r="AA508" i="6" s="1"/>
  <c r="AA511" i="6" s="1"/>
  <c r="AA514" i="6" s="1"/>
  <c r="AA517" i="6" s="1"/>
  <c r="AA520" i="6" s="1"/>
  <c r="AA524" i="6" s="1"/>
  <c r="AA528" i="6" s="1"/>
  <c r="AA531" i="6" s="1"/>
  <c r="AA535" i="6" s="1"/>
  <c r="AA538" i="6" s="1"/>
  <c r="AA541" i="6" s="1"/>
  <c r="AA544" i="6" s="1"/>
  <c r="AA548" i="6" s="1"/>
  <c r="AA552" i="6" s="1"/>
  <c r="AA556" i="6" s="1"/>
  <c r="AA559" i="6" s="1"/>
  <c r="AA562" i="6" s="1"/>
  <c r="AA565" i="6" s="1"/>
  <c r="AA568" i="6" s="1"/>
  <c r="AA571" i="6" s="1"/>
  <c r="AA577" i="6" s="1"/>
  <c r="AA580" i="6" s="1"/>
  <c r="AA583" i="6" s="1"/>
  <c r="AA586" i="6" s="1"/>
  <c r="AA589" i="6" s="1"/>
  <c r="AA592" i="6" s="1"/>
  <c r="AA595" i="6" s="1"/>
  <c r="AA598" i="6" s="1"/>
  <c r="AA602" i="6" s="1"/>
  <c r="AA605" i="6" s="1"/>
  <c r="AA608" i="6" s="1"/>
  <c r="AA611" i="6" s="1"/>
  <c r="AA614" i="6" s="1"/>
  <c r="AA618" i="6" s="1"/>
  <c r="AA621" i="6" s="1"/>
  <c r="AA624" i="6" s="1"/>
  <c r="AA627" i="6" s="1"/>
  <c r="AA630" i="6" s="1"/>
  <c r="AA634" i="6" s="1"/>
  <c r="AA637" i="6" s="1"/>
  <c r="AA640" i="6" s="1"/>
  <c r="AA649" i="6" s="1"/>
  <c r="AA652" i="6" s="1"/>
  <c r="AA655" i="6" s="1"/>
  <c r="AA658" i="6" s="1"/>
  <c r="AA661" i="6" s="1"/>
  <c r="AA667" i="6" s="1"/>
  <c r="AA673" i="6" s="1"/>
  <c r="AA676" i="6" s="1"/>
  <c r="AA679" i="6" s="1"/>
  <c r="AA682" i="6" s="1"/>
  <c r="AA685" i="6" s="1"/>
  <c r="AA688" i="6" s="1"/>
  <c r="AA691" i="6" s="1"/>
  <c r="AA694" i="6" s="1"/>
  <c r="AA697" i="6" s="1"/>
  <c r="AA700" i="6" s="1"/>
  <c r="AA703" i="6" s="1"/>
  <c r="AA706" i="6" s="1"/>
  <c r="AA707" i="6" s="1"/>
  <c r="AA721" i="6" s="1"/>
  <c r="AA724" i="6" s="1"/>
  <c r="AA727" i="6" s="1"/>
  <c r="AA730" i="6" s="1"/>
  <c r="AA733" i="6" s="1"/>
  <c r="AA736" i="6" s="1"/>
  <c r="AA739" i="6" s="1"/>
  <c r="AA742" i="6" s="1"/>
  <c r="AA748" i="6" s="1"/>
  <c r="J748" i="6"/>
  <c r="L748" i="6" s="1"/>
  <c r="I748" i="6"/>
  <c r="J742" i="6"/>
  <c r="L742" i="6" s="1"/>
  <c r="I742" i="6"/>
  <c r="J739" i="6"/>
  <c r="L739" i="6" s="1"/>
  <c r="I739" i="6"/>
  <c r="J736" i="6"/>
  <c r="L736" i="6" s="1"/>
  <c r="I736" i="6"/>
  <c r="J733" i="6"/>
  <c r="L733" i="6" s="1"/>
  <c r="I733" i="6"/>
  <c r="L730" i="6"/>
  <c r="J730" i="6"/>
  <c r="I730" i="6"/>
  <c r="J727" i="6"/>
  <c r="L727" i="6" s="1"/>
  <c r="I727" i="6"/>
  <c r="J724" i="6"/>
  <c r="I724" i="6"/>
  <c r="L724" i="6" s="1"/>
  <c r="J721" i="6"/>
  <c r="L721" i="6" s="1"/>
  <c r="I721" i="6"/>
  <c r="J748" i="5"/>
  <c r="L748" i="5" s="1"/>
  <c r="I748" i="5"/>
  <c r="J742" i="5"/>
  <c r="L742" i="5" s="1"/>
  <c r="I742" i="5"/>
  <c r="J739" i="5"/>
  <c r="L739" i="5" s="1"/>
  <c r="I739" i="5"/>
  <c r="L736" i="5"/>
  <c r="J736" i="5"/>
  <c r="I736" i="5"/>
  <c r="J733" i="5"/>
  <c r="L733" i="5" s="1"/>
  <c r="I733" i="5"/>
  <c r="J730" i="5"/>
  <c r="L730" i="5" s="1"/>
  <c r="I730" i="5"/>
  <c r="J727" i="5"/>
  <c r="L727" i="5" s="1"/>
  <c r="I727" i="5"/>
  <c r="J724" i="5"/>
  <c r="L724" i="5" s="1"/>
  <c r="I724" i="5"/>
  <c r="J721" i="5"/>
  <c r="L721" i="5" s="1"/>
  <c r="I721" i="5"/>
  <c r="J748" i="4"/>
  <c r="I748" i="4"/>
  <c r="J742" i="4"/>
  <c r="I742" i="4"/>
  <c r="J739" i="4"/>
  <c r="I739" i="4"/>
  <c r="J736" i="4"/>
  <c r="L736" i="4" s="1"/>
  <c r="I736" i="4"/>
  <c r="J733" i="4"/>
  <c r="I733" i="4"/>
  <c r="J730" i="4"/>
  <c r="L730" i="4" s="1"/>
  <c r="I730" i="4"/>
  <c r="J727" i="4"/>
  <c r="I727" i="4"/>
  <c r="J724" i="4"/>
  <c r="L724" i="4" s="1"/>
  <c r="I724" i="4"/>
  <c r="J721" i="4"/>
  <c r="I721" i="4"/>
  <c r="J748" i="7"/>
  <c r="L748" i="7" s="1"/>
  <c r="I748" i="7"/>
  <c r="J742" i="7"/>
  <c r="L742" i="7" s="1"/>
  <c r="I742" i="7"/>
  <c r="J739" i="7"/>
  <c r="L739" i="7" s="1"/>
  <c r="I739" i="7"/>
  <c r="J736" i="7"/>
  <c r="L736" i="7" s="1"/>
  <c r="I736" i="7"/>
  <c r="J733" i="7"/>
  <c r="L733" i="7" s="1"/>
  <c r="I733" i="7"/>
  <c r="J730" i="7"/>
  <c r="L730" i="7" s="1"/>
  <c r="I730" i="7"/>
  <c r="L727" i="7"/>
  <c r="J727" i="7"/>
  <c r="I727" i="7"/>
  <c r="J724" i="7"/>
  <c r="L724" i="7" s="1"/>
  <c r="I724" i="7"/>
  <c r="J721" i="7"/>
  <c r="L721" i="7" s="1"/>
  <c r="I721" i="7"/>
  <c r="J676" i="6"/>
  <c r="L676" i="6" s="1"/>
  <c r="I676" i="6"/>
  <c r="J673" i="6"/>
  <c r="L673" i="6" s="1"/>
  <c r="I673" i="6"/>
  <c r="J667" i="6"/>
  <c r="L667" i="6" s="1"/>
  <c r="I667" i="6"/>
  <c r="J661" i="6"/>
  <c r="L661" i="6" s="1"/>
  <c r="I661" i="6"/>
  <c r="J658" i="6"/>
  <c r="L658" i="6" s="1"/>
  <c r="I658" i="6"/>
  <c r="L655" i="6"/>
  <c r="J655" i="6"/>
  <c r="I655" i="6"/>
  <c r="J652" i="6"/>
  <c r="L652" i="6" s="1"/>
  <c r="I652" i="6"/>
  <c r="J649" i="6"/>
  <c r="L649" i="6" s="1"/>
  <c r="I649" i="6"/>
  <c r="J676" i="5"/>
  <c r="L676" i="5" s="1"/>
  <c r="I676" i="5"/>
  <c r="J673" i="5"/>
  <c r="L673" i="5" s="1"/>
  <c r="I673" i="5"/>
  <c r="J667" i="5"/>
  <c r="L667" i="5" s="1"/>
  <c r="I667" i="5"/>
  <c r="J661" i="5"/>
  <c r="L661" i="5" s="1"/>
  <c r="I661" i="5"/>
  <c r="L658" i="5"/>
  <c r="J658" i="5"/>
  <c r="I658" i="5"/>
  <c r="L655" i="5"/>
  <c r="J655" i="5"/>
  <c r="I655" i="5"/>
  <c r="J652" i="5"/>
  <c r="L652" i="5" s="1"/>
  <c r="I652" i="5"/>
  <c r="J649" i="5"/>
  <c r="I649" i="5"/>
  <c r="L649" i="5" s="1"/>
  <c r="J676" i="7"/>
  <c r="L676" i="7" s="1"/>
  <c r="I676" i="7"/>
  <c r="J673" i="7"/>
  <c r="L673" i="7" s="1"/>
  <c r="I673" i="7"/>
  <c r="J667" i="7"/>
  <c r="L667" i="7" s="1"/>
  <c r="I667" i="7"/>
  <c r="J661" i="7"/>
  <c r="L661" i="7" s="1"/>
  <c r="I661" i="7"/>
  <c r="J658" i="7"/>
  <c r="L658" i="7" s="1"/>
  <c r="I658" i="7"/>
  <c r="L655" i="7"/>
  <c r="J655" i="7"/>
  <c r="I655" i="7"/>
  <c r="L652" i="7"/>
  <c r="J652" i="7"/>
  <c r="I652" i="7"/>
  <c r="J649" i="7"/>
  <c r="L649" i="7" s="1"/>
  <c r="I649" i="7"/>
  <c r="J676" i="4"/>
  <c r="I676" i="4"/>
  <c r="J673" i="4"/>
  <c r="I673" i="4"/>
  <c r="J667" i="4"/>
  <c r="L667" i="4" s="1"/>
  <c r="I667" i="4"/>
  <c r="J661" i="4"/>
  <c r="I661" i="4"/>
  <c r="J658" i="4"/>
  <c r="I658" i="4"/>
  <c r="J655" i="4"/>
  <c r="I655" i="4"/>
  <c r="J652" i="4"/>
  <c r="L652" i="4" s="1"/>
  <c r="I652" i="4"/>
  <c r="J649" i="4"/>
  <c r="I649" i="4"/>
  <c r="L658" i="4" l="1"/>
  <c r="L673" i="4"/>
  <c r="L727" i="4"/>
  <c r="L739" i="4"/>
  <c r="L676" i="4"/>
  <c r="L742" i="4"/>
  <c r="L649" i="4"/>
  <c r="L661" i="4"/>
  <c r="L721" i="4"/>
  <c r="L733" i="4"/>
  <c r="L748" i="4"/>
  <c r="L655" i="4"/>
  <c r="J646" i="7"/>
  <c r="I646" i="7"/>
  <c r="J643" i="7"/>
  <c r="I643" i="7"/>
  <c r="J640" i="7"/>
  <c r="L640" i="7" s="1"/>
  <c r="I640" i="7"/>
  <c r="J637" i="7"/>
  <c r="I637" i="7"/>
  <c r="J634" i="7"/>
  <c r="I634" i="7"/>
  <c r="J630" i="7"/>
  <c r="I630" i="7"/>
  <c r="L630" i="7" s="1"/>
  <c r="J627" i="7"/>
  <c r="I627" i="7"/>
  <c r="J624" i="7"/>
  <c r="I624" i="7"/>
  <c r="J621" i="7"/>
  <c r="I621" i="7"/>
  <c r="J618" i="7"/>
  <c r="I618" i="7"/>
  <c r="J614" i="7"/>
  <c r="I614" i="7"/>
  <c r="J611" i="7"/>
  <c r="I611" i="7"/>
  <c r="J608" i="7"/>
  <c r="L608" i="7" s="1"/>
  <c r="I608" i="7"/>
  <c r="J605" i="7"/>
  <c r="L605" i="7" s="1"/>
  <c r="I605" i="7"/>
  <c r="J602" i="7"/>
  <c r="L602" i="7" s="1"/>
  <c r="I602" i="7"/>
  <c r="J598" i="7"/>
  <c r="L598" i="7" s="1"/>
  <c r="I598" i="7"/>
  <c r="J595" i="7"/>
  <c r="I595" i="7"/>
  <c r="L595" i="7" s="1"/>
  <c r="J592" i="7"/>
  <c r="L592" i="7" s="1"/>
  <c r="I592" i="7"/>
  <c r="J589" i="7"/>
  <c r="L589" i="7" s="1"/>
  <c r="I589" i="7"/>
  <c r="J586" i="7"/>
  <c r="L586" i="7" s="1"/>
  <c r="I586" i="7"/>
  <c r="J583" i="7"/>
  <c r="I583" i="7"/>
  <c r="L583" i="7" s="1"/>
  <c r="L580" i="7"/>
  <c r="J580" i="7"/>
  <c r="I580" i="7"/>
  <c r="J577" i="7"/>
  <c r="L577" i="7" s="1"/>
  <c r="I577" i="7"/>
  <c r="J571" i="7"/>
  <c r="L571" i="7" s="1"/>
  <c r="I571" i="7"/>
  <c r="J646" i="4"/>
  <c r="I646" i="4"/>
  <c r="J643" i="4"/>
  <c r="I643" i="4"/>
  <c r="J640" i="4"/>
  <c r="I640" i="4"/>
  <c r="J637" i="4"/>
  <c r="I637" i="4"/>
  <c r="J634" i="4"/>
  <c r="I634" i="4"/>
  <c r="J630" i="4"/>
  <c r="I630" i="4"/>
  <c r="J627" i="4"/>
  <c r="I627" i="4"/>
  <c r="J624" i="4"/>
  <c r="I624" i="4"/>
  <c r="J621" i="4"/>
  <c r="I621" i="4"/>
  <c r="J618" i="4"/>
  <c r="I618" i="4"/>
  <c r="J614" i="4"/>
  <c r="I614" i="4"/>
  <c r="J611" i="4"/>
  <c r="I611" i="4"/>
  <c r="J608" i="4"/>
  <c r="I608" i="4"/>
  <c r="J605" i="4"/>
  <c r="I605" i="4"/>
  <c r="L605" i="4" s="1"/>
  <c r="J602" i="4"/>
  <c r="I602" i="4"/>
  <c r="J598" i="4"/>
  <c r="I598" i="4"/>
  <c r="J595" i="4"/>
  <c r="I595" i="4"/>
  <c r="J592" i="4"/>
  <c r="I592" i="4"/>
  <c r="J589" i="4"/>
  <c r="I589" i="4"/>
  <c r="J586" i="4"/>
  <c r="I586" i="4"/>
  <c r="J583" i="4"/>
  <c r="I583" i="4"/>
  <c r="J580" i="4"/>
  <c r="I580" i="4"/>
  <c r="J577" i="4"/>
  <c r="I577" i="4"/>
  <c r="J571" i="4"/>
  <c r="I571" i="4"/>
  <c r="J646" i="5"/>
  <c r="I646" i="5"/>
  <c r="J643" i="5"/>
  <c r="I643" i="5"/>
  <c r="J640" i="5"/>
  <c r="I640" i="5"/>
  <c r="J637" i="5"/>
  <c r="I637" i="5"/>
  <c r="J634" i="5"/>
  <c r="L634" i="5" s="1"/>
  <c r="I634" i="5"/>
  <c r="J630" i="5"/>
  <c r="I630" i="5"/>
  <c r="J627" i="5"/>
  <c r="L627" i="5" s="1"/>
  <c r="I627" i="5"/>
  <c r="J624" i="5"/>
  <c r="I624" i="5"/>
  <c r="J621" i="5"/>
  <c r="I621" i="5"/>
  <c r="J618" i="5"/>
  <c r="I618" i="5"/>
  <c r="J614" i="5"/>
  <c r="L614" i="5" s="1"/>
  <c r="I614" i="5"/>
  <c r="J611" i="5"/>
  <c r="I611" i="5"/>
  <c r="J608" i="5"/>
  <c r="L608" i="5" s="1"/>
  <c r="I608" i="5"/>
  <c r="L605" i="5"/>
  <c r="J605" i="5"/>
  <c r="I605" i="5"/>
  <c r="J602" i="5"/>
  <c r="L602" i="5" s="1"/>
  <c r="I602" i="5"/>
  <c r="J598" i="5"/>
  <c r="L598" i="5" s="1"/>
  <c r="I598" i="5"/>
  <c r="J595" i="5"/>
  <c r="L595" i="5" s="1"/>
  <c r="I595" i="5"/>
  <c r="J592" i="5"/>
  <c r="L592" i="5" s="1"/>
  <c r="I592" i="5"/>
  <c r="J589" i="5"/>
  <c r="L589" i="5" s="1"/>
  <c r="I589" i="5"/>
  <c r="J586" i="5"/>
  <c r="L586" i="5" s="1"/>
  <c r="I586" i="5"/>
  <c r="J583" i="5"/>
  <c r="L583" i="5" s="1"/>
  <c r="I583" i="5"/>
  <c r="L580" i="5"/>
  <c r="J580" i="5"/>
  <c r="I580" i="5"/>
  <c r="J577" i="5"/>
  <c r="L577" i="5" s="1"/>
  <c r="I577" i="5"/>
  <c r="J571" i="5"/>
  <c r="L571" i="5" s="1"/>
  <c r="I571" i="5"/>
  <c r="J646" i="6"/>
  <c r="I646" i="6"/>
  <c r="J643" i="6"/>
  <c r="I643" i="6"/>
  <c r="J640" i="6"/>
  <c r="I640" i="6"/>
  <c r="J637" i="6"/>
  <c r="I637" i="6"/>
  <c r="J634" i="6"/>
  <c r="I634" i="6"/>
  <c r="J630" i="6"/>
  <c r="L630" i="6" s="1"/>
  <c r="I630" i="6"/>
  <c r="J627" i="6"/>
  <c r="L627" i="6" s="1"/>
  <c r="I627" i="6"/>
  <c r="J624" i="6"/>
  <c r="I624" i="6"/>
  <c r="J621" i="6"/>
  <c r="L621" i="6" s="1"/>
  <c r="I621" i="6"/>
  <c r="J618" i="6"/>
  <c r="L618" i="6" s="1"/>
  <c r="I618" i="6"/>
  <c r="J614" i="6"/>
  <c r="L614" i="6" s="1"/>
  <c r="I614" i="6"/>
  <c r="J611" i="6"/>
  <c r="I611" i="6"/>
  <c r="J608" i="6"/>
  <c r="L608" i="6" s="1"/>
  <c r="I608" i="6"/>
  <c r="J605" i="6"/>
  <c r="L605" i="6" s="1"/>
  <c r="I605" i="6"/>
  <c r="J602" i="6"/>
  <c r="L602" i="6" s="1"/>
  <c r="I602" i="6"/>
  <c r="J598" i="6"/>
  <c r="L598" i="6" s="1"/>
  <c r="I598" i="6"/>
  <c r="J595" i="6"/>
  <c r="L595" i="6" s="1"/>
  <c r="I595" i="6"/>
  <c r="J592" i="6"/>
  <c r="L592" i="6" s="1"/>
  <c r="I592" i="6"/>
  <c r="L589" i="6"/>
  <c r="J589" i="6"/>
  <c r="I589" i="6"/>
  <c r="J586" i="6"/>
  <c r="L586" i="6" s="1"/>
  <c r="I586" i="6"/>
  <c r="J583" i="6"/>
  <c r="L583" i="6" s="1"/>
  <c r="I583" i="6"/>
  <c r="J580" i="6"/>
  <c r="L580" i="6" s="1"/>
  <c r="I580" i="6"/>
  <c r="J577" i="6"/>
  <c r="L577" i="6" s="1"/>
  <c r="I577" i="6"/>
  <c r="J571" i="6"/>
  <c r="L571" i="6" s="1"/>
  <c r="I571" i="6"/>
  <c r="L589" i="4" l="1"/>
  <c r="L602" i="4"/>
  <c r="L580" i="4"/>
  <c r="L571" i="4"/>
  <c r="L592" i="4"/>
  <c r="L586" i="4"/>
  <c r="L598" i="4"/>
  <c r="L577" i="4"/>
  <c r="L583" i="4"/>
  <c r="L595" i="4"/>
  <c r="L608" i="4"/>
  <c r="L621" i="4"/>
  <c r="L634" i="4"/>
  <c r="L621" i="7"/>
  <c r="L618" i="7"/>
  <c r="L634" i="7"/>
  <c r="L611" i="7"/>
  <c r="L624" i="7"/>
  <c r="L637" i="7"/>
  <c r="L614" i="7"/>
  <c r="L627" i="7"/>
  <c r="L630" i="4"/>
  <c r="L611" i="4"/>
  <c r="L614" i="4"/>
  <c r="L637" i="4"/>
  <c r="L627" i="4"/>
  <c r="L640" i="4"/>
  <c r="L618" i="4"/>
  <c r="L624" i="4"/>
  <c r="L630" i="5"/>
  <c r="L637" i="5"/>
  <c r="L640" i="5"/>
  <c r="L618" i="5"/>
  <c r="L621" i="5"/>
  <c r="L611" i="5"/>
  <c r="L624" i="5"/>
  <c r="L634" i="6"/>
  <c r="L611" i="6"/>
  <c r="L624" i="6"/>
  <c r="L637" i="6"/>
  <c r="L640" i="6"/>
  <c r="J568" i="7" l="1"/>
  <c r="L568" i="7" s="1"/>
  <c r="I568" i="7"/>
  <c r="J565" i="7"/>
  <c r="L565" i="7" s="1"/>
  <c r="I565" i="7"/>
  <c r="J562" i="7"/>
  <c r="L562" i="7" s="1"/>
  <c r="I562" i="7"/>
  <c r="J559" i="7"/>
  <c r="L559" i="7" s="1"/>
  <c r="I559" i="7"/>
  <c r="J556" i="7"/>
  <c r="L556" i="7" s="1"/>
  <c r="I556" i="7"/>
  <c r="L552" i="7"/>
  <c r="J552" i="7"/>
  <c r="I552" i="7"/>
  <c r="J548" i="7"/>
  <c r="L548" i="7" s="1"/>
  <c r="I548" i="7"/>
  <c r="J544" i="7"/>
  <c r="L544" i="7" s="1"/>
  <c r="I544" i="7"/>
  <c r="J541" i="7"/>
  <c r="L541" i="7" s="1"/>
  <c r="I541" i="7"/>
  <c r="J538" i="7"/>
  <c r="L538" i="7" s="1"/>
  <c r="I538" i="7"/>
  <c r="J535" i="7"/>
  <c r="L535" i="7" s="1"/>
  <c r="I535" i="7"/>
  <c r="J531" i="7"/>
  <c r="L531" i="7" s="1"/>
  <c r="I531" i="7"/>
  <c r="J528" i="7"/>
  <c r="L528" i="7" s="1"/>
  <c r="I528" i="7"/>
  <c r="L524" i="7"/>
  <c r="J524" i="7"/>
  <c r="I524" i="7"/>
  <c r="J520" i="7"/>
  <c r="L520" i="7" s="1"/>
  <c r="I520" i="7"/>
  <c r="J517" i="7"/>
  <c r="L517" i="7" s="1"/>
  <c r="I517" i="7"/>
  <c r="J514" i="7"/>
  <c r="L514" i="7" s="1"/>
  <c r="I514" i="7"/>
  <c r="J511" i="7"/>
  <c r="L511" i="7" s="1"/>
  <c r="I511" i="7"/>
  <c r="J508" i="7"/>
  <c r="L508" i="7" s="1"/>
  <c r="I508" i="7"/>
  <c r="J504" i="7"/>
  <c r="L504" i="7" s="1"/>
  <c r="I504" i="7"/>
  <c r="J501" i="7"/>
  <c r="L501" i="7" s="1"/>
  <c r="I501" i="7"/>
  <c r="L498" i="7"/>
  <c r="J498" i="7"/>
  <c r="I498" i="7"/>
  <c r="J495" i="7"/>
  <c r="L495" i="7" s="1"/>
  <c r="I495" i="7"/>
  <c r="J491" i="7"/>
  <c r="L491" i="7" s="1"/>
  <c r="I491" i="7"/>
  <c r="J487" i="7"/>
  <c r="L487" i="7" s="1"/>
  <c r="I487" i="7"/>
  <c r="J484" i="7"/>
  <c r="L484" i="7" s="1"/>
  <c r="I484" i="7"/>
  <c r="J480" i="7"/>
  <c r="L480" i="7" s="1"/>
  <c r="I480" i="7"/>
  <c r="J477" i="7"/>
  <c r="L477" i="7" s="1"/>
  <c r="I477" i="7"/>
  <c r="J474" i="7"/>
  <c r="L474" i="7" s="1"/>
  <c r="I474" i="7"/>
  <c r="L471" i="7"/>
  <c r="J471" i="7"/>
  <c r="I471" i="7"/>
  <c r="J468" i="7"/>
  <c r="L468" i="7" s="1"/>
  <c r="I468" i="7"/>
  <c r="J464" i="7"/>
  <c r="L464" i="7" s="1"/>
  <c r="I464" i="7"/>
  <c r="J461" i="7"/>
  <c r="L461" i="7" s="1"/>
  <c r="I461" i="7"/>
  <c r="J458" i="7"/>
  <c r="L458" i="7" s="1"/>
  <c r="I458" i="7"/>
  <c r="J455" i="7"/>
  <c r="L455" i="7" s="1"/>
  <c r="I455" i="7"/>
  <c r="J451" i="7"/>
  <c r="L451" i="7" s="1"/>
  <c r="I451" i="7"/>
  <c r="J447" i="7"/>
  <c r="L447" i="7" s="1"/>
  <c r="I447" i="7"/>
  <c r="L444" i="7"/>
  <c r="J444" i="7"/>
  <c r="I444" i="7"/>
  <c r="J441" i="7"/>
  <c r="L441" i="7" s="1"/>
  <c r="I441" i="7"/>
  <c r="J438" i="7"/>
  <c r="L438" i="7" s="1"/>
  <c r="I438" i="7"/>
  <c r="J435" i="7"/>
  <c r="L435" i="7" s="1"/>
  <c r="I435" i="7"/>
  <c r="J431" i="7"/>
  <c r="L431" i="7" s="1"/>
  <c r="I431" i="7"/>
  <c r="J428" i="7"/>
  <c r="L428" i="7" s="1"/>
  <c r="I428" i="7"/>
  <c r="J425" i="7"/>
  <c r="L425" i="7" s="1"/>
  <c r="I425" i="7"/>
  <c r="J422" i="7"/>
  <c r="L422" i="7" s="1"/>
  <c r="I422" i="7"/>
  <c r="L419" i="7"/>
  <c r="J419" i="7"/>
  <c r="I419" i="7"/>
  <c r="J416" i="7"/>
  <c r="L416" i="7" s="1"/>
  <c r="I416" i="7"/>
  <c r="J412" i="7"/>
  <c r="L412" i="7" s="1"/>
  <c r="I412" i="7"/>
  <c r="J409" i="7"/>
  <c r="L409" i="7" s="1"/>
  <c r="I409" i="7"/>
  <c r="J406" i="7"/>
  <c r="L406" i="7" s="1"/>
  <c r="I406" i="7"/>
  <c r="J403" i="7"/>
  <c r="L403" i="7" s="1"/>
  <c r="I403" i="7"/>
  <c r="J400" i="7"/>
  <c r="L400" i="7" s="1"/>
  <c r="I400" i="7"/>
  <c r="J397" i="7"/>
  <c r="L397" i="7" s="1"/>
  <c r="I397" i="7"/>
  <c r="L394" i="7"/>
  <c r="J394" i="7"/>
  <c r="I394" i="7"/>
  <c r="J390" i="7"/>
  <c r="L390" i="7" s="1"/>
  <c r="I390" i="7"/>
  <c r="J387" i="7"/>
  <c r="L387" i="7" s="1"/>
  <c r="I387" i="7"/>
  <c r="J384" i="7"/>
  <c r="L384" i="7" s="1"/>
  <c r="I384" i="7"/>
  <c r="J381" i="7"/>
  <c r="L381" i="7" s="1"/>
  <c r="I381" i="7"/>
  <c r="J378" i="7"/>
  <c r="L378" i="7" s="1"/>
  <c r="I378" i="7"/>
  <c r="J374" i="7"/>
  <c r="L374" i="7" s="1"/>
  <c r="I374" i="7"/>
  <c r="J371" i="7"/>
  <c r="L371" i="7" s="1"/>
  <c r="I371" i="7"/>
  <c r="L368" i="7"/>
  <c r="J368" i="7"/>
  <c r="I368" i="7"/>
  <c r="J365" i="7"/>
  <c r="L365" i="7" s="1"/>
  <c r="I365" i="7"/>
  <c r="J362" i="7"/>
  <c r="L362" i="7" s="1"/>
  <c r="I362" i="7"/>
  <c r="J359" i="7"/>
  <c r="L359" i="7" s="1"/>
  <c r="I359" i="7"/>
  <c r="J356" i="7"/>
  <c r="L356" i="7" s="1"/>
  <c r="I356" i="7"/>
  <c r="J353" i="7"/>
  <c r="L353" i="7" s="1"/>
  <c r="I353" i="7"/>
  <c r="J350" i="7"/>
  <c r="L350" i="7" s="1"/>
  <c r="I350" i="7"/>
  <c r="J347" i="7"/>
  <c r="L347" i="7" s="1"/>
  <c r="I347" i="7"/>
  <c r="L344" i="7"/>
  <c r="J344" i="7"/>
  <c r="I344" i="7"/>
  <c r="J341" i="7"/>
  <c r="L341" i="7" s="1"/>
  <c r="I341" i="7"/>
  <c r="J338" i="7"/>
  <c r="L338" i="7" s="1"/>
  <c r="I338" i="7"/>
  <c r="J335" i="7"/>
  <c r="L335" i="7" s="1"/>
  <c r="I335" i="7"/>
  <c r="J332" i="7"/>
  <c r="L332" i="7" s="1"/>
  <c r="I332" i="7"/>
  <c r="J329" i="7"/>
  <c r="L329" i="7" s="1"/>
  <c r="I329" i="7"/>
  <c r="J326" i="7"/>
  <c r="L326" i="7" s="1"/>
  <c r="I326" i="7"/>
  <c r="J323" i="7"/>
  <c r="L323" i="7" s="1"/>
  <c r="I323" i="7"/>
  <c r="L320" i="7"/>
  <c r="J320" i="7"/>
  <c r="I320" i="7"/>
  <c r="J317" i="7"/>
  <c r="L317" i="7" s="1"/>
  <c r="I317" i="7"/>
  <c r="J314" i="7"/>
  <c r="L314" i="7" s="1"/>
  <c r="I314" i="7"/>
  <c r="J311" i="7"/>
  <c r="L311" i="7" s="1"/>
  <c r="I311" i="7"/>
  <c r="J308" i="7"/>
  <c r="L308" i="7" s="1"/>
  <c r="I308" i="7"/>
  <c r="J305" i="7"/>
  <c r="L305" i="7" s="1"/>
  <c r="I305" i="7"/>
  <c r="J302" i="7"/>
  <c r="L302" i="7" s="1"/>
  <c r="I302" i="7"/>
  <c r="J299" i="7"/>
  <c r="L299" i="7" s="1"/>
  <c r="I299" i="7"/>
  <c r="L296" i="7"/>
  <c r="J296" i="7"/>
  <c r="I296" i="7"/>
  <c r="J293" i="7"/>
  <c r="L293" i="7" s="1"/>
  <c r="I293" i="7"/>
  <c r="J290" i="7"/>
  <c r="L290" i="7" s="1"/>
  <c r="I290" i="7"/>
  <c r="J287" i="7"/>
  <c r="L287" i="7" s="1"/>
  <c r="I287" i="7"/>
  <c r="J284" i="7"/>
  <c r="L284" i="7" s="1"/>
  <c r="I284" i="7"/>
  <c r="J281" i="7"/>
  <c r="L281" i="7" s="1"/>
  <c r="I281" i="7"/>
  <c r="J278" i="7"/>
  <c r="L278" i="7" s="1"/>
  <c r="I278" i="7"/>
  <c r="J275" i="7"/>
  <c r="L275" i="7" s="1"/>
  <c r="I275" i="7"/>
  <c r="L272" i="7"/>
  <c r="J272" i="7"/>
  <c r="I272" i="7"/>
  <c r="J269" i="7"/>
  <c r="L269" i="7" s="1"/>
  <c r="I269" i="7"/>
  <c r="J266" i="7"/>
  <c r="L266" i="7" s="1"/>
  <c r="I266" i="7"/>
  <c r="J263" i="7"/>
  <c r="L263" i="7" s="1"/>
  <c r="I263" i="7"/>
  <c r="J260" i="7"/>
  <c r="L260" i="7" s="1"/>
  <c r="I260" i="7"/>
  <c r="J257" i="7"/>
  <c r="L257" i="7" s="1"/>
  <c r="I257" i="7"/>
  <c r="J254" i="7"/>
  <c r="L254" i="7" s="1"/>
  <c r="I254" i="7"/>
  <c r="J251" i="7"/>
  <c r="L251" i="7" s="1"/>
  <c r="I251" i="7"/>
  <c r="L248" i="7"/>
  <c r="J248" i="7"/>
  <c r="I248" i="7"/>
  <c r="J245" i="7"/>
  <c r="L245" i="7" s="1"/>
  <c r="I245" i="7"/>
  <c r="J242" i="7"/>
  <c r="L242" i="7" s="1"/>
  <c r="I242" i="7"/>
  <c r="J239" i="7"/>
  <c r="L239" i="7" s="1"/>
  <c r="I239" i="7"/>
  <c r="J236" i="7"/>
  <c r="L236" i="7" s="1"/>
  <c r="I236" i="7"/>
  <c r="J233" i="7"/>
  <c r="L233" i="7" s="1"/>
  <c r="I233" i="7"/>
  <c r="J230" i="7"/>
  <c r="L230" i="7" s="1"/>
  <c r="I230" i="7"/>
  <c r="J227" i="7"/>
  <c r="L227" i="7" s="1"/>
  <c r="I227" i="7"/>
  <c r="L224" i="7"/>
  <c r="J224" i="7"/>
  <c r="I224" i="7"/>
  <c r="J221" i="7"/>
  <c r="L221" i="7" s="1"/>
  <c r="I221" i="7"/>
  <c r="J218" i="7"/>
  <c r="L218" i="7" s="1"/>
  <c r="I218" i="7"/>
  <c r="J215" i="7"/>
  <c r="L215" i="7" s="1"/>
  <c r="I215" i="7"/>
  <c r="J212" i="7"/>
  <c r="L212" i="7" s="1"/>
  <c r="I212" i="7"/>
  <c r="J209" i="7"/>
  <c r="L209" i="7" s="1"/>
  <c r="I209" i="7"/>
  <c r="J206" i="7"/>
  <c r="L206" i="7" s="1"/>
  <c r="I206" i="7"/>
  <c r="J203" i="7"/>
  <c r="L203" i="7" s="1"/>
  <c r="I203" i="7"/>
  <c r="L200" i="7"/>
  <c r="J200" i="7"/>
  <c r="I200" i="7"/>
  <c r="J197" i="7"/>
  <c r="L197" i="7" s="1"/>
  <c r="I197" i="7"/>
  <c r="J194" i="7"/>
  <c r="L194" i="7" s="1"/>
  <c r="I194" i="7"/>
  <c r="J191" i="7"/>
  <c r="L191" i="7" s="1"/>
  <c r="I191" i="7"/>
  <c r="J188" i="7"/>
  <c r="L188" i="7" s="1"/>
  <c r="I188" i="7"/>
  <c r="J185" i="7"/>
  <c r="L185" i="7" s="1"/>
  <c r="I185" i="7"/>
  <c r="J182" i="7"/>
  <c r="L182" i="7" s="1"/>
  <c r="I182" i="7"/>
  <c r="J179" i="7"/>
  <c r="L179" i="7" s="1"/>
  <c r="I179" i="7"/>
  <c r="L176" i="7"/>
  <c r="J176" i="7"/>
  <c r="I176" i="7"/>
  <c r="J173" i="7"/>
  <c r="L173" i="7" s="1"/>
  <c r="I173" i="7"/>
  <c r="J170" i="7"/>
  <c r="L170" i="7" s="1"/>
  <c r="I170" i="7"/>
  <c r="J167" i="7"/>
  <c r="L167" i="7" s="1"/>
  <c r="I167" i="7"/>
  <c r="J164" i="7"/>
  <c r="L164" i="7" s="1"/>
  <c r="I164" i="7"/>
  <c r="J161" i="7"/>
  <c r="L161" i="7" s="1"/>
  <c r="I161" i="7"/>
  <c r="J158" i="7"/>
  <c r="L158" i="7" s="1"/>
  <c r="I158" i="7"/>
  <c r="J155" i="7"/>
  <c r="L155" i="7" s="1"/>
  <c r="I155" i="7"/>
  <c r="L152" i="7"/>
  <c r="J152" i="7"/>
  <c r="I152" i="7"/>
  <c r="J149" i="7"/>
  <c r="L149" i="7" s="1"/>
  <c r="I149" i="7"/>
  <c r="J146" i="7"/>
  <c r="L146" i="7" s="1"/>
  <c r="I146" i="7"/>
  <c r="J143" i="7"/>
  <c r="L143" i="7" s="1"/>
  <c r="I143" i="7"/>
  <c r="J140" i="7"/>
  <c r="L140" i="7" s="1"/>
  <c r="I140" i="7"/>
  <c r="J137" i="7"/>
  <c r="L137" i="7" s="1"/>
  <c r="I137" i="7"/>
  <c r="J134" i="7"/>
  <c r="L134" i="7" s="1"/>
  <c r="I134" i="7"/>
  <c r="J131" i="7"/>
  <c r="L131" i="7" s="1"/>
  <c r="I131" i="7"/>
  <c r="L128" i="7"/>
  <c r="J128" i="7"/>
  <c r="I128" i="7"/>
  <c r="J125" i="7"/>
  <c r="L125" i="7" s="1"/>
  <c r="I125" i="7"/>
  <c r="J122" i="7"/>
  <c r="L122" i="7" s="1"/>
  <c r="I122" i="7"/>
  <c r="J119" i="7"/>
  <c r="L119" i="7" s="1"/>
  <c r="I119" i="7"/>
  <c r="J116" i="7"/>
  <c r="L116" i="7" s="1"/>
  <c r="I116" i="7"/>
  <c r="J113" i="7"/>
  <c r="L113" i="7" s="1"/>
  <c r="I113" i="7"/>
  <c r="J110" i="7"/>
  <c r="I110" i="7"/>
  <c r="J107" i="7"/>
  <c r="I107" i="7"/>
  <c r="J104" i="7"/>
  <c r="I104" i="7"/>
  <c r="J101" i="7"/>
  <c r="I101" i="7"/>
  <c r="J98" i="7"/>
  <c r="I98" i="7"/>
  <c r="J95" i="7"/>
  <c r="L95" i="7" s="1"/>
  <c r="I95" i="7"/>
  <c r="J92" i="7"/>
  <c r="L92" i="7" s="1"/>
  <c r="I92" i="7"/>
  <c r="J89" i="7"/>
  <c r="L89" i="7" s="1"/>
  <c r="I89" i="7"/>
  <c r="J86" i="7"/>
  <c r="L86" i="7" s="1"/>
  <c r="I86" i="7"/>
  <c r="J83" i="7"/>
  <c r="L83" i="7" s="1"/>
  <c r="I83" i="7"/>
  <c r="L80" i="7"/>
  <c r="J80" i="7"/>
  <c r="I80" i="7"/>
  <c r="J77" i="7"/>
  <c r="L77" i="7" s="1"/>
  <c r="I77" i="7"/>
  <c r="J74" i="7"/>
  <c r="L74" i="7" s="1"/>
  <c r="I74" i="7"/>
  <c r="J71" i="7"/>
  <c r="L71" i="7" s="1"/>
  <c r="I71" i="7"/>
  <c r="J68" i="7"/>
  <c r="L68" i="7" s="1"/>
  <c r="I68" i="7"/>
  <c r="J65" i="7"/>
  <c r="L65" i="7" s="1"/>
  <c r="I65" i="7"/>
  <c r="J62" i="7"/>
  <c r="L62" i="7" s="1"/>
  <c r="I62" i="7"/>
  <c r="J59" i="7"/>
  <c r="L59" i="7" s="1"/>
  <c r="I59" i="7"/>
  <c r="L56" i="7"/>
  <c r="J56" i="7"/>
  <c r="I56" i="7"/>
  <c r="J53" i="7"/>
  <c r="L53" i="7" s="1"/>
  <c r="I53" i="7"/>
  <c r="J50" i="7"/>
  <c r="L50" i="7" s="1"/>
  <c r="I50" i="7"/>
  <c r="J47" i="7"/>
  <c r="L47" i="7" s="1"/>
  <c r="I47" i="7"/>
  <c r="J44" i="7"/>
  <c r="L44" i="7" s="1"/>
  <c r="I44" i="7"/>
  <c r="J41" i="7"/>
  <c r="L41" i="7" s="1"/>
  <c r="I41" i="7"/>
  <c r="J38" i="7"/>
  <c r="L38" i="7" s="1"/>
  <c r="I38" i="7"/>
  <c r="J35" i="7"/>
  <c r="L35" i="7" s="1"/>
  <c r="I35" i="7"/>
  <c r="L32" i="7"/>
  <c r="J32" i="7"/>
  <c r="I32" i="7"/>
  <c r="J29" i="7"/>
  <c r="L29" i="7" s="1"/>
  <c r="I29" i="7"/>
  <c r="J26" i="7"/>
  <c r="L26" i="7" s="1"/>
  <c r="I26" i="7"/>
  <c r="J23" i="7"/>
  <c r="L23" i="7" s="1"/>
  <c r="I23" i="7"/>
  <c r="J20" i="7"/>
  <c r="L20" i="7" s="1"/>
  <c r="I20" i="7"/>
  <c r="J17" i="7"/>
  <c r="L17" i="7" s="1"/>
  <c r="I17" i="7"/>
  <c r="J14" i="7"/>
  <c r="L14" i="7" s="1"/>
  <c r="I14" i="7"/>
  <c r="J11" i="7"/>
  <c r="L11" i="7" s="1"/>
  <c r="I11" i="7"/>
  <c r="L8" i="7"/>
  <c r="J8" i="7"/>
  <c r="I8" i="7"/>
  <c r="J5" i="7"/>
  <c r="L5" i="7" s="1"/>
  <c r="I5" i="7"/>
  <c r="J568" i="4"/>
  <c r="I568" i="4"/>
  <c r="J565" i="4"/>
  <c r="I565" i="4"/>
  <c r="J562" i="4"/>
  <c r="L562" i="4" s="1"/>
  <c r="I562" i="4"/>
  <c r="J559" i="4"/>
  <c r="I559" i="4"/>
  <c r="J556" i="4"/>
  <c r="I556" i="4"/>
  <c r="J552" i="4"/>
  <c r="I552" i="4"/>
  <c r="J548" i="4"/>
  <c r="I548" i="4"/>
  <c r="J544" i="4"/>
  <c r="I544" i="4"/>
  <c r="J541" i="4"/>
  <c r="I541" i="4"/>
  <c r="J538" i="4"/>
  <c r="I538" i="4"/>
  <c r="J535" i="4"/>
  <c r="I535" i="4"/>
  <c r="J531" i="4"/>
  <c r="I531" i="4"/>
  <c r="J528" i="4"/>
  <c r="L528" i="4" s="1"/>
  <c r="I528" i="4"/>
  <c r="J524" i="4"/>
  <c r="L524" i="4" s="1"/>
  <c r="I524" i="4"/>
  <c r="J520" i="4"/>
  <c r="L520" i="4" s="1"/>
  <c r="I520" i="4"/>
  <c r="J517" i="4"/>
  <c r="I517" i="4"/>
  <c r="J514" i="4"/>
  <c r="I514" i="4"/>
  <c r="J511" i="4"/>
  <c r="I511" i="4"/>
  <c r="J508" i="4"/>
  <c r="L508" i="4" s="1"/>
  <c r="I508" i="4"/>
  <c r="J504" i="4"/>
  <c r="I504" i="4"/>
  <c r="J501" i="4"/>
  <c r="I501" i="4"/>
  <c r="J498" i="4"/>
  <c r="L498" i="4" s="1"/>
  <c r="I498" i="4"/>
  <c r="J495" i="4"/>
  <c r="L495" i="4" s="1"/>
  <c r="I495" i="4"/>
  <c r="J491" i="4"/>
  <c r="L491" i="4" s="1"/>
  <c r="I491" i="4"/>
  <c r="J487" i="4"/>
  <c r="I487" i="4"/>
  <c r="J484" i="4"/>
  <c r="I484" i="4"/>
  <c r="J480" i="4"/>
  <c r="L480" i="4" s="1"/>
  <c r="I480" i="4"/>
  <c r="J477" i="4"/>
  <c r="L477" i="4" s="1"/>
  <c r="I477" i="4"/>
  <c r="J474" i="4"/>
  <c r="I474" i="4"/>
  <c r="J471" i="4"/>
  <c r="L471" i="4" s="1"/>
  <c r="I471" i="4"/>
  <c r="J468" i="4"/>
  <c r="I468" i="4"/>
  <c r="J464" i="4"/>
  <c r="I464" i="4"/>
  <c r="J461" i="4"/>
  <c r="I461" i="4"/>
  <c r="J458" i="4"/>
  <c r="L458" i="4" s="1"/>
  <c r="I458" i="4"/>
  <c r="J455" i="4"/>
  <c r="I455" i="4"/>
  <c r="J451" i="4"/>
  <c r="I451" i="4"/>
  <c r="J447" i="4"/>
  <c r="I447" i="4"/>
  <c r="L444" i="4"/>
  <c r="J444" i="4"/>
  <c r="I444" i="4"/>
  <c r="J441" i="4"/>
  <c r="I441" i="4"/>
  <c r="J438" i="4"/>
  <c r="I438" i="4"/>
  <c r="J435" i="4"/>
  <c r="I435" i="4"/>
  <c r="J431" i="4"/>
  <c r="L431" i="4" s="1"/>
  <c r="I431" i="4"/>
  <c r="J428" i="4"/>
  <c r="I428" i="4"/>
  <c r="J425" i="4"/>
  <c r="I425" i="4"/>
  <c r="J422" i="4"/>
  <c r="I422" i="4"/>
  <c r="J419" i="4"/>
  <c r="I419" i="4"/>
  <c r="L419" i="4" s="1"/>
  <c r="J416" i="4"/>
  <c r="I416" i="4"/>
  <c r="J412" i="4"/>
  <c r="I412" i="4"/>
  <c r="J409" i="4"/>
  <c r="I409" i="4"/>
  <c r="J406" i="4"/>
  <c r="I406" i="4"/>
  <c r="J403" i="4"/>
  <c r="I403" i="4"/>
  <c r="J400" i="4"/>
  <c r="I400" i="4"/>
  <c r="J397" i="4"/>
  <c r="I397" i="4"/>
  <c r="J394" i="4"/>
  <c r="L394" i="4" s="1"/>
  <c r="I394" i="4"/>
  <c r="J390" i="4"/>
  <c r="I390" i="4"/>
  <c r="J387" i="4"/>
  <c r="I387" i="4"/>
  <c r="J384" i="4"/>
  <c r="I384" i="4"/>
  <c r="J381" i="4"/>
  <c r="L381" i="4" s="1"/>
  <c r="I381" i="4"/>
  <c r="J378" i="4"/>
  <c r="I378" i="4"/>
  <c r="J374" i="4"/>
  <c r="I374" i="4"/>
  <c r="J371" i="4"/>
  <c r="I371" i="4"/>
  <c r="J368" i="4"/>
  <c r="I368" i="4"/>
  <c r="L368" i="4" s="1"/>
  <c r="J365" i="4"/>
  <c r="I365" i="4"/>
  <c r="J362" i="4"/>
  <c r="L362" i="4" s="1"/>
  <c r="I362" i="4"/>
  <c r="J359" i="4"/>
  <c r="I359" i="4"/>
  <c r="J356" i="4"/>
  <c r="I356" i="4"/>
  <c r="J353" i="4"/>
  <c r="I353" i="4"/>
  <c r="J350" i="4"/>
  <c r="L350" i="4" s="1"/>
  <c r="I350" i="4"/>
  <c r="J347" i="4"/>
  <c r="I347" i="4"/>
  <c r="J344" i="4"/>
  <c r="I344" i="4"/>
  <c r="J341" i="4"/>
  <c r="I341" i="4"/>
  <c r="J338" i="4"/>
  <c r="L338" i="4" s="1"/>
  <c r="I338" i="4"/>
  <c r="J335" i="4"/>
  <c r="I335" i="4"/>
  <c r="J332" i="4"/>
  <c r="I332" i="4"/>
  <c r="J329" i="4"/>
  <c r="I329" i="4"/>
  <c r="J326" i="4"/>
  <c r="L326" i="4" s="1"/>
  <c r="I326" i="4"/>
  <c r="J323" i="4"/>
  <c r="I323" i="4"/>
  <c r="J320" i="4"/>
  <c r="I320" i="4"/>
  <c r="J317" i="4"/>
  <c r="I317" i="4"/>
  <c r="J314" i="4"/>
  <c r="I314" i="4"/>
  <c r="J311" i="4"/>
  <c r="I311" i="4"/>
  <c r="J308" i="4"/>
  <c r="I308" i="4"/>
  <c r="J305" i="4"/>
  <c r="I305" i="4"/>
  <c r="J302" i="4"/>
  <c r="I302" i="4"/>
  <c r="J299" i="4"/>
  <c r="I299" i="4"/>
  <c r="J296" i="4"/>
  <c r="L296" i="4" s="1"/>
  <c r="I296" i="4"/>
  <c r="J293" i="4"/>
  <c r="L293" i="4" s="1"/>
  <c r="I293" i="4"/>
  <c r="J290" i="4"/>
  <c r="I290" i="4"/>
  <c r="J287" i="4"/>
  <c r="I287" i="4"/>
  <c r="J284" i="4"/>
  <c r="I284" i="4"/>
  <c r="J281" i="4"/>
  <c r="L281" i="4" s="1"/>
  <c r="I281" i="4"/>
  <c r="J278" i="4"/>
  <c r="L278" i="4" s="1"/>
  <c r="I278" i="4"/>
  <c r="J275" i="4"/>
  <c r="I275" i="4"/>
  <c r="J272" i="4"/>
  <c r="L272" i="4" s="1"/>
  <c r="I272" i="4"/>
  <c r="J269" i="4"/>
  <c r="I269" i="4"/>
  <c r="J266" i="4"/>
  <c r="I266" i="4"/>
  <c r="J263" i="4"/>
  <c r="L263" i="4" s="1"/>
  <c r="I263" i="4"/>
  <c r="J260" i="4"/>
  <c r="L260" i="4" s="1"/>
  <c r="I260" i="4"/>
  <c r="J257" i="4"/>
  <c r="I257" i="4"/>
  <c r="J254" i="4"/>
  <c r="I254" i="4"/>
  <c r="J251" i="4"/>
  <c r="L251" i="4" s="1"/>
  <c r="I251" i="4"/>
  <c r="J248" i="4"/>
  <c r="I248" i="4"/>
  <c r="L248" i="4" s="1"/>
  <c r="J245" i="4"/>
  <c r="I245" i="4"/>
  <c r="J242" i="4"/>
  <c r="I242" i="4"/>
  <c r="J239" i="4"/>
  <c r="I239" i="4"/>
  <c r="J236" i="4"/>
  <c r="I236" i="4"/>
  <c r="J233" i="4"/>
  <c r="L233" i="4" s="1"/>
  <c r="I233" i="4"/>
  <c r="J230" i="4"/>
  <c r="I230" i="4"/>
  <c r="J227" i="4"/>
  <c r="I227" i="4"/>
  <c r="J224" i="4"/>
  <c r="I224" i="4"/>
  <c r="J221" i="4"/>
  <c r="I221" i="4"/>
  <c r="J218" i="4"/>
  <c r="I218" i="4"/>
  <c r="J215" i="4"/>
  <c r="I215" i="4"/>
  <c r="J212" i="4"/>
  <c r="I212" i="4"/>
  <c r="J209" i="4"/>
  <c r="I209" i="4"/>
  <c r="J206" i="4"/>
  <c r="I206" i="4"/>
  <c r="J203" i="4"/>
  <c r="I203" i="4"/>
  <c r="J200" i="4"/>
  <c r="I200" i="4"/>
  <c r="J197" i="4"/>
  <c r="I197" i="4"/>
  <c r="J194" i="4"/>
  <c r="I194" i="4"/>
  <c r="J191" i="4"/>
  <c r="I191" i="4"/>
  <c r="J188" i="4"/>
  <c r="I188" i="4"/>
  <c r="J185" i="4"/>
  <c r="I185" i="4"/>
  <c r="J182" i="4"/>
  <c r="I182" i="4"/>
  <c r="J179" i="4"/>
  <c r="I179" i="4"/>
  <c r="J176" i="4"/>
  <c r="I176" i="4"/>
  <c r="L176" i="4" s="1"/>
  <c r="J173" i="4"/>
  <c r="L173" i="4" s="1"/>
  <c r="I173" i="4"/>
  <c r="J170" i="4"/>
  <c r="I170" i="4"/>
  <c r="J167" i="4"/>
  <c r="I167" i="4"/>
  <c r="J164" i="4"/>
  <c r="I164" i="4"/>
  <c r="J161" i="4"/>
  <c r="L161" i="4" s="1"/>
  <c r="I161" i="4"/>
  <c r="J158" i="4"/>
  <c r="I158" i="4"/>
  <c r="J155" i="4"/>
  <c r="I155" i="4"/>
  <c r="J152" i="4"/>
  <c r="I152" i="4"/>
  <c r="J149" i="4"/>
  <c r="I149" i="4"/>
  <c r="J146" i="4"/>
  <c r="I146" i="4"/>
  <c r="J143" i="4"/>
  <c r="I143" i="4"/>
  <c r="J140" i="4"/>
  <c r="I140" i="4"/>
  <c r="J137" i="4"/>
  <c r="I137" i="4"/>
  <c r="J134" i="4"/>
  <c r="I134" i="4"/>
  <c r="J131" i="4"/>
  <c r="I131" i="4"/>
  <c r="J128" i="4"/>
  <c r="I128" i="4"/>
  <c r="J125" i="4"/>
  <c r="L125" i="4" s="1"/>
  <c r="I125" i="4"/>
  <c r="J122" i="4"/>
  <c r="I122" i="4"/>
  <c r="J119" i="4"/>
  <c r="I119" i="4"/>
  <c r="J116" i="4"/>
  <c r="I116" i="4"/>
  <c r="J113" i="4"/>
  <c r="L113" i="4" s="1"/>
  <c r="I113" i="4"/>
  <c r="J110" i="4"/>
  <c r="I110" i="4"/>
  <c r="J107" i="4"/>
  <c r="I107" i="4"/>
  <c r="J104" i="4"/>
  <c r="L104" i="4" s="1"/>
  <c r="I104" i="4"/>
  <c r="J101" i="4"/>
  <c r="I101" i="4"/>
  <c r="J98" i="4"/>
  <c r="L98" i="4" s="1"/>
  <c r="I98" i="4"/>
  <c r="J95" i="4"/>
  <c r="I95" i="4"/>
  <c r="J92" i="4"/>
  <c r="I92" i="4"/>
  <c r="J89" i="4"/>
  <c r="I89" i="4"/>
  <c r="J86" i="4"/>
  <c r="L86" i="4" s="1"/>
  <c r="I86" i="4"/>
  <c r="J83" i="4"/>
  <c r="I83" i="4"/>
  <c r="J80" i="4"/>
  <c r="L80" i="4" s="1"/>
  <c r="I80" i="4"/>
  <c r="J77" i="4"/>
  <c r="I77" i="4"/>
  <c r="J74" i="4"/>
  <c r="I74" i="4"/>
  <c r="J71" i="4"/>
  <c r="L71" i="4" s="1"/>
  <c r="I71" i="4"/>
  <c r="J68" i="4"/>
  <c r="L68" i="4" s="1"/>
  <c r="I68" i="4"/>
  <c r="J65" i="4"/>
  <c r="I65" i="4"/>
  <c r="J62" i="4"/>
  <c r="I62" i="4"/>
  <c r="J59" i="4"/>
  <c r="L59" i="4" s="1"/>
  <c r="I59" i="4"/>
  <c r="L56" i="4"/>
  <c r="J56" i="4"/>
  <c r="I56" i="4"/>
  <c r="J53" i="4"/>
  <c r="I53" i="4"/>
  <c r="J50" i="4"/>
  <c r="I50" i="4"/>
  <c r="J47" i="4"/>
  <c r="I47" i="4"/>
  <c r="J44" i="4"/>
  <c r="L44" i="4" s="1"/>
  <c r="I44" i="4"/>
  <c r="J41" i="4"/>
  <c r="I41" i="4"/>
  <c r="J38" i="4"/>
  <c r="I38" i="4"/>
  <c r="J35" i="4"/>
  <c r="I35" i="4"/>
  <c r="J32" i="4"/>
  <c r="I32" i="4"/>
  <c r="L32" i="4" s="1"/>
  <c r="J29" i="4"/>
  <c r="I29" i="4"/>
  <c r="J26" i="4"/>
  <c r="I26" i="4"/>
  <c r="J23" i="4"/>
  <c r="I23" i="4"/>
  <c r="J20" i="4"/>
  <c r="I20" i="4"/>
  <c r="J17" i="4"/>
  <c r="I17" i="4"/>
  <c r="J14" i="4"/>
  <c r="I14" i="4"/>
  <c r="J11" i="4"/>
  <c r="I11" i="4"/>
  <c r="J8" i="4"/>
  <c r="L8" i="4" s="1"/>
  <c r="I8" i="4"/>
  <c r="J5" i="4"/>
  <c r="I5" i="4"/>
  <c r="J568" i="5"/>
  <c r="L568" i="5" s="1"/>
  <c r="I568" i="5"/>
  <c r="J565" i="5"/>
  <c r="L565" i="5" s="1"/>
  <c r="I565" i="5"/>
  <c r="J562" i="5"/>
  <c r="L562" i="5" s="1"/>
  <c r="I562" i="5"/>
  <c r="J559" i="5"/>
  <c r="L559" i="5" s="1"/>
  <c r="I559" i="5"/>
  <c r="J556" i="5"/>
  <c r="L556" i="5" s="1"/>
  <c r="I556" i="5"/>
  <c r="L552" i="5"/>
  <c r="J552" i="5"/>
  <c r="I552" i="5"/>
  <c r="J548" i="5"/>
  <c r="L548" i="5" s="1"/>
  <c r="I548" i="5"/>
  <c r="J544" i="5"/>
  <c r="L544" i="5" s="1"/>
  <c r="I544" i="5"/>
  <c r="J541" i="5"/>
  <c r="L541" i="5" s="1"/>
  <c r="I541" i="5"/>
  <c r="J538" i="5"/>
  <c r="L538" i="5" s="1"/>
  <c r="I538" i="5"/>
  <c r="J535" i="5"/>
  <c r="L535" i="5" s="1"/>
  <c r="I535" i="5"/>
  <c r="J531" i="5"/>
  <c r="L531" i="5" s="1"/>
  <c r="I531" i="5"/>
  <c r="J528" i="5"/>
  <c r="L528" i="5" s="1"/>
  <c r="I528" i="5"/>
  <c r="L524" i="5"/>
  <c r="J524" i="5"/>
  <c r="I524" i="5"/>
  <c r="J520" i="5"/>
  <c r="L520" i="5" s="1"/>
  <c r="I520" i="5"/>
  <c r="J517" i="5"/>
  <c r="L517" i="5" s="1"/>
  <c r="I517" i="5"/>
  <c r="J514" i="5"/>
  <c r="L514" i="5" s="1"/>
  <c r="I514" i="5"/>
  <c r="J511" i="5"/>
  <c r="L511" i="5" s="1"/>
  <c r="I511" i="5"/>
  <c r="J508" i="5"/>
  <c r="L508" i="5" s="1"/>
  <c r="I508" i="5"/>
  <c r="J504" i="5"/>
  <c r="L504" i="5" s="1"/>
  <c r="I504" i="5"/>
  <c r="J501" i="5"/>
  <c r="L501" i="5" s="1"/>
  <c r="I501" i="5"/>
  <c r="L498" i="5"/>
  <c r="J498" i="5"/>
  <c r="I498" i="5"/>
  <c r="J495" i="5"/>
  <c r="L495" i="5" s="1"/>
  <c r="I495" i="5"/>
  <c r="J491" i="5"/>
  <c r="L491" i="5" s="1"/>
  <c r="I491" i="5"/>
  <c r="J487" i="5"/>
  <c r="L487" i="5" s="1"/>
  <c r="I487" i="5"/>
  <c r="J484" i="5"/>
  <c r="L484" i="5" s="1"/>
  <c r="I484" i="5"/>
  <c r="J480" i="5"/>
  <c r="L480" i="5" s="1"/>
  <c r="I480" i="5"/>
  <c r="J477" i="5"/>
  <c r="L477" i="5" s="1"/>
  <c r="I477" i="5"/>
  <c r="J474" i="5"/>
  <c r="L474" i="5" s="1"/>
  <c r="I474" i="5"/>
  <c r="L471" i="5"/>
  <c r="J471" i="5"/>
  <c r="I471" i="5"/>
  <c r="J468" i="5"/>
  <c r="L468" i="5" s="1"/>
  <c r="I468" i="5"/>
  <c r="J464" i="5"/>
  <c r="L464" i="5" s="1"/>
  <c r="I464" i="5"/>
  <c r="J461" i="5"/>
  <c r="L461" i="5" s="1"/>
  <c r="I461" i="5"/>
  <c r="J458" i="5"/>
  <c r="L458" i="5" s="1"/>
  <c r="I458" i="5"/>
  <c r="J455" i="5"/>
  <c r="L455" i="5" s="1"/>
  <c r="I455" i="5"/>
  <c r="J451" i="5"/>
  <c r="L451" i="5" s="1"/>
  <c r="I451" i="5"/>
  <c r="J447" i="5"/>
  <c r="L447" i="5" s="1"/>
  <c r="I447" i="5"/>
  <c r="L444" i="5"/>
  <c r="J444" i="5"/>
  <c r="I444" i="5"/>
  <c r="J441" i="5"/>
  <c r="L441" i="5" s="1"/>
  <c r="I441" i="5"/>
  <c r="J438" i="5"/>
  <c r="L438" i="5" s="1"/>
  <c r="I438" i="5"/>
  <c r="J435" i="5"/>
  <c r="L435" i="5" s="1"/>
  <c r="I435" i="5"/>
  <c r="J431" i="5"/>
  <c r="L431" i="5" s="1"/>
  <c r="I431" i="5"/>
  <c r="J428" i="5"/>
  <c r="L428" i="5" s="1"/>
  <c r="I428" i="5"/>
  <c r="J425" i="5"/>
  <c r="L425" i="5" s="1"/>
  <c r="I425" i="5"/>
  <c r="J422" i="5"/>
  <c r="L422" i="5" s="1"/>
  <c r="I422" i="5"/>
  <c r="L419" i="5"/>
  <c r="J419" i="5"/>
  <c r="I419" i="5"/>
  <c r="J416" i="5"/>
  <c r="L416" i="5" s="1"/>
  <c r="I416" i="5"/>
  <c r="J412" i="5"/>
  <c r="L412" i="5" s="1"/>
  <c r="I412" i="5"/>
  <c r="J409" i="5"/>
  <c r="L409" i="5" s="1"/>
  <c r="I409" i="5"/>
  <c r="J406" i="5"/>
  <c r="L406" i="5" s="1"/>
  <c r="I406" i="5"/>
  <c r="J403" i="5"/>
  <c r="L403" i="5" s="1"/>
  <c r="I403" i="5"/>
  <c r="J400" i="5"/>
  <c r="L400" i="5" s="1"/>
  <c r="I400" i="5"/>
  <c r="J397" i="5"/>
  <c r="L397" i="5" s="1"/>
  <c r="I397" i="5"/>
  <c r="L394" i="5"/>
  <c r="J394" i="5"/>
  <c r="I394" i="5"/>
  <c r="J390" i="5"/>
  <c r="L390" i="5" s="1"/>
  <c r="I390" i="5"/>
  <c r="J387" i="5"/>
  <c r="L387" i="5" s="1"/>
  <c r="I387" i="5"/>
  <c r="J384" i="5"/>
  <c r="L384" i="5" s="1"/>
  <c r="I384" i="5"/>
  <c r="J381" i="5"/>
  <c r="L381" i="5" s="1"/>
  <c r="I381" i="5"/>
  <c r="J378" i="5"/>
  <c r="L378" i="5" s="1"/>
  <c r="I378" i="5"/>
  <c r="J374" i="5"/>
  <c r="L374" i="5" s="1"/>
  <c r="I374" i="5"/>
  <c r="J371" i="5"/>
  <c r="L371" i="5" s="1"/>
  <c r="I371" i="5"/>
  <c r="L368" i="5"/>
  <c r="J368" i="5"/>
  <c r="I368" i="5"/>
  <c r="J365" i="5"/>
  <c r="L365" i="5" s="1"/>
  <c r="I365" i="5"/>
  <c r="J362" i="5"/>
  <c r="L362" i="5" s="1"/>
  <c r="I362" i="5"/>
  <c r="J359" i="5"/>
  <c r="L359" i="5" s="1"/>
  <c r="I359" i="5"/>
  <c r="J356" i="5"/>
  <c r="L356" i="5" s="1"/>
  <c r="I356" i="5"/>
  <c r="J353" i="5"/>
  <c r="L353" i="5" s="1"/>
  <c r="I353" i="5"/>
  <c r="J350" i="5"/>
  <c r="L350" i="5" s="1"/>
  <c r="I350" i="5"/>
  <c r="J347" i="5"/>
  <c r="L347" i="5" s="1"/>
  <c r="I347" i="5"/>
  <c r="L344" i="5"/>
  <c r="J344" i="5"/>
  <c r="I344" i="5"/>
  <c r="J341" i="5"/>
  <c r="L341" i="5" s="1"/>
  <c r="I341" i="5"/>
  <c r="J338" i="5"/>
  <c r="L338" i="5" s="1"/>
  <c r="I338" i="5"/>
  <c r="J335" i="5"/>
  <c r="L335" i="5" s="1"/>
  <c r="I335" i="5"/>
  <c r="J332" i="5"/>
  <c r="L332" i="5" s="1"/>
  <c r="I332" i="5"/>
  <c r="J329" i="5"/>
  <c r="L329" i="5" s="1"/>
  <c r="I329" i="5"/>
  <c r="J326" i="5"/>
  <c r="L326" i="5" s="1"/>
  <c r="I326" i="5"/>
  <c r="J323" i="5"/>
  <c r="L323" i="5" s="1"/>
  <c r="I323" i="5"/>
  <c r="L320" i="5"/>
  <c r="J320" i="5"/>
  <c r="I320" i="5"/>
  <c r="J317" i="5"/>
  <c r="L317" i="5" s="1"/>
  <c r="I317" i="5"/>
  <c r="J314" i="5"/>
  <c r="L314" i="5" s="1"/>
  <c r="I314" i="5"/>
  <c r="J311" i="5"/>
  <c r="L311" i="5" s="1"/>
  <c r="I311" i="5"/>
  <c r="J308" i="5"/>
  <c r="L308" i="5" s="1"/>
  <c r="I308" i="5"/>
  <c r="J305" i="5"/>
  <c r="L305" i="5" s="1"/>
  <c r="I305" i="5"/>
  <c r="J302" i="5"/>
  <c r="L302" i="5" s="1"/>
  <c r="I302" i="5"/>
  <c r="J299" i="5"/>
  <c r="L299" i="5" s="1"/>
  <c r="I299" i="5"/>
  <c r="L296" i="5"/>
  <c r="J296" i="5"/>
  <c r="I296" i="5"/>
  <c r="J293" i="5"/>
  <c r="L293" i="5" s="1"/>
  <c r="I293" i="5"/>
  <c r="J290" i="5"/>
  <c r="L290" i="5" s="1"/>
  <c r="I290" i="5"/>
  <c r="J287" i="5"/>
  <c r="L287" i="5" s="1"/>
  <c r="I287" i="5"/>
  <c r="J284" i="5"/>
  <c r="L284" i="5" s="1"/>
  <c r="I284" i="5"/>
  <c r="J281" i="5"/>
  <c r="L281" i="5" s="1"/>
  <c r="I281" i="5"/>
  <c r="J278" i="5"/>
  <c r="L278" i="5" s="1"/>
  <c r="I278" i="5"/>
  <c r="J275" i="5"/>
  <c r="L275" i="5" s="1"/>
  <c r="I275" i="5"/>
  <c r="L272" i="5"/>
  <c r="J272" i="5"/>
  <c r="I272" i="5"/>
  <c r="J269" i="5"/>
  <c r="L269" i="5" s="1"/>
  <c r="I269" i="5"/>
  <c r="J266" i="5"/>
  <c r="L266" i="5" s="1"/>
  <c r="I266" i="5"/>
  <c r="J263" i="5"/>
  <c r="L263" i="5" s="1"/>
  <c r="I263" i="5"/>
  <c r="J260" i="5"/>
  <c r="L260" i="5" s="1"/>
  <c r="I260" i="5"/>
  <c r="J257" i="5"/>
  <c r="L257" i="5" s="1"/>
  <c r="I257" i="5"/>
  <c r="J254" i="5"/>
  <c r="L254" i="5" s="1"/>
  <c r="I254" i="5"/>
  <c r="J251" i="5"/>
  <c r="L251" i="5" s="1"/>
  <c r="I251" i="5"/>
  <c r="L248" i="5"/>
  <c r="J248" i="5"/>
  <c r="I248" i="5"/>
  <c r="J245" i="5"/>
  <c r="L245" i="5" s="1"/>
  <c r="I245" i="5"/>
  <c r="J242" i="5"/>
  <c r="L242" i="5" s="1"/>
  <c r="I242" i="5"/>
  <c r="J239" i="5"/>
  <c r="L239" i="5" s="1"/>
  <c r="I239" i="5"/>
  <c r="J236" i="5"/>
  <c r="L236" i="5" s="1"/>
  <c r="I236" i="5"/>
  <c r="J233" i="5"/>
  <c r="L233" i="5" s="1"/>
  <c r="I233" i="5"/>
  <c r="J230" i="5"/>
  <c r="L230" i="5" s="1"/>
  <c r="I230" i="5"/>
  <c r="J227" i="5"/>
  <c r="L227" i="5" s="1"/>
  <c r="I227" i="5"/>
  <c r="L224" i="5"/>
  <c r="J224" i="5"/>
  <c r="I224" i="5"/>
  <c r="J221" i="5"/>
  <c r="L221" i="5" s="1"/>
  <c r="I221" i="5"/>
  <c r="J218" i="5"/>
  <c r="L218" i="5" s="1"/>
  <c r="I218" i="5"/>
  <c r="J215" i="5"/>
  <c r="L215" i="5" s="1"/>
  <c r="I215" i="5"/>
  <c r="J212" i="5"/>
  <c r="L212" i="5" s="1"/>
  <c r="I212" i="5"/>
  <c r="J209" i="5"/>
  <c r="L209" i="5" s="1"/>
  <c r="I209" i="5"/>
  <c r="J206" i="5"/>
  <c r="L206" i="5" s="1"/>
  <c r="I206" i="5"/>
  <c r="J203" i="5"/>
  <c r="L203" i="5" s="1"/>
  <c r="I203" i="5"/>
  <c r="L200" i="5"/>
  <c r="J200" i="5"/>
  <c r="I200" i="5"/>
  <c r="J197" i="5"/>
  <c r="L197" i="5" s="1"/>
  <c r="I197" i="5"/>
  <c r="J194" i="5"/>
  <c r="L194" i="5" s="1"/>
  <c r="I194" i="5"/>
  <c r="J191" i="5"/>
  <c r="L191" i="5" s="1"/>
  <c r="I191" i="5"/>
  <c r="J188" i="5"/>
  <c r="L188" i="5" s="1"/>
  <c r="I188" i="5"/>
  <c r="J185" i="5"/>
  <c r="L185" i="5" s="1"/>
  <c r="I185" i="5"/>
  <c r="J182" i="5"/>
  <c r="L182" i="5" s="1"/>
  <c r="I182" i="5"/>
  <c r="J179" i="5"/>
  <c r="L179" i="5" s="1"/>
  <c r="I179" i="5"/>
  <c r="L176" i="5"/>
  <c r="J176" i="5"/>
  <c r="I176" i="5"/>
  <c r="J173" i="5"/>
  <c r="L173" i="5" s="1"/>
  <c r="I173" i="5"/>
  <c r="J170" i="5"/>
  <c r="L170" i="5" s="1"/>
  <c r="I170" i="5"/>
  <c r="J167" i="5"/>
  <c r="L167" i="5" s="1"/>
  <c r="I167" i="5"/>
  <c r="J164" i="5"/>
  <c r="L164" i="5" s="1"/>
  <c r="I164" i="5"/>
  <c r="J161" i="5"/>
  <c r="L161" i="5" s="1"/>
  <c r="I161" i="5"/>
  <c r="J158" i="5"/>
  <c r="L158" i="5" s="1"/>
  <c r="I158" i="5"/>
  <c r="J155" i="5"/>
  <c r="L155" i="5" s="1"/>
  <c r="I155" i="5"/>
  <c r="L152" i="5"/>
  <c r="J152" i="5"/>
  <c r="I152" i="5"/>
  <c r="J149" i="5"/>
  <c r="L149" i="5" s="1"/>
  <c r="I149" i="5"/>
  <c r="J146" i="5"/>
  <c r="L146" i="5" s="1"/>
  <c r="I146" i="5"/>
  <c r="J143" i="5"/>
  <c r="L143" i="5" s="1"/>
  <c r="I143" i="5"/>
  <c r="J140" i="5"/>
  <c r="L140" i="5" s="1"/>
  <c r="I140" i="5"/>
  <c r="J137" i="5"/>
  <c r="L137" i="5" s="1"/>
  <c r="I137" i="5"/>
  <c r="J134" i="5"/>
  <c r="L134" i="5" s="1"/>
  <c r="I134" i="5"/>
  <c r="J131" i="5"/>
  <c r="L131" i="5" s="1"/>
  <c r="I131" i="5"/>
  <c r="L128" i="5"/>
  <c r="J128" i="5"/>
  <c r="I128" i="5"/>
  <c r="J125" i="5"/>
  <c r="L125" i="5" s="1"/>
  <c r="I125" i="5"/>
  <c r="J122" i="5"/>
  <c r="L122" i="5" s="1"/>
  <c r="I122" i="5"/>
  <c r="J119" i="5"/>
  <c r="L119" i="5" s="1"/>
  <c r="I119" i="5"/>
  <c r="J116" i="5"/>
  <c r="L116" i="5" s="1"/>
  <c r="I116" i="5"/>
  <c r="J113" i="5"/>
  <c r="L113" i="5" s="1"/>
  <c r="I113" i="5"/>
  <c r="J110" i="5"/>
  <c r="I110" i="5"/>
  <c r="J107" i="5"/>
  <c r="I107" i="5"/>
  <c r="J104" i="5"/>
  <c r="I104" i="5"/>
  <c r="J101" i="5"/>
  <c r="I101" i="5"/>
  <c r="J98" i="5"/>
  <c r="I98" i="5"/>
  <c r="J95" i="5"/>
  <c r="L95" i="5" s="1"/>
  <c r="I95" i="5"/>
  <c r="J92" i="5"/>
  <c r="L92" i="5" s="1"/>
  <c r="I92" i="5"/>
  <c r="J89" i="5"/>
  <c r="L89" i="5" s="1"/>
  <c r="I89" i="5"/>
  <c r="J86" i="5"/>
  <c r="L86" i="5" s="1"/>
  <c r="I86" i="5"/>
  <c r="J83" i="5"/>
  <c r="L83" i="5" s="1"/>
  <c r="I83" i="5"/>
  <c r="L80" i="5"/>
  <c r="J80" i="5"/>
  <c r="I80" i="5"/>
  <c r="J77" i="5"/>
  <c r="L77" i="5" s="1"/>
  <c r="I77" i="5"/>
  <c r="J74" i="5"/>
  <c r="L74" i="5" s="1"/>
  <c r="I74" i="5"/>
  <c r="J71" i="5"/>
  <c r="L71" i="5" s="1"/>
  <c r="I71" i="5"/>
  <c r="J68" i="5"/>
  <c r="L68" i="5" s="1"/>
  <c r="I68" i="5"/>
  <c r="J65" i="5"/>
  <c r="L65" i="5" s="1"/>
  <c r="I65" i="5"/>
  <c r="J62" i="5"/>
  <c r="L62" i="5" s="1"/>
  <c r="I62" i="5"/>
  <c r="J59" i="5"/>
  <c r="L59" i="5" s="1"/>
  <c r="I59" i="5"/>
  <c r="L56" i="5"/>
  <c r="J56" i="5"/>
  <c r="I56" i="5"/>
  <c r="J53" i="5"/>
  <c r="L53" i="5" s="1"/>
  <c r="I53" i="5"/>
  <c r="J50" i="5"/>
  <c r="L50" i="5" s="1"/>
  <c r="I50" i="5"/>
  <c r="J47" i="5"/>
  <c r="L47" i="5" s="1"/>
  <c r="I47" i="5"/>
  <c r="J44" i="5"/>
  <c r="L44" i="5" s="1"/>
  <c r="I44" i="5"/>
  <c r="J41" i="5"/>
  <c r="L41" i="5" s="1"/>
  <c r="I41" i="5"/>
  <c r="J38" i="5"/>
  <c r="L38" i="5" s="1"/>
  <c r="I38" i="5"/>
  <c r="J35" i="5"/>
  <c r="L35" i="5" s="1"/>
  <c r="I35" i="5"/>
  <c r="L32" i="5"/>
  <c r="J32" i="5"/>
  <c r="I32" i="5"/>
  <c r="J29" i="5"/>
  <c r="L29" i="5" s="1"/>
  <c r="I29" i="5"/>
  <c r="J26" i="5"/>
  <c r="L26" i="5" s="1"/>
  <c r="I26" i="5"/>
  <c r="J23" i="5"/>
  <c r="L23" i="5" s="1"/>
  <c r="I23" i="5"/>
  <c r="J20" i="5"/>
  <c r="L20" i="5" s="1"/>
  <c r="I20" i="5"/>
  <c r="J17" i="5"/>
  <c r="L17" i="5" s="1"/>
  <c r="I17" i="5"/>
  <c r="J14" i="5"/>
  <c r="L14" i="5" s="1"/>
  <c r="I14" i="5"/>
  <c r="J11" i="5"/>
  <c r="L11" i="5" s="1"/>
  <c r="I11" i="5"/>
  <c r="L8" i="5"/>
  <c r="J8" i="5"/>
  <c r="I8" i="5"/>
  <c r="J5" i="5"/>
  <c r="L5" i="5" s="1"/>
  <c r="I5" i="5"/>
  <c r="J568" i="6"/>
  <c r="L568" i="6" s="1"/>
  <c r="I568" i="6"/>
  <c r="J565" i="6"/>
  <c r="L565" i="6" s="1"/>
  <c r="I565" i="6"/>
  <c r="J562" i="6"/>
  <c r="L562" i="6" s="1"/>
  <c r="I562" i="6"/>
  <c r="J559" i="6"/>
  <c r="L559" i="6" s="1"/>
  <c r="I559" i="6"/>
  <c r="J556" i="6"/>
  <c r="L556" i="6" s="1"/>
  <c r="I556" i="6"/>
  <c r="J552" i="6"/>
  <c r="I552" i="6"/>
  <c r="L552" i="6" s="1"/>
  <c r="J548" i="6"/>
  <c r="L548" i="6" s="1"/>
  <c r="I548" i="6"/>
  <c r="J544" i="6"/>
  <c r="L544" i="6" s="1"/>
  <c r="I544" i="6"/>
  <c r="J541" i="6"/>
  <c r="L541" i="6" s="1"/>
  <c r="I541" i="6"/>
  <c r="J538" i="6"/>
  <c r="L538" i="6" s="1"/>
  <c r="I538" i="6"/>
  <c r="J531" i="6"/>
  <c r="L531" i="6" s="1"/>
  <c r="I531" i="6"/>
  <c r="J535" i="6"/>
  <c r="L535" i="6" s="1"/>
  <c r="I535" i="6"/>
  <c r="L520" i="6"/>
  <c r="J520" i="6"/>
  <c r="I520" i="6"/>
  <c r="J517" i="6"/>
  <c r="L517" i="6" s="1"/>
  <c r="I517" i="6"/>
  <c r="J514" i="6"/>
  <c r="L514" i="6" s="1"/>
  <c r="I514" i="6"/>
  <c r="J511" i="6"/>
  <c r="L511" i="6" s="1"/>
  <c r="I511" i="6"/>
  <c r="J528" i="6"/>
  <c r="L528" i="6" s="1"/>
  <c r="I528" i="6"/>
  <c r="J524" i="6"/>
  <c r="L524" i="6" s="1"/>
  <c r="I524" i="6"/>
  <c r="J508" i="6"/>
  <c r="L508" i="6" s="1"/>
  <c r="I508" i="6"/>
  <c r="J504" i="6"/>
  <c r="L504" i="6" s="1"/>
  <c r="I504" i="6"/>
  <c r="J501" i="6"/>
  <c r="L501" i="6" s="1"/>
  <c r="I501" i="6"/>
  <c r="J498" i="6"/>
  <c r="L498" i="6" s="1"/>
  <c r="I498" i="6"/>
  <c r="J495" i="6"/>
  <c r="L495" i="6" s="1"/>
  <c r="I495" i="6"/>
  <c r="J491" i="6"/>
  <c r="L491" i="6" s="1"/>
  <c r="I491" i="6"/>
  <c r="J487" i="6"/>
  <c r="L487" i="6" s="1"/>
  <c r="I487" i="6"/>
  <c r="J484" i="6"/>
  <c r="L484" i="6" s="1"/>
  <c r="I484" i="6"/>
  <c r="J480" i="6"/>
  <c r="L480" i="6" s="1"/>
  <c r="I480" i="6"/>
  <c r="J477" i="6"/>
  <c r="L477" i="6" s="1"/>
  <c r="I477" i="6"/>
  <c r="J474" i="6"/>
  <c r="L474" i="6" s="1"/>
  <c r="I474" i="6"/>
  <c r="J471" i="6"/>
  <c r="L471" i="6" s="1"/>
  <c r="I471" i="6"/>
  <c r="J468" i="6"/>
  <c r="L468" i="6" s="1"/>
  <c r="I468" i="6"/>
  <c r="J464" i="6"/>
  <c r="L464" i="6" s="1"/>
  <c r="I464" i="6"/>
  <c r="J461" i="6"/>
  <c r="L461" i="6" s="1"/>
  <c r="I461" i="6"/>
  <c r="J458" i="6"/>
  <c r="L458" i="6" s="1"/>
  <c r="I458" i="6"/>
  <c r="J455" i="6"/>
  <c r="L455" i="6" s="1"/>
  <c r="I455" i="6"/>
  <c r="J451" i="6"/>
  <c r="L451" i="6" s="1"/>
  <c r="I451" i="6"/>
  <c r="J447" i="6"/>
  <c r="L447" i="6" s="1"/>
  <c r="I447" i="6"/>
  <c r="J444" i="6"/>
  <c r="L444" i="6" s="1"/>
  <c r="I444" i="6"/>
  <c r="J441" i="6"/>
  <c r="L441" i="6" s="1"/>
  <c r="I441" i="6"/>
  <c r="J438" i="6"/>
  <c r="L438" i="6" s="1"/>
  <c r="I438" i="6"/>
  <c r="L435" i="6"/>
  <c r="J435" i="6"/>
  <c r="I435" i="6"/>
  <c r="J431" i="6"/>
  <c r="L431" i="6" s="1"/>
  <c r="I431" i="6"/>
  <c r="L428" i="6"/>
  <c r="J428" i="6"/>
  <c r="I428" i="6"/>
  <c r="J425" i="6"/>
  <c r="L425" i="6" s="1"/>
  <c r="I425" i="6"/>
  <c r="J422" i="6"/>
  <c r="L422" i="6" s="1"/>
  <c r="I422" i="6"/>
  <c r="J419" i="6"/>
  <c r="L419" i="6" s="1"/>
  <c r="I419" i="6"/>
  <c r="J416" i="6"/>
  <c r="L416" i="6" s="1"/>
  <c r="I416" i="6"/>
  <c r="J412" i="6"/>
  <c r="L412" i="6" s="1"/>
  <c r="I412" i="6"/>
  <c r="J409" i="6"/>
  <c r="L409" i="6" s="1"/>
  <c r="I409" i="6"/>
  <c r="J406" i="6"/>
  <c r="L406" i="6" s="1"/>
  <c r="I406" i="6"/>
  <c r="J403" i="6"/>
  <c r="L403" i="6" s="1"/>
  <c r="I403" i="6"/>
  <c r="J400" i="6"/>
  <c r="L400" i="6" s="1"/>
  <c r="I400" i="6"/>
  <c r="J397" i="6"/>
  <c r="L397" i="6" s="1"/>
  <c r="I397" i="6"/>
  <c r="L390" i="6"/>
  <c r="J390" i="6"/>
  <c r="I390" i="6"/>
  <c r="J387" i="6"/>
  <c r="L387" i="6" s="1"/>
  <c r="I387" i="6"/>
  <c r="J384" i="6"/>
  <c r="L384" i="6" s="1"/>
  <c r="I384" i="6"/>
  <c r="J381" i="6"/>
  <c r="L381" i="6" s="1"/>
  <c r="I381" i="6"/>
  <c r="J394" i="6"/>
  <c r="L394" i="6" s="1"/>
  <c r="I394" i="6"/>
  <c r="L378" i="6"/>
  <c r="J378" i="6"/>
  <c r="I378" i="6"/>
  <c r="J374" i="6"/>
  <c r="L374" i="6" s="1"/>
  <c r="I374" i="6"/>
  <c r="J371" i="6"/>
  <c r="L371" i="6" s="1"/>
  <c r="I371" i="6"/>
  <c r="J368" i="6"/>
  <c r="L368" i="6" s="1"/>
  <c r="I368" i="6"/>
  <c r="J365" i="6"/>
  <c r="L365" i="6" s="1"/>
  <c r="I365" i="6"/>
  <c r="J362" i="6"/>
  <c r="L362" i="6" s="1"/>
  <c r="I362" i="6"/>
  <c r="L359" i="6"/>
  <c r="J359" i="6"/>
  <c r="I359" i="6"/>
  <c r="J356" i="6"/>
  <c r="L356" i="6" s="1"/>
  <c r="I356" i="6"/>
  <c r="J353" i="6"/>
  <c r="L353" i="6" s="1"/>
  <c r="I353" i="6"/>
  <c r="J350" i="6"/>
  <c r="L350" i="6" s="1"/>
  <c r="I350" i="6"/>
  <c r="J347" i="6"/>
  <c r="L347" i="6" s="1"/>
  <c r="I347" i="6"/>
  <c r="J344" i="6"/>
  <c r="L344" i="6" s="1"/>
  <c r="I344" i="6"/>
  <c r="L341" i="6"/>
  <c r="J341" i="6"/>
  <c r="I341" i="6"/>
  <c r="J338" i="6"/>
  <c r="L338" i="6" s="1"/>
  <c r="I338" i="6"/>
  <c r="J335" i="6"/>
  <c r="L335" i="6" s="1"/>
  <c r="I335" i="6"/>
  <c r="J332" i="6"/>
  <c r="L332" i="6" s="1"/>
  <c r="I332" i="6"/>
  <c r="J329" i="6"/>
  <c r="L329" i="6" s="1"/>
  <c r="I329" i="6"/>
  <c r="J326" i="6"/>
  <c r="L326" i="6" s="1"/>
  <c r="I326" i="6"/>
  <c r="L323" i="6"/>
  <c r="J323" i="6"/>
  <c r="I323" i="6"/>
  <c r="J320" i="6"/>
  <c r="L320" i="6" s="1"/>
  <c r="I320" i="6"/>
  <c r="J317" i="6"/>
  <c r="L317" i="6" s="1"/>
  <c r="I317" i="6"/>
  <c r="J314" i="6"/>
  <c r="L314" i="6" s="1"/>
  <c r="I314" i="6"/>
  <c r="J311" i="6"/>
  <c r="L311" i="6" s="1"/>
  <c r="I311" i="6"/>
  <c r="J308" i="6"/>
  <c r="L308" i="6" s="1"/>
  <c r="I308" i="6"/>
  <c r="L305" i="6"/>
  <c r="J305" i="6"/>
  <c r="I305" i="6"/>
  <c r="J302" i="6"/>
  <c r="L302" i="6" s="1"/>
  <c r="I302" i="6"/>
  <c r="J299" i="6"/>
  <c r="L299" i="6" s="1"/>
  <c r="I299" i="6"/>
  <c r="J296" i="6"/>
  <c r="L296" i="6" s="1"/>
  <c r="I296" i="6"/>
  <c r="J293" i="6"/>
  <c r="L293" i="6" s="1"/>
  <c r="I293" i="6"/>
  <c r="J290" i="6"/>
  <c r="L290" i="6" s="1"/>
  <c r="I290" i="6"/>
  <c r="L287" i="6"/>
  <c r="J287" i="6"/>
  <c r="I287" i="6"/>
  <c r="J284" i="6"/>
  <c r="L284" i="6" s="1"/>
  <c r="I284" i="6"/>
  <c r="J281" i="6"/>
  <c r="L281" i="6" s="1"/>
  <c r="I281" i="6"/>
  <c r="J278" i="6"/>
  <c r="L278" i="6" s="1"/>
  <c r="I278" i="6"/>
  <c r="J275" i="6"/>
  <c r="L275" i="6" s="1"/>
  <c r="I275" i="6"/>
  <c r="J272" i="6"/>
  <c r="L272" i="6" s="1"/>
  <c r="I272" i="6"/>
  <c r="L269" i="6"/>
  <c r="J269" i="6"/>
  <c r="I269" i="6"/>
  <c r="J266" i="6"/>
  <c r="L266" i="6" s="1"/>
  <c r="I266" i="6"/>
  <c r="J263" i="6"/>
  <c r="L263" i="6" s="1"/>
  <c r="I263" i="6"/>
  <c r="J260" i="6"/>
  <c r="L260" i="6" s="1"/>
  <c r="I260" i="6"/>
  <c r="J257" i="6"/>
  <c r="L257" i="6" s="1"/>
  <c r="I257" i="6"/>
  <c r="J254" i="6"/>
  <c r="L254" i="6" s="1"/>
  <c r="I254" i="6"/>
  <c r="L251" i="6"/>
  <c r="J251" i="6"/>
  <c r="I251" i="6"/>
  <c r="J248" i="6"/>
  <c r="L248" i="6" s="1"/>
  <c r="I248" i="6"/>
  <c r="J245" i="6"/>
  <c r="L245" i="6" s="1"/>
  <c r="I245" i="6"/>
  <c r="J242" i="6"/>
  <c r="L242" i="6" s="1"/>
  <c r="I242" i="6"/>
  <c r="J239" i="6"/>
  <c r="L239" i="6" s="1"/>
  <c r="I239" i="6"/>
  <c r="J236" i="6"/>
  <c r="L236" i="6" s="1"/>
  <c r="I236" i="6"/>
  <c r="L233" i="6"/>
  <c r="J233" i="6"/>
  <c r="I233" i="6"/>
  <c r="J230" i="6"/>
  <c r="L230" i="6" s="1"/>
  <c r="I230" i="6"/>
  <c r="J227" i="6"/>
  <c r="L227" i="6" s="1"/>
  <c r="I227" i="6"/>
  <c r="J224" i="6"/>
  <c r="L224" i="6" s="1"/>
  <c r="I224" i="6"/>
  <c r="J221" i="6"/>
  <c r="L221" i="6" s="1"/>
  <c r="I221" i="6"/>
  <c r="J218" i="6"/>
  <c r="L218" i="6" s="1"/>
  <c r="I218" i="6"/>
  <c r="L215" i="6"/>
  <c r="J215" i="6"/>
  <c r="I215" i="6"/>
  <c r="J212" i="6"/>
  <c r="L212" i="6" s="1"/>
  <c r="I212" i="6"/>
  <c r="J209" i="6"/>
  <c r="L209" i="6" s="1"/>
  <c r="I209" i="6"/>
  <c r="J206" i="6"/>
  <c r="L206" i="6" s="1"/>
  <c r="I206" i="6"/>
  <c r="J203" i="6"/>
  <c r="L203" i="6" s="1"/>
  <c r="I203" i="6"/>
  <c r="J200" i="6"/>
  <c r="L200" i="6" s="1"/>
  <c r="I200" i="6"/>
  <c r="L197" i="6"/>
  <c r="J197" i="6"/>
  <c r="I197" i="6"/>
  <c r="J194" i="6"/>
  <c r="L194" i="6" s="1"/>
  <c r="I194" i="6"/>
  <c r="J191" i="6"/>
  <c r="L191" i="6" s="1"/>
  <c r="I191" i="6"/>
  <c r="J188" i="6"/>
  <c r="L188" i="6" s="1"/>
  <c r="I188" i="6"/>
  <c r="J185" i="6"/>
  <c r="L185" i="6" s="1"/>
  <c r="I185" i="6"/>
  <c r="J182" i="6"/>
  <c r="L182" i="6" s="1"/>
  <c r="I182" i="6"/>
  <c r="L179" i="6"/>
  <c r="J179" i="6"/>
  <c r="I179" i="6"/>
  <c r="J176" i="6"/>
  <c r="L176" i="6" s="1"/>
  <c r="I176" i="6"/>
  <c r="J173" i="6"/>
  <c r="L173" i="6" s="1"/>
  <c r="I173" i="6"/>
  <c r="J170" i="6"/>
  <c r="L170" i="6" s="1"/>
  <c r="I170" i="6"/>
  <c r="J167" i="6"/>
  <c r="L167" i="6" s="1"/>
  <c r="I167" i="6"/>
  <c r="J164" i="6"/>
  <c r="L164" i="6" s="1"/>
  <c r="I164" i="6"/>
  <c r="L161" i="6"/>
  <c r="J161" i="6"/>
  <c r="I161" i="6"/>
  <c r="J158" i="6"/>
  <c r="L158" i="6" s="1"/>
  <c r="I158" i="6"/>
  <c r="J155" i="6"/>
  <c r="L155" i="6" s="1"/>
  <c r="I155" i="6"/>
  <c r="J152" i="6"/>
  <c r="L152" i="6" s="1"/>
  <c r="I152" i="6"/>
  <c r="J149" i="6"/>
  <c r="L149" i="6" s="1"/>
  <c r="I149" i="6"/>
  <c r="J146" i="6"/>
  <c r="L146" i="6" s="1"/>
  <c r="I146" i="6"/>
  <c r="L143" i="6"/>
  <c r="J143" i="6"/>
  <c r="I143" i="6"/>
  <c r="J140" i="6"/>
  <c r="L140" i="6" s="1"/>
  <c r="I140" i="6"/>
  <c r="J137" i="6"/>
  <c r="L137" i="6" s="1"/>
  <c r="I137" i="6"/>
  <c r="J134" i="6"/>
  <c r="L134" i="6" s="1"/>
  <c r="I134" i="6"/>
  <c r="J131" i="6"/>
  <c r="L131" i="6" s="1"/>
  <c r="I131" i="6"/>
  <c r="J128" i="6"/>
  <c r="L128" i="6" s="1"/>
  <c r="I128" i="6"/>
  <c r="L125" i="6"/>
  <c r="J125" i="6"/>
  <c r="I125" i="6"/>
  <c r="L122" i="6"/>
  <c r="J122" i="6"/>
  <c r="I122" i="6"/>
  <c r="J119" i="6"/>
  <c r="L119" i="6" s="1"/>
  <c r="I119" i="6"/>
  <c r="J116" i="6"/>
  <c r="L116" i="6" s="1"/>
  <c r="I116" i="6"/>
  <c r="J113" i="6"/>
  <c r="L113" i="6" s="1"/>
  <c r="I113" i="6"/>
  <c r="J110" i="6"/>
  <c r="I110" i="6"/>
  <c r="J107" i="6"/>
  <c r="I107" i="6"/>
  <c r="J104" i="6"/>
  <c r="I104" i="6"/>
  <c r="J101" i="6"/>
  <c r="I101" i="6"/>
  <c r="J98" i="6"/>
  <c r="I98" i="6"/>
  <c r="J95" i="6"/>
  <c r="L95" i="6" s="1"/>
  <c r="I95" i="6"/>
  <c r="J92" i="6"/>
  <c r="L92" i="6" s="1"/>
  <c r="I92" i="6"/>
  <c r="L89" i="6"/>
  <c r="J89" i="6"/>
  <c r="I89" i="6"/>
  <c r="J86" i="6"/>
  <c r="L86" i="6" s="1"/>
  <c r="I86" i="6"/>
  <c r="J83" i="6"/>
  <c r="L83" i="6" s="1"/>
  <c r="I83" i="6"/>
  <c r="J80" i="6"/>
  <c r="L80" i="6" s="1"/>
  <c r="I80" i="6"/>
  <c r="J77" i="6"/>
  <c r="L77" i="6" s="1"/>
  <c r="I77" i="6"/>
  <c r="J74" i="6"/>
  <c r="L74" i="6" s="1"/>
  <c r="I74" i="6"/>
  <c r="L71" i="6"/>
  <c r="J71" i="6"/>
  <c r="I71" i="6"/>
  <c r="J68" i="6"/>
  <c r="L68" i="6" s="1"/>
  <c r="I68" i="6"/>
  <c r="J65" i="6"/>
  <c r="L65" i="6" s="1"/>
  <c r="I65" i="6"/>
  <c r="J62" i="6"/>
  <c r="L62" i="6" s="1"/>
  <c r="I62" i="6"/>
  <c r="J59" i="6"/>
  <c r="L59" i="6" s="1"/>
  <c r="I59" i="6"/>
  <c r="J56" i="6"/>
  <c r="L56" i="6" s="1"/>
  <c r="I56" i="6"/>
  <c r="L53" i="6"/>
  <c r="J53" i="6"/>
  <c r="I53" i="6"/>
  <c r="J50" i="6"/>
  <c r="L50" i="6" s="1"/>
  <c r="I50" i="6"/>
  <c r="J47" i="6"/>
  <c r="L47" i="6" s="1"/>
  <c r="I47" i="6"/>
  <c r="J44" i="6"/>
  <c r="L44" i="6" s="1"/>
  <c r="I44" i="6"/>
  <c r="J41" i="6"/>
  <c r="L41" i="6" s="1"/>
  <c r="I41" i="6"/>
  <c r="J38" i="6"/>
  <c r="L38" i="6" s="1"/>
  <c r="I38" i="6"/>
  <c r="J35" i="6"/>
  <c r="L35" i="6" s="1"/>
  <c r="I35" i="6"/>
  <c r="J32" i="6"/>
  <c r="L32" i="6" s="1"/>
  <c r="I32" i="6"/>
  <c r="J29" i="6"/>
  <c r="L29" i="6" s="1"/>
  <c r="I29" i="6"/>
  <c r="J26" i="6"/>
  <c r="L26" i="6" s="1"/>
  <c r="I26" i="6"/>
  <c r="J23" i="6"/>
  <c r="L23" i="6" s="1"/>
  <c r="I23" i="6"/>
  <c r="J20" i="6"/>
  <c r="L20" i="6" s="1"/>
  <c r="I20" i="6"/>
  <c r="J17" i="6"/>
  <c r="L17" i="6" s="1"/>
  <c r="I17" i="6"/>
  <c r="J14" i="6"/>
  <c r="L14" i="6" s="1"/>
  <c r="I14" i="6"/>
  <c r="J11" i="6"/>
  <c r="L11" i="6" s="1"/>
  <c r="I11" i="6"/>
  <c r="J8" i="6"/>
  <c r="L8" i="6" s="1"/>
  <c r="I8" i="6"/>
  <c r="L5" i="6"/>
  <c r="J5" i="6"/>
  <c r="I5" i="6"/>
  <c r="R552" i="3"/>
  <c r="R553" i="3"/>
  <c r="R554" i="3"/>
  <c r="R555" i="3"/>
  <c r="R515" i="3"/>
  <c r="R567" i="3" s="1"/>
  <c r="R479" i="3"/>
  <c r="R566" i="3" s="1"/>
  <c r="R443" i="3"/>
  <c r="R565" i="3" s="1"/>
  <c r="R407" i="3"/>
  <c r="R564" i="3" s="1"/>
  <c r="R371" i="3"/>
  <c r="R563" i="3" s="1"/>
  <c r="R335" i="3"/>
  <c r="R562" i="3" s="1"/>
  <c r="R299" i="3"/>
  <c r="R561" i="3" s="1"/>
  <c r="R263" i="3"/>
  <c r="R560" i="3" s="1"/>
  <c r="R227" i="3"/>
  <c r="R559" i="3" s="1"/>
  <c r="R191" i="3"/>
  <c r="R558" i="3" s="1"/>
  <c r="R155" i="3"/>
  <c r="R557" i="3" s="1"/>
  <c r="Q119" i="3"/>
  <c r="R119" i="3"/>
  <c r="R556" i="3" s="1"/>
  <c r="Q83" i="3"/>
  <c r="Q47" i="3"/>
  <c r="Q11" i="3"/>
  <c r="Q2" i="3"/>
  <c r="L41" i="4" l="1"/>
  <c r="L53" i="4"/>
  <c r="L134" i="4"/>
  <c r="L146" i="4"/>
  <c r="L158" i="4"/>
  <c r="L170" i="4"/>
  <c r="L206" i="4"/>
  <c r="L218" i="4"/>
  <c r="L323" i="4"/>
  <c r="L335" i="4"/>
  <c r="L371" i="4"/>
  <c r="L384" i="4"/>
  <c r="L397" i="4"/>
  <c r="L409" i="4"/>
  <c r="L511" i="4"/>
  <c r="L89" i="4"/>
  <c r="L101" i="4"/>
  <c r="L290" i="4"/>
  <c r="L447" i="4"/>
  <c r="L461" i="4"/>
  <c r="L474" i="4"/>
  <c r="L487" i="4"/>
  <c r="L538" i="4"/>
  <c r="L552" i="4"/>
  <c r="L245" i="4"/>
  <c r="L400" i="4"/>
  <c r="L412" i="4"/>
  <c r="L11" i="4"/>
  <c r="L23" i="4"/>
  <c r="L116" i="4"/>
  <c r="L128" i="4"/>
  <c r="L152" i="4"/>
  <c r="L188" i="4"/>
  <c r="L200" i="4"/>
  <c r="L224" i="4"/>
  <c r="L305" i="4"/>
  <c r="L317" i="4"/>
  <c r="L353" i="4"/>
  <c r="L365" i="4"/>
  <c r="L428" i="4"/>
  <c r="L441" i="4"/>
  <c r="L559" i="4"/>
  <c r="L14" i="4"/>
  <c r="L26" i="4"/>
  <c r="L131" i="4"/>
  <c r="L143" i="4"/>
  <c r="L179" i="4"/>
  <c r="L191" i="4"/>
  <c r="L203" i="4"/>
  <c r="L215" i="4"/>
  <c r="L308" i="4"/>
  <c r="L320" i="4"/>
  <c r="L344" i="4"/>
  <c r="L50" i="4"/>
  <c r="L140" i="4"/>
  <c r="L332" i="4"/>
  <c r="L17" i="4"/>
  <c r="L29" i="4"/>
  <c r="L62" i="4"/>
  <c r="L74" i="4"/>
  <c r="L107" i="4"/>
  <c r="L119" i="4"/>
  <c r="L164" i="4"/>
  <c r="L209" i="4"/>
  <c r="L221" i="4"/>
  <c r="L254" i="4"/>
  <c r="L266" i="4"/>
  <c r="L299" i="4"/>
  <c r="L311" i="4"/>
  <c r="L356" i="4"/>
  <c r="L403" i="4"/>
  <c r="L416" i="4"/>
  <c r="L451" i="4"/>
  <c r="L464" i="4"/>
  <c r="L501" i="4"/>
  <c r="L514" i="4"/>
  <c r="L565" i="4"/>
  <c r="L95" i="4"/>
  <c r="L242" i="4"/>
  <c r="L425" i="4"/>
  <c r="L541" i="4"/>
  <c r="L185" i="4"/>
  <c r="L275" i="4"/>
  <c r="L438" i="4"/>
  <c r="L20" i="4"/>
  <c r="L65" i="4"/>
  <c r="L77" i="4"/>
  <c r="L110" i="4"/>
  <c r="L122" i="4"/>
  <c r="L155" i="4"/>
  <c r="L167" i="4"/>
  <c r="L212" i="4"/>
  <c r="L257" i="4"/>
  <c r="L269" i="4"/>
  <c r="L302" i="4"/>
  <c r="L314" i="4"/>
  <c r="L347" i="4"/>
  <c r="L359" i="4"/>
  <c r="L406" i="4"/>
  <c r="L455" i="4"/>
  <c r="L468" i="4"/>
  <c r="L504" i="4"/>
  <c r="L517" i="4"/>
  <c r="L556" i="4"/>
  <c r="L568" i="4"/>
  <c r="L197" i="4"/>
  <c r="L287" i="4"/>
  <c r="L378" i="4"/>
  <c r="L236" i="4"/>
  <c r="L531" i="4"/>
  <c r="L544" i="4"/>
  <c r="L5" i="4"/>
  <c r="L83" i="4"/>
  <c r="L230" i="4"/>
  <c r="L38" i="4"/>
  <c r="L390" i="4"/>
  <c r="L35" i="4"/>
  <c r="L47" i="4"/>
  <c r="L92" i="4"/>
  <c r="L137" i="4"/>
  <c r="L149" i="4"/>
  <c r="L182" i="4"/>
  <c r="L194" i="4"/>
  <c r="L227" i="4"/>
  <c r="L239" i="4"/>
  <c r="L284" i="4"/>
  <c r="L329" i="4"/>
  <c r="L341" i="4"/>
  <c r="L374" i="4"/>
  <c r="L387" i="4"/>
  <c r="L422" i="4"/>
  <c r="L435" i="4"/>
  <c r="L484" i="4"/>
  <c r="L535" i="4"/>
  <c r="L548" i="4"/>
  <c r="Q515" i="3"/>
  <c r="Q479" i="3"/>
  <c r="Q443" i="3"/>
  <c r="Q407" i="3"/>
  <c r="Q371" i="3"/>
  <c r="Q335" i="3"/>
  <c r="Q299" i="3"/>
  <c r="Q263" i="3"/>
  <c r="Q227" i="3"/>
  <c r="Q191" i="3"/>
  <c r="Q155" i="3"/>
  <c r="M11" i="3"/>
  <c r="N11" i="3"/>
  <c r="O11" i="3"/>
  <c r="P11" i="3"/>
  <c r="M38" i="4" l="1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P515" i="3"/>
  <c r="P567" i="3" s="1"/>
  <c r="O515" i="3"/>
  <c r="O567" i="3" s="1"/>
  <c r="N515" i="3"/>
  <c r="N567" i="3" s="1"/>
  <c r="M515" i="3"/>
  <c r="M567" i="3" s="1"/>
  <c r="P479" i="3"/>
  <c r="P566" i="3" s="1"/>
  <c r="O479" i="3"/>
  <c r="O566" i="3" s="1"/>
  <c r="N479" i="3"/>
  <c r="N566" i="3" s="1"/>
  <c r="M479" i="3"/>
  <c r="M566" i="3" s="1"/>
  <c r="P443" i="3"/>
  <c r="P565" i="3" s="1"/>
  <c r="O443" i="3"/>
  <c r="O565" i="3" s="1"/>
  <c r="N443" i="3"/>
  <c r="N565" i="3" s="1"/>
  <c r="M443" i="3"/>
  <c r="M565" i="3" s="1"/>
  <c r="P407" i="3"/>
  <c r="P564" i="3" s="1"/>
  <c r="O407" i="3"/>
  <c r="O564" i="3" s="1"/>
  <c r="N407" i="3"/>
  <c r="N564" i="3" s="1"/>
  <c r="M407" i="3"/>
  <c r="M564" i="3" s="1"/>
  <c r="P371" i="3"/>
  <c r="P563" i="3" s="1"/>
  <c r="O371" i="3"/>
  <c r="O563" i="3" s="1"/>
  <c r="N371" i="3"/>
  <c r="N563" i="3" s="1"/>
  <c r="M371" i="3"/>
  <c r="M563" i="3" s="1"/>
  <c r="P335" i="3"/>
  <c r="P562" i="3" s="1"/>
  <c r="O335" i="3"/>
  <c r="O562" i="3" s="1"/>
  <c r="N335" i="3"/>
  <c r="N562" i="3" s="1"/>
  <c r="M335" i="3"/>
  <c r="M562" i="3" s="1"/>
  <c r="P299" i="3"/>
  <c r="P561" i="3" s="1"/>
  <c r="O299" i="3"/>
  <c r="O561" i="3" s="1"/>
  <c r="N299" i="3"/>
  <c r="N561" i="3" s="1"/>
  <c r="M299" i="3"/>
  <c r="M561" i="3" s="1"/>
  <c r="P263" i="3"/>
  <c r="P560" i="3" s="1"/>
  <c r="O263" i="3"/>
  <c r="O560" i="3" s="1"/>
  <c r="N263" i="3"/>
  <c r="N560" i="3" s="1"/>
  <c r="M263" i="3"/>
  <c r="M560" i="3" s="1"/>
  <c r="P227" i="3"/>
  <c r="P559" i="3" s="1"/>
  <c r="O227" i="3"/>
  <c r="O559" i="3" s="1"/>
  <c r="N227" i="3"/>
  <c r="N559" i="3" s="1"/>
  <c r="M227" i="3"/>
  <c r="M559" i="3" s="1"/>
  <c r="P191" i="3"/>
  <c r="P558" i="3" s="1"/>
  <c r="O191" i="3"/>
  <c r="O558" i="3" s="1"/>
  <c r="N191" i="3"/>
  <c r="N558" i="3" s="1"/>
  <c r="M191" i="3"/>
  <c r="M558" i="3" s="1"/>
  <c r="P155" i="3"/>
  <c r="P557" i="3" s="1"/>
  <c r="O155" i="3"/>
  <c r="O557" i="3" s="1"/>
  <c r="N155" i="3"/>
  <c r="N557" i="3" s="1"/>
  <c r="M155" i="3"/>
  <c r="M557" i="3" s="1"/>
  <c r="P119" i="3"/>
  <c r="P556" i="3" s="1"/>
  <c r="O119" i="3"/>
  <c r="O556" i="3" s="1"/>
  <c r="N119" i="3"/>
  <c r="N556" i="3" s="1"/>
  <c r="M119" i="3"/>
  <c r="M556" i="3" s="1"/>
  <c r="P83" i="3"/>
  <c r="P555" i="3" s="1"/>
  <c r="O83" i="3"/>
  <c r="O555" i="3" s="1"/>
  <c r="N83" i="3"/>
  <c r="N555" i="3" s="1"/>
  <c r="M83" i="3"/>
  <c r="M555" i="3" s="1"/>
  <c r="P47" i="3"/>
  <c r="P554" i="3" s="1"/>
  <c r="O47" i="3"/>
  <c r="O554" i="3" s="1"/>
  <c r="N47" i="3"/>
  <c r="N554" i="3" s="1"/>
  <c r="M47" i="3"/>
  <c r="M554" i="3" s="1"/>
  <c r="P553" i="3"/>
  <c r="O553" i="3"/>
  <c r="N553" i="3"/>
  <c r="M553" i="3"/>
  <c r="P2" i="3"/>
  <c r="P552" i="3" s="1"/>
  <c r="O2" i="3"/>
  <c r="O552" i="3" s="1"/>
  <c r="N2" i="3"/>
  <c r="N552" i="3" s="1"/>
  <c r="M2" i="3"/>
  <c r="M552" i="3" s="1"/>
  <c r="M299" i="4" l="1"/>
  <c r="M422" i="4"/>
  <c r="M484" i="4"/>
  <c r="M77" i="4"/>
  <c r="M416" i="4"/>
  <c r="M122" i="4"/>
  <c r="M514" i="4"/>
  <c r="M387" i="4"/>
  <c r="M20" i="4"/>
  <c r="M269" i="4"/>
  <c r="M378" i="4"/>
  <c r="M140" i="4"/>
  <c r="M209" i="4"/>
  <c r="M92" i="4"/>
  <c r="M119" i="4"/>
  <c r="M341" i="4"/>
  <c r="M95" i="4"/>
  <c r="M227" i="4"/>
  <c r="M47" i="4"/>
  <c r="M531" i="4"/>
  <c r="M185" i="4"/>
  <c r="M438" i="4"/>
  <c r="M182" i="4"/>
  <c r="M155" i="4"/>
  <c r="M332" i="4"/>
  <c r="M74" i="4"/>
  <c r="M212" i="4"/>
  <c r="M149" i="4"/>
  <c r="M257" i="4"/>
  <c r="M535" i="4"/>
  <c r="M504" i="4"/>
  <c r="M62" i="4"/>
  <c r="M230" i="4"/>
  <c r="M311" i="4"/>
  <c r="M406" i="4"/>
  <c r="M5" i="4"/>
  <c r="N5" i="4" s="1"/>
  <c r="M425" i="4"/>
  <c r="M356" i="4"/>
  <c r="M541" i="4"/>
  <c r="M517" i="4"/>
  <c r="M314" i="4"/>
  <c r="M359" i="4"/>
  <c r="M164" i="4"/>
  <c r="M556" i="4"/>
  <c r="M455" i="4"/>
  <c r="M565" i="4"/>
  <c r="M468" i="4"/>
  <c r="M347" i="4"/>
  <c r="M287" i="4"/>
  <c r="M266" i="4"/>
  <c r="M137" i="4"/>
  <c r="M167" i="4"/>
  <c r="M17" i="4"/>
  <c r="M464" i="4"/>
  <c r="M435" i="4"/>
  <c r="M221" i="4"/>
  <c r="M302" i="4"/>
  <c r="M548" i="4"/>
  <c r="M451" i="4"/>
  <c r="M65" i="4"/>
  <c r="M329" i="4"/>
  <c r="M284" i="4"/>
  <c r="M390" i="4"/>
  <c r="M403" i="4"/>
  <c r="M50" i="4"/>
  <c r="M35" i="4"/>
  <c r="M568" i="4"/>
  <c r="M197" i="4"/>
  <c r="M29" i="4"/>
  <c r="M236" i="4"/>
  <c r="M501" i="4"/>
  <c r="M194" i="4"/>
  <c r="M275" i="4"/>
  <c r="M544" i="4"/>
  <c r="M239" i="4"/>
  <c r="M691" i="4"/>
  <c r="M688" i="4"/>
  <c r="M707" i="4"/>
  <c r="M685" i="4"/>
  <c r="M706" i="4"/>
  <c r="M682" i="4"/>
  <c r="M703" i="4"/>
  <c r="M679" i="4"/>
  <c r="M700" i="4"/>
  <c r="M694" i="4"/>
  <c r="M697" i="4"/>
  <c r="M658" i="4"/>
  <c r="M724" i="4"/>
  <c r="M736" i="4"/>
  <c r="M730" i="4"/>
  <c r="M652" i="4"/>
  <c r="M667" i="4"/>
  <c r="M571" i="4"/>
  <c r="M649" i="4"/>
  <c r="M580" i="4"/>
  <c r="M602" i="4"/>
  <c r="M748" i="4"/>
  <c r="M742" i="4"/>
  <c r="M721" i="4"/>
  <c r="M589" i="4"/>
  <c r="M676" i="4"/>
  <c r="M733" i="4"/>
  <c r="M739" i="4"/>
  <c r="M673" i="4"/>
  <c r="M605" i="4"/>
  <c r="M727" i="4"/>
  <c r="M655" i="4"/>
  <c r="M661" i="4"/>
  <c r="M640" i="4"/>
  <c r="M621" i="4"/>
  <c r="M583" i="4"/>
  <c r="M598" i="4"/>
  <c r="M627" i="4"/>
  <c r="M630" i="4"/>
  <c r="M637" i="4"/>
  <c r="M624" i="4"/>
  <c r="M608" i="4"/>
  <c r="M618" i="4"/>
  <c r="M614" i="4"/>
  <c r="M592" i="4"/>
  <c r="M586" i="4"/>
  <c r="M595" i="4"/>
  <c r="M634" i="4"/>
  <c r="M577" i="4"/>
  <c r="M611" i="4"/>
  <c r="M32" i="4"/>
  <c r="M368" i="4"/>
  <c r="M71" i="4"/>
  <c r="M41" i="4"/>
  <c r="M278" i="4"/>
  <c r="M491" i="4"/>
  <c r="M161" i="4"/>
  <c r="M134" i="4"/>
  <c r="M338" i="4"/>
  <c r="M59" i="4"/>
  <c r="M23" i="4"/>
  <c r="M215" i="4"/>
  <c r="M409" i="4"/>
  <c r="M511" i="4"/>
  <c r="M296" i="4"/>
  <c r="M233" i="4"/>
  <c r="M293" i="4"/>
  <c r="M362" i="4"/>
  <c r="M461" i="4"/>
  <c r="M272" i="4"/>
  <c r="M245" i="4"/>
  <c r="M89" i="4"/>
  <c r="M203" i="4"/>
  <c r="M552" i="4"/>
  <c r="M419" i="4"/>
  <c r="M173" i="4"/>
  <c r="M53" i="4"/>
  <c r="M290" i="4"/>
  <c r="M528" i="4"/>
  <c r="M251" i="4"/>
  <c r="M146" i="4"/>
  <c r="M371" i="4"/>
  <c r="M206" i="4"/>
  <c r="M56" i="4"/>
  <c r="M248" i="4"/>
  <c r="M444" i="4"/>
  <c r="M474" i="4"/>
  <c r="M562" i="4"/>
  <c r="M308" i="4"/>
  <c r="M26" i="4"/>
  <c r="M412" i="4"/>
  <c r="M8" i="4"/>
  <c r="M320" i="4"/>
  <c r="M487" i="4"/>
  <c r="M263" i="4"/>
  <c r="M86" i="4"/>
  <c r="M323" i="4"/>
  <c r="M400" i="4"/>
  <c r="M179" i="4"/>
  <c r="M384" i="4"/>
  <c r="M353" i="4"/>
  <c r="M68" i="4"/>
  <c r="M260" i="4"/>
  <c r="M458" i="4"/>
  <c r="M128" i="4"/>
  <c r="M344" i="4"/>
  <c r="M365" i="4"/>
  <c r="M131" i="4"/>
  <c r="M335" i="4"/>
  <c r="M14" i="4"/>
  <c r="M191" i="4"/>
  <c r="M431" i="4"/>
  <c r="M113" i="4"/>
  <c r="M305" i="4"/>
  <c r="M508" i="4"/>
  <c r="M447" i="4"/>
  <c r="M224" i="4"/>
  <c r="M170" i="4"/>
  <c r="M176" i="4"/>
  <c r="M524" i="4"/>
  <c r="M11" i="4"/>
  <c r="M498" i="4"/>
  <c r="M152" i="4"/>
  <c r="M394" i="4"/>
  <c r="M143" i="4"/>
  <c r="M381" i="4"/>
  <c r="M116" i="4"/>
  <c r="M480" i="4"/>
  <c r="M125" i="4"/>
  <c r="M317" i="4"/>
  <c r="M520" i="4"/>
  <c r="M80" i="4"/>
  <c r="M477" i="4"/>
  <c r="M326" i="4"/>
  <c r="M200" i="4"/>
  <c r="M471" i="4"/>
  <c r="M188" i="4"/>
  <c r="M428" i="4"/>
  <c r="M218" i="4"/>
  <c r="M281" i="4"/>
  <c r="M495" i="4"/>
  <c r="M158" i="4"/>
  <c r="M350" i="4"/>
  <c r="M559" i="4"/>
  <c r="M441" i="4"/>
  <c r="M44" i="4"/>
  <c r="M538" i="4"/>
  <c r="M397" i="4"/>
  <c r="M254" i="4"/>
  <c r="M83" i="4"/>
  <c r="M242" i="4"/>
  <c r="M374" i="4"/>
  <c r="T552" i="3"/>
  <c r="T553" i="3"/>
  <c r="T554" i="3"/>
  <c r="T555" i="3"/>
  <c r="T556" i="3"/>
  <c r="U552" i="3"/>
  <c r="U553" i="3"/>
  <c r="T557" i="3"/>
  <c r="T558" i="3"/>
  <c r="T559" i="3"/>
  <c r="U554" i="3"/>
  <c r="U555" i="3"/>
  <c r="T560" i="3"/>
  <c r="T561" i="3"/>
  <c r="T562" i="3"/>
  <c r="T563" i="3"/>
  <c r="T564" i="3"/>
  <c r="T565" i="3"/>
  <c r="T566" i="3"/>
  <c r="T567" i="3"/>
  <c r="V565" i="3"/>
  <c r="V561" i="3"/>
  <c r="V557" i="3"/>
  <c r="V553" i="3"/>
  <c r="V567" i="3"/>
  <c r="V563" i="3"/>
  <c r="V559" i="3"/>
  <c r="V555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V566" i="3"/>
  <c r="V562" i="3"/>
  <c r="V558" i="3"/>
  <c r="V554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V564" i="3"/>
  <c r="V560" i="3"/>
  <c r="V556" i="3"/>
  <c r="V552" i="3"/>
  <c r="N8" i="4" l="1"/>
  <c r="N11" i="4" s="1"/>
  <c r="N14" i="4" s="1"/>
  <c r="N17" i="4" s="1"/>
  <c r="N20" i="4" s="1"/>
  <c r="N23" i="4" s="1"/>
  <c r="N26" i="4" s="1"/>
  <c r="N29" i="4" s="1"/>
  <c r="N32" i="4" s="1"/>
  <c r="N35" i="4" s="1"/>
  <c r="N38" i="4" s="1"/>
  <c r="N41" i="4" s="1"/>
  <c r="N44" i="4" s="1"/>
  <c r="N47" i="4" s="1"/>
  <c r="N50" i="4" s="1"/>
  <c r="N53" i="4" s="1"/>
  <c r="N56" i="4" s="1"/>
  <c r="N59" i="4" s="1"/>
  <c r="N62" i="4" s="1"/>
  <c r="N65" i="4" s="1"/>
  <c r="N68" i="4" s="1"/>
  <c r="N71" i="4" s="1"/>
  <c r="N74" i="4" s="1"/>
  <c r="N77" i="4" s="1"/>
  <c r="N80" i="4" s="1"/>
  <c r="N83" i="4" s="1"/>
  <c r="N86" i="4" s="1"/>
  <c r="N89" i="4" s="1"/>
  <c r="N92" i="4" s="1"/>
  <c r="N95" i="4" s="1"/>
  <c r="N113" i="4" s="1"/>
  <c r="N116" i="4" s="1"/>
  <c r="N119" i="4" s="1"/>
  <c r="N122" i="4" s="1"/>
  <c r="N125" i="4" s="1"/>
  <c r="N128" i="4" s="1"/>
  <c r="N131" i="4" s="1"/>
  <c r="N134" i="4" s="1"/>
  <c r="N137" i="4" s="1"/>
  <c r="N140" i="4" s="1"/>
  <c r="N143" i="4" s="1"/>
  <c r="N146" i="4" s="1"/>
  <c r="N149" i="4" s="1"/>
  <c r="N152" i="4" s="1"/>
  <c r="N155" i="4" s="1"/>
  <c r="N158" i="4" s="1"/>
  <c r="N161" i="4" s="1"/>
  <c r="N164" i="4" s="1"/>
  <c r="N167" i="4" s="1"/>
  <c r="N170" i="4" s="1"/>
  <c r="N173" i="4" s="1"/>
  <c r="N176" i="4" s="1"/>
  <c r="N179" i="4" s="1"/>
  <c r="N182" i="4" s="1"/>
  <c r="N185" i="4" s="1"/>
  <c r="N188" i="4" s="1"/>
  <c r="N191" i="4" s="1"/>
  <c r="N194" i="4" s="1"/>
  <c r="N197" i="4" s="1"/>
  <c r="N200" i="4" s="1"/>
  <c r="N203" i="4" s="1"/>
  <c r="N206" i="4" s="1"/>
  <c r="N209" i="4" s="1"/>
  <c r="N212" i="4" s="1"/>
  <c r="N215" i="4" s="1"/>
  <c r="N218" i="4" s="1"/>
  <c r="N221" i="4" s="1"/>
  <c r="N224" i="4" s="1"/>
  <c r="N227" i="4" s="1"/>
  <c r="N230" i="4" s="1"/>
  <c r="N233" i="4" s="1"/>
  <c r="N236" i="4" s="1"/>
  <c r="N239" i="4" s="1"/>
  <c r="N242" i="4" s="1"/>
  <c r="N245" i="4" s="1"/>
  <c r="N248" i="4" s="1"/>
  <c r="N251" i="4" s="1"/>
  <c r="N254" i="4" s="1"/>
  <c r="N257" i="4" s="1"/>
  <c r="N260" i="4" s="1"/>
  <c r="N263" i="4" s="1"/>
  <c r="N266" i="4" s="1"/>
  <c r="N269" i="4" s="1"/>
  <c r="N272" i="4" s="1"/>
  <c r="N275" i="4" s="1"/>
  <c r="N278" i="4" s="1"/>
  <c r="N281" i="4" s="1"/>
  <c r="N284" i="4" s="1"/>
  <c r="N287" i="4" s="1"/>
  <c r="N290" i="4" s="1"/>
  <c r="N293" i="4" s="1"/>
  <c r="N296" i="4" s="1"/>
  <c r="N299" i="4" s="1"/>
  <c r="N302" i="4" s="1"/>
  <c r="N305" i="4" s="1"/>
  <c r="N308" i="4" s="1"/>
  <c r="N311" i="4" s="1"/>
  <c r="N314" i="4" s="1"/>
  <c r="N317" i="4" s="1"/>
  <c r="N320" i="4" s="1"/>
  <c r="N323" i="4" s="1"/>
  <c r="N326" i="4" s="1"/>
  <c r="N329" i="4" s="1"/>
  <c r="N332" i="4" s="1"/>
  <c r="N335" i="4" s="1"/>
  <c r="N338" i="4" s="1"/>
  <c r="N341" i="4" s="1"/>
  <c r="N344" i="4" s="1"/>
  <c r="N347" i="4" s="1"/>
  <c r="N350" i="4" s="1"/>
  <c r="N353" i="4" s="1"/>
  <c r="N356" i="4" s="1"/>
  <c r="N359" i="4" s="1"/>
  <c r="N362" i="4" s="1"/>
  <c r="N365" i="4" s="1"/>
  <c r="N368" i="4" s="1"/>
  <c r="N371" i="4" s="1"/>
  <c r="N374" i="4" s="1"/>
  <c r="N378" i="4" s="1"/>
  <c r="N381" i="4" s="1"/>
  <c r="N384" i="4" s="1"/>
  <c r="N387" i="4" s="1"/>
  <c r="N390" i="4" s="1"/>
  <c r="N394" i="4" s="1"/>
  <c r="N397" i="4" s="1"/>
  <c r="N400" i="4" s="1"/>
  <c r="N403" i="4" s="1"/>
  <c r="N406" i="4" s="1"/>
  <c r="N409" i="4" s="1"/>
  <c r="N412" i="4" s="1"/>
  <c r="N416" i="4" s="1"/>
  <c r="N419" i="4" s="1"/>
  <c r="N422" i="4" s="1"/>
  <c r="N425" i="4" s="1"/>
  <c r="N428" i="4" s="1"/>
  <c r="N431" i="4" s="1"/>
  <c r="N435" i="4" s="1"/>
  <c r="N438" i="4" s="1"/>
  <c r="N441" i="4" s="1"/>
  <c r="N444" i="4" s="1"/>
  <c r="N447" i="4" s="1"/>
  <c r="N451" i="4" s="1"/>
  <c r="N455" i="4" s="1"/>
  <c r="N458" i="4" s="1"/>
  <c r="N461" i="4" s="1"/>
  <c r="N464" i="4" s="1"/>
  <c r="N468" i="4" s="1"/>
  <c r="N471" i="4" s="1"/>
  <c r="N474" i="4" s="1"/>
  <c r="N477" i="4" s="1"/>
  <c r="N480" i="4" s="1"/>
  <c r="N484" i="4" s="1"/>
  <c r="N487" i="4" s="1"/>
  <c r="N491" i="4" s="1"/>
  <c r="N495" i="4" s="1"/>
  <c r="N498" i="4" s="1"/>
  <c r="N501" i="4" s="1"/>
  <c r="N504" i="4" s="1"/>
  <c r="N508" i="4" s="1"/>
  <c r="N511" i="4" s="1"/>
  <c r="N514" i="4" s="1"/>
  <c r="N517" i="4" s="1"/>
  <c r="N520" i="4" s="1"/>
  <c r="N524" i="4" s="1"/>
  <c r="N528" i="4" s="1"/>
  <c r="N531" i="4" s="1"/>
  <c r="N535" i="4" s="1"/>
  <c r="N538" i="4" s="1"/>
  <c r="N541" i="4" s="1"/>
  <c r="N544" i="4" s="1"/>
  <c r="N548" i="4" s="1"/>
  <c r="N552" i="4" s="1"/>
  <c r="N556" i="4" s="1"/>
  <c r="N559" i="4" s="1"/>
  <c r="N562" i="4" s="1"/>
  <c r="N565" i="4" s="1"/>
  <c r="N568" i="4" s="1"/>
  <c r="N571" i="4" s="1"/>
  <c r="N577" i="4" s="1"/>
  <c r="N580" i="4" s="1"/>
  <c r="N583" i="4" s="1"/>
  <c r="N586" i="4" s="1"/>
  <c r="N589" i="4" s="1"/>
  <c r="N592" i="4" s="1"/>
  <c r="N595" i="4" s="1"/>
  <c r="N598" i="4" s="1"/>
  <c r="N602" i="4" s="1"/>
  <c r="N605" i="4" s="1"/>
  <c r="N608" i="4" s="1"/>
  <c r="N611" i="4" s="1"/>
  <c r="N614" i="4" s="1"/>
  <c r="N618" i="4" s="1"/>
  <c r="N621" i="4" s="1"/>
  <c r="N624" i="4" s="1"/>
  <c r="N627" i="4" s="1"/>
  <c r="N630" i="4" s="1"/>
  <c r="N634" i="4" s="1"/>
  <c r="N637" i="4" s="1"/>
  <c r="N640" i="4" s="1"/>
  <c r="N649" i="4" s="1"/>
  <c r="N652" i="4" s="1"/>
  <c r="N655" i="4" s="1"/>
  <c r="N658" i="4" s="1"/>
  <c r="N661" i="4" s="1"/>
  <c r="N667" i="4" s="1"/>
  <c r="N673" i="4" s="1"/>
  <c r="N676" i="4" s="1"/>
  <c r="N679" i="4" s="1"/>
  <c r="N682" i="4" s="1"/>
  <c r="N685" i="4" s="1"/>
  <c r="N688" i="4" s="1"/>
  <c r="N691" i="4" s="1"/>
  <c r="N694" i="4" s="1"/>
  <c r="N697" i="4" s="1"/>
  <c r="N700" i="4" s="1"/>
  <c r="N703" i="4" s="1"/>
  <c r="N706" i="4" s="1"/>
  <c r="N707" i="4" s="1"/>
  <c r="N721" i="4" s="1"/>
  <c r="N724" i="4" s="1"/>
  <c r="N727" i="4" s="1"/>
  <c r="N730" i="4" s="1"/>
  <c r="N733" i="4" s="1"/>
  <c r="N736" i="4" s="1"/>
  <c r="N739" i="4" s="1"/>
  <c r="N742" i="4" s="1"/>
  <c r="N748" i="4" s="1"/>
  <c r="N754" i="4" s="1"/>
  <c r="N766" i="4" s="1"/>
  <c r="N769" i="4" s="1"/>
  <c r="N772" i="4" s="1"/>
  <c r="N775" i="4" s="1"/>
  <c r="N778" i="4" s="1"/>
  <c r="N781" i="4" s="1"/>
  <c r="N790" i="4" s="1"/>
  <c r="N793" i="4" s="1"/>
  <c r="N796" i="4" s="1"/>
  <c r="N799" i="4" s="1"/>
  <c r="N802" i="4" s="1"/>
  <c r="N808" i="4" s="1"/>
  <c r="N811" i="4" s="1"/>
  <c r="N814" i="4" s="1"/>
  <c r="N817" i="4" s="1"/>
  <c r="N820" i="4" s="1"/>
  <c r="N859" i="4" s="1"/>
</calcChain>
</file>

<file path=xl/sharedStrings.xml><?xml version="1.0" encoding="utf-8"?>
<sst xmlns="http://schemas.openxmlformats.org/spreadsheetml/2006/main" count="5368" uniqueCount="104">
  <si>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</si>
  <si>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</si>
  <si>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</si>
  <si>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</si>
  <si>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</si>
  <si>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</si>
  <si>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</si>
  <si>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</si>
  <si>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</si>
  <si>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</si>
  <si>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</si>
  <si>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</si>
  <si>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</si>
  <si>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</si>
  <si>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</si>
  <si>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</si>
  <si>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</si>
  <si>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</si>
  <si>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</si>
  <si>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</si>
  <si>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</si>
  <si>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</si>
  <si>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</si>
  <si>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</si>
  <si>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</si>
  <si>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</si>
  <si>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</si>
  <si>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</si>
  <si>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sample lost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</si>
  <si>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</si>
  <si>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</si>
  <si>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</si>
  <si>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</si>
  <si>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</si>
  <si>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</si>
  <si>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</si>
  <si>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</si>
  <si>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</si>
  <si>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</si>
  <si>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</si>
  <si>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</si>
  <si>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</si>
  <si>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</si>
  <si>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Average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</si>
  <si>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</si>
  <si>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</si>
  <si>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</si>
  <si>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</si>
  <si>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</si>
  <si>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</si>
  <si>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</si>
  <si>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</si>
  <si>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</si>
  <si>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</si>
  <si>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</si>
  <si>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</si>
  <si>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</si>
  <si>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</si>
  <si>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</si>
  <si>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</si>
  <si>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</si>
  <si>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</si>
  <si>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</si>
  <si>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</si>
  <si>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</si>
  <si>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</si>
  <si>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</si>
  <si>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</si>
  <si>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</si>
  <si>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</si>
  <si>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</si>
  <si>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</si>
  <si>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</si>
  <si>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</si>
  <si>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</si>
  <si>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</si>
  <si>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</si>
  <si>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</si>
  <si>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</si>
  <si>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</si>
  <si>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</si>
  <si>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</si>
  <si>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dup</t>
    <phoneticPr fontId="1" type="noConversion"/>
  </si>
  <si>
    <t>average</t>
  </si>
  <si>
    <t>peridin</t>
  </si>
  <si>
    <t>perid/chl</t>
  </si>
  <si>
    <t>z score</t>
  </si>
  <si>
    <t>CUSUM</t>
  </si>
  <si>
    <t>butfuco/chl</t>
  </si>
  <si>
    <t>fuco/CHL</t>
  </si>
  <si>
    <t>zea/chl</t>
  </si>
  <si>
    <t>mean</t>
  </si>
  <si>
    <t>stddev</t>
  </si>
  <si>
    <t>CHLOROPHYLL</t>
  </si>
  <si>
    <t>duplictate</t>
  </si>
  <si>
    <t>remaining</t>
  </si>
  <si>
    <t>dates unavail.</t>
  </si>
  <si>
    <t>values in</t>
  </si>
  <si>
    <t>2022 not yet</t>
  </si>
  <si>
    <t>available</t>
  </si>
  <si>
    <t>unassigned</t>
  </si>
  <si>
    <t>values in July</t>
  </si>
  <si>
    <t>replicate average</t>
  </si>
  <si>
    <t>graphs not updated for 2020-2024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</si>
</sst>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name val="Helv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sz val="10"/>
      <name val="Geneva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4">
    <xf numFmtId="0" fontId="0" fillId="0" borderId="0"/>
    <xf numFmtId="0" fontId="5" fillId="0" borderId="0"/>
    <xf numFmtId="0" fontId="12" fillId="0" borderId="0"/>
    <xf numFmtId="0" fontId="12" fillId="0" borderId="0"/>
  </cellStyleXfs>
  <cellXfs count="102">
    <xf numFmtId="0" fontId="0" fillId="0" borderId="0" xfId="0"/>
    <xf numFmtId="164" fontId="2" fillId="2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7" fillId="4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4" fontId="0" fillId="0" borderId="0" xfId="0" applyNumberFormat="1"/>
    <xf numFmtId="164" fontId="0" fillId="5" borderId="0" xfId="0" applyNumberFormat="1" applyFill="1" applyAlignment="1">
      <alignment horizontal="center"/>
    </xf>
    <xf numFmtId="164" fontId="5" fillId="0" borderId="0" xfId="0" applyNumberFormat="1" applyFont="1"/>
    <xf numFmtId="164" fontId="9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vertical="center" wrapText="1"/>
    </xf>
    <xf numFmtId="14" fontId="5" fillId="0" borderId="0" xfId="1" applyNumberFormat="1"/>
    <xf numFmtId="164" fontId="5" fillId="0" borderId="2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1" fillId="0" borderId="2" xfId="2" applyNumberFormat="1" applyFont="1" applyBorder="1" applyAlignment="1">
      <alignment horizontal="center" vertical="center" wrapText="1"/>
    </xf>
    <xf numFmtId="164" fontId="11" fillId="0" borderId="2" xfId="3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6" borderId="0" xfId="0" applyFill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right"/>
    </xf>
    <xf numFmtId="1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left"/>
    </xf>
    <xf numFmtId="164" fontId="5" fillId="0" borderId="0" xfId="0" applyNumberFormat="1" applyFont="1" applyAlignment="1" applyProtection="1">
      <alignment horizontal="center"/>
      <protection locked="0"/>
    </xf>
    <xf numFmtId="164" fontId="5" fillId="6" borderId="0" xfId="0" applyNumberFormat="1" applyFont="1" applyFill="1" applyAlignment="1" applyProtection="1">
      <alignment horizontal="center"/>
      <protection locked="0"/>
    </xf>
    <xf numFmtId="0" fontId="5" fillId="6" borderId="0" xfId="0" applyFont="1" applyFill="1"/>
    <xf numFmtId="164" fontId="5" fillId="6" borderId="0" xfId="0" applyNumberFormat="1" applyFont="1" applyFill="1"/>
    <xf numFmtId="164" fontId="0" fillId="6" borderId="0" xfId="0" applyNumberFormat="1" applyFill="1"/>
    <xf numFmtId="164" fontId="6" fillId="0" borderId="0" xfId="0" applyNumberFormat="1" applyFont="1" applyAlignment="1">
      <alignment horizontal="right" vertical="center"/>
    </xf>
    <xf numFmtId="14" fontId="0" fillId="6" borderId="0" xfId="0" applyNumberFormat="1" applyFill="1"/>
    <xf numFmtId="164" fontId="6" fillId="6" borderId="0" xfId="0" applyNumberFormat="1" applyFont="1" applyFill="1" applyAlignment="1">
      <alignment horizontal="right" vertical="center"/>
    </xf>
    <xf numFmtId="164" fontId="0" fillId="6" borderId="0" xfId="0" applyNumberFormat="1" applyFill="1" applyAlignment="1">
      <alignment horizontal="center"/>
    </xf>
    <xf numFmtId="14" fontId="5" fillId="6" borderId="0" xfId="0" applyNumberFormat="1" applyFont="1" applyFill="1"/>
    <xf numFmtId="164" fontId="5" fillId="6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5" fontId="6" fillId="6" borderId="0" xfId="0" applyNumberFormat="1" applyFont="1" applyFill="1" applyAlignment="1">
      <alignment horizontal="center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11" fillId="0" borderId="3" xfId="2" applyNumberFormat="1" applyFont="1" applyBorder="1" applyAlignment="1">
      <alignment horizontal="center" vertical="center" wrapText="1"/>
    </xf>
    <xf numFmtId="164" fontId="11" fillId="0" borderId="3" xfId="3" applyNumberFormat="1" applyFont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11" fillId="0" borderId="0" xfId="3" applyNumberFormat="1" applyFont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13" fillId="7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5" fillId="0" borderId="0" xfId="1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 wrapText="1"/>
    </xf>
    <xf numFmtId="164" fontId="14" fillId="0" borderId="7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4" borderId="0" xfId="0" applyFill="1"/>
    <xf numFmtId="166" fontId="0" fillId="8" borderId="0" xfId="0" applyNumberFormat="1" applyFill="1" applyAlignment="1">
      <alignment horizontal="center"/>
    </xf>
    <xf numFmtId="0" fontId="0" fillId="8" borderId="0" xfId="0" applyFill="1"/>
    <xf numFmtId="0" fontId="5" fillId="8" borderId="0" xfId="0" applyFont="1" applyFill="1" applyAlignment="1">
      <alignment horizontal="left"/>
    </xf>
    <xf numFmtId="0" fontId="5" fillId="8" borderId="0" xfId="0" applyFont="1" applyFill="1"/>
    <xf numFmtId="164" fontId="0" fillId="4" borderId="0" xfId="0" applyNumberFormat="1" applyFill="1"/>
    <xf numFmtId="164" fontId="15" fillId="0" borderId="2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/>
    </xf>
    <xf numFmtId="0" fontId="0" fillId="9" borderId="0" xfId="0" applyFill="1"/>
    <xf numFmtId="164" fontId="15" fillId="9" borderId="2" xfId="0" applyNumberFormat="1" applyFont="1" applyFill="1" applyBorder="1" applyAlignment="1">
      <alignment horizontal="center" vertical="center" wrapText="1"/>
    </xf>
    <xf numFmtId="16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</cellXfs>
  <cellStyles count="4">
    <cellStyle name="Normal" xfId="0" builtinId="0"/>
    <cellStyle name="Normal 2" xfId="1" xr:uid="{00000000-0005-0000-0000-000000000000}"/>
    <cellStyle name="Normal 2 2" xfId="3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'Zea update'!$N$3:$N$748</c:f>
              <c:numCache>
                <c:formatCode>General</c:formatCode>
                <c:ptCount val="746"/>
                <c:pt idx="2">
                  <c:v>-0.64352055258183638</c:v>
                </c:pt>
                <c:pt idx="5">
                  <c:v>-1.3320290008383227</c:v>
                </c:pt>
                <c:pt idx="8">
                  <c:v>-2.0239055614959569</c:v>
                </c:pt>
                <c:pt idx="11">
                  <c:v>-2.5885575931183014</c:v>
                </c:pt>
                <c:pt idx="14">
                  <c:v>-3.0647748162062598</c:v>
                </c:pt>
                <c:pt idx="17">
                  <c:v>-3.3573610144296633</c:v>
                </c:pt>
                <c:pt idx="20">
                  <c:v>-4.0318631014786996</c:v>
                </c:pt>
                <c:pt idx="23">
                  <c:v>-4.4515504175099192</c:v>
                </c:pt>
                <c:pt idx="26">
                  <c:v>-4.7261079138890487</c:v>
                </c:pt>
                <c:pt idx="29">
                  <c:v>-4.8176345631507198</c:v>
                </c:pt>
                <c:pt idx="32">
                  <c:v>-4.1099955036460596</c:v>
                </c:pt>
                <c:pt idx="35">
                  <c:v>-4.0506138457439267</c:v>
                </c:pt>
                <c:pt idx="38">
                  <c:v>-4.3651770393718792</c:v>
                </c:pt>
                <c:pt idx="41">
                  <c:v>-5.0642313295712658</c:v>
                </c:pt>
                <c:pt idx="44">
                  <c:v>-5.7529786160520899</c:v>
                </c:pt>
                <c:pt idx="47">
                  <c:v>-6.2618852491085404</c:v>
                </c:pt>
                <c:pt idx="50">
                  <c:v>-6.77455303510704</c:v>
                </c:pt>
                <c:pt idx="53">
                  <c:v>-7.1813100372083465</c:v>
                </c:pt>
                <c:pt idx="56">
                  <c:v>-7.5603774507987627</c:v>
                </c:pt>
                <c:pt idx="59">
                  <c:v>-7.4793820804047799</c:v>
                </c:pt>
                <c:pt idx="62">
                  <c:v>-6.6546944290564518</c:v>
                </c:pt>
                <c:pt idx="65">
                  <c:v>-5.1896960915593171</c:v>
                </c:pt>
                <c:pt idx="68">
                  <c:v>-3.1136417355505039</c:v>
                </c:pt>
                <c:pt idx="71">
                  <c:v>-3.0860110402515142</c:v>
                </c:pt>
                <c:pt idx="74">
                  <c:v>-3.5385256103228011</c:v>
                </c:pt>
                <c:pt idx="77">
                  <c:v>-4.0033850066499532</c:v>
                </c:pt>
                <c:pt idx="80">
                  <c:v>-4.5325954754746896</c:v>
                </c:pt>
                <c:pt idx="83">
                  <c:v>-5.2257391075812532</c:v>
                </c:pt>
                <c:pt idx="86">
                  <c:v>-4.8676902111319782</c:v>
                </c:pt>
                <c:pt idx="89">
                  <c:v>-5.4088453991699792</c:v>
                </c:pt>
                <c:pt idx="92">
                  <c:v>-6.1408818349581873</c:v>
                </c:pt>
                <c:pt idx="110">
                  <c:v>-6.6788146086480102</c:v>
                </c:pt>
                <c:pt idx="113">
                  <c:v>-7.3836682682749828</c:v>
                </c:pt>
                <c:pt idx="116">
                  <c:v>-7.9787538313448438</c:v>
                </c:pt>
                <c:pt idx="119">
                  <c:v>-8.4453612882470921</c:v>
                </c:pt>
                <c:pt idx="122">
                  <c:v>-8.8794816390736599</c:v>
                </c:pt>
                <c:pt idx="125">
                  <c:v>-9.2085473008022038</c:v>
                </c:pt>
                <c:pt idx="128">
                  <c:v>-9.7647862177239375</c:v>
                </c:pt>
                <c:pt idx="131">
                  <c:v>-9.6941685064403291</c:v>
                </c:pt>
                <c:pt idx="134">
                  <c:v>-9.6061546334436585</c:v>
                </c:pt>
                <c:pt idx="137">
                  <c:v>-5.3350458305617368</c:v>
                </c:pt>
                <c:pt idx="140">
                  <c:v>-3.0118680934358735</c:v>
                </c:pt>
                <c:pt idx="143">
                  <c:v>-3.0047264764122086</c:v>
                </c:pt>
                <c:pt idx="146">
                  <c:v>-3.3929221358264412</c:v>
                </c:pt>
                <c:pt idx="149">
                  <c:v>-3.9366428962816538</c:v>
                </c:pt>
                <c:pt idx="152">
                  <c:v>-4.5033913452914494</c:v>
                </c:pt>
                <c:pt idx="155">
                  <c:v>-5.0965369348846643</c:v>
                </c:pt>
                <c:pt idx="158">
                  <c:v>-5.6969052493804071</c:v>
                </c:pt>
                <c:pt idx="161">
                  <c:v>-6.3083934451397727</c:v>
                </c:pt>
                <c:pt idx="164">
                  <c:v>-6.5684820731099123</c:v>
                </c:pt>
                <c:pt idx="167">
                  <c:v>-6.2944296481876227</c:v>
                </c:pt>
                <c:pt idx="170">
                  <c:v>-5.6242949091070402</c:v>
                </c:pt>
                <c:pt idx="173">
                  <c:v>-4.3238945948120104</c:v>
                </c:pt>
                <c:pt idx="176">
                  <c:v>-3.5745008700748144</c:v>
                </c:pt>
                <c:pt idx="179">
                  <c:v>-3.3036094069494299</c:v>
                </c:pt>
                <c:pt idx="182">
                  <c:v>-3.2246339096044379</c:v>
                </c:pt>
                <c:pt idx="185">
                  <c:v>-3.6863832325999804</c:v>
                </c:pt>
                <c:pt idx="188">
                  <c:v>-4.0384078005304724</c:v>
                </c:pt>
                <c:pt idx="191">
                  <c:v>-4.6431221898278121</c:v>
                </c:pt>
                <c:pt idx="194">
                  <c:v>-5.189681139035101</c:v>
                </c:pt>
                <c:pt idx="197">
                  <c:v>-5.6197601827464609</c:v>
                </c:pt>
                <c:pt idx="200">
                  <c:v>-5.9334602217870485</c:v>
                </c:pt>
                <c:pt idx="203">
                  <c:v>-6.0966008670682497</c:v>
                </c:pt>
                <c:pt idx="206">
                  <c:v>-4.7657486467033969</c:v>
                </c:pt>
                <c:pt idx="209">
                  <c:v>-3.2670389764659835</c:v>
                </c:pt>
                <c:pt idx="212">
                  <c:v>-2.5817969709570301</c:v>
                </c:pt>
                <c:pt idx="215">
                  <c:v>-1.8108079379288524</c:v>
                </c:pt>
                <c:pt idx="218">
                  <c:v>-2.0964863897671009</c:v>
                </c:pt>
                <c:pt idx="221">
                  <c:v>-2.7332205931506377</c:v>
                </c:pt>
                <c:pt idx="224">
                  <c:v>-3.4370764380766969</c:v>
                </c:pt>
                <c:pt idx="227">
                  <c:v>-3.9797795249700814</c:v>
                </c:pt>
                <c:pt idx="230">
                  <c:v>-4.3349821981688184</c:v>
                </c:pt>
                <c:pt idx="233">
                  <c:v>-4.6817805267448813</c:v>
                </c:pt>
                <c:pt idx="236">
                  <c:v>-5.0329200833640959</c:v>
                </c:pt>
                <c:pt idx="239">
                  <c:v>-5.027391802813618</c:v>
                </c:pt>
                <c:pt idx="242">
                  <c:v>-4.6122189161667739</c:v>
                </c:pt>
                <c:pt idx="245">
                  <c:v>-1.1631003259796016</c:v>
                </c:pt>
                <c:pt idx="248">
                  <c:v>0.25507420601772535</c:v>
                </c:pt>
                <c:pt idx="251">
                  <c:v>3.8813421015220839E-2</c:v>
                </c:pt>
                <c:pt idx="254">
                  <c:v>5.0219505877069706E-2</c:v>
                </c:pt>
                <c:pt idx="257">
                  <c:v>-0.35668179284598217</c:v>
                </c:pt>
                <c:pt idx="260">
                  <c:v>-0.55927890768412969</c:v>
                </c:pt>
                <c:pt idx="263">
                  <c:v>-0.99733489466900416</c:v>
                </c:pt>
                <c:pt idx="266">
                  <c:v>-1.5687807722788671</c:v>
                </c:pt>
                <c:pt idx="269">
                  <c:v>-1.8918924177837142</c:v>
                </c:pt>
                <c:pt idx="272">
                  <c:v>-2.5940240350202597</c:v>
                </c:pt>
                <c:pt idx="275">
                  <c:v>-2.9389760007721155</c:v>
                </c:pt>
                <c:pt idx="278">
                  <c:v>-2.7999853227420486</c:v>
                </c:pt>
                <c:pt idx="281">
                  <c:v>-5.6082993948844972E-2</c:v>
                </c:pt>
                <c:pt idx="284">
                  <c:v>2.309717132570853</c:v>
                </c:pt>
                <c:pt idx="287">
                  <c:v>2.6360083596393848</c:v>
                </c:pt>
                <c:pt idx="290">
                  <c:v>3.1034966166116393</c:v>
                </c:pt>
                <c:pt idx="293">
                  <c:v>2.6169038098880306</c:v>
                </c:pt>
                <c:pt idx="296">
                  <c:v>2.0158719694750347</c:v>
                </c:pt>
                <c:pt idx="299">
                  <c:v>1.9194009941278729</c:v>
                </c:pt>
                <c:pt idx="302">
                  <c:v>1.5743394461128317</c:v>
                </c:pt>
                <c:pt idx="305">
                  <c:v>1.2056009632014968</c:v>
                </c:pt>
                <c:pt idx="308">
                  <c:v>0.7085878799476355</c:v>
                </c:pt>
                <c:pt idx="311">
                  <c:v>0.12727665187780046</c:v>
                </c:pt>
                <c:pt idx="314">
                  <c:v>0.42963602037207005</c:v>
                </c:pt>
                <c:pt idx="317">
                  <c:v>1.0756201657123572</c:v>
                </c:pt>
                <c:pt idx="320">
                  <c:v>1.3040183094417184</c:v>
                </c:pt>
                <c:pt idx="323">
                  <c:v>1.6833817028676301</c:v>
                </c:pt>
                <c:pt idx="326">
                  <c:v>3.0863435180634493</c:v>
                </c:pt>
                <c:pt idx="329">
                  <c:v>2.5246947389598051</c:v>
                </c:pt>
                <c:pt idx="332">
                  <c:v>1.8907322707642158</c:v>
                </c:pt>
                <c:pt idx="335">
                  <c:v>1.2940105772533363</c:v>
                </c:pt>
                <c:pt idx="338">
                  <c:v>0.65525392008158923</c:v>
                </c:pt>
                <c:pt idx="341">
                  <c:v>0.13364757798396809</c:v>
                </c:pt>
                <c:pt idx="344">
                  <c:v>-0.34206888757669968</c:v>
                </c:pt>
                <c:pt idx="347">
                  <c:v>-0.92362223750750627</c:v>
                </c:pt>
                <c:pt idx="350">
                  <c:v>-1.03514820598401</c:v>
                </c:pt>
                <c:pt idx="353">
                  <c:v>1.7954536668841057</c:v>
                </c:pt>
                <c:pt idx="356">
                  <c:v>2.0205705739489526</c:v>
                </c:pt>
                <c:pt idx="359">
                  <c:v>1.6514216268495376</c:v>
                </c:pt>
                <c:pt idx="362">
                  <c:v>1.2583384853645139</c:v>
                </c:pt>
                <c:pt idx="365">
                  <c:v>0.77683756947119698</c:v>
                </c:pt>
                <c:pt idx="368">
                  <c:v>-1.2096271800501324E-3</c:v>
                </c:pt>
                <c:pt idx="371">
                  <c:v>-0.62992438467490008</c:v>
                </c:pt>
                <c:pt idx="375">
                  <c:v>-0.51990471184350051</c:v>
                </c:pt>
                <c:pt idx="378">
                  <c:v>-1.0228310345255864</c:v>
                </c:pt>
                <c:pt idx="381">
                  <c:v>-1.5745992591833775</c:v>
                </c:pt>
                <c:pt idx="384">
                  <c:v>-1.5141862500705259</c:v>
                </c:pt>
                <c:pt idx="387">
                  <c:v>0.96688559829894749</c:v>
                </c:pt>
                <c:pt idx="391">
                  <c:v>2.5204827212505574</c:v>
                </c:pt>
                <c:pt idx="394">
                  <c:v>3.267446154459686</c:v>
                </c:pt>
                <c:pt idx="397">
                  <c:v>4.8387269071943688</c:v>
                </c:pt>
                <c:pt idx="400">
                  <c:v>4.4940909368320545</c:v>
                </c:pt>
                <c:pt idx="403">
                  <c:v>3.9931519929833774</c:v>
                </c:pt>
                <c:pt idx="406">
                  <c:v>3.3608838718351475</c:v>
                </c:pt>
                <c:pt idx="409">
                  <c:v>2.8237317726593654</c:v>
                </c:pt>
                <c:pt idx="413">
                  <c:v>2.2162666378132929</c:v>
                </c:pt>
                <c:pt idx="416">
                  <c:v>2.0505856116631755</c:v>
                </c:pt>
                <c:pt idx="419">
                  <c:v>1.3609939484779077</c:v>
                </c:pt>
                <c:pt idx="422">
                  <c:v>1.6712042227928419</c:v>
                </c:pt>
                <c:pt idx="425">
                  <c:v>6.4577046887651655</c:v>
                </c:pt>
                <c:pt idx="428">
                  <c:v>10.830430271151151</c:v>
                </c:pt>
                <c:pt idx="432">
                  <c:v>12.886483854445842</c:v>
                </c:pt>
                <c:pt idx="435">
                  <c:v>14.866180425662654</c:v>
                </c:pt>
                <c:pt idx="438">
                  <c:v>14.626028808325774</c:v>
                </c:pt>
                <c:pt idx="441">
                  <c:v>14.129937972234512</c:v>
                </c:pt>
                <c:pt idx="444">
                  <c:v>13.461192365275618</c:v>
                </c:pt>
                <c:pt idx="448">
                  <c:v>12.861444825278614</c:v>
                </c:pt>
                <c:pt idx="452">
                  <c:v>12.412477718631216</c:v>
                </c:pt>
                <c:pt idx="455">
                  <c:v>11.884418619093262</c:v>
                </c:pt>
                <c:pt idx="458">
                  <c:v>11.60068929103123</c:v>
                </c:pt>
                <c:pt idx="461">
                  <c:v>11.170563432835351</c:v>
                </c:pt>
                <c:pt idx="465">
                  <c:v>12.314783206316939</c:v>
                </c:pt>
                <c:pt idx="468">
                  <c:v>12.003885463885648</c:v>
                </c:pt>
                <c:pt idx="471">
                  <c:v>11.417017926813269</c:v>
                </c:pt>
                <c:pt idx="474">
                  <c:v>11.465611941497823</c:v>
                </c:pt>
                <c:pt idx="477">
                  <c:v>11.116261254855626</c:v>
                </c:pt>
                <c:pt idx="481">
                  <c:v>10.666799976593445</c:v>
                </c:pt>
                <c:pt idx="484">
                  <c:v>9.908692187432786</c:v>
                </c:pt>
                <c:pt idx="488">
                  <c:v>9.2628437168312416</c:v>
                </c:pt>
                <c:pt idx="492">
                  <c:v>8.5416704858094725</c:v>
                </c:pt>
                <c:pt idx="495">
                  <c:v>7.9496205464889931</c:v>
                </c:pt>
                <c:pt idx="498">
                  <c:v>7.6065375343155264</c:v>
                </c:pt>
                <c:pt idx="501">
                  <c:v>6.986789458956606</c:v>
                </c:pt>
                <c:pt idx="505">
                  <c:v>6.511040259284079</c:v>
                </c:pt>
                <c:pt idx="508">
                  <c:v>9.7117861279470645</c:v>
                </c:pt>
                <c:pt idx="511">
                  <c:v>12.316883471080386</c:v>
                </c:pt>
                <c:pt idx="514">
                  <c:v>11.941725242853025</c:v>
                </c:pt>
                <c:pt idx="517">
                  <c:v>11.33451808653242</c:v>
                </c:pt>
                <c:pt idx="521">
                  <c:v>10.631570754379634</c:v>
                </c:pt>
                <c:pt idx="525">
                  <c:v>9.9926825982970993</c:v>
                </c:pt>
                <c:pt idx="528">
                  <c:v>9.3473641529756719</c:v>
                </c:pt>
                <c:pt idx="532">
                  <c:v>8.7478519249078097</c:v>
                </c:pt>
                <c:pt idx="535">
                  <c:v>8.11424084299715</c:v>
                </c:pt>
                <c:pt idx="538">
                  <c:v>7.5962058911999399</c:v>
                </c:pt>
                <c:pt idx="541">
                  <c:v>7.0206542927605788</c:v>
                </c:pt>
                <c:pt idx="545">
                  <c:v>7.7766576697997625</c:v>
                </c:pt>
                <c:pt idx="549">
                  <c:v>8.9735476380348391</c:v>
                </c:pt>
                <c:pt idx="553">
                  <c:v>9.0672505649441035</c:v>
                </c:pt>
                <c:pt idx="556">
                  <c:v>8.7237079689094088</c:v>
                </c:pt>
                <c:pt idx="559">
                  <c:v>8.2034659378202139</c:v>
                </c:pt>
                <c:pt idx="562">
                  <c:v>7.5953497846052516</c:v>
                </c:pt>
                <c:pt idx="565">
                  <c:v>6.7940806715762756</c:v>
                </c:pt>
                <c:pt idx="568">
                  <c:v>6.4481563714763039</c:v>
                </c:pt>
                <c:pt idx="574">
                  <c:v>5.8674564963929825</c:v>
                </c:pt>
                <c:pt idx="577">
                  <c:v>5.4166862334151151</c:v>
                </c:pt>
                <c:pt idx="580">
                  <c:v>4.8816714786097037</c:v>
                </c:pt>
                <c:pt idx="583">
                  <c:v>5.116357709416036</c:v>
                </c:pt>
                <c:pt idx="586">
                  <c:v>5.6656922963114171</c:v>
                </c:pt>
                <c:pt idx="589">
                  <c:v>5.5860244510901307</c:v>
                </c:pt>
                <c:pt idx="592">
                  <c:v>5.7032044827192028</c:v>
                </c:pt>
                <c:pt idx="595">
                  <c:v>5.1199444870689002</c:v>
                </c:pt>
                <c:pt idx="599">
                  <c:v>4.4042084113926796</c:v>
                </c:pt>
                <c:pt idx="602">
                  <c:v>3.774422641931547</c:v>
                </c:pt>
                <c:pt idx="605">
                  <c:v>3.113235228482206</c:v>
                </c:pt>
                <c:pt idx="608">
                  <c:v>2.484751820433746</c:v>
                </c:pt>
                <c:pt idx="611">
                  <c:v>2.062036023600851</c:v>
                </c:pt>
                <c:pt idx="615">
                  <c:v>1.583931639663174</c:v>
                </c:pt>
                <c:pt idx="618">
                  <c:v>1.7405010351463805</c:v>
                </c:pt>
                <c:pt idx="621">
                  <c:v>3.3089604153090169</c:v>
                </c:pt>
                <c:pt idx="624">
                  <c:v>4.7431337071508519</c:v>
                </c:pt>
                <c:pt idx="627">
                  <c:v>4.6719883819950176</c:v>
                </c:pt>
                <c:pt idx="631">
                  <c:v>4.145323348475852</c:v>
                </c:pt>
                <c:pt idx="634">
                  <c:v>3.6016033320152374</c:v>
                </c:pt>
                <c:pt idx="637">
                  <c:v>2.939821654264076</c:v>
                </c:pt>
                <c:pt idx="646">
                  <c:v>2.4079183403501321</c:v>
                </c:pt>
                <c:pt idx="649">
                  <c:v>1.990628920297018</c:v>
                </c:pt>
                <c:pt idx="652">
                  <c:v>1.5158705672987991</c:v>
                </c:pt>
                <c:pt idx="655">
                  <c:v>3.6543425469766344</c:v>
                </c:pt>
                <c:pt idx="658">
                  <c:v>5.881604357402602</c:v>
                </c:pt>
                <c:pt idx="664">
                  <c:v>5.6477382370603495</c:v>
                </c:pt>
                <c:pt idx="670">
                  <c:v>4.9777338521571135</c:v>
                </c:pt>
                <c:pt idx="673">
                  <c:v>4.2663441329508558</c:v>
                </c:pt>
                <c:pt idx="676">
                  <c:v>3.5709317244001597</c:v>
                </c:pt>
                <c:pt idx="679">
                  <c:v>2.9237014697658594</c:v>
                </c:pt>
                <c:pt idx="682">
                  <c:v>2.378783511762522</c:v>
                </c:pt>
                <c:pt idx="685">
                  <c:v>1.8465624084650047</c:v>
                </c:pt>
                <c:pt idx="688">
                  <c:v>1.3029665097931133</c:v>
                </c:pt>
                <c:pt idx="691">
                  <c:v>2.9439845342050304</c:v>
                </c:pt>
                <c:pt idx="694">
                  <c:v>4.4908396291599875</c:v>
                </c:pt>
                <c:pt idx="697">
                  <c:v>7.1798969982055283</c:v>
                </c:pt>
                <c:pt idx="700">
                  <c:v>6.8332440407988626</c:v>
                </c:pt>
                <c:pt idx="703">
                  <c:v>6.2687333387231687</c:v>
                </c:pt>
                <c:pt idx="704">
                  <c:v>5.497590067646537</c:v>
                </c:pt>
                <c:pt idx="718">
                  <c:v>4.9975415589918502</c:v>
                </c:pt>
                <c:pt idx="721">
                  <c:v>4.6114264825181897</c:v>
                </c:pt>
                <c:pt idx="724">
                  <c:v>4.4064172013675798</c:v>
                </c:pt>
                <c:pt idx="727">
                  <c:v>7.5152573187266398</c:v>
                </c:pt>
                <c:pt idx="730">
                  <c:v>9.6527850785178479</c:v>
                </c:pt>
                <c:pt idx="733">
                  <c:v>11.485057218691001</c:v>
                </c:pt>
                <c:pt idx="736">
                  <c:v>11.610426703600842</c:v>
                </c:pt>
                <c:pt idx="739">
                  <c:v>10.824754885645085</c:v>
                </c:pt>
                <c:pt idx="745">
                  <c:v>10.292358548540351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6-8747-96D8-05E7F749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'Zea update'!$L$3:$L$748</c:f>
              <c:numCache>
                <c:formatCode>General</c:formatCode>
                <c:ptCount val="746"/>
                <c:pt idx="2">
                  <c:v>4.0462107858098336E-3</c:v>
                </c:pt>
                <c:pt idx="5">
                  <c:v>2.8922826092629981E-3</c:v>
                </c:pt>
                <c:pt idx="8">
                  <c:v>2.8058913757283395E-3</c:v>
                </c:pt>
                <c:pt idx="11">
                  <c:v>6.0691684550438461E-3</c:v>
                </c:pt>
                <c:pt idx="14">
                  <c:v>8.3374989876242953E-3</c:v>
                </c:pt>
                <c:pt idx="17">
                  <c:v>1.3047588457285451E-2</c:v>
                </c:pt>
                <c:pt idx="20">
                  <c:v>3.2515422413439145E-3</c:v>
                </c:pt>
                <c:pt idx="23">
                  <c:v>9.7874768448260527E-3</c:v>
                </c:pt>
                <c:pt idx="26">
                  <c:v>1.3510020112127053E-2</c:v>
                </c:pt>
                <c:pt idx="29">
                  <c:v>1.8204715173960818E-2</c:v>
                </c:pt>
                <c:pt idx="32">
                  <c:v>3.8703114026502165E-2</c:v>
                </c:pt>
                <c:pt idx="35">
                  <c:v>2.207547518840226E-2</c:v>
                </c:pt>
                <c:pt idx="38">
                  <c:v>1.2483884068519385E-2</c:v>
                </c:pt>
                <c:pt idx="41">
                  <c:v>2.6217844234547945E-3</c:v>
                </c:pt>
                <c:pt idx="44">
                  <c:v>2.8861564690520125E-3</c:v>
                </c:pt>
                <c:pt idx="47">
                  <c:v>7.4990238673356899E-3</c:v>
                </c:pt>
                <c:pt idx="50">
                  <c:v>7.4025512430653632E-3</c:v>
                </c:pt>
                <c:pt idx="53">
                  <c:v>1.0119136135654594E-2</c:v>
                </c:pt>
                <c:pt idx="56">
                  <c:v>1.0829367096684153E-2</c:v>
                </c:pt>
                <c:pt idx="59">
                  <c:v>2.2629861462090138E-2</c:v>
                </c:pt>
                <c:pt idx="62">
                  <c:v>4.1705380883576934E-2</c:v>
                </c:pt>
                <c:pt idx="65">
                  <c:v>5.812918847472618E-2</c:v>
                </c:pt>
                <c:pt idx="68">
                  <c:v>7.380262122002515E-2</c:v>
                </c:pt>
                <c:pt idx="71">
                  <c:v>2.1261071006325863E-2</c:v>
                </c:pt>
                <c:pt idx="74">
                  <c:v>8.9454660588705864E-3</c:v>
                </c:pt>
                <c:pt idx="77">
                  <c:v>8.6288243792010718E-3</c:v>
                </c:pt>
                <c:pt idx="80">
                  <c:v>6.9782356012108677E-3</c:v>
                </c:pt>
                <c:pt idx="83">
                  <c:v>2.7733913126626801E-3</c:v>
                </c:pt>
                <c:pt idx="86">
                  <c:v>2.9736214522898038E-2</c:v>
                </c:pt>
                <c:pt idx="89">
                  <c:v>6.6718565662631946E-3</c:v>
                </c:pt>
                <c:pt idx="92">
                  <c:v>1.7758007083427919E-3</c:v>
                </c:pt>
                <c:pt idx="110">
                  <c:v>6.7545106814892618E-3</c:v>
                </c:pt>
                <c:pt idx="113">
                  <c:v>2.4730320604393545E-3</c:v>
                </c:pt>
                <c:pt idx="116">
                  <c:v>5.288556049807421E-3</c:v>
                </c:pt>
                <c:pt idx="119">
                  <c:v>8.5839870663713697E-3</c:v>
                </c:pt>
                <c:pt idx="122">
                  <c:v>9.4172731428374245E-3</c:v>
                </c:pt>
                <c:pt idx="125">
                  <c:v>1.2111899419764783E-2</c:v>
                </c:pt>
                <c:pt idx="128">
                  <c:v>6.2849627250351212E-3</c:v>
                </c:pt>
                <c:pt idx="131">
                  <c:v>2.2363677123514662E-2</c:v>
                </c:pt>
                <c:pt idx="134">
                  <c:v>2.280988428353924E-2</c:v>
                </c:pt>
                <c:pt idx="137">
                  <c:v>0.13010521411344175</c:v>
                </c:pt>
                <c:pt idx="140">
                  <c:v>8.0141273612587979E-2</c:v>
                </c:pt>
                <c:pt idx="143">
                  <c:v>2.0735531316620089E-2</c:v>
                </c:pt>
                <c:pt idx="146">
                  <c:v>1.0595229893763521E-2</c:v>
                </c:pt>
                <c:pt idx="149">
                  <c:v>6.6060502808880737E-3</c:v>
                </c:pt>
                <c:pt idx="152">
                  <c:v>6.0153958778449155E-3</c:v>
                </c:pt>
                <c:pt idx="155">
                  <c:v>5.338315880154796E-3</c:v>
                </c:pt>
                <c:pt idx="158">
                  <c:v>5.1530548082267353E-3</c:v>
                </c:pt>
                <c:pt idx="161">
                  <c:v>4.8678326586346085E-3</c:v>
                </c:pt>
                <c:pt idx="164">
                  <c:v>1.38811429372671E-2</c:v>
                </c:pt>
                <c:pt idx="167">
                  <c:v>2.7581726215054843E-2</c:v>
                </c:pt>
                <c:pt idx="170">
                  <c:v>3.7741137667515218E-2</c:v>
                </c:pt>
                <c:pt idx="173">
                  <c:v>5.3907290696923606E-2</c:v>
                </c:pt>
                <c:pt idx="176">
                  <c:v>3.977411065774164E-2</c:v>
                </c:pt>
                <c:pt idx="179">
                  <c:v>2.7500648342268452E-2</c:v>
                </c:pt>
                <c:pt idx="182">
                  <c:v>2.2578052227865578E-2</c:v>
                </c:pt>
                <c:pt idx="185">
                  <c:v>8.7085969756884752E-3</c:v>
                </c:pt>
                <c:pt idx="188">
                  <c:v>1.1523009266717399E-2</c:v>
                </c:pt>
                <c:pt idx="191">
                  <c:v>5.0415790857966016E-3</c:v>
                </c:pt>
                <c:pt idx="194">
                  <c:v>6.5332514552869769E-3</c:v>
                </c:pt>
                <c:pt idx="197">
                  <c:v>9.5209316509846584E-3</c:v>
                </c:pt>
                <c:pt idx="200">
                  <c:v>1.2506023765967784E-2</c:v>
                </c:pt>
                <c:pt idx="203">
                  <c:v>1.6367834239593974E-2</c:v>
                </c:pt>
                <c:pt idx="206">
                  <c:v>5.468837440658747E-2</c:v>
                </c:pt>
                <c:pt idx="209">
                  <c:v>5.8993875656346763E-2</c:v>
                </c:pt>
                <c:pt idx="212">
                  <c:v>3.8128635240826249E-2</c:v>
                </c:pt>
                <c:pt idx="215">
                  <c:v>4.0328024868319427E-2</c:v>
                </c:pt>
                <c:pt idx="218">
                  <c:v>1.3224770409691404E-2</c:v>
                </c:pt>
                <c:pt idx="221">
                  <c:v>4.2202789309935314E-3</c:v>
                </c:pt>
                <c:pt idx="224">
                  <c:v>2.498625755834291E-3</c:v>
                </c:pt>
                <c:pt idx="227">
                  <c:v>6.6321533510563862E-3</c:v>
                </c:pt>
                <c:pt idx="230">
                  <c:v>1.1441491668215325E-2</c:v>
                </c:pt>
                <c:pt idx="233">
                  <c:v>1.1657060987919637E-2</c:v>
                </c:pt>
                <c:pt idx="236">
                  <c:v>1.1545709583621123E-2</c:v>
                </c:pt>
                <c:pt idx="239">
                  <c:v>2.0694149643022276E-2</c:v>
                </c:pt>
                <c:pt idx="242">
                  <c:v>3.1201430462813717E-2</c:v>
                </c:pt>
                <c:pt idx="245">
                  <c:v>0.10902137249226816</c:v>
                </c:pt>
                <c:pt idx="248">
                  <c:v>5.6928169674244196E-2</c:v>
                </c:pt>
                <c:pt idx="251">
                  <c:v>1.500531605448454E-2</c:v>
                </c:pt>
                <c:pt idx="254">
                  <c:v>2.0844913841022789E-2</c:v>
                </c:pt>
                <c:pt idx="257">
                  <c:v>1.011543496370344E-2</c:v>
                </c:pt>
                <c:pt idx="260">
                  <c:v>1.5355785747748684E-2</c:v>
                </c:pt>
                <c:pt idx="263">
                  <c:v>9.3163250680808364E-3</c:v>
                </c:pt>
                <c:pt idx="266">
                  <c:v>5.8949080191076329E-3</c:v>
                </c:pt>
                <c:pt idx="269">
                  <c:v>1.2264618434093162E-2</c:v>
                </c:pt>
                <c:pt idx="272">
                  <c:v>2.5428517611602937E-3</c:v>
                </c:pt>
                <c:pt idx="275">
                  <c:v>1.1704419728643802E-2</c:v>
                </c:pt>
                <c:pt idx="278">
                  <c:v>2.4117426474527241E-2</c:v>
                </c:pt>
                <c:pt idx="281">
                  <c:v>9.0932753267518165E-2</c:v>
                </c:pt>
                <c:pt idx="284">
                  <c:v>8.1234527149694646E-2</c:v>
                </c:pt>
                <c:pt idx="287">
                  <c:v>2.8921638313667883E-2</c:v>
                </c:pt>
                <c:pt idx="290">
                  <c:v>3.2543306515909254E-2</c:v>
                </c:pt>
                <c:pt idx="293">
                  <c:v>8.0713678844519972E-3</c:v>
                </c:pt>
                <c:pt idx="296">
                  <c:v>5.1360355358134376E-3</c:v>
                </c:pt>
                <c:pt idx="299">
                  <c:v>1.807789445699854E-2</c:v>
                </c:pt>
                <c:pt idx="302">
                  <c:v>1.1701608971233544E-2</c:v>
                </c:pt>
                <c:pt idx="305">
                  <c:v>1.109430156328795E-2</c:v>
                </c:pt>
                <c:pt idx="308">
                  <c:v>7.8040904198062432E-3</c:v>
                </c:pt>
                <c:pt idx="311">
                  <c:v>5.6418642681929669E-3</c:v>
                </c:pt>
                <c:pt idx="314">
                  <c:v>2.8307792177682988E-2</c:v>
                </c:pt>
                <c:pt idx="317">
                  <c:v>3.7121681029694167E-2</c:v>
                </c:pt>
                <c:pt idx="320">
                  <c:v>2.6410705418049713E-2</c:v>
                </c:pt>
                <c:pt idx="323">
                  <c:v>3.0282925994093227E-2</c:v>
                </c:pt>
                <c:pt idx="326">
                  <c:v>5.6537967325460438E-2</c:v>
                </c:pt>
                <c:pt idx="329">
                  <c:v>6.1462011246240355E-3</c:v>
                </c:pt>
                <c:pt idx="332">
                  <c:v>4.2913732394366201E-3</c:v>
                </c:pt>
                <c:pt idx="335">
                  <c:v>5.246589716684155E-3</c:v>
                </c:pt>
                <c:pt idx="338">
                  <c:v>4.1684035014589406E-3</c:v>
                </c:pt>
                <c:pt idx="341">
                  <c:v>7.1732795337368302E-3</c:v>
                </c:pt>
                <c:pt idx="344">
                  <c:v>8.3503432918908879E-3</c:v>
                </c:pt>
                <c:pt idx="347">
                  <c:v>5.6356539035305811E-3</c:v>
                </c:pt>
                <c:pt idx="350">
                  <c:v>1.769173768062245E-2</c:v>
                </c:pt>
                <c:pt idx="353">
                  <c:v>9.3156574704407025E-2</c:v>
                </c:pt>
                <c:pt idx="356">
                  <c:v>2.6326542525246629E-2</c:v>
                </c:pt>
                <c:pt idx="359">
                  <c:v>1.1083773260397008E-2</c:v>
                </c:pt>
                <c:pt idx="362">
                  <c:v>1.0469867211440246E-2</c:v>
                </c:pt>
                <c:pt idx="365">
                  <c:v>8.201973599897475E-3</c:v>
                </c:pt>
                <c:pt idx="368">
                  <c:v>5.9563629771585422E-4</c:v>
                </c:pt>
                <c:pt idx="371">
                  <c:v>4.4259756952559019E-3</c:v>
                </c:pt>
                <c:pt idx="375">
                  <c:v>2.3374327498673943E-2</c:v>
                </c:pt>
                <c:pt idx="378">
                  <c:v>7.6524173199963947E-3</c:v>
                </c:pt>
                <c:pt idx="381">
                  <c:v>6.3996348539415767E-3</c:v>
                </c:pt>
                <c:pt idx="384">
                  <c:v>2.2101929086814649E-2</c:v>
                </c:pt>
                <c:pt idx="387">
                  <c:v>8.4191217739614327E-2</c:v>
                </c:pt>
                <c:pt idx="391">
                  <c:v>6.0401724973946268E-2</c:v>
                </c:pt>
                <c:pt idx="394">
                  <c:v>3.9711774293050547E-2</c:v>
                </c:pt>
                <c:pt idx="397">
                  <c:v>6.0855305617457216E-2</c:v>
                </c:pt>
                <c:pt idx="400">
                  <c:v>1.1712524930680545E-2</c:v>
                </c:pt>
                <c:pt idx="403">
                  <c:v>7.7033930857874529E-3</c:v>
                </c:pt>
                <c:pt idx="406">
                  <c:v>4.3348328138282802E-3</c:v>
                </c:pt>
                <c:pt idx="409">
                  <c:v>6.7745347858612281E-3</c:v>
                </c:pt>
                <c:pt idx="413">
                  <c:v>4.9710231563050589E-3</c:v>
                </c:pt>
                <c:pt idx="416">
                  <c:v>1.6302674111078459E-2</c:v>
                </c:pt>
                <c:pt idx="419">
                  <c:v>2.8644984195641335E-3</c:v>
                </c:pt>
                <c:pt idx="422">
                  <c:v>2.8509165931712235E-2</c:v>
                </c:pt>
                <c:pt idx="425">
                  <c:v>0.14332488027205406</c:v>
                </c:pt>
                <c:pt idx="428">
                  <c:v>0.13271165887644412</c:v>
                </c:pt>
                <c:pt idx="432">
                  <c:v>7.3289606444796609E-2</c:v>
                </c:pt>
                <c:pt idx="435">
                  <c:v>7.1331068344886311E-2</c:v>
                </c:pt>
                <c:pt idx="438">
                  <c:v>1.4392522231204527E-2</c:v>
                </c:pt>
                <c:pt idx="441">
                  <c:v>7.8277458269041915E-3</c:v>
                </c:pt>
                <c:pt idx="444">
                  <c:v>3.3991945036721152E-3</c:v>
                </c:pt>
                <c:pt idx="448">
                  <c:v>5.1689775175385293E-3</c:v>
                </c:pt>
                <c:pt idx="452">
                  <c:v>9.0364576009000133E-3</c:v>
                </c:pt>
                <c:pt idx="455">
                  <c:v>7.0077679330015786E-3</c:v>
                </c:pt>
                <c:pt idx="458">
                  <c:v>1.3274764942914708E-2</c:v>
                </c:pt>
                <c:pt idx="461">
                  <c:v>9.5197308712650086E-3</c:v>
                </c:pt>
                <c:pt idx="465">
                  <c:v>4.990129921920914E-2</c:v>
                </c:pt>
                <c:pt idx="468">
                  <c:v>1.257790196715981E-2</c:v>
                </c:pt>
                <c:pt idx="471">
                  <c:v>5.4993463437716123E-3</c:v>
                </c:pt>
                <c:pt idx="474">
                  <c:v>2.1798774860889204E-2</c:v>
                </c:pt>
                <c:pt idx="477">
                  <c:v>1.1591593647316541E-2</c:v>
                </c:pt>
                <c:pt idx="481">
                  <c:v>9.0237822236280251E-3</c:v>
                </c:pt>
                <c:pt idx="484">
                  <c:v>1.1070770704391395E-3</c:v>
                </c:pt>
                <c:pt idx="488">
                  <c:v>3.9865002757859891E-3</c:v>
                </c:pt>
                <c:pt idx="492">
                  <c:v>2.0544391705248411E-3</c:v>
                </c:pt>
                <c:pt idx="495">
                  <c:v>5.3664190332894483E-3</c:v>
                </c:pt>
                <c:pt idx="498">
                  <c:v>1.1752357916514543E-2</c:v>
                </c:pt>
                <c:pt idx="501">
                  <c:v>4.6559688303341893E-3</c:v>
                </c:pt>
                <c:pt idx="505">
                  <c:v>8.349503670178374E-3</c:v>
                </c:pt>
                <c:pt idx="508">
                  <c:v>0.10265067483338927</c:v>
                </c:pt>
                <c:pt idx="511">
                  <c:v>8.7372440396774761E-2</c:v>
                </c:pt>
                <c:pt idx="514">
                  <c:v>1.0929636715214351E-2</c:v>
                </c:pt>
                <c:pt idx="517">
                  <c:v>4.977640240412134E-3</c:v>
                </c:pt>
                <c:pt idx="521">
                  <c:v>2.5219288793103447E-3</c:v>
                </c:pt>
                <c:pt idx="525">
                  <c:v>4.1650305875657982E-3</c:v>
                </c:pt>
                <c:pt idx="528">
                  <c:v>4.0000952905302383E-3</c:v>
                </c:pt>
                <c:pt idx="532">
                  <c:v>5.175013209167161E-3</c:v>
                </c:pt>
                <c:pt idx="535">
                  <c:v>4.3003862090132483E-3</c:v>
                </c:pt>
                <c:pt idx="538">
                  <c:v>7.2648847941138494E-3</c:v>
                </c:pt>
                <c:pt idx="541">
                  <c:v>5.789597315436241E-3</c:v>
                </c:pt>
                <c:pt idx="545">
                  <c:v>3.9943646572104023E-2</c:v>
                </c:pt>
                <c:pt idx="549">
                  <c:v>5.1252276429385901E-2</c:v>
                </c:pt>
                <c:pt idx="553">
                  <c:v>2.2955807081420507E-2</c:v>
                </c:pt>
                <c:pt idx="556">
                  <c:v>1.1740569706397046E-2</c:v>
                </c:pt>
                <c:pt idx="559">
                  <c:v>7.2082737669764115E-3</c:v>
                </c:pt>
                <c:pt idx="562">
                  <c:v>4.9543246993524505E-3</c:v>
                </c:pt>
                <c:pt idx="565">
                  <c:v>0</c:v>
                </c:pt>
                <c:pt idx="568">
                  <c:v>1.1679479597871082E-2</c:v>
                </c:pt>
                <c:pt idx="574">
                  <c:v>5.6575453180925991E-3</c:v>
                </c:pt>
                <c:pt idx="577">
                  <c:v>8.9902070958420306E-3</c:v>
                </c:pt>
                <c:pt idx="580">
                  <c:v>6.8293571298488438E-3</c:v>
                </c:pt>
                <c:pt idx="583">
                  <c:v>2.6571993265500325E-2</c:v>
                </c:pt>
                <c:pt idx="586">
                  <c:v>3.4642644233953773E-2</c:v>
                </c:pt>
                <c:pt idx="589">
                  <c:v>1.850889050639493E-2</c:v>
                </c:pt>
                <c:pt idx="592">
                  <c:v>2.3557988895743367E-2</c:v>
                </c:pt>
                <c:pt idx="595">
                  <c:v>5.591878871300757E-3</c:v>
                </c:pt>
                <c:pt idx="599">
                  <c:v>2.1939008336989908E-3</c:v>
                </c:pt>
                <c:pt idx="602">
                  <c:v>4.398504508467121E-3</c:v>
                </c:pt>
                <c:pt idx="605">
                  <c:v>3.5930602607535164E-3</c:v>
                </c:pt>
                <c:pt idx="608">
                  <c:v>4.4319097502014499E-3</c:v>
                </c:pt>
                <c:pt idx="611">
                  <c:v>9.7097970761509909E-3</c:v>
                </c:pt>
                <c:pt idx="615">
                  <c:v>8.2890937878364514E-3</c:v>
                </c:pt>
                <c:pt idx="618">
                  <c:v>2.4568316143237914E-2</c:v>
                </c:pt>
                <c:pt idx="621">
                  <c:v>6.0782938122632246E-2</c:v>
                </c:pt>
                <c:pt idx="624">
                  <c:v>5.7338533828813605E-2</c:v>
                </c:pt>
                <c:pt idx="627">
                  <c:v>1.8727490996398564E-2</c:v>
                </c:pt>
                <c:pt idx="631">
                  <c:v>7.0435253747516708E-3</c:v>
                </c:pt>
                <c:pt idx="634">
                  <c:v>6.6060693641618482E-3</c:v>
                </c:pt>
                <c:pt idx="637">
                  <c:v>3.5778175313059034E-3</c:v>
                </c:pt>
                <c:pt idx="646">
                  <c:v>6.9091648039016464E-3</c:v>
                </c:pt>
                <c:pt idx="649">
                  <c:v>9.8489822718319103E-3</c:v>
                </c:pt>
                <c:pt idx="652">
                  <c:v>8.3749186374484728E-3</c:v>
                </c:pt>
                <c:pt idx="655">
                  <c:v>7.5403617523245592E-2</c:v>
                </c:pt>
                <c:pt idx="658">
                  <c:v>7.7681054286059717E-2</c:v>
                </c:pt>
                <c:pt idx="664">
                  <c:v>1.4553743643696302E-2</c:v>
                </c:pt>
                <c:pt idx="670">
                  <c:v>3.3669071669071662E-3</c:v>
                </c:pt>
                <c:pt idx="673">
                  <c:v>2.305383780851641E-3</c:v>
                </c:pt>
                <c:pt idx="676">
                  <c:v>2.7151977691348057E-3</c:v>
                </c:pt>
                <c:pt idx="679">
                  <c:v>3.9510578638796839E-3</c:v>
                </c:pt>
                <c:pt idx="682">
                  <c:v>6.5753424657534251E-3</c:v>
                </c:pt>
                <c:pt idx="685">
                  <c:v>6.9010135863704974E-3</c:v>
                </c:pt>
                <c:pt idx="688">
                  <c:v>6.6092529541357898E-3</c:v>
                </c:pt>
                <c:pt idx="691">
                  <c:v>6.2644049045819133E-2</c:v>
                </c:pt>
                <c:pt idx="694">
                  <c:v>6.0228793656405467E-2</c:v>
                </c:pt>
                <c:pt idx="697">
                  <c:v>8.9525993883792052E-2</c:v>
                </c:pt>
                <c:pt idx="700">
                  <c:v>1.1660789721747025E-2</c:v>
                </c:pt>
                <c:pt idx="703">
                  <c:v>6.0727935222672069E-3</c:v>
                </c:pt>
                <c:pt idx="704">
                  <c:v>7.7272024729520858E-4</c:v>
                </c:pt>
                <c:pt idx="718">
                  <c:v>7.726232523914643E-3</c:v>
                </c:pt>
                <c:pt idx="721">
                  <c:v>1.0648596321393998E-2</c:v>
                </c:pt>
                <c:pt idx="724">
                  <c:v>1.529391429026605E-2</c:v>
                </c:pt>
                <c:pt idx="727">
                  <c:v>0.10029331549426232</c:v>
                </c:pt>
                <c:pt idx="730">
                  <c:v>7.53793985213186E-2</c:v>
                </c:pt>
                <c:pt idx="733">
                  <c:v>6.7549668874172186E-2</c:v>
                </c:pt>
                <c:pt idx="736">
                  <c:v>2.3768046306730864E-2</c:v>
                </c:pt>
                <c:pt idx="739">
                  <c:v>4.0006668444918643E-4</c:v>
                </c:pt>
                <c:pt idx="745">
                  <c:v>6.8965188834154362E-3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3-EC4F-91E0-C53F91452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'Zea update'!$AA$3:$AA$748</c:f>
              <c:numCache>
                <c:formatCode>General</c:formatCode>
                <c:ptCount val="746"/>
                <c:pt idx="2">
                  <c:v>-0.34372715536371051</c:v>
                </c:pt>
                <c:pt idx="5">
                  <c:v>-1.1070758263675224</c:v>
                </c:pt>
                <c:pt idx="8">
                  <c:v>-1.7637794433946827</c:v>
                </c:pt>
                <c:pt idx="11">
                  <c:v>-2.1828451905476487</c:v>
                </c:pt>
                <c:pt idx="14">
                  <c:v>-2.5765698214455073</c:v>
                </c:pt>
                <c:pt idx="17">
                  <c:v>-3.0138365062306334</c:v>
                </c:pt>
                <c:pt idx="20">
                  <c:v>-3.2493502312205171</c:v>
                </c:pt>
                <c:pt idx="23">
                  <c:v>-3.6196127941954424</c:v>
                </c:pt>
                <c:pt idx="26">
                  <c:v>-1.9280397927149127</c:v>
                </c:pt>
                <c:pt idx="29">
                  <c:v>-1.0230033362669619</c:v>
                </c:pt>
                <c:pt idx="32">
                  <c:v>-0.23796492240651601</c:v>
                </c:pt>
                <c:pt idx="35">
                  <c:v>0.46672662804257514</c:v>
                </c:pt>
                <c:pt idx="38">
                  <c:v>0.53566491913128134</c:v>
                </c:pt>
                <c:pt idx="41">
                  <c:v>-0.1479750024172819</c:v>
                </c:pt>
                <c:pt idx="44">
                  <c:v>-0.69856808206226362</c:v>
                </c:pt>
                <c:pt idx="47">
                  <c:v>-0.86080357169011268</c:v>
                </c:pt>
                <c:pt idx="50">
                  <c:v>-1.1714004829073581</c:v>
                </c:pt>
                <c:pt idx="53">
                  <c:v>-1.2429768687412779</c:v>
                </c:pt>
                <c:pt idx="56">
                  <c:v>-1.8601520622061063</c:v>
                </c:pt>
                <c:pt idx="59">
                  <c:v>-2.3091760067486953</c:v>
                </c:pt>
                <c:pt idx="62">
                  <c:v>-1.6857712463294061</c:v>
                </c:pt>
                <c:pt idx="65">
                  <c:v>-1.1040204604963912</c:v>
                </c:pt>
                <c:pt idx="68">
                  <c:v>0.14695854728690194</c:v>
                </c:pt>
                <c:pt idx="71">
                  <c:v>1.1379362422743819</c:v>
                </c:pt>
                <c:pt idx="74">
                  <c:v>0.7131471536130175</c:v>
                </c:pt>
                <c:pt idx="77">
                  <c:v>3.9487000062437438E-2</c:v>
                </c:pt>
                <c:pt idx="80">
                  <c:v>-0.65485114193615945</c:v>
                </c:pt>
                <c:pt idx="83">
                  <c:v>-0.93237457787384748</c:v>
                </c:pt>
                <c:pt idx="86">
                  <c:v>-1.6043467636071662</c:v>
                </c:pt>
                <c:pt idx="89">
                  <c:v>-2.0933816207160398</c:v>
                </c:pt>
                <c:pt idx="92">
                  <c:v>-2.6853506751556395</c:v>
                </c:pt>
                <c:pt idx="95">
                  <c:v>-3.1530943364753621</c:v>
                </c:pt>
                <c:pt idx="98">
                  <c:v>-2.0347078877508156</c:v>
                </c:pt>
                <c:pt idx="101">
                  <c:v>-1.4572848567543644</c:v>
                </c:pt>
                <c:pt idx="104">
                  <c:v>-0.22340751153904903</c:v>
                </c:pt>
                <c:pt idx="107">
                  <c:v>-7.0226638647355927E-2</c:v>
                </c:pt>
                <c:pt idx="110">
                  <c:v>-0.15437493929337062</c:v>
                </c:pt>
                <c:pt idx="113">
                  <c:v>-0.55979178669143947</c:v>
                </c:pt>
                <c:pt idx="116">
                  <c:v>-0.6526501649971147</c:v>
                </c:pt>
                <c:pt idx="119">
                  <c:v>-0.97807013707205925</c:v>
                </c:pt>
                <c:pt idx="122">
                  <c:v>-1.1033124857868979</c:v>
                </c:pt>
                <c:pt idx="125">
                  <c:v>-1.0549246913034696</c:v>
                </c:pt>
                <c:pt idx="128">
                  <c:v>-1.0377296886873326</c:v>
                </c:pt>
                <c:pt idx="131">
                  <c:v>-1.2057486408051512</c:v>
                </c:pt>
                <c:pt idx="134">
                  <c:v>1.0796285542873194</c:v>
                </c:pt>
                <c:pt idx="137">
                  <c:v>2.278820275664839</c:v>
                </c:pt>
                <c:pt idx="140">
                  <c:v>2.5383049359785383</c:v>
                </c:pt>
                <c:pt idx="143">
                  <c:v>3.2086317619530327</c:v>
                </c:pt>
                <c:pt idx="146">
                  <c:v>2.8181758737596185</c:v>
                </c:pt>
                <c:pt idx="149">
                  <c:v>2.2759237002110497</c:v>
                </c:pt>
                <c:pt idx="152">
                  <c:v>1.8738712165728972</c:v>
                </c:pt>
                <c:pt idx="155">
                  <c:v>2.1789372275444383</c:v>
                </c:pt>
                <c:pt idx="158">
                  <c:v>2.1535162416128939</c:v>
                </c:pt>
                <c:pt idx="161">
                  <c:v>2.3280349827313276</c:v>
                </c:pt>
                <c:pt idx="164">
                  <c:v>1.699956137032522</c:v>
                </c:pt>
                <c:pt idx="167">
                  <c:v>1.4850236887464845</c:v>
                </c:pt>
                <c:pt idx="170">
                  <c:v>2.7770188449819351</c:v>
                </c:pt>
                <c:pt idx="173">
                  <c:v>4.0805695225342209</c:v>
                </c:pt>
                <c:pt idx="176">
                  <c:v>6.7597018711567651</c:v>
                </c:pt>
                <c:pt idx="179">
                  <c:v>7.7294887491576683</c:v>
                </c:pt>
                <c:pt idx="182">
                  <c:v>7.2855269636820372</c:v>
                </c:pt>
                <c:pt idx="185">
                  <c:v>6.7013677701919843</c:v>
                </c:pt>
                <c:pt idx="188">
                  <c:v>6.1047448607792312</c:v>
                </c:pt>
                <c:pt idx="191">
                  <c:v>5.8136545900514269</c:v>
                </c:pt>
                <c:pt idx="194">
                  <c:v>5.6049759059282875</c:v>
                </c:pt>
                <c:pt idx="197">
                  <c:v>5.0072782235020608</c:v>
                </c:pt>
                <c:pt idx="200">
                  <c:v>4.5665991736043123</c:v>
                </c:pt>
                <c:pt idx="203">
                  <c:v>4.2077402428694199</c:v>
                </c:pt>
                <c:pt idx="206">
                  <c:v>4.5286777532420501</c:v>
                </c:pt>
                <c:pt idx="209">
                  <c:v>5.3877780713687571</c:v>
                </c:pt>
                <c:pt idx="212">
                  <c:v>8.8346310520473299</c:v>
                </c:pt>
                <c:pt idx="215">
                  <c:v>10.928830852609742</c:v>
                </c:pt>
                <c:pt idx="218">
                  <c:v>11.050459808364511</c:v>
                </c:pt>
                <c:pt idx="221">
                  <c:v>10.646668519978446</c:v>
                </c:pt>
                <c:pt idx="224">
                  <c:v>10.143181195586749</c:v>
                </c:pt>
                <c:pt idx="227">
                  <c:v>9.7636510254156512</c:v>
                </c:pt>
                <c:pt idx="230">
                  <c:v>9.6315924758627922</c:v>
                </c:pt>
                <c:pt idx="233">
                  <c:v>9.0431182170468833</c:v>
                </c:pt>
                <c:pt idx="236">
                  <c:v>8.7095363046237697</c:v>
                </c:pt>
                <c:pt idx="239">
                  <c:v>9.0942678685600313</c:v>
                </c:pt>
                <c:pt idx="242">
                  <c:v>10.762506600183002</c:v>
                </c:pt>
                <c:pt idx="245">
                  <c:v>12.400838802900276</c:v>
                </c:pt>
                <c:pt idx="248">
                  <c:v>14.647839379434684</c:v>
                </c:pt>
                <c:pt idx="251">
                  <c:v>16.509053491532004</c:v>
                </c:pt>
                <c:pt idx="254">
                  <c:v>16.461288180020986</c:v>
                </c:pt>
                <c:pt idx="257">
                  <c:v>16.359487571356997</c:v>
                </c:pt>
                <c:pt idx="260">
                  <c:v>16.367446160034984</c:v>
                </c:pt>
                <c:pt idx="263">
                  <c:v>16.135486203836976</c:v>
                </c:pt>
                <c:pt idx="266">
                  <c:v>16.164757701104858</c:v>
                </c:pt>
                <c:pt idx="269">
                  <c:v>15.664355500097907</c:v>
                </c:pt>
                <c:pt idx="272">
                  <c:v>15.280147443137805</c:v>
                </c:pt>
                <c:pt idx="275">
                  <c:v>15.97883594939201</c:v>
                </c:pt>
                <c:pt idx="278">
                  <c:v>19.369659712197496</c:v>
                </c:pt>
                <c:pt idx="281">
                  <c:v>20.955595019085948</c:v>
                </c:pt>
                <c:pt idx="284">
                  <c:v>22.852005095004529</c:v>
                </c:pt>
                <c:pt idx="287">
                  <c:v>24.872504675111397</c:v>
                </c:pt>
                <c:pt idx="290">
                  <c:v>24.633379565490234</c:v>
                </c:pt>
                <c:pt idx="293">
                  <c:v>24.301746392246539</c:v>
                </c:pt>
                <c:pt idx="296">
                  <c:v>23.761730476772712</c:v>
                </c:pt>
                <c:pt idx="299">
                  <c:v>23.236273057744661</c:v>
                </c:pt>
                <c:pt idx="302">
                  <c:v>22.74189506216355</c:v>
                </c:pt>
                <c:pt idx="305">
                  <c:v>22.144603557224368</c:v>
                </c:pt>
                <c:pt idx="308">
                  <c:v>21.784583597807405</c:v>
                </c:pt>
                <c:pt idx="311">
                  <c:v>21.473943867714357</c:v>
                </c:pt>
                <c:pt idx="314">
                  <c:v>22.573652776065838</c:v>
                </c:pt>
                <c:pt idx="317">
                  <c:v>24.580460980204894</c:v>
                </c:pt>
                <c:pt idx="320">
                  <c:v>27.203974395854186</c:v>
                </c:pt>
                <c:pt idx="323">
                  <c:v>28.467660350380186</c:v>
                </c:pt>
                <c:pt idx="326">
                  <c:v>29.090589909612486</c:v>
                </c:pt>
                <c:pt idx="329">
                  <c:v>28.570791592651133</c:v>
                </c:pt>
                <c:pt idx="332">
                  <c:v>28.116757518255181</c:v>
                </c:pt>
                <c:pt idx="335">
                  <c:v>27.813374217425075</c:v>
                </c:pt>
                <c:pt idx="338">
                  <c:v>27.492009576157241</c:v>
                </c:pt>
                <c:pt idx="341">
                  <c:v>27.233990367700493</c:v>
                </c:pt>
                <c:pt idx="344">
                  <c:v>26.611141627621393</c:v>
                </c:pt>
                <c:pt idx="347">
                  <c:v>26.0176837079532</c:v>
                </c:pt>
                <c:pt idx="350">
                  <c:v>26.627013167057473</c:v>
                </c:pt>
                <c:pt idx="353">
                  <c:v>27.031976020882176</c:v>
                </c:pt>
                <c:pt idx="356">
                  <c:v>30.854123764593698</c:v>
                </c:pt>
                <c:pt idx="359">
                  <c:v>31.895872514681432</c:v>
                </c:pt>
                <c:pt idx="362">
                  <c:v>31.563235307200099</c:v>
                </c:pt>
                <c:pt idx="365">
                  <c:v>31.050556505742009</c:v>
                </c:pt>
                <c:pt idx="368">
                  <c:v>31.944027654098317</c:v>
                </c:pt>
                <c:pt idx="371">
                  <c:v>31.856374800601067</c:v>
                </c:pt>
                <c:pt idx="375">
                  <c:v>31.439296031838239</c:v>
                </c:pt>
                <c:pt idx="378">
                  <c:v>31.58339253555619</c:v>
                </c:pt>
                <c:pt idx="381">
                  <c:v>31.17079769242282</c:v>
                </c:pt>
                <c:pt idx="384">
                  <c:v>31.29504170098744</c:v>
                </c:pt>
                <c:pt idx="387">
                  <c:v>32.32898636677352</c:v>
                </c:pt>
                <c:pt idx="391">
                  <c:v>33.824969333553433</c:v>
                </c:pt>
                <c:pt idx="394">
                  <c:v>35.693357726657887</c:v>
                </c:pt>
                <c:pt idx="397">
                  <c:v>36.401493282329888</c:v>
                </c:pt>
                <c:pt idx="400">
                  <c:v>36.470880511183466</c:v>
                </c:pt>
                <c:pt idx="403">
                  <c:v>35.958521175164627</c:v>
                </c:pt>
                <c:pt idx="406">
                  <c:v>35.250785904085078</c:v>
                </c:pt>
                <c:pt idx="409">
                  <c:v>34.870046329036825</c:v>
                </c:pt>
                <c:pt idx="413">
                  <c:v>34.409223614056828</c:v>
                </c:pt>
                <c:pt idx="416">
                  <c:v>33.695737965070798</c:v>
                </c:pt>
                <c:pt idx="419">
                  <c:v>33.101276011164963</c:v>
                </c:pt>
                <c:pt idx="422">
                  <c:v>32.956940861160966</c:v>
                </c:pt>
                <c:pt idx="425">
                  <c:v>33.222160404274177</c:v>
                </c:pt>
                <c:pt idx="428">
                  <c:v>33.3883456612202</c:v>
                </c:pt>
                <c:pt idx="432">
                  <c:v>34.139415090031271</c:v>
                </c:pt>
                <c:pt idx="435">
                  <c:v>34.021184830205904</c:v>
                </c:pt>
                <c:pt idx="438">
                  <c:v>33.434663874361405</c:v>
                </c:pt>
                <c:pt idx="441">
                  <c:v>32.891225114895626</c:v>
                </c:pt>
                <c:pt idx="444">
                  <c:v>32.215071284381835</c:v>
                </c:pt>
                <c:pt idx="448">
                  <c:v>31.965917241864247</c:v>
                </c:pt>
                <c:pt idx="452">
                  <c:v>31.340524187751129</c:v>
                </c:pt>
                <c:pt idx="455">
                  <c:v>30.753740813867246</c:v>
                </c:pt>
                <c:pt idx="458">
                  <c:v>30.088813911647062</c:v>
                </c:pt>
                <c:pt idx="461">
                  <c:v>29.873739985809358</c:v>
                </c:pt>
                <c:pt idx="465">
                  <c:v>29.820338391191591</c:v>
                </c:pt>
                <c:pt idx="468">
                  <c:v>30.355141127111061</c:v>
                </c:pt>
                <c:pt idx="471">
                  <c:v>33.247872632207475</c:v>
                </c:pt>
                <c:pt idx="474">
                  <c:v>34.03582890977183</c:v>
                </c:pt>
                <c:pt idx="477">
                  <c:v>33.500376786287276</c:v>
                </c:pt>
                <c:pt idx="481">
                  <c:v>33.064438147128783</c:v>
                </c:pt>
                <c:pt idx="484">
                  <c:v>32.505345581139807</c:v>
                </c:pt>
                <c:pt idx="488">
                  <c:v>31.946834898629458</c:v>
                </c:pt>
                <c:pt idx="492">
                  <c:v>31.957816999500338</c:v>
                </c:pt>
                <c:pt idx="495">
                  <c:v>32.302309609467194</c:v>
                </c:pt>
                <c:pt idx="498">
                  <c:v>31.808524906844688</c:v>
                </c:pt>
                <c:pt idx="501">
                  <c:v>31.081758623169879</c:v>
                </c:pt>
                <c:pt idx="505">
                  <c:v>31.112935503593285</c:v>
                </c:pt>
                <c:pt idx="508">
                  <c:v>31.196014108414676</c:v>
                </c:pt>
                <c:pt idx="511">
                  <c:v>31.113974719064231</c:v>
                </c:pt>
                <c:pt idx="514">
                  <c:v>30.799820869139445</c:v>
                </c:pt>
                <c:pt idx="517">
                  <c:v>30.249947162968795</c:v>
                </c:pt>
                <c:pt idx="521">
                  <c:v>29.460565653201183</c:v>
                </c:pt>
                <c:pt idx="525">
                  <c:v>29.072957571209074</c:v>
                </c:pt>
                <c:pt idx="528">
                  <c:v>28.608267042518172</c:v>
                </c:pt>
                <c:pt idx="532">
                  <c:v>28.257728360958918</c:v>
                </c:pt>
                <c:pt idx="535">
                  <c:v>28.058068642564976</c:v>
                </c:pt>
                <c:pt idx="538">
                  <c:v>27.719612600297321</c:v>
                </c:pt>
                <c:pt idx="541">
                  <c:v>27.131323175056977</c:v>
                </c:pt>
                <c:pt idx="545">
                  <c:v>26.552104286395309</c:v>
                </c:pt>
                <c:pt idx="549">
                  <c:v>26.733954759344506</c:v>
                </c:pt>
                <c:pt idx="553">
                  <c:v>26.513826433878684</c:v>
                </c:pt>
                <c:pt idx="556">
                  <c:v>25.997108676510088</c:v>
                </c:pt>
                <c:pt idx="559">
                  <c:v>25.319859535918873</c:v>
                </c:pt>
                <c:pt idx="562">
                  <c:v>24.673073706856044</c:v>
                </c:pt>
                <c:pt idx="565">
                  <c:v>24.044292037190893</c:v>
                </c:pt>
                <c:pt idx="568">
                  <c:v>23.792890327118588</c:v>
                </c:pt>
                <c:pt idx="574">
                  <c:v>23.714638885119239</c:v>
                </c:pt>
                <c:pt idx="577">
                  <c:v>23.130125997750017</c:v>
                </c:pt>
                <c:pt idx="580">
                  <c:v>22.762530143630862</c:v>
                </c:pt>
                <c:pt idx="583">
                  <c:v>22.517198276904288</c:v>
                </c:pt>
                <c:pt idx="586">
                  <c:v>23.026398139763948</c:v>
                </c:pt>
                <c:pt idx="589">
                  <c:v>24.352106027424146</c:v>
                </c:pt>
                <c:pt idx="592">
                  <c:v>24.666979627380631</c:v>
                </c:pt>
                <c:pt idx="595">
                  <c:v>24.328683317832599</c:v>
                </c:pt>
                <c:pt idx="599">
                  <c:v>23.667909466322655</c:v>
                </c:pt>
                <c:pt idx="602">
                  <c:v>23.006633597693888</c:v>
                </c:pt>
                <c:pt idx="605">
                  <c:v>22.582401084987875</c:v>
                </c:pt>
                <c:pt idx="608">
                  <c:v>22.279976180475515</c:v>
                </c:pt>
                <c:pt idx="611">
                  <c:v>21.829501863831194</c:v>
                </c:pt>
                <c:pt idx="615">
                  <c:v>21.940739065226392</c:v>
                </c:pt>
                <c:pt idx="618">
                  <c:v>22.253376407108135</c:v>
                </c:pt>
                <c:pt idx="621">
                  <c:v>23.010892192104048</c:v>
                </c:pt>
                <c:pt idx="624">
                  <c:v>23.628117011349762</c:v>
                </c:pt>
                <c:pt idx="627">
                  <c:v>24.279981011794042</c:v>
                </c:pt>
                <c:pt idx="631">
                  <c:v>23.663886683859062</c:v>
                </c:pt>
                <c:pt idx="634">
                  <c:v>22.905630235458279</c:v>
                </c:pt>
                <c:pt idx="637">
                  <c:v>22.266443120057588</c:v>
                </c:pt>
                <c:pt idx="646">
                  <c:v>21.622235833468697</c:v>
                </c:pt>
                <c:pt idx="649">
                  <c:v>20.961963999077572</c:v>
                </c:pt>
                <c:pt idx="652">
                  <c:v>21.144898372624223</c:v>
                </c:pt>
                <c:pt idx="655">
                  <c:v>21.262661796564078</c:v>
                </c:pt>
                <c:pt idx="658">
                  <c:v>21.148812777048413</c:v>
                </c:pt>
                <c:pt idx="664">
                  <c:v>20.540294343815624</c:v>
                </c:pt>
                <c:pt idx="670">
                  <c:v>19.766384088891641</c:v>
                </c:pt>
                <c:pt idx="673">
                  <c:v>19.234126619799575</c:v>
                </c:pt>
                <c:pt idx="676">
                  <c:v>18.987243063796647</c:v>
                </c:pt>
                <c:pt idx="679">
                  <c:v>18.476526692893945</c:v>
                </c:pt>
                <c:pt idx="682">
                  <c:v>18.107470425338224</c:v>
                </c:pt>
                <c:pt idx="685">
                  <c:v>17.450301969499804</c:v>
                </c:pt>
                <c:pt idx="688">
                  <c:v>17.720861149240466</c:v>
                </c:pt>
                <c:pt idx="691">
                  <c:v>17.84213869301206</c:v>
                </c:pt>
                <c:pt idx="694">
                  <c:v>18.78056319246269</c:v>
                </c:pt>
                <c:pt idx="697">
                  <c:v>19.105659686475143</c:v>
                </c:pt>
                <c:pt idx="700">
                  <c:v>19.544075135581203</c:v>
                </c:pt>
                <c:pt idx="703">
                  <c:v>18.788009307335273</c:v>
                </c:pt>
                <c:pt idx="704">
                  <c:v>18.096384221977853</c:v>
                </c:pt>
                <c:pt idx="718">
                  <c:v>17.351636597865316</c:v>
                </c:pt>
                <c:pt idx="721">
                  <c:v>16.671420992481075</c:v>
                </c:pt>
                <c:pt idx="724">
                  <c:v>16.089098725266702</c:v>
                </c:pt>
                <c:pt idx="727">
                  <c:v>16.10718893216087</c:v>
                </c:pt>
                <c:pt idx="730">
                  <c:v>16.059377982729959</c:v>
                </c:pt>
                <c:pt idx="733">
                  <c:v>15.707435935134006</c:v>
                </c:pt>
                <c:pt idx="736">
                  <c:v>15.284116180825849</c:v>
                </c:pt>
                <c:pt idx="739">
                  <c:v>14.757517813800481</c:v>
                </c:pt>
                <c:pt idx="745">
                  <c:v>14.02769378949286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8-9449-A0C3-1E79A87C1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'Zea update'!$Z$3:$Z$748</c:f>
              <c:numCache>
                <c:formatCode>General</c:formatCode>
                <c:ptCount val="746"/>
                <c:pt idx="2">
                  <c:v>-0.34372715536371051</c:v>
                </c:pt>
                <c:pt idx="5">
                  <c:v>-0.76334867100381198</c:v>
                </c:pt>
                <c:pt idx="8">
                  <c:v>-0.65670361702716018</c:v>
                </c:pt>
                <c:pt idx="11">
                  <c:v>-0.4190657471529658</c:v>
                </c:pt>
                <c:pt idx="14">
                  <c:v>-0.39372463089785836</c:v>
                </c:pt>
                <c:pt idx="17">
                  <c:v>-0.43726668478512598</c:v>
                </c:pt>
                <c:pt idx="20">
                  <c:v>-0.23551372498988365</c:v>
                </c:pt>
                <c:pt idx="23">
                  <c:v>-0.37026256297492527</c:v>
                </c:pt>
                <c:pt idx="26">
                  <c:v>1.6915730014805297</c:v>
                </c:pt>
                <c:pt idx="29">
                  <c:v>0.90503645644795083</c:v>
                </c:pt>
                <c:pt idx="32">
                  <c:v>0.78503841386044593</c:v>
                </c:pt>
                <c:pt idx="35">
                  <c:v>0.70469155044909115</c:v>
                </c:pt>
                <c:pt idx="38">
                  <c:v>6.8938291088706166E-2</c:v>
                </c:pt>
                <c:pt idx="41">
                  <c:v>-0.68363992154856323</c:v>
                </c:pt>
                <c:pt idx="44">
                  <c:v>-0.55059307964498172</c:v>
                </c:pt>
                <c:pt idx="47">
                  <c:v>-0.16223548962784906</c:v>
                </c:pt>
                <c:pt idx="50">
                  <c:v>-0.31059691121724547</c:v>
                </c:pt>
                <c:pt idx="53">
                  <c:v>-7.1576385833919814E-2</c:v>
                </c:pt>
                <c:pt idx="56">
                  <c:v>-0.61717519346482841</c:v>
                </c:pt>
                <c:pt idx="59">
                  <c:v>-0.44902394454258909</c:v>
                </c:pt>
                <c:pt idx="62">
                  <c:v>0.62340476041928905</c:v>
                </c:pt>
                <c:pt idx="65">
                  <c:v>0.58175078583301487</c:v>
                </c:pt>
                <c:pt idx="68">
                  <c:v>1.2509790077832932</c:v>
                </c:pt>
                <c:pt idx="71">
                  <c:v>0.99097769498748001</c:v>
                </c:pt>
                <c:pt idx="74">
                  <c:v>-0.42478908866136444</c:v>
                </c:pt>
                <c:pt idx="77">
                  <c:v>-0.67366015355058007</c:v>
                </c:pt>
                <c:pt idx="80">
                  <c:v>-0.69433814199859689</c:v>
                </c:pt>
                <c:pt idx="83">
                  <c:v>-0.27752343593768808</c:v>
                </c:pt>
                <c:pt idx="86">
                  <c:v>-0.67197218573331874</c:v>
                </c:pt>
                <c:pt idx="89">
                  <c:v>-0.48903485710887357</c:v>
                </c:pt>
                <c:pt idx="92">
                  <c:v>-0.59196905443959957</c:v>
                </c:pt>
                <c:pt idx="95">
                  <c:v>-0.46774366131972261</c:v>
                </c:pt>
                <c:pt idx="98">
                  <c:v>1.1183864487245465</c:v>
                </c:pt>
                <c:pt idx="101">
                  <c:v>0.5774230309964512</c:v>
                </c:pt>
                <c:pt idx="104">
                  <c:v>1.2338773452153153</c:v>
                </c:pt>
                <c:pt idx="107">
                  <c:v>0.1531808728916931</c:v>
                </c:pt>
                <c:pt idx="110">
                  <c:v>-8.4148300646014695E-2</c:v>
                </c:pt>
                <c:pt idx="113">
                  <c:v>-0.40541684739806882</c:v>
                </c:pt>
                <c:pt idx="116">
                  <c:v>-9.2858378305675199E-2</c:v>
                </c:pt>
                <c:pt idx="119">
                  <c:v>-0.32541997207494455</c:v>
                </c:pt>
                <c:pt idx="122">
                  <c:v>-0.12524234871483858</c:v>
                </c:pt>
                <c:pt idx="125">
                  <c:v>4.8387794483428351E-2</c:v>
                </c:pt>
                <c:pt idx="128">
                  <c:v>1.7195002616136931E-2</c:v>
                </c:pt>
                <c:pt idx="131">
                  <c:v>-0.16801895211781856</c:v>
                </c:pt>
                <c:pt idx="134">
                  <c:v>2.2853771950924706</c:v>
                </c:pt>
                <c:pt idx="137">
                  <c:v>1.1991917213775196</c:v>
                </c:pt>
                <c:pt idx="140">
                  <c:v>0.25948466031369954</c:v>
                </c:pt>
                <c:pt idx="143">
                  <c:v>0.67032682597449444</c:v>
                </c:pt>
                <c:pt idx="146">
                  <c:v>-0.39045588819341392</c:v>
                </c:pt>
                <c:pt idx="149">
                  <c:v>-0.54225217354856858</c:v>
                </c:pt>
                <c:pt idx="152">
                  <c:v>-0.40205248363815244</c:v>
                </c:pt>
                <c:pt idx="155">
                  <c:v>0.30506601097154096</c:v>
                </c:pt>
                <c:pt idx="158">
                  <c:v>-2.5420985931544543E-2</c:v>
                </c:pt>
                <c:pt idx="161">
                  <c:v>0.17451874111843366</c:v>
                </c:pt>
                <c:pt idx="164">
                  <c:v>-0.62807884569880568</c:v>
                </c:pt>
                <c:pt idx="167">
                  <c:v>-0.2149324482860375</c:v>
                </c:pt>
                <c:pt idx="170">
                  <c:v>1.2919951562354504</c:v>
                </c:pt>
                <c:pt idx="173">
                  <c:v>1.3035506775522858</c:v>
                </c:pt>
                <c:pt idx="176">
                  <c:v>2.6791323486225442</c:v>
                </c:pt>
                <c:pt idx="179">
                  <c:v>0.96978687800090335</c:v>
                </c:pt>
                <c:pt idx="182">
                  <c:v>-0.44396178547563137</c:v>
                </c:pt>
                <c:pt idx="185">
                  <c:v>-0.58415919349005285</c:v>
                </c:pt>
                <c:pt idx="188">
                  <c:v>-0.59662290941275287</c:v>
                </c:pt>
                <c:pt idx="191">
                  <c:v>-0.29109027072780441</c:v>
                </c:pt>
                <c:pt idx="194">
                  <c:v>-0.208678684123139</c:v>
                </c:pt>
                <c:pt idx="197">
                  <c:v>-0.59769768242622634</c:v>
                </c:pt>
                <c:pt idx="200">
                  <c:v>-0.44067904989774848</c:v>
                </c:pt>
                <c:pt idx="203">
                  <c:v>-0.35885893073489267</c:v>
                </c:pt>
                <c:pt idx="206">
                  <c:v>0.32093751037262991</c:v>
                </c:pt>
                <c:pt idx="209">
                  <c:v>0.85910031812670695</c:v>
                </c:pt>
                <c:pt idx="212">
                  <c:v>3.4468529806785728</c:v>
                </c:pt>
                <c:pt idx="215">
                  <c:v>2.0941998005624134</c:v>
                </c:pt>
                <c:pt idx="218">
                  <c:v>0.12162895575476811</c:v>
                </c:pt>
                <c:pt idx="221">
                  <c:v>-0.40379128838606487</c:v>
                </c:pt>
                <c:pt idx="224">
                  <c:v>-0.50348732439169774</c:v>
                </c:pt>
                <c:pt idx="227">
                  <c:v>-0.37953017017109825</c:v>
                </c:pt>
                <c:pt idx="230">
                  <c:v>-0.13205854955285895</c:v>
                </c:pt>
                <c:pt idx="233">
                  <c:v>-0.58847425881590887</c:v>
                </c:pt>
                <c:pt idx="236">
                  <c:v>-0.3335819124231143</c:v>
                </c:pt>
                <c:pt idx="239">
                  <c:v>0.38473156393626179</c:v>
                </c:pt>
                <c:pt idx="242">
                  <c:v>1.6682387316229708</c:v>
                </c:pt>
                <c:pt idx="245">
                  <c:v>1.6383322027172749</c:v>
                </c:pt>
                <c:pt idx="248">
                  <c:v>2.2470005765344072</c:v>
                </c:pt>
                <c:pt idx="251">
                  <c:v>1.8612141120973207</c:v>
                </c:pt>
                <c:pt idx="254">
                  <c:v>-4.7765311511016956E-2</c:v>
                </c:pt>
                <c:pt idx="257">
                  <c:v>-0.10180060866398984</c:v>
                </c:pt>
                <c:pt idx="260">
                  <c:v>7.9585886779863189E-3</c:v>
                </c:pt>
                <c:pt idx="263">
                  <c:v>-0.23195995619800897</c:v>
                </c:pt>
                <c:pt idx="266">
                  <c:v>2.9271497267883338E-2</c:v>
                </c:pt>
                <c:pt idx="269">
                  <c:v>-0.50040220100695021</c:v>
                </c:pt>
                <c:pt idx="272">
                  <c:v>-0.38420805696010146</c:v>
                </c:pt>
                <c:pt idx="275">
                  <c:v>0.69868850625420609</c:v>
                </c:pt>
                <c:pt idx="278">
                  <c:v>3.3908237628054869</c:v>
                </c:pt>
                <c:pt idx="281">
                  <c:v>1.585935306888451</c:v>
                </c:pt>
                <c:pt idx="284">
                  <c:v>1.8964100759185816</c:v>
                </c:pt>
                <c:pt idx="287">
                  <c:v>2.0204995801068693</c:v>
                </c:pt>
                <c:pt idx="290">
                  <c:v>-0.23912510962116498</c:v>
                </c:pt>
                <c:pt idx="293">
                  <c:v>-0.33163317324369546</c:v>
                </c:pt>
                <c:pt idx="296">
                  <c:v>-0.54001591547382566</c:v>
                </c:pt>
                <c:pt idx="299">
                  <c:v>-0.52545741902804999</c:v>
                </c:pt>
                <c:pt idx="302">
                  <c:v>-0.49437799558111201</c:v>
                </c:pt>
                <c:pt idx="305">
                  <c:v>-0.59729150493918115</c:v>
                </c:pt>
                <c:pt idx="308">
                  <c:v>-0.3600199594169633</c:v>
                </c:pt>
                <c:pt idx="311">
                  <c:v>-0.31063973009304713</c:v>
                </c:pt>
                <c:pt idx="314">
                  <c:v>1.0997089083514802</c:v>
                </c:pt>
                <c:pt idx="317">
                  <c:v>2.0068082041390554</c:v>
                </c:pt>
                <c:pt idx="320">
                  <c:v>2.6235134156492932</c:v>
                </c:pt>
                <c:pt idx="323">
                  <c:v>1.2636859545260002</c:v>
                </c:pt>
                <c:pt idx="326">
                  <c:v>0.62292955923230164</c:v>
                </c:pt>
                <c:pt idx="329">
                  <c:v>-0.51979831696135348</c:v>
                </c:pt>
                <c:pt idx="332">
                  <c:v>-0.45403407439595322</c:v>
                </c:pt>
                <c:pt idx="335">
                  <c:v>-0.30338330083010578</c:v>
                </c:pt>
                <c:pt idx="338">
                  <c:v>-0.32136464126783487</c:v>
                </c:pt>
                <c:pt idx="341">
                  <c:v>-0.25801920845674853</c:v>
                </c:pt>
                <c:pt idx="344">
                  <c:v>-0.62284874007910074</c:v>
                </c:pt>
                <c:pt idx="347">
                  <c:v>-0.59345791966819317</c:v>
                </c:pt>
                <c:pt idx="350">
                  <c:v>0.60932945910427294</c:v>
                </c:pt>
                <c:pt idx="353">
                  <c:v>0.40496285382470154</c:v>
                </c:pt>
                <c:pt idx="356">
                  <c:v>3.8221477437115232</c:v>
                </c:pt>
                <c:pt idx="359">
                  <c:v>1.041748750087734</c:v>
                </c:pt>
                <c:pt idx="362">
                  <c:v>-0.33263720748133513</c:v>
                </c:pt>
                <c:pt idx="365">
                  <c:v>-0.51267880145809019</c:v>
                </c:pt>
                <c:pt idx="368">
                  <c:v>0.89347114835630781</c:v>
                </c:pt>
                <c:pt idx="371">
                  <c:v>-8.7652853497248731E-2</c:v>
                </c:pt>
                <c:pt idx="375">
                  <c:v>-0.41707876876282846</c:v>
                </c:pt>
                <c:pt idx="378">
                  <c:v>0.1440965037179508</c:v>
                </c:pt>
                <c:pt idx="381">
                  <c:v>-0.41259484313336925</c:v>
                </c:pt>
                <c:pt idx="384">
                  <c:v>0.12424400856462046</c:v>
                </c:pt>
                <c:pt idx="387">
                  <c:v>1.0339446657860802</c:v>
                </c:pt>
                <c:pt idx="391">
                  <c:v>1.4959829667799125</c:v>
                </c:pt>
                <c:pt idx="394">
                  <c:v>1.8683883931044551</c:v>
                </c:pt>
                <c:pt idx="397">
                  <c:v>0.70813555567199815</c:v>
                </c:pt>
                <c:pt idx="400">
                  <c:v>6.9387228853578828E-2</c:v>
                </c:pt>
                <c:pt idx="403">
                  <c:v>-0.5123593360188412</c:v>
                </c:pt>
                <c:pt idx="406">
                  <c:v>-0.70773527107954803</c:v>
                </c:pt>
                <c:pt idx="409">
                  <c:v>-0.38073957504825517</c:v>
                </c:pt>
                <c:pt idx="413">
                  <c:v>-0.46082271497999439</c:v>
                </c:pt>
                <c:pt idx="416">
                  <c:v>-0.71348564898602995</c:v>
                </c:pt>
                <c:pt idx="419">
                  <c:v>-0.59446195390583301</c:v>
                </c:pt>
                <c:pt idx="422">
                  <c:v>-0.14433515000399894</c:v>
                </c:pt>
                <c:pt idx="425">
                  <c:v>0.26521954311321255</c:v>
                </c:pt>
                <c:pt idx="428">
                  <c:v>0.16618525694602429</c:v>
                </c:pt>
                <c:pt idx="432">
                  <c:v>0.75106942881106808</c:v>
                </c:pt>
                <c:pt idx="435">
                  <c:v>-0.11823025982536686</c:v>
                </c:pt>
                <c:pt idx="438">
                  <c:v>-0.5865209558445007</c:v>
                </c:pt>
                <c:pt idx="441">
                  <c:v>-0.54343875946577913</c:v>
                </c:pt>
                <c:pt idx="444">
                  <c:v>-0.67615383051379019</c:v>
                </c:pt>
                <c:pt idx="448">
                  <c:v>-0.24915404251758891</c:v>
                </c:pt>
                <c:pt idx="452">
                  <c:v>-0.62539305411311952</c:v>
                </c:pt>
                <c:pt idx="455">
                  <c:v>-0.58678337388388391</c:v>
                </c:pt>
                <c:pt idx="458">
                  <c:v>-0.66492690222018269</c:v>
                </c:pt>
                <c:pt idx="461">
                  <c:v>-0.21507392583770496</c:v>
                </c:pt>
                <c:pt idx="465">
                  <c:v>-5.340159461776716E-2</c:v>
                </c:pt>
                <c:pt idx="468">
                  <c:v>0.53480273591947181</c:v>
                </c:pt>
                <c:pt idx="471">
                  <c:v>2.8927315050964104</c:v>
                </c:pt>
                <c:pt idx="474">
                  <c:v>0.78795627756435405</c:v>
                </c:pt>
                <c:pt idx="477">
                  <c:v>-0.53545212348455429</c:v>
                </c:pt>
                <c:pt idx="481">
                  <c:v>-0.43593863915849235</c:v>
                </c:pt>
                <c:pt idx="484">
                  <c:v>-0.55909256598897983</c:v>
                </c:pt>
                <c:pt idx="488">
                  <c:v>-0.55851068251034774</c:v>
                </c:pt>
                <c:pt idx="492">
                  <c:v>1.098210087087864E-2</c:v>
                </c:pt>
                <c:pt idx="495">
                  <c:v>0.3444926099668561</c:v>
                </c:pt>
                <c:pt idx="498">
                  <c:v>-0.49378470262250673</c:v>
                </c:pt>
                <c:pt idx="501">
                  <c:v>-0.72676628367480944</c:v>
                </c:pt>
                <c:pt idx="505">
                  <c:v>3.1176880423404271E-2</c:v>
                </c:pt>
                <c:pt idx="508">
                  <c:v>8.3078604821392732E-2</c:v>
                </c:pt>
                <c:pt idx="511">
                  <c:v>-8.20393893504449E-2</c:v>
                </c:pt>
                <c:pt idx="514">
                  <c:v>-0.31415384992478623</c:v>
                </c:pt>
                <c:pt idx="517">
                  <c:v>-0.54987370617065168</c:v>
                </c:pt>
                <c:pt idx="521">
                  <c:v>-0.78938150976761257</c:v>
                </c:pt>
                <c:pt idx="525">
                  <c:v>-0.38760808199210861</c:v>
                </c:pt>
                <c:pt idx="528">
                  <c:v>-0.46469052869090183</c:v>
                </c:pt>
                <c:pt idx="532">
                  <c:v>-0.35053868155925205</c:v>
                </c:pt>
                <c:pt idx="535">
                  <c:v>-0.19965971839394098</c:v>
                </c:pt>
                <c:pt idx="538">
                  <c:v>-0.33845604226765613</c:v>
                </c:pt>
                <c:pt idx="541">
                  <c:v>-0.58828942524034333</c:v>
                </c:pt>
                <c:pt idx="545">
                  <c:v>-0.57921888866166649</c:v>
                </c:pt>
                <c:pt idx="549">
                  <c:v>0.18185047294919804</c:v>
                </c:pt>
                <c:pt idx="553">
                  <c:v>-0.22012832546582298</c:v>
                </c:pt>
                <c:pt idx="556">
                  <c:v>-0.51671775736859538</c:v>
                </c:pt>
                <c:pt idx="559">
                  <c:v>-0.67724914059121533</c:v>
                </c:pt>
                <c:pt idx="562">
                  <c:v>-0.646785829062829</c:v>
                </c:pt>
                <c:pt idx="565">
                  <c:v>-0.62878166966515348</c:v>
                </c:pt>
                <c:pt idx="568">
                  <c:v>-0.251401710072305</c:v>
                </c:pt>
                <c:pt idx="574">
                  <c:v>-7.8251441999349552E-2</c:v>
                </c:pt>
                <c:pt idx="577">
                  <c:v>-0.58451288736922136</c:v>
                </c:pt>
                <c:pt idx="580">
                  <c:v>-0.3675958541191538</c:v>
                </c:pt>
                <c:pt idx="583">
                  <c:v>-0.24533186672657395</c:v>
                </c:pt>
                <c:pt idx="586">
                  <c:v>0.50919986285965935</c:v>
                </c:pt>
                <c:pt idx="589">
                  <c:v>1.3257078876601978</c:v>
                </c:pt>
                <c:pt idx="592">
                  <c:v>0.31487359995648506</c:v>
                </c:pt>
                <c:pt idx="595">
                  <c:v>-0.33829630954803158</c:v>
                </c:pt>
                <c:pt idx="599">
                  <c:v>-0.66077385150994572</c:v>
                </c:pt>
                <c:pt idx="602">
                  <c:v>-0.66127586862876553</c:v>
                </c:pt>
                <c:pt idx="605">
                  <c:v>-0.42423251270601131</c:v>
                </c:pt>
                <c:pt idx="608">
                  <c:v>-0.30242490451235876</c:v>
                </c:pt>
                <c:pt idx="611">
                  <c:v>-0.45047431664432158</c:v>
                </c:pt>
                <c:pt idx="615">
                  <c:v>0.11123720139519713</c:v>
                </c:pt>
                <c:pt idx="618">
                  <c:v>0.31263734188174203</c:v>
                </c:pt>
                <c:pt idx="621">
                  <c:v>0.75751578499591377</c:v>
                </c:pt>
                <c:pt idx="624">
                  <c:v>0.61722481924571249</c:v>
                </c:pt>
                <c:pt idx="627">
                  <c:v>0.65186400044428172</c:v>
                </c:pt>
                <c:pt idx="631">
                  <c:v>-0.6160943279349792</c:v>
                </c:pt>
                <c:pt idx="634">
                  <c:v>-0.75825644840078188</c:v>
                </c:pt>
                <c:pt idx="637">
                  <c:v>-0.63918711540069229</c:v>
                </c:pt>
                <c:pt idx="646">
                  <c:v>-0.6442072865888907</c:v>
                </c:pt>
                <c:pt idx="649">
                  <c:v>-0.66027183439112591</c:v>
                </c:pt>
                <c:pt idx="652">
                  <c:v>0.18293437354664999</c:v>
                </c:pt>
                <c:pt idx="655">
                  <c:v>0.11776342393985512</c:v>
                </c:pt>
                <c:pt idx="658">
                  <c:v>-0.11384901951566623</c:v>
                </c:pt>
                <c:pt idx="664">
                  <c:v>-0.60851843323278876</c:v>
                </c:pt>
                <c:pt idx="670">
                  <c:v>-0.77391025492398269</c:v>
                </c:pt>
                <c:pt idx="673">
                  <c:v>-0.53225746909206428</c:v>
                </c:pt>
                <c:pt idx="676">
                  <c:v>-0.2468835560029263</c:v>
                </c:pt>
                <c:pt idx="679">
                  <c:v>-0.5107163709027035</c:v>
                </c:pt>
                <c:pt idx="682">
                  <c:v>-0.36905626755572052</c:v>
                </c:pt>
                <c:pt idx="685">
                  <c:v>-0.65716845583842132</c:v>
                </c:pt>
                <c:pt idx="688">
                  <c:v>0.27055917974066024</c:v>
                </c:pt>
                <c:pt idx="691">
                  <c:v>0.12127754377159398</c:v>
                </c:pt>
                <c:pt idx="694">
                  <c:v>0.93842449945063044</c:v>
                </c:pt>
                <c:pt idx="697">
                  <c:v>0.32509649401245294</c:v>
                </c:pt>
                <c:pt idx="700">
                  <c:v>0.43841544910606062</c:v>
                </c:pt>
                <c:pt idx="703">
                  <c:v>-0.75606582824593171</c:v>
                </c:pt>
                <c:pt idx="704">
                  <c:v>-0.69162508535742007</c:v>
                </c:pt>
                <c:pt idx="718">
                  <c:v>-0.7447476241125387</c:v>
                </c:pt>
                <c:pt idx="721">
                  <c:v>-0.68021560538424164</c:v>
                </c:pt>
                <c:pt idx="724">
                  <c:v>-0.58232226721437108</c:v>
                </c:pt>
                <c:pt idx="727">
                  <c:v>1.8090206894168709E-2</c:v>
                </c:pt>
                <c:pt idx="730">
                  <c:v>-4.7810949430909848E-2</c:v>
                </c:pt>
                <c:pt idx="733">
                  <c:v>-0.35194204759595299</c:v>
                </c:pt>
                <c:pt idx="736">
                  <c:v>-0.42331975430815694</c:v>
                </c:pt>
                <c:pt idx="739">
                  <c:v>-0.52659836702536778</c:v>
                </c:pt>
                <c:pt idx="745">
                  <c:v>-0.72982402430762139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2-8949-8A18-262233DC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'Fuco update'!$N$3:$N$748</c:f>
              <c:numCache>
                <c:formatCode>General</c:formatCode>
                <c:ptCount val="746"/>
                <c:pt idx="2">
                  <c:v>-1.121923982026521</c:v>
                </c:pt>
                <c:pt idx="5">
                  <c:v>-2.7454517659704551</c:v>
                </c:pt>
                <c:pt idx="8">
                  <c:v>-3.8332843024189605</c:v>
                </c:pt>
                <c:pt idx="11">
                  <c:v>-4.3493693802078708</c:v>
                </c:pt>
                <c:pt idx="14">
                  <c:v>-3.4279595692782108</c:v>
                </c:pt>
                <c:pt idx="17">
                  <c:v>-3.1150206472557636</c:v>
                </c:pt>
                <c:pt idx="20">
                  <c:v>-3.2085263501224746</c:v>
                </c:pt>
                <c:pt idx="23">
                  <c:v>-1.8958197273852362</c:v>
                </c:pt>
                <c:pt idx="26">
                  <c:v>-3.8990858224006164E-3</c:v>
                </c:pt>
                <c:pt idx="29">
                  <c:v>-0.71690455115379348</c:v>
                </c:pt>
                <c:pt idx="32">
                  <c:v>-0.36934587574136413</c:v>
                </c:pt>
                <c:pt idx="35">
                  <c:v>-0.15914359367162809</c:v>
                </c:pt>
                <c:pt idx="38">
                  <c:v>0.15986048855518006</c:v>
                </c:pt>
                <c:pt idx="41">
                  <c:v>-1.0185285093856316</c:v>
                </c:pt>
                <c:pt idx="44">
                  <c:v>-2.5420624633110389</c:v>
                </c:pt>
                <c:pt idx="47">
                  <c:v>-3.5555755643512983</c:v>
                </c:pt>
                <c:pt idx="50">
                  <c:v>-4.0660047786150368</c:v>
                </c:pt>
                <c:pt idx="53">
                  <c:v>-3.3075085331279679</c:v>
                </c:pt>
                <c:pt idx="56">
                  <c:v>-2.6722571787127718</c:v>
                </c:pt>
                <c:pt idx="59">
                  <c:v>-1.2824614988553886</c:v>
                </c:pt>
                <c:pt idx="62">
                  <c:v>-0.44790165636054424</c:v>
                </c:pt>
                <c:pt idx="65">
                  <c:v>-1.3738655986602608</c:v>
                </c:pt>
                <c:pt idx="68">
                  <c:v>-2.6642598710648229</c:v>
                </c:pt>
                <c:pt idx="71">
                  <c:v>-3.7785052932688044</c:v>
                </c:pt>
                <c:pt idx="74">
                  <c:v>-4.566350751118323</c:v>
                </c:pt>
                <c:pt idx="77">
                  <c:v>-5.3207549550492521</c:v>
                </c:pt>
                <c:pt idx="80">
                  <c:v>-6.6400380697656338</c:v>
                </c:pt>
                <c:pt idx="83">
                  <c:v>-6.6523065777160006</c:v>
                </c:pt>
                <c:pt idx="86">
                  <c:v>-5.8054438300006552</c:v>
                </c:pt>
                <c:pt idx="89">
                  <c:v>-5.6534862199371503</c:v>
                </c:pt>
                <c:pt idx="92">
                  <c:v>-6.5086679666001723</c:v>
                </c:pt>
                <c:pt idx="110">
                  <c:v>-6.5580214179592646</c:v>
                </c:pt>
                <c:pt idx="113">
                  <c:v>-8.1708242973653284</c:v>
                </c:pt>
                <c:pt idx="116">
                  <c:v>-8.4026486663343967</c:v>
                </c:pt>
                <c:pt idx="119">
                  <c:v>-8.348465557220953</c:v>
                </c:pt>
                <c:pt idx="122">
                  <c:v>-7.6656846219256067</c:v>
                </c:pt>
                <c:pt idx="125">
                  <c:v>-7.8272980899827198</c:v>
                </c:pt>
                <c:pt idx="128">
                  <c:v>-6.1488694747363724</c:v>
                </c:pt>
                <c:pt idx="131">
                  <c:v>-4.634260984068252</c:v>
                </c:pt>
                <c:pt idx="134">
                  <c:v>-3.3547001380424182</c:v>
                </c:pt>
                <c:pt idx="137">
                  <c:v>-4.071776848434653</c:v>
                </c:pt>
                <c:pt idx="140">
                  <c:v>-4.3873775285111956</c:v>
                </c:pt>
                <c:pt idx="143">
                  <c:v>-5.2691773004227889</c:v>
                </c:pt>
                <c:pt idx="146">
                  <c:v>-6.5703242048378261</c:v>
                </c:pt>
                <c:pt idx="149">
                  <c:v>-7.8994132039599796</c:v>
                </c:pt>
                <c:pt idx="152">
                  <c:v>-7.649871827746094</c:v>
                </c:pt>
                <c:pt idx="155">
                  <c:v>-7.0854914785851895</c:v>
                </c:pt>
                <c:pt idx="158">
                  <c:v>-6.7638963245887984</c:v>
                </c:pt>
                <c:pt idx="161">
                  <c:v>-5.1824519469996488</c:v>
                </c:pt>
                <c:pt idx="164">
                  <c:v>-5.5039228930567932</c:v>
                </c:pt>
                <c:pt idx="167">
                  <c:v>-5.4331070500918113</c:v>
                </c:pt>
                <c:pt idx="170">
                  <c:v>-5.3137728835262292</c:v>
                </c:pt>
                <c:pt idx="173">
                  <c:v>-6.4916924489870187</c:v>
                </c:pt>
                <c:pt idx="176">
                  <c:v>-7.4409183426967846</c:v>
                </c:pt>
                <c:pt idx="179">
                  <c:v>-7.9828926415053543</c:v>
                </c:pt>
                <c:pt idx="182">
                  <c:v>-9.3109320632857706</c:v>
                </c:pt>
                <c:pt idx="185">
                  <c:v>-10.136800045770276</c:v>
                </c:pt>
                <c:pt idx="188">
                  <c:v>-11.293825280937059</c:v>
                </c:pt>
                <c:pt idx="191">
                  <c:v>-12.191845768436757</c:v>
                </c:pt>
                <c:pt idx="194">
                  <c:v>-12.143448875817516</c:v>
                </c:pt>
                <c:pt idx="197">
                  <c:v>-12.707228909948038</c:v>
                </c:pt>
                <c:pt idx="200">
                  <c:v>-11.236716896925506</c:v>
                </c:pt>
                <c:pt idx="203">
                  <c:v>-10.505276752218347</c:v>
                </c:pt>
                <c:pt idx="206">
                  <c:v>-11.003021944228724</c:v>
                </c:pt>
                <c:pt idx="209">
                  <c:v>-11.734589559285961</c:v>
                </c:pt>
                <c:pt idx="212">
                  <c:v>-10.921889862704962</c:v>
                </c:pt>
                <c:pt idx="215">
                  <c:v>-10.025837786039281</c:v>
                </c:pt>
                <c:pt idx="218">
                  <c:v>-9.3611885291448846</c:v>
                </c:pt>
                <c:pt idx="221">
                  <c:v>-7.6349391490616725</c:v>
                </c:pt>
                <c:pt idx="224">
                  <c:v>-7.3972376166352758</c:v>
                </c:pt>
                <c:pt idx="227">
                  <c:v>-6.8174533164269011</c:v>
                </c:pt>
                <c:pt idx="230">
                  <c:v>-6.4049687136762579</c:v>
                </c:pt>
                <c:pt idx="233">
                  <c:v>-5.3424187165806982</c:v>
                </c:pt>
                <c:pt idx="236">
                  <c:v>-5.1488580205938304</c:v>
                </c:pt>
                <c:pt idx="239">
                  <c:v>-3.248840016361803</c:v>
                </c:pt>
                <c:pt idx="242">
                  <c:v>-1.9155939316000858</c:v>
                </c:pt>
                <c:pt idx="245">
                  <c:v>-2.5853893899455671</c:v>
                </c:pt>
                <c:pt idx="248">
                  <c:v>-1.6547726590731813</c:v>
                </c:pt>
                <c:pt idx="251">
                  <c:v>-0.93795099435240437</c:v>
                </c:pt>
                <c:pt idx="254">
                  <c:v>-1.6135521779561617</c:v>
                </c:pt>
                <c:pt idx="257">
                  <c:v>-0.71266367526605412</c:v>
                </c:pt>
                <c:pt idx="260">
                  <c:v>-1.0454392798879568</c:v>
                </c:pt>
                <c:pt idx="263">
                  <c:v>-0.61297746633972006</c:v>
                </c:pt>
                <c:pt idx="266">
                  <c:v>0.11848222762896532</c:v>
                </c:pt>
                <c:pt idx="269">
                  <c:v>1.2378838781402437</c:v>
                </c:pt>
                <c:pt idx="272">
                  <c:v>2.3116608149378868</c:v>
                </c:pt>
                <c:pt idx="275">
                  <c:v>4.3778990504110293</c:v>
                </c:pt>
                <c:pt idx="278">
                  <c:v>5.2888335842992067</c:v>
                </c:pt>
                <c:pt idx="281">
                  <c:v>4.3608919746045505</c:v>
                </c:pt>
                <c:pt idx="284">
                  <c:v>3.9100988503081138</c:v>
                </c:pt>
                <c:pt idx="287">
                  <c:v>4.8701891543920155</c:v>
                </c:pt>
                <c:pt idx="290">
                  <c:v>5.1754296364102386</c:v>
                </c:pt>
                <c:pt idx="293">
                  <c:v>4.0842407723459937</c:v>
                </c:pt>
                <c:pt idx="296">
                  <c:v>3.2815400791297584</c:v>
                </c:pt>
                <c:pt idx="299">
                  <c:v>2.4116918776431517</c:v>
                </c:pt>
                <c:pt idx="302">
                  <c:v>2.1998891260277218</c:v>
                </c:pt>
                <c:pt idx="305">
                  <c:v>2.1648087088426733</c:v>
                </c:pt>
                <c:pt idx="308">
                  <c:v>1.3566741963807414</c:v>
                </c:pt>
                <c:pt idx="311">
                  <c:v>1.2044740759561618</c:v>
                </c:pt>
                <c:pt idx="314">
                  <c:v>0.83696649279918978</c:v>
                </c:pt>
                <c:pt idx="317">
                  <c:v>0.59902634467401217</c:v>
                </c:pt>
                <c:pt idx="320">
                  <c:v>0.42976267058375917</c:v>
                </c:pt>
                <c:pt idx="323">
                  <c:v>1.5338458588526902</c:v>
                </c:pt>
                <c:pt idx="326">
                  <c:v>2.8831564612612723</c:v>
                </c:pt>
                <c:pt idx="329">
                  <c:v>2.7369510871663678</c:v>
                </c:pt>
                <c:pt idx="332">
                  <c:v>2.9196572398904004</c:v>
                </c:pt>
                <c:pt idx="335">
                  <c:v>2.3229263550980725</c:v>
                </c:pt>
                <c:pt idx="338">
                  <c:v>2.8790397981774123</c:v>
                </c:pt>
                <c:pt idx="341">
                  <c:v>3.5807043959069587</c:v>
                </c:pt>
                <c:pt idx="344">
                  <c:v>2.6853798334355234</c:v>
                </c:pt>
                <c:pt idx="347">
                  <c:v>2.4276767960943761</c:v>
                </c:pt>
                <c:pt idx="350">
                  <c:v>3.7091994430627642</c:v>
                </c:pt>
                <c:pt idx="353">
                  <c:v>2.8733274083822646</c:v>
                </c:pt>
                <c:pt idx="356">
                  <c:v>1.3355164476242245</c:v>
                </c:pt>
                <c:pt idx="359">
                  <c:v>0.87820691301969545</c:v>
                </c:pt>
                <c:pt idx="362">
                  <c:v>-0.11728815689373817</c:v>
                </c:pt>
                <c:pt idx="365">
                  <c:v>2.5684023762996666E-2</c:v>
                </c:pt>
                <c:pt idx="368">
                  <c:v>-1.8936657142175537</c:v>
                </c:pt>
                <c:pt idx="371">
                  <c:v>-0.61661105987986464</c:v>
                </c:pt>
                <c:pt idx="375">
                  <c:v>1.182487047606831</c:v>
                </c:pt>
                <c:pt idx="378">
                  <c:v>3.3716967572254757</c:v>
                </c:pt>
                <c:pt idx="381">
                  <c:v>4.7282652922020283</c:v>
                </c:pt>
                <c:pt idx="384">
                  <c:v>7.6277604473743263</c:v>
                </c:pt>
                <c:pt idx="387">
                  <c:v>8.0585052905881742</c:v>
                </c:pt>
                <c:pt idx="391">
                  <c:v>8.320359489758447</c:v>
                </c:pt>
                <c:pt idx="394">
                  <c:v>10.106108902013567</c:v>
                </c:pt>
                <c:pt idx="397">
                  <c:v>11.710315238016161</c:v>
                </c:pt>
                <c:pt idx="400">
                  <c:v>12.496362792182602</c:v>
                </c:pt>
                <c:pt idx="403">
                  <c:v>12.266625961386923</c:v>
                </c:pt>
                <c:pt idx="406">
                  <c:v>11.839381850201221</c:v>
                </c:pt>
                <c:pt idx="409">
                  <c:v>12.43798991182371</c:v>
                </c:pt>
                <c:pt idx="413">
                  <c:v>13.607775813118469</c:v>
                </c:pt>
                <c:pt idx="416">
                  <c:v>13.940155326981381</c:v>
                </c:pt>
                <c:pt idx="419">
                  <c:v>12.418700242964828</c:v>
                </c:pt>
                <c:pt idx="422">
                  <c:v>13.536709929396807</c:v>
                </c:pt>
                <c:pt idx="425">
                  <c:v>12.758873600046801</c:v>
                </c:pt>
                <c:pt idx="428">
                  <c:v>12.257124701981526</c:v>
                </c:pt>
                <c:pt idx="432">
                  <c:v>13.204031683459061</c:v>
                </c:pt>
                <c:pt idx="435">
                  <c:v>14.230775330755836</c:v>
                </c:pt>
                <c:pt idx="438">
                  <c:v>13.668069695350569</c:v>
                </c:pt>
                <c:pt idx="441">
                  <c:v>14.681510172243128</c:v>
                </c:pt>
                <c:pt idx="444">
                  <c:v>13.864356893367491</c:v>
                </c:pt>
                <c:pt idx="448">
                  <c:v>14.56484319000724</c:v>
                </c:pt>
                <c:pt idx="452">
                  <c:v>15.918813414189852</c:v>
                </c:pt>
                <c:pt idx="455">
                  <c:v>15.85476168491523</c:v>
                </c:pt>
                <c:pt idx="458">
                  <c:v>15.812167503594507</c:v>
                </c:pt>
                <c:pt idx="461">
                  <c:v>16.89415962612323</c:v>
                </c:pt>
                <c:pt idx="465">
                  <c:v>17.396421439451288</c:v>
                </c:pt>
                <c:pt idx="468">
                  <c:v>17.346960691069455</c:v>
                </c:pt>
                <c:pt idx="471">
                  <c:v>15.499500585856399</c:v>
                </c:pt>
                <c:pt idx="474">
                  <c:v>15.213348916321348</c:v>
                </c:pt>
                <c:pt idx="477">
                  <c:v>14.363441592320429</c:v>
                </c:pt>
                <c:pt idx="481">
                  <c:v>14.270092139056338</c:v>
                </c:pt>
                <c:pt idx="484">
                  <c:v>16.777307531499979</c:v>
                </c:pt>
                <c:pt idx="488">
                  <c:v>16.822652123021513</c:v>
                </c:pt>
                <c:pt idx="492">
                  <c:v>19.897499381509462</c:v>
                </c:pt>
                <c:pt idx="495">
                  <c:v>23.839623281419843</c:v>
                </c:pt>
                <c:pt idx="498">
                  <c:v>24.680655734419275</c:v>
                </c:pt>
                <c:pt idx="501">
                  <c:v>25.176204888486168</c:v>
                </c:pt>
                <c:pt idx="505">
                  <c:v>27.028788684114261</c:v>
                </c:pt>
                <c:pt idx="508">
                  <c:v>27.17681712181324</c:v>
                </c:pt>
                <c:pt idx="511">
                  <c:v>26.482756726044112</c:v>
                </c:pt>
                <c:pt idx="514">
                  <c:v>25.492750338072469</c:v>
                </c:pt>
                <c:pt idx="517">
                  <c:v>24.238252411567061</c:v>
                </c:pt>
                <c:pt idx="521">
                  <c:v>24.194189064216349</c:v>
                </c:pt>
                <c:pt idx="525">
                  <c:v>24.030743958296867</c:v>
                </c:pt>
                <c:pt idx="528">
                  <c:v>24.623932954126946</c:v>
                </c:pt>
                <c:pt idx="532">
                  <c:v>26.109005417557142</c:v>
                </c:pt>
                <c:pt idx="535">
                  <c:v>27.833540378574057</c:v>
                </c:pt>
                <c:pt idx="538">
                  <c:v>29.449198023127924</c:v>
                </c:pt>
                <c:pt idx="541">
                  <c:v>29.594950532583333</c:v>
                </c:pt>
                <c:pt idx="545">
                  <c:v>29.549899582789084</c:v>
                </c:pt>
                <c:pt idx="549">
                  <c:v>29.693185313980226</c:v>
                </c:pt>
                <c:pt idx="553">
                  <c:v>29.30443284858843</c:v>
                </c:pt>
                <c:pt idx="556">
                  <c:v>28.925232971842419</c:v>
                </c:pt>
                <c:pt idx="559">
                  <c:v>28.683670925815399</c:v>
                </c:pt>
                <c:pt idx="562">
                  <c:v>28.042048368308702</c:v>
                </c:pt>
                <c:pt idx="565">
                  <c:v>28.242070247799386</c:v>
                </c:pt>
                <c:pt idx="568">
                  <c:v>28.137797578647469</c:v>
                </c:pt>
                <c:pt idx="574">
                  <c:v>28.801818711522877</c:v>
                </c:pt>
                <c:pt idx="577">
                  <c:v>29.731160333292642</c:v>
                </c:pt>
                <c:pt idx="580">
                  <c:v>30.589311842458326</c:v>
                </c:pt>
                <c:pt idx="583">
                  <c:v>30.514787815587336</c:v>
                </c:pt>
                <c:pt idx="586">
                  <c:v>29.718094471708486</c:v>
                </c:pt>
                <c:pt idx="589">
                  <c:v>30.61695120289831</c:v>
                </c:pt>
                <c:pt idx="592">
                  <c:v>31.330868698368505</c:v>
                </c:pt>
                <c:pt idx="595">
                  <c:v>29.832648771134725</c:v>
                </c:pt>
                <c:pt idx="599">
                  <c:v>28.522739446944342</c:v>
                </c:pt>
                <c:pt idx="602">
                  <c:v>27.753633685710621</c:v>
                </c:pt>
                <c:pt idx="605">
                  <c:v>27.230284764165759</c:v>
                </c:pt>
                <c:pt idx="608">
                  <c:v>27.109256271642675</c:v>
                </c:pt>
                <c:pt idx="611">
                  <c:v>26.550236493120849</c:v>
                </c:pt>
                <c:pt idx="615">
                  <c:v>27.787643154245831</c:v>
                </c:pt>
                <c:pt idx="618">
                  <c:v>28.169418694368566</c:v>
                </c:pt>
                <c:pt idx="621">
                  <c:v>28.128726489315586</c:v>
                </c:pt>
                <c:pt idx="624">
                  <c:v>28.288260411455838</c:v>
                </c:pt>
                <c:pt idx="627">
                  <c:v>29.206202244577206</c:v>
                </c:pt>
                <c:pt idx="631">
                  <c:v>28.2147282685597</c:v>
                </c:pt>
                <c:pt idx="634">
                  <c:v>27.609921805412064</c:v>
                </c:pt>
                <c:pt idx="637">
                  <c:v>27.683147433345354</c:v>
                </c:pt>
                <c:pt idx="646">
                  <c:v>27.687641579444954</c:v>
                </c:pt>
                <c:pt idx="649">
                  <c:v>27.271620006367304</c:v>
                </c:pt>
                <c:pt idx="652">
                  <c:v>29.081371772376478</c:v>
                </c:pt>
                <c:pt idx="655">
                  <c:v>28.387316893251235</c:v>
                </c:pt>
                <c:pt idx="658">
                  <c:v>27.020492607113315</c:v>
                </c:pt>
                <c:pt idx="664">
                  <c:v>25.892976353675742</c:v>
                </c:pt>
                <c:pt idx="670">
                  <c:v>24.720218389668506</c:v>
                </c:pt>
                <c:pt idx="673">
                  <c:v>23.732644507360263</c:v>
                </c:pt>
                <c:pt idx="676">
                  <c:v>23.774724014916323</c:v>
                </c:pt>
                <c:pt idx="679">
                  <c:v>23.117343313711633</c:v>
                </c:pt>
                <c:pt idx="682">
                  <c:v>24.585215418380052</c:v>
                </c:pt>
                <c:pt idx="685">
                  <c:v>24.275303639030138</c:v>
                </c:pt>
                <c:pt idx="688">
                  <c:v>24.863531578971145</c:v>
                </c:pt>
                <c:pt idx="691">
                  <c:v>23.222371238738731</c:v>
                </c:pt>
                <c:pt idx="694">
                  <c:v>22.242727320512905</c:v>
                </c:pt>
                <c:pt idx="697">
                  <c:v>21.510796688900943</c:v>
                </c:pt>
                <c:pt idx="700">
                  <c:v>21.481597951289189</c:v>
                </c:pt>
                <c:pt idx="703">
                  <c:v>19.763143395943679</c:v>
                </c:pt>
                <c:pt idx="704">
                  <c:v>19.398851444602158</c:v>
                </c:pt>
                <c:pt idx="718">
                  <c:v>18.67813444567221</c:v>
                </c:pt>
                <c:pt idx="721">
                  <c:v>18.170945042124874</c:v>
                </c:pt>
                <c:pt idx="724">
                  <c:v>18.990744243983659</c:v>
                </c:pt>
                <c:pt idx="727">
                  <c:v>18.576973587251874</c:v>
                </c:pt>
                <c:pt idx="730">
                  <c:v>17.700316798605762</c:v>
                </c:pt>
                <c:pt idx="733">
                  <c:v>16.193311704299735</c:v>
                </c:pt>
                <c:pt idx="736">
                  <c:v>15.597617428087245</c:v>
                </c:pt>
                <c:pt idx="739">
                  <c:v>14.484952559016893</c:v>
                </c:pt>
                <c:pt idx="745">
                  <c:v>14.453099437677132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4-374D-B754-5D763DCD6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'Fuco update'!$L$3:$L$748</c:f>
              <c:numCache>
                <c:formatCode>General</c:formatCode>
                <c:ptCount val="746"/>
                <c:pt idx="2">
                  <c:v>0.10491992027557567</c:v>
                </c:pt>
                <c:pt idx="5">
                  <c:v>5.210101619341221E-2</c:v>
                </c:pt>
                <c:pt idx="8">
                  <c:v>0.10850975110844478</c:v>
                </c:pt>
                <c:pt idx="11">
                  <c:v>0.16871478556536865</c:v>
                </c:pt>
                <c:pt idx="14">
                  <c:v>0.32008306538220993</c:v>
                </c:pt>
                <c:pt idx="17">
                  <c:v>0.25601105198213941</c:v>
                </c:pt>
                <c:pt idx="20">
                  <c:v>0.21321241374481209</c:v>
                </c:pt>
                <c:pt idx="23">
                  <c:v>0.36128663818512047</c:v>
                </c:pt>
                <c:pt idx="26">
                  <c:v>0.42227790178090702</c:v>
                </c:pt>
                <c:pt idx="29">
                  <c:v>0.14797905943715772</c:v>
                </c:pt>
                <c:pt idx="32">
                  <c:v>0.25965651365261272</c:v>
                </c:pt>
                <c:pt idx="35">
                  <c:v>0.24519287893272648</c:v>
                </c:pt>
                <c:pt idx="38">
                  <c:v>0.2566497136387148</c:v>
                </c:pt>
                <c:pt idx="41">
                  <c:v>9.8974151427384624E-2</c:v>
                </c:pt>
                <c:pt idx="44">
                  <c:v>6.2630371226941858E-2</c:v>
                </c:pt>
                <c:pt idx="47">
                  <c:v>0.11633559117437595</c:v>
                </c:pt>
                <c:pt idx="50">
                  <c:v>0.16931034826225391</c:v>
                </c:pt>
                <c:pt idx="53">
                  <c:v>0.3029282592306165</c:v>
                </c:pt>
                <c:pt idx="56">
                  <c:v>0.28995056636772687</c:v>
                </c:pt>
                <c:pt idx="59">
                  <c:v>0.36940411954839719</c:v>
                </c:pt>
                <c:pt idx="62">
                  <c:v>0.31093775959552705</c:v>
                </c:pt>
                <c:pt idx="65">
                  <c:v>0.12555452173334367</c:v>
                </c:pt>
                <c:pt idx="68">
                  <c:v>8.717999072528676E-2</c:v>
                </c:pt>
                <c:pt idx="71">
                  <c:v>0.10572847298830539</c:v>
                </c:pt>
                <c:pt idx="74">
                  <c:v>0.14009840468291893</c:v>
                </c:pt>
                <c:pt idx="77">
                  <c:v>0.14361977030327772</c:v>
                </c:pt>
                <c:pt idx="80">
                  <c:v>8.4137994262580562E-2</c:v>
                </c:pt>
                <c:pt idx="83">
                  <c:v>0.22176669421435463</c:v>
                </c:pt>
                <c:pt idx="86">
                  <c:v>0.31223325609752639</c:v>
                </c:pt>
                <c:pt idx="89">
                  <c:v>0.2390597122138253</c:v>
                </c:pt>
                <c:pt idx="92">
                  <c:v>0.13300789028391743</c:v>
                </c:pt>
                <c:pt idx="110">
                  <c:v>0.21786164791823331</c:v>
                </c:pt>
                <c:pt idx="113">
                  <c:v>5.3230349148845738E-2</c:v>
                </c:pt>
                <c:pt idx="116">
                  <c:v>0.19864745165779016</c:v>
                </c:pt>
                <c:pt idx="119">
                  <c:v>0.228764052636243</c:v>
                </c:pt>
                <c:pt idx="122">
                  <c:v>0.29495543348392034</c:v>
                </c:pt>
                <c:pt idx="125">
                  <c:v>0.20604066284681025</c:v>
                </c:pt>
                <c:pt idx="128">
                  <c:v>0.39979718130547909</c:v>
                </c:pt>
                <c:pt idx="131">
                  <c:v>0.38254691443399685</c:v>
                </c:pt>
                <c:pt idx="134">
                  <c:v>0.35779638632866279</c:v>
                </c:pt>
                <c:pt idx="137">
                  <c:v>0.14755035713956433</c:v>
                </c:pt>
                <c:pt idx="140">
                  <c:v>0.18982580213314851</c:v>
                </c:pt>
                <c:pt idx="143">
                  <c:v>0.13020501096544621</c:v>
                </c:pt>
                <c:pt idx="146">
                  <c:v>8.6047738065675575E-2</c:v>
                </c:pt>
                <c:pt idx="149">
                  <c:v>8.3105434170552953E-2</c:v>
                </c:pt>
                <c:pt idx="152">
                  <c:v>0.24933528740797395</c:v>
                </c:pt>
                <c:pt idx="155">
                  <c:v>0.28248784616021683</c:v>
                </c:pt>
                <c:pt idx="158">
                  <c:v>0.25692255361868399</c:v>
                </c:pt>
                <c:pt idx="161">
                  <c:v>0.3895847364900375</c:v>
                </c:pt>
                <c:pt idx="164">
                  <c:v>0.18920766284755899</c:v>
                </c:pt>
                <c:pt idx="167">
                  <c:v>0.23051548029801577</c:v>
                </c:pt>
                <c:pt idx="170">
                  <c:v>0.2356244620694686</c:v>
                </c:pt>
                <c:pt idx="173">
                  <c:v>9.9023582689748521E-2</c:v>
                </c:pt>
                <c:pt idx="176">
                  <c:v>0.1231050371489074</c:v>
                </c:pt>
                <c:pt idx="179">
                  <c:v>0.16598864936669511</c:v>
                </c:pt>
                <c:pt idx="182">
                  <c:v>8.3215954714312951E-2</c:v>
                </c:pt>
                <c:pt idx="185">
                  <c:v>0.13609463103929781</c:v>
                </c:pt>
                <c:pt idx="188">
                  <c:v>0.10122375665860915</c:v>
                </c:pt>
                <c:pt idx="191">
                  <c:v>0.12849696884631323</c:v>
                </c:pt>
                <c:pt idx="194">
                  <c:v>0.22815476376554936</c:v>
                </c:pt>
                <c:pt idx="197">
                  <c:v>0.16369250440525626</c:v>
                </c:pt>
                <c:pt idx="200">
                  <c:v>0.37790355325088715</c:v>
                </c:pt>
                <c:pt idx="203">
                  <c:v>0.30007925053796175</c:v>
                </c:pt>
                <c:pt idx="206">
                  <c:v>0.17064597640585122</c:v>
                </c:pt>
                <c:pt idx="209">
                  <c:v>0.14602446419250367</c:v>
                </c:pt>
                <c:pt idx="212">
                  <c:v>0.30863588519618662</c:v>
                </c:pt>
                <c:pt idx="215">
                  <c:v>0.3174128947640642</c:v>
                </c:pt>
                <c:pt idx="218">
                  <c:v>0.29304616689015145</c:v>
                </c:pt>
                <c:pt idx="221">
                  <c:v>0.40483271010609589</c:v>
                </c:pt>
                <c:pt idx="224">
                  <c:v>0.24808855129678681</c:v>
                </c:pt>
                <c:pt idx="227">
                  <c:v>0.28410988293456452</c:v>
                </c:pt>
                <c:pt idx="230">
                  <c:v>0.26649321687418692</c:v>
                </c:pt>
                <c:pt idx="233">
                  <c:v>0.3349451336654618</c:v>
                </c:pt>
                <c:pt idx="236">
                  <c:v>0.24344051913057568</c:v>
                </c:pt>
                <c:pt idx="239">
                  <c:v>0.42313055445321063</c:v>
                </c:pt>
                <c:pt idx="242">
                  <c:v>0.36344944450840427</c:v>
                </c:pt>
                <c:pt idx="245">
                  <c:v>0.152529075217848</c:v>
                </c:pt>
                <c:pt idx="248">
                  <c:v>0.32105255448793057</c:v>
                </c:pt>
                <c:pt idx="251">
                  <c:v>0.29853992390352191</c:v>
                </c:pt>
                <c:pt idx="254">
                  <c:v>0.15191773207337408</c:v>
                </c:pt>
                <c:pt idx="257">
                  <c:v>0.31792217065333805</c:v>
                </c:pt>
                <c:pt idx="260">
                  <c:v>0.18801728176565508</c:v>
                </c:pt>
                <c:pt idx="263">
                  <c:v>0.26859681811666908</c:v>
                </c:pt>
                <c:pt idx="266">
                  <c:v>0.30008130907612568</c:v>
                </c:pt>
                <c:pt idx="269">
                  <c:v>0.34093161546085232</c:v>
                </c:pt>
                <c:pt idx="272">
                  <c:v>0.33612733094744773</c:v>
                </c:pt>
                <c:pt idx="275">
                  <c:v>0.44063355266988885</c:v>
                </c:pt>
                <c:pt idx="278">
                  <c:v>0.31898001821396044</c:v>
                </c:pt>
                <c:pt idx="281">
                  <c:v>0.12534627326305611</c:v>
                </c:pt>
                <c:pt idx="284">
                  <c:v>0.17559003135830994</c:v>
                </c:pt>
                <c:pt idx="287">
                  <c:v>0.32415612314204933</c:v>
                </c:pt>
                <c:pt idx="290">
                  <c:v>0.25520040588533738</c:v>
                </c:pt>
                <c:pt idx="293">
                  <c:v>0.10815632965165677</c:v>
                </c:pt>
                <c:pt idx="296">
                  <c:v>0.13853414769572459</c:v>
                </c:pt>
                <c:pt idx="299">
                  <c:v>0.13146351189684966</c:v>
                </c:pt>
                <c:pt idx="302">
                  <c:v>0.2007557289127255</c:v>
                </c:pt>
                <c:pt idx="305">
                  <c:v>0.21936459909228442</c:v>
                </c:pt>
                <c:pt idx="308">
                  <c:v>0.13796196627197707</c:v>
                </c:pt>
                <c:pt idx="311">
                  <c:v>0.20703188879803758</c:v>
                </c:pt>
                <c:pt idx="314">
                  <c:v>0.18436000278209261</c:v>
                </c:pt>
                <c:pt idx="317">
                  <c:v>0.19800345982319986</c:v>
                </c:pt>
                <c:pt idx="320">
                  <c:v>0.20523509578944621</c:v>
                </c:pt>
                <c:pt idx="323">
                  <c:v>0.3393185806617301</c:v>
                </c:pt>
                <c:pt idx="326">
                  <c:v>0.36514103897693201</c:v>
                </c:pt>
                <c:pt idx="329">
                  <c:v>0.20766313587027593</c:v>
                </c:pt>
                <c:pt idx="332">
                  <c:v>0.24229753521126762</c:v>
                </c:pt>
                <c:pt idx="335">
                  <c:v>0.16022277827104695</c:v>
                </c:pt>
                <c:pt idx="338">
                  <c:v>0.28161734055856608</c:v>
                </c:pt>
                <c:pt idx="341">
                  <c:v>0.29694388403198091</c:v>
                </c:pt>
                <c:pt idx="344">
                  <c:v>0.12878084987938396</c:v>
                </c:pt>
                <c:pt idx="347">
                  <c:v>0.19592242665340623</c:v>
                </c:pt>
                <c:pt idx="350">
                  <c:v>0.35800296406076326</c:v>
                </c:pt>
                <c:pt idx="353">
                  <c:v>0.13504120386958079</c:v>
                </c:pt>
                <c:pt idx="356">
                  <c:v>6.1127001731753346E-2</c:v>
                </c:pt>
                <c:pt idx="359">
                  <c:v>0.17490385304445452</c:v>
                </c:pt>
                <c:pt idx="362">
                  <c:v>0.11823289070480082</c:v>
                </c:pt>
                <c:pt idx="365">
                  <c:v>0.23811354607202362</c:v>
                </c:pt>
                <c:pt idx="368">
                  <c:v>2.0950950432485627E-2</c:v>
                </c:pt>
                <c:pt idx="371">
                  <c:v>0.35753248422528633</c:v>
                </c:pt>
                <c:pt idx="375">
                  <c:v>0.41250368454951886</c:v>
                </c:pt>
                <c:pt idx="378">
                  <c:v>0.4535824547174912</c:v>
                </c:pt>
                <c:pt idx="381">
                  <c:v>0.36590529961984786</c:v>
                </c:pt>
                <c:pt idx="384">
                  <c:v>0.5283755457511834</c:v>
                </c:pt>
                <c:pt idx="387">
                  <c:v>0.26841602105919593</c:v>
                </c:pt>
                <c:pt idx="391">
                  <c:v>0.25063182824803149</c:v>
                </c:pt>
                <c:pt idx="394">
                  <c:v>0.41109806630985735</c:v>
                </c:pt>
                <c:pt idx="397">
                  <c:v>0.39198157178826715</c:v>
                </c:pt>
                <c:pt idx="400">
                  <c:v>0.30582941333852215</c:v>
                </c:pt>
                <c:pt idx="403">
                  <c:v>0.19886726952624845</c:v>
                </c:pt>
                <c:pt idx="406">
                  <c:v>0.17806974355341457</c:v>
                </c:pt>
                <c:pt idx="409">
                  <c:v>0.28609202590237509</c:v>
                </c:pt>
                <c:pt idx="413">
                  <c:v>0.34623707945297422</c:v>
                </c:pt>
                <c:pt idx="416">
                  <c:v>0.25805814722303844</c:v>
                </c:pt>
                <c:pt idx="419">
                  <c:v>6.2849276326734316E-2</c:v>
                </c:pt>
                <c:pt idx="422">
                  <c:v>0.34078504157742218</c:v>
                </c:pt>
                <c:pt idx="425">
                  <c:v>0.14115236638763684</c:v>
                </c:pt>
                <c:pt idx="428">
                  <c:v>0.17022438596878028</c:v>
                </c:pt>
                <c:pt idx="432">
                  <c:v>0.32276791864764925</c:v>
                </c:pt>
                <c:pt idx="435">
                  <c:v>0.33117472333698167</c:v>
                </c:pt>
                <c:pt idx="438">
                  <c:v>0.1638056386418755</c:v>
                </c:pt>
                <c:pt idx="441">
                  <c:v>0.32977389886379571</c:v>
                </c:pt>
                <c:pt idx="444">
                  <c:v>0.13701228974176735</c:v>
                </c:pt>
                <c:pt idx="448">
                  <c:v>0.29681980887145781</c:v>
                </c:pt>
                <c:pt idx="452">
                  <c:v>0.36563169737027135</c:v>
                </c:pt>
                <c:pt idx="455">
                  <c:v>0.21631391855807747</c:v>
                </c:pt>
                <c:pt idx="458">
                  <c:v>0.21857339937318113</c:v>
                </c:pt>
                <c:pt idx="461">
                  <c:v>0.33699239039374473</c:v>
                </c:pt>
                <c:pt idx="465">
                  <c:v>0.27594676139702795</c:v>
                </c:pt>
                <c:pt idx="468">
                  <c:v>0.21785034953666066</c:v>
                </c:pt>
                <c:pt idx="471">
                  <c:v>2.8520932165346211E-2</c:v>
                </c:pt>
                <c:pt idx="474">
                  <c:v>0.19292678433695112</c:v>
                </c:pt>
                <c:pt idx="477">
                  <c:v>0.13356328723986857</c:v>
                </c:pt>
                <c:pt idx="481">
                  <c:v>0.21322886683536302</c:v>
                </c:pt>
                <c:pt idx="484">
                  <c:v>0.48706846816976124</c:v>
                </c:pt>
                <c:pt idx="488">
                  <c:v>0.22783335631549914</c:v>
                </c:pt>
                <c:pt idx="492">
                  <c:v>0.54684013052951008</c:v>
                </c:pt>
                <c:pt idx="495">
                  <c:v>0.63816440191837509</c:v>
                </c:pt>
                <c:pt idx="498">
                  <c:v>0.31161932578800045</c:v>
                </c:pt>
                <c:pt idx="501">
                  <c:v>0.27523991805912584</c:v>
                </c:pt>
                <c:pt idx="505">
                  <c:v>0.4181357300422166</c:v>
                </c:pt>
                <c:pt idx="508">
                  <c:v>0.23864597017787792</c:v>
                </c:pt>
                <c:pt idx="511">
                  <c:v>0.14997397615870989</c:v>
                </c:pt>
                <c:pt idx="514">
                  <c:v>0.11881084917304371</c:v>
                </c:pt>
                <c:pt idx="517">
                  <c:v>9.0959877647395521E-2</c:v>
                </c:pt>
                <c:pt idx="521">
                  <c:v>0.21841869612068968</c:v>
                </c:pt>
                <c:pt idx="525">
                  <c:v>0.20584779129321384</c:v>
                </c:pt>
                <c:pt idx="528">
                  <c:v>0.2855213980179569</c:v>
                </c:pt>
                <c:pt idx="532">
                  <c:v>0.3794367693679413</c:v>
                </c:pt>
                <c:pt idx="535">
                  <c:v>0.40465218169727357</c:v>
                </c:pt>
                <c:pt idx="538">
                  <c:v>0.39318739512069195</c:v>
                </c:pt>
                <c:pt idx="541">
                  <c:v>0.23840631482611346</c:v>
                </c:pt>
                <c:pt idx="545">
                  <c:v>0.21831470153664306</c:v>
                </c:pt>
                <c:pt idx="549">
                  <c:v>0.23814656295813652</c:v>
                </c:pt>
                <c:pt idx="553">
                  <c:v>0.18212291567727296</c:v>
                </c:pt>
                <c:pt idx="556">
                  <c:v>0.1831288037137857</c:v>
                </c:pt>
                <c:pt idx="559">
                  <c:v>0.19762207380271621</c:v>
                </c:pt>
                <c:pt idx="562">
                  <c:v>0.15549568300955902</c:v>
                </c:pt>
                <c:pt idx="565">
                  <c:v>0.24412088205932689</c:v>
                </c:pt>
                <c:pt idx="568">
                  <c:v>0.21207865168539328</c:v>
                </c:pt>
                <c:pt idx="574">
                  <c:v>0.29298002540122381</c:v>
                </c:pt>
                <c:pt idx="577">
                  <c:v>0.3209182854390753</c:v>
                </c:pt>
                <c:pt idx="580">
                  <c:v>0.31342196321252963</c:v>
                </c:pt>
                <c:pt idx="583">
                  <c:v>0.2152111851255398</c:v>
                </c:pt>
                <c:pt idx="586">
                  <c:v>0.13916672186527126</c:v>
                </c:pt>
                <c:pt idx="589">
                  <c:v>0.31770822501819695</c:v>
                </c:pt>
                <c:pt idx="592">
                  <c:v>0.29823411474398515</c:v>
                </c:pt>
                <c:pt idx="595">
                  <c:v>6.5295939435650374E-2</c:v>
                </c:pt>
                <c:pt idx="599">
                  <c:v>8.512505484861782E-2</c:v>
                </c:pt>
                <c:pt idx="602">
                  <c:v>0.14207169562348801</c:v>
                </c:pt>
                <c:pt idx="605">
                  <c:v>0.16794990247407865</c:v>
                </c:pt>
                <c:pt idx="608">
                  <c:v>0.21031426269137796</c:v>
                </c:pt>
                <c:pt idx="611">
                  <c:v>0.16419375954614879</c:v>
                </c:pt>
                <c:pt idx="615">
                  <c:v>0.3533575486635</c:v>
                </c:pt>
                <c:pt idx="618">
                  <c:v>0.26325955112604787</c:v>
                </c:pt>
                <c:pt idx="621">
                  <c:v>0.21877367756419253</c:v>
                </c:pt>
                <c:pt idx="624">
                  <c:v>0.23985749823408373</c:v>
                </c:pt>
                <c:pt idx="627">
                  <c:v>0.31971788715486199</c:v>
                </c:pt>
                <c:pt idx="631">
                  <c:v>0.11865631208235507</c:v>
                </c:pt>
                <c:pt idx="634">
                  <c:v>0.15937241948802644</c:v>
                </c:pt>
                <c:pt idx="637">
                  <c:v>0.23076923076923081</c:v>
                </c:pt>
                <c:pt idx="646">
                  <c:v>0.2235318024791709</c:v>
                </c:pt>
                <c:pt idx="649">
                  <c:v>0.17925147734734079</c:v>
                </c:pt>
                <c:pt idx="652">
                  <c:v>0.41362551529615976</c:v>
                </c:pt>
                <c:pt idx="655">
                  <c:v>0.14997455706157192</c:v>
                </c:pt>
                <c:pt idx="658">
                  <c:v>7.9131906661830481E-2</c:v>
                </c:pt>
                <c:pt idx="664">
                  <c:v>0.10433105383131686</c:v>
                </c:pt>
                <c:pt idx="670">
                  <c:v>9.9567099567099568E-2</c:v>
                </c:pt>
                <c:pt idx="673">
                  <c:v>0.11906699213452673</c:v>
                </c:pt>
                <c:pt idx="676">
                  <c:v>0.22748954281940262</c:v>
                </c:pt>
                <c:pt idx="679">
                  <c:v>0.15383634973234769</c:v>
                </c:pt>
                <c:pt idx="682">
                  <c:v>0.37762557077625564</c:v>
                </c:pt>
                <c:pt idx="685">
                  <c:v>0.19042484364891088</c:v>
                </c:pt>
                <c:pt idx="688">
                  <c:v>0.28499899859803723</c:v>
                </c:pt>
                <c:pt idx="691">
                  <c:v>5.0244307181709226E-2</c:v>
                </c:pt>
                <c:pt idx="694">
                  <c:v>0.11990201772772041</c:v>
                </c:pt>
                <c:pt idx="697">
                  <c:v>0.1459862385321101</c:v>
                </c:pt>
                <c:pt idx="700">
                  <c:v>0.21998394022972456</c:v>
                </c:pt>
                <c:pt idx="703">
                  <c:v>4.2105222672064777E-2</c:v>
                </c:pt>
                <c:pt idx="704">
                  <c:v>0.18469860896445131</c:v>
                </c:pt>
                <c:pt idx="718">
                  <c:v>0.14716703458425312</c:v>
                </c:pt>
                <c:pt idx="721">
                  <c:v>0.16965150048402713</c:v>
                </c:pt>
                <c:pt idx="724">
                  <c:v>0.30938346343794809</c:v>
                </c:pt>
                <c:pt idx="727">
                  <c:v>0.17948849894509339</c:v>
                </c:pt>
                <c:pt idx="730">
                  <c:v>0.13074656734671189</c:v>
                </c:pt>
                <c:pt idx="733">
                  <c:v>6.4370860927152315E-2</c:v>
                </c:pt>
                <c:pt idx="736">
                  <c:v>0.1603319332035652</c:v>
                </c:pt>
                <c:pt idx="739">
                  <c:v>0.10589490530808215</c:v>
                </c:pt>
                <c:pt idx="745">
                  <c:v>0.21970443349753696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94-A04A-9CA3-3CE5CFF0B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'But-fuco update'!$N$3:$N$748</c:f>
              <c:numCache>
                <c:formatCode>General</c:formatCode>
                <c:ptCount val="746"/>
                <c:pt idx="2">
                  <c:v>-0.3615226880513247</c:v>
                </c:pt>
                <c:pt idx="5">
                  <c:v>-0.72304537610264941</c:v>
                </c:pt>
                <c:pt idx="8">
                  <c:v>-0.95530536740405247</c:v>
                </c:pt>
                <c:pt idx="11">
                  <c:v>-1.3168280554553773</c:v>
                </c:pt>
                <c:pt idx="14">
                  <c:v>-1.678350743506702</c:v>
                </c:pt>
                <c:pt idx="17">
                  <c:v>-1.8802727645243134</c:v>
                </c:pt>
                <c:pt idx="20">
                  <c:v>-2.2011683278908767</c:v>
                </c:pt>
                <c:pt idx="23">
                  <c:v>3.6836867906299808E-2</c:v>
                </c:pt>
                <c:pt idx="26">
                  <c:v>1.61820249982965</c:v>
                </c:pt>
                <c:pt idx="29">
                  <c:v>1.3647896563914761</c:v>
                </c:pt>
                <c:pt idx="32">
                  <c:v>1.0153245789170873</c:v>
                </c:pt>
                <c:pt idx="35">
                  <c:v>0.67406952373831741</c:v>
                </c:pt>
                <c:pt idx="38">
                  <c:v>0.35365737305485101</c:v>
                </c:pt>
                <c:pt idx="41">
                  <c:v>-7.8653149964736935E-3</c:v>
                </c:pt>
                <c:pt idx="44">
                  <c:v>-0.3693880030477984</c:v>
                </c:pt>
                <c:pt idx="47">
                  <c:v>-0.7309106910991231</c:v>
                </c:pt>
                <c:pt idx="50">
                  <c:v>-0.97949885589429819</c:v>
                </c:pt>
                <c:pt idx="53">
                  <c:v>-0.88796835229421944</c:v>
                </c:pt>
                <c:pt idx="56">
                  <c:v>-1.2494910403455441</c:v>
                </c:pt>
                <c:pt idx="59">
                  <c:v>3.8336371740814239</c:v>
                </c:pt>
                <c:pt idx="62">
                  <c:v>10.016921482957521</c:v>
                </c:pt>
                <c:pt idx="65">
                  <c:v>9.8162001357732649</c:v>
                </c:pt>
                <c:pt idx="68">
                  <c:v>9.5379561839458287</c:v>
                </c:pt>
                <c:pt idx="71">
                  <c:v>9.3010268089939565</c:v>
                </c:pt>
                <c:pt idx="74">
                  <c:v>9.1461075494282813</c:v>
                </c:pt>
                <c:pt idx="77">
                  <c:v>9.0189829361326854</c:v>
                </c:pt>
                <c:pt idx="80">
                  <c:v>8.6574602480813603</c:v>
                </c:pt>
                <c:pt idx="83">
                  <c:v>8.2959375600300351</c:v>
                </c:pt>
                <c:pt idx="86">
                  <c:v>8.6847399344550116</c:v>
                </c:pt>
                <c:pt idx="89">
                  <c:v>8.6500057577787057</c:v>
                </c:pt>
                <c:pt idx="92">
                  <c:v>8.2884830697273806</c:v>
                </c:pt>
                <c:pt idx="110">
                  <c:v>7.9269603816760554</c:v>
                </c:pt>
                <c:pt idx="113">
                  <c:v>7.5654376936247303</c:v>
                </c:pt>
                <c:pt idx="116">
                  <c:v>7.2039150055734051</c:v>
                </c:pt>
                <c:pt idx="119">
                  <c:v>6.84239231752208</c:v>
                </c:pt>
                <c:pt idx="122">
                  <c:v>6.4808696294707548</c:v>
                </c:pt>
                <c:pt idx="125">
                  <c:v>6.1656544218540095</c:v>
                </c:pt>
                <c:pt idx="128">
                  <c:v>6.0202852786671723</c:v>
                </c:pt>
                <c:pt idx="131">
                  <c:v>9.4457996063870944</c:v>
                </c:pt>
                <c:pt idx="134">
                  <c:v>11.590216806405378</c:v>
                </c:pt>
                <c:pt idx="137">
                  <c:v>11.228694118354053</c:v>
                </c:pt>
                <c:pt idx="140">
                  <c:v>10.950795860716784</c:v>
                </c:pt>
                <c:pt idx="143">
                  <c:v>10.629486190229221</c:v>
                </c:pt>
                <c:pt idx="146">
                  <c:v>10.267963502177896</c:v>
                </c:pt>
                <c:pt idx="149">
                  <c:v>9.9064408141265705</c:v>
                </c:pt>
                <c:pt idx="152">
                  <c:v>9.5449181260752454</c:v>
                </c:pt>
                <c:pt idx="155">
                  <c:v>9.1833954380239202</c:v>
                </c:pt>
                <c:pt idx="158">
                  <c:v>8.8218727499725951</c:v>
                </c:pt>
                <c:pt idx="161">
                  <c:v>8.4603500619212699</c:v>
                </c:pt>
                <c:pt idx="164">
                  <c:v>8.0988273738699448</c:v>
                </c:pt>
                <c:pt idx="167">
                  <c:v>8.5607836927893377</c:v>
                </c:pt>
                <c:pt idx="170">
                  <c:v>10.232776894146834</c:v>
                </c:pt>
                <c:pt idx="173">
                  <c:v>9.8712542060955091</c:v>
                </c:pt>
                <c:pt idx="176">
                  <c:v>9.5097315180441839</c:v>
                </c:pt>
                <c:pt idx="179">
                  <c:v>9.1482088299928588</c:v>
                </c:pt>
                <c:pt idx="182">
                  <c:v>8.7866861419415336</c:v>
                </c:pt>
                <c:pt idx="185">
                  <c:v>8.4251634538902085</c:v>
                </c:pt>
                <c:pt idx="188">
                  <c:v>8.0636407658388833</c:v>
                </c:pt>
                <c:pt idx="191">
                  <c:v>7.7909716738327903</c:v>
                </c:pt>
                <c:pt idx="194">
                  <c:v>7.4294489857814661</c:v>
                </c:pt>
                <c:pt idx="197">
                  <c:v>7.0679262977301409</c:v>
                </c:pt>
                <c:pt idx="200">
                  <c:v>7.5546509414352876</c:v>
                </c:pt>
                <c:pt idx="203">
                  <c:v>10.03072351709806</c:v>
                </c:pt>
                <c:pt idx="206">
                  <c:v>10.001824149171698</c:v>
                </c:pt>
                <c:pt idx="209">
                  <c:v>9.7997479361492807</c:v>
                </c:pt>
                <c:pt idx="212">
                  <c:v>9.4382252480979556</c:v>
                </c:pt>
                <c:pt idx="215">
                  <c:v>9.0767025600466305</c:v>
                </c:pt>
                <c:pt idx="218">
                  <c:v>8.7156208919485003</c:v>
                </c:pt>
                <c:pt idx="221">
                  <c:v>8.957157092012368</c:v>
                </c:pt>
                <c:pt idx="224">
                  <c:v>8.5968301066643384</c:v>
                </c:pt>
                <c:pt idx="227">
                  <c:v>8.2362001831965923</c:v>
                </c:pt>
                <c:pt idx="230">
                  <c:v>8.1537269572066329</c:v>
                </c:pt>
                <c:pt idx="233">
                  <c:v>8.5702741416189951</c:v>
                </c:pt>
                <c:pt idx="236">
                  <c:v>9.2191078702359768</c:v>
                </c:pt>
                <c:pt idx="239">
                  <c:v>11.026595461063094</c:v>
                </c:pt>
                <c:pt idx="242">
                  <c:v>13.775917263100535</c:v>
                </c:pt>
                <c:pt idx="245">
                  <c:v>13.414568796680157</c:v>
                </c:pt>
                <c:pt idx="248">
                  <c:v>13.053186296154001</c:v>
                </c:pt>
                <c:pt idx="251">
                  <c:v>12.691823606008322</c:v>
                </c:pt>
                <c:pt idx="254">
                  <c:v>12.335620498629581</c:v>
                </c:pt>
                <c:pt idx="257">
                  <c:v>12.754301484469416</c:v>
                </c:pt>
                <c:pt idx="260">
                  <c:v>13.422387765435637</c:v>
                </c:pt>
                <c:pt idx="263">
                  <c:v>13.250626997846368</c:v>
                </c:pt>
                <c:pt idx="266">
                  <c:v>13.012319089328663</c:v>
                </c:pt>
                <c:pt idx="269">
                  <c:v>13.306877724051372</c:v>
                </c:pt>
                <c:pt idx="272">
                  <c:v>13.065538810268107</c:v>
                </c:pt>
                <c:pt idx="275">
                  <c:v>17.927976642358992</c:v>
                </c:pt>
                <c:pt idx="278">
                  <c:v>22.993047552098648</c:v>
                </c:pt>
                <c:pt idx="281">
                  <c:v>22.6611814862631</c:v>
                </c:pt>
                <c:pt idx="284">
                  <c:v>22.301238254496639</c:v>
                </c:pt>
                <c:pt idx="287">
                  <c:v>21.9815412314917</c:v>
                </c:pt>
                <c:pt idx="290">
                  <c:v>21.626954780035273</c:v>
                </c:pt>
                <c:pt idx="293">
                  <c:v>21.303378974985637</c:v>
                </c:pt>
                <c:pt idx="296">
                  <c:v>20.955140470207464</c:v>
                </c:pt>
                <c:pt idx="299">
                  <c:v>20.678431349522203</c:v>
                </c:pt>
                <c:pt idx="302">
                  <c:v>20.577451172419295</c:v>
                </c:pt>
                <c:pt idx="305">
                  <c:v>20.232015096622096</c:v>
                </c:pt>
                <c:pt idx="308">
                  <c:v>20.439982824416759</c:v>
                </c:pt>
                <c:pt idx="311">
                  <c:v>20.206280070684794</c:v>
                </c:pt>
                <c:pt idx="314">
                  <c:v>19.846976084237806</c:v>
                </c:pt>
                <c:pt idx="317">
                  <c:v>19.486972215026643</c:v>
                </c:pt>
                <c:pt idx="320">
                  <c:v>19.126700137993062</c:v>
                </c:pt>
                <c:pt idx="323">
                  <c:v>20.722668556894892</c:v>
                </c:pt>
                <c:pt idx="326">
                  <c:v>23.12041950735286</c:v>
                </c:pt>
                <c:pt idx="329">
                  <c:v>22.77141143369931</c:v>
                </c:pt>
                <c:pt idx="332">
                  <c:v>22.420419033533086</c:v>
                </c:pt>
                <c:pt idx="335">
                  <c:v>22.141299104059929</c:v>
                </c:pt>
                <c:pt idx="338">
                  <c:v>21.78775494427822</c:v>
                </c:pt>
                <c:pt idx="341">
                  <c:v>21.492979562267578</c:v>
                </c:pt>
                <c:pt idx="344">
                  <c:v>21.149215724948121</c:v>
                </c:pt>
                <c:pt idx="347">
                  <c:v>21.200161647232729</c:v>
                </c:pt>
                <c:pt idx="350">
                  <c:v>23.329763490330365</c:v>
                </c:pt>
                <c:pt idx="353">
                  <c:v>23.044826153064037</c:v>
                </c:pt>
                <c:pt idx="356">
                  <c:v>22.684234549465788</c:v>
                </c:pt>
                <c:pt idx="359">
                  <c:v>22.324998024300264</c:v>
                </c:pt>
                <c:pt idx="362">
                  <c:v>21.971621611920884</c:v>
                </c:pt>
                <c:pt idx="365">
                  <c:v>21.622363342208633</c:v>
                </c:pt>
                <c:pt idx="368">
                  <c:v>21.263319010616101</c:v>
                </c:pt>
                <c:pt idx="371">
                  <c:v>20.901796322564778</c:v>
                </c:pt>
                <c:pt idx="375">
                  <c:v>20.540273634513454</c:v>
                </c:pt>
                <c:pt idx="378">
                  <c:v>20.178750946462131</c:v>
                </c:pt>
                <c:pt idx="381">
                  <c:v>19.817228258410807</c:v>
                </c:pt>
                <c:pt idx="384">
                  <c:v>21.211562900988831</c:v>
                </c:pt>
                <c:pt idx="387">
                  <c:v>20.940707580173353</c:v>
                </c:pt>
                <c:pt idx="391">
                  <c:v>20.659644777330829</c:v>
                </c:pt>
                <c:pt idx="394">
                  <c:v>20.373002459014742</c:v>
                </c:pt>
                <c:pt idx="397">
                  <c:v>20.011479770963419</c:v>
                </c:pt>
                <c:pt idx="400">
                  <c:v>19.649957082912096</c:v>
                </c:pt>
                <c:pt idx="403">
                  <c:v>19.288434394860772</c:v>
                </c:pt>
                <c:pt idx="406">
                  <c:v>19.062590744229418</c:v>
                </c:pt>
                <c:pt idx="409">
                  <c:v>18.701068056178094</c:v>
                </c:pt>
                <c:pt idx="413">
                  <c:v>18.471472560043825</c:v>
                </c:pt>
                <c:pt idx="416">
                  <c:v>18.261632988164774</c:v>
                </c:pt>
                <c:pt idx="419">
                  <c:v>17.90011030011345</c:v>
                </c:pt>
                <c:pt idx="422">
                  <c:v>18.219543798608239</c:v>
                </c:pt>
                <c:pt idx="425">
                  <c:v>17.872096287386594</c:v>
                </c:pt>
                <c:pt idx="428">
                  <c:v>17.51057359933527</c:v>
                </c:pt>
                <c:pt idx="432">
                  <c:v>17.149050911283947</c:v>
                </c:pt>
                <c:pt idx="435">
                  <c:v>16.787528223232624</c:v>
                </c:pt>
                <c:pt idx="438">
                  <c:v>16.4260055351813</c:v>
                </c:pt>
                <c:pt idx="441">
                  <c:v>16.209409313296753</c:v>
                </c:pt>
                <c:pt idx="444">
                  <c:v>15.847886625245428</c:v>
                </c:pt>
                <c:pt idx="448">
                  <c:v>15.486363937194103</c:v>
                </c:pt>
                <c:pt idx="452">
                  <c:v>15.555962228718679</c:v>
                </c:pt>
                <c:pt idx="455">
                  <c:v>15.194439540667354</c:v>
                </c:pt>
                <c:pt idx="458">
                  <c:v>14.832916852616028</c:v>
                </c:pt>
                <c:pt idx="461">
                  <c:v>14.471394164564703</c:v>
                </c:pt>
                <c:pt idx="465">
                  <c:v>14.211237009295967</c:v>
                </c:pt>
                <c:pt idx="468">
                  <c:v>13.849714321244642</c:v>
                </c:pt>
                <c:pt idx="471">
                  <c:v>13.488191633193317</c:v>
                </c:pt>
                <c:pt idx="474">
                  <c:v>13.126668945141992</c:v>
                </c:pt>
                <c:pt idx="477">
                  <c:v>12.765146257090667</c:v>
                </c:pt>
                <c:pt idx="481">
                  <c:v>12.403623569039341</c:v>
                </c:pt>
                <c:pt idx="484">
                  <c:v>12.042100880988016</c:v>
                </c:pt>
                <c:pt idx="488">
                  <c:v>11.680578192936691</c:v>
                </c:pt>
                <c:pt idx="492">
                  <c:v>11.335898013112027</c:v>
                </c:pt>
                <c:pt idx="495">
                  <c:v>10.974375325060702</c:v>
                </c:pt>
                <c:pt idx="498">
                  <c:v>10.612852637009377</c:v>
                </c:pt>
                <c:pt idx="501">
                  <c:v>10.251329948958052</c:v>
                </c:pt>
                <c:pt idx="505">
                  <c:v>9.8898072609067267</c:v>
                </c:pt>
                <c:pt idx="508">
                  <c:v>9.6431920284884338</c:v>
                </c:pt>
                <c:pt idx="511">
                  <c:v>9.2816693404371087</c:v>
                </c:pt>
                <c:pt idx="514">
                  <c:v>8.9201466523857835</c:v>
                </c:pt>
                <c:pt idx="517">
                  <c:v>8.5586239643344584</c:v>
                </c:pt>
                <c:pt idx="521">
                  <c:v>8.1971012762831332</c:v>
                </c:pt>
                <c:pt idx="525">
                  <c:v>7.8355785882318081</c:v>
                </c:pt>
                <c:pt idx="528">
                  <c:v>7.4740559001804829</c:v>
                </c:pt>
                <c:pt idx="532">
                  <c:v>7.1125332121291578</c:v>
                </c:pt>
                <c:pt idx="535">
                  <c:v>6.7510105240778326</c:v>
                </c:pt>
                <c:pt idx="538">
                  <c:v>6.3894878360265075</c:v>
                </c:pt>
                <c:pt idx="541">
                  <c:v>6.0279651479751823</c:v>
                </c:pt>
                <c:pt idx="545">
                  <c:v>5.6664424599238572</c:v>
                </c:pt>
                <c:pt idx="549">
                  <c:v>5.3049197718725321</c:v>
                </c:pt>
                <c:pt idx="553">
                  <c:v>4.9433970838212069</c:v>
                </c:pt>
                <c:pt idx="556">
                  <c:v>4.5818743957698818</c:v>
                </c:pt>
                <c:pt idx="559">
                  <c:v>4.2203517077185566</c:v>
                </c:pt>
                <c:pt idx="562">
                  <c:v>3.8588290196672319</c:v>
                </c:pt>
                <c:pt idx="565">
                  <c:v>3.4973063316159072</c:v>
                </c:pt>
                <c:pt idx="568">
                  <c:v>3.1758745676258529</c:v>
                </c:pt>
                <c:pt idx="574">
                  <c:v>2.893547499188271</c:v>
                </c:pt>
                <c:pt idx="577">
                  <c:v>2.6190928526213946</c:v>
                </c:pt>
                <c:pt idx="580">
                  <c:v>2.6323178943868388</c:v>
                </c:pt>
                <c:pt idx="583">
                  <c:v>2.394567459947746</c:v>
                </c:pt>
                <c:pt idx="586">
                  <c:v>2.0731955240650115</c:v>
                </c:pt>
                <c:pt idx="589">
                  <c:v>1.7607695966909973</c:v>
                </c:pt>
                <c:pt idx="592">
                  <c:v>1.4632102416322994</c:v>
                </c:pt>
                <c:pt idx="595">
                  <c:v>1.1401110577903588</c:v>
                </c:pt>
                <c:pt idx="599">
                  <c:v>0.82058294494231032</c:v>
                </c:pt>
                <c:pt idx="602">
                  <c:v>0.55027095863498232</c:v>
                </c:pt>
                <c:pt idx="605">
                  <c:v>0.21822369414992793</c:v>
                </c:pt>
                <c:pt idx="608">
                  <c:v>-9.7025588333706614E-2</c:v>
                </c:pt>
                <c:pt idx="611">
                  <c:v>-0.38545656789896299</c:v>
                </c:pt>
                <c:pt idx="615">
                  <c:v>2.1812455488791054</c:v>
                </c:pt>
                <c:pt idx="618">
                  <c:v>3.4686639093617027</c:v>
                </c:pt>
                <c:pt idx="621">
                  <c:v>3.2271073860590409</c:v>
                </c:pt>
                <c:pt idx="624">
                  <c:v>2.8969378802293666</c:v>
                </c:pt>
                <c:pt idx="627">
                  <c:v>2.5689265905424374</c:v>
                </c:pt>
                <c:pt idx="631">
                  <c:v>2.2246874958268159</c:v>
                </c:pt>
                <c:pt idx="634">
                  <c:v>1.9026773000545116</c:v>
                </c:pt>
                <c:pt idx="637">
                  <c:v>1.5601765273877601</c:v>
                </c:pt>
                <c:pt idx="646">
                  <c:v>1.5033544920365873</c:v>
                </c:pt>
                <c:pt idx="649">
                  <c:v>1.162777143512465</c:v>
                </c:pt>
                <c:pt idx="652">
                  <c:v>4.3632533445740691</c:v>
                </c:pt>
                <c:pt idx="655">
                  <c:v>4.0430535045797482</c:v>
                </c:pt>
                <c:pt idx="658">
                  <c:v>3.7046736606912543</c:v>
                </c:pt>
                <c:pt idx="664">
                  <c:v>3.4046845489589503</c:v>
                </c:pt>
                <c:pt idx="670">
                  <c:v>3.0891932492192118</c:v>
                </c:pt>
                <c:pt idx="673">
                  <c:v>2.8228515664122198</c:v>
                </c:pt>
                <c:pt idx="676">
                  <c:v>2.4683516461234096</c:v>
                </c:pt>
                <c:pt idx="679">
                  <c:v>2.1556218370093196</c:v>
                </c:pt>
                <c:pt idx="682">
                  <c:v>1.9252068400487117</c:v>
                </c:pt>
                <c:pt idx="685">
                  <c:v>2.0590487135224382</c:v>
                </c:pt>
                <c:pt idx="688">
                  <c:v>4.2942325724348898</c:v>
                </c:pt>
                <c:pt idx="691">
                  <c:v>3.9591801795115522</c:v>
                </c:pt>
                <c:pt idx="694">
                  <c:v>3.6524417052737954</c:v>
                </c:pt>
                <c:pt idx="697">
                  <c:v>3.3555541833880262</c:v>
                </c:pt>
                <c:pt idx="700">
                  <c:v>3.0731120986147009</c:v>
                </c:pt>
                <c:pt idx="703">
                  <c:v>2.7503340487414278</c:v>
                </c:pt>
                <c:pt idx="704">
                  <c:v>2.4134634102263699</c:v>
                </c:pt>
                <c:pt idx="718">
                  <c:v>2.6270857469411464</c:v>
                </c:pt>
                <c:pt idx="721">
                  <c:v>2.4354238363999161</c:v>
                </c:pt>
                <c:pt idx="724">
                  <c:v>6.8158870100276321</c:v>
                </c:pt>
                <c:pt idx="727">
                  <c:v>8.3505151203741246</c:v>
                </c:pt>
                <c:pt idx="730">
                  <c:v>8.008500596552933</c:v>
                </c:pt>
                <c:pt idx="733">
                  <c:v>7.6554290190695999</c:v>
                </c:pt>
                <c:pt idx="736">
                  <c:v>7.3037105781548171</c:v>
                </c:pt>
                <c:pt idx="739">
                  <c:v>6.9549511944913007</c:v>
                </c:pt>
                <c:pt idx="745">
                  <c:v>6.6248568336320242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E-B44F-91E6-75B97A39C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'But-fuco update'!$L$3:$L$748</c:f>
              <c:numCache>
                <c:formatCode>General</c:formatCode>
                <c:ptCount val="746"/>
                <c:pt idx="2">
                  <c:v>0</c:v>
                </c:pt>
                <c:pt idx="5">
                  <c:v>0</c:v>
                </c:pt>
                <c:pt idx="8">
                  <c:v>4.05174842974825E-3</c:v>
                </c:pt>
                <c:pt idx="11">
                  <c:v>0</c:v>
                </c:pt>
                <c:pt idx="14">
                  <c:v>0</c:v>
                </c:pt>
                <c:pt idx="17">
                  <c:v>5.0026942675634135E-3</c:v>
                </c:pt>
                <c:pt idx="20">
                  <c:v>1.2734601148321487E-3</c:v>
                </c:pt>
                <c:pt idx="23">
                  <c:v>8.1482386537602064E-2</c:v>
                </c:pt>
                <c:pt idx="26">
                  <c:v>6.0899972672420484E-2</c:v>
                </c:pt>
                <c:pt idx="29">
                  <c:v>3.3887107739915419E-3</c:v>
                </c:pt>
                <c:pt idx="32">
                  <c:v>3.7794666172044882E-4</c:v>
                </c:pt>
                <c:pt idx="35">
                  <c:v>6.352903949154049E-4</c:v>
                </c:pt>
                <c:pt idx="38">
                  <c:v>1.2886127197901554E-3</c:v>
                </c:pt>
                <c:pt idx="41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3.5399406694472269E-3</c:v>
                </c:pt>
                <c:pt idx="53">
                  <c:v>1.420098453784672E-2</c:v>
                </c:pt>
                <c:pt idx="56">
                  <c:v>0</c:v>
                </c:pt>
                <c:pt idx="59">
                  <c:v>0.17066297005487149</c:v>
                </c:pt>
                <c:pt idx="62">
                  <c:v>0.20514744113770872</c:v>
                </c:pt>
                <c:pt idx="65">
                  <c:v>5.0403294743264849E-3</c:v>
                </c:pt>
                <c:pt idx="68">
                  <c:v>2.6103779142049007E-3</c:v>
                </c:pt>
                <c:pt idx="71">
                  <c:v>3.9053862668863488E-3</c:v>
                </c:pt>
                <c:pt idx="74">
                  <c:v>6.4759991706411623E-3</c:v>
                </c:pt>
                <c:pt idx="77">
                  <c:v>7.3472243362284091E-3</c:v>
                </c:pt>
                <c:pt idx="80">
                  <c:v>0</c:v>
                </c:pt>
                <c:pt idx="83">
                  <c:v>0</c:v>
                </c:pt>
                <c:pt idx="86">
                  <c:v>2.3518992486832448E-2</c:v>
                </c:pt>
                <c:pt idx="89">
                  <c:v>1.0243209147841825E-2</c:v>
                </c:pt>
                <c:pt idx="92">
                  <c:v>0</c:v>
                </c:pt>
                <c:pt idx="95">
                  <c:v>4.7720057432434114E-3</c:v>
                </c:pt>
                <c:pt idx="98">
                  <c:v>0.15918564185118733</c:v>
                </c:pt>
                <c:pt idx="101">
                  <c:v>3.0148601427024352E-3</c:v>
                </c:pt>
                <c:pt idx="104">
                  <c:v>1.6053017464925424E-3</c:v>
                </c:pt>
                <c:pt idx="107">
                  <c:v>1.2582370205050655E-3</c:v>
                </c:pt>
                <c:pt idx="110">
                  <c:v>0</c:v>
                </c:pt>
                <c:pt idx="113">
                  <c:v>0</c:v>
                </c:pt>
                <c:pt idx="116">
                  <c:v>0</c:v>
                </c:pt>
                <c:pt idx="119">
                  <c:v>0</c:v>
                </c:pt>
                <c:pt idx="122">
                  <c:v>0</c:v>
                </c:pt>
                <c:pt idx="125">
                  <c:v>1.4515112701028864E-3</c:v>
                </c:pt>
                <c:pt idx="128">
                  <c:v>6.7753482482542692E-3</c:v>
                </c:pt>
                <c:pt idx="131">
                  <c:v>0.11870494479730052</c:v>
                </c:pt>
                <c:pt idx="134">
                  <c:v>7.8548864148896003E-2</c:v>
                </c:pt>
                <c:pt idx="137">
                  <c:v>0</c:v>
                </c:pt>
                <c:pt idx="140">
                  <c:v>2.6212137232000986E-3</c:v>
                </c:pt>
                <c:pt idx="143">
                  <c:v>1.2604798976508279E-3</c:v>
                </c:pt>
                <c:pt idx="146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61">
                  <c:v>0</c:v>
                </c:pt>
                <c:pt idx="164">
                  <c:v>0</c:v>
                </c:pt>
                <c:pt idx="167">
                  <c:v>2.5812008083656763E-2</c:v>
                </c:pt>
                <c:pt idx="170">
                  <c:v>6.3740700286645552E-2</c:v>
                </c:pt>
                <c:pt idx="173">
                  <c:v>0</c:v>
                </c:pt>
                <c:pt idx="176">
                  <c:v>0</c:v>
                </c:pt>
                <c:pt idx="179">
                  <c:v>0</c:v>
                </c:pt>
                <c:pt idx="182">
                  <c:v>0</c:v>
                </c:pt>
                <c:pt idx="185">
                  <c:v>0</c:v>
                </c:pt>
                <c:pt idx="188">
                  <c:v>0</c:v>
                </c:pt>
                <c:pt idx="191">
                  <c:v>2.7851222920890388E-3</c:v>
                </c:pt>
                <c:pt idx="194">
                  <c:v>0</c:v>
                </c:pt>
                <c:pt idx="197">
                  <c:v>0</c:v>
                </c:pt>
                <c:pt idx="200">
                  <c:v>2.6588372986922917E-2</c:v>
                </c:pt>
                <c:pt idx="203">
                  <c:v>8.8944625503657823E-2</c:v>
                </c:pt>
                <c:pt idx="206">
                  <c:v>1.0426101643394499E-2</c:v>
                </c:pt>
                <c:pt idx="209">
                  <c:v>4.9978611081983081E-3</c:v>
                </c:pt>
                <c:pt idx="212">
                  <c:v>0</c:v>
                </c:pt>
                <c:pt idx="215">
                  <c:v>0</c:v>
                </c:pt>
                <c:pt idx="218">
                  <c:v>1.3823801821977078E-5</c:v>
                </c:pt>
                <c:pt idx="221">
                  <c:v>1.8902923769984981E-2</c:v>
                </c:pt>
                <c:pt idx="224">
                  <c:v>3.7479386337514373E-5</c:v>
                </c:pt>
                <c:pt idx="227">
                  <c:v>2.7983769413740029E-5</c:v>
                </c:pt>
                <c:pt idx="230">
                  <c:v>8.7468252493340757E-3</c:v>
                </c:pt>
                <c:pt idx="233">
                  <c:v>2.4388655530591642E-2</c:v>
                </c:pt>
                <c:pt idx="236">
                  <c:v>3.1669693791409791E-2</c:v>
                </c:pt>
                <c:pt idx="239">
                  <c:v>6.7987781568226255E-2</c:v>
                </c:pt>
                <c:pt idx="242">
                  <c:v>9.7509641952567352E-2</c:v>
                </c:pt>
                <c:pt idx="245">
                  <c:v>5.46098942206349E-6</c:v>
                </c:pt>
                <c:pt idx="248">
                  <c:v>4.3941879540660884E-6</c:v>
                </c:pt>
                <c:pt idx="251">
                  <c:v>5.0151457401352076E-6</c:v>
                </c:pt>
                <c:pt idx="254">
                  <c:v>1.6674263479710949E-4</c:v>
                </c:pt>
                <c:pt idx="257">
                  <c:v>2.4455539688206591E-2</c:v>
                </c:pt>
                <c:pt idx="260">
                  <c:v>3.2273166415074703E-2</c:v>
                </c:pt>
                <c:pt idx="263">
                  <c:v>5.9481009029668909E-3</c:v>
                </c:pt>
                <c:pt idx="266">
                  <c:v>3.8621760341498125E-3</c:v>
                </c:pt>
                <c:pt idx="269">
                  <c:v>2.0564915758176414E-2</c:v>
                </c:pt>
                <c:pt idx="272">
                  <c:v>3.767168958372574E-3</c:v>
                </c:pt>
                <c:pt idx="275">
                  <c:v>0.163745414313166</c:v>
                </c:pt>
                <c:pt idx="278">
                  <c:v>0.17009696255424009</c:v>
                </c:pt>
                <c:pt idx="281">
                  <c:v>9.2958893412906454E-4</c:v>
                </c:pt>
                <c:pt idx="284">
                  <c:v>4.9508169664961206E-5</c:v>
                </c:pt>
                <c:pt idx="287">
                  <c:v>1.3110284477720387E-3</c:v>
                </c:pt>
                <c:pt idx="290">
                  <c:v>2.1741682974559686E-4</c:v>
                </c:pt>
                <c:pt idx="293">
                  <c:v>1.1894477485131691E-3</c:v>
                </c:pt>
                <c:pt idx="296">
                  <c:v>4.1639367018323154E-4</c:v>
                </c:pt>
                <c:pt idx="299">
                  <c:v>2.6584873055961718E-3</c:v>
                </c:pt>
                <c:pt idx="302">
                  <c:v>8.166723549488053E-3</c:v>
                </c:pt>
                <c:pt idx="305">
                  <c:v>5.0423600605143727E-4</c:v>
                </c:pt>
                <c:pt idx="308">
                  <c:v>1.7850717617509868E-2</c:v>
                </c:pt>
                <c:pt idx="311">
                  <c:v>4.0065249386753874E-3</c:v>
                </c:pt>
                <c:pt idx="314">
                  <c:v>6.9545359701388737E-5</c:v>
                </c:pt>
                <c:pt idx="317">
                  <c:v>4.7607484645050708E-5</c:v>
                </c:pt>
                <c:pt idx="320">
                  <c:v>3.9200491361961269E-5</c:v>
                </c:pt>
                <c:pt idx="323">
                  <c:v>6.135769806959724E-2</c:v>
                </c:pt>
                <c:pt idx="326">
                  <c:v>8.6489628587162706E-2</c:v>
                </c:pt>
                <c:pt idx="329">
                  <c:v>3.9227147901137703E-4</c:v>
                </c:pt>
                <c:pt idx="332">
                  <c:v>3.3007262323943661E-4</c:v>
                </c:pt>
                <c:pt idx="335">
                  <c:v>2.5829203325530717E-3</c:v>
                </c:pt>
                <c:pt idx="338">
                  <c:v>2.5008753647353055E-4</c:v>
                </c:pt>
                <c:pt idx="341">
                  <c:v>2.0921990585070615E-3</c:v>
                </c:pt>
                <c:pt idx="344">
                  <c:v>5.5665244015587294E-4</c:v>
                </c:pt>
                <c:pt idx="347">
                  <c:v>1.2928857947952925E-2</c:v>
                </c:pt>
                <c:pt idx="350">
                  <c:v>7.8084475731752506E-2</c:v>
                </c:pt>
                <c:pt idx="353">
                  <c:v>2.4005732712289504E-3</c:v>
                </c:pt>
                <c:pt idx="356">
                  <c:v>2.9184908450567197E-5</c:v>
                </c:pt>
                <c:pt idx="359">
                  <c:v>7.1659938370398691E-5</c:v>
                </c:pt>
                <c:pt idx="362">
                  <c:v>2.5534559073884909E-4</c:v>
                </c:pt>
                <c:pt idx="365">
                  <c:v>3.8442906574394462E-4</c:v>
                </c:pt>
                <c:pt idx="368">
                  <c:v>7.7684259594965543E-5</c:v>
                </c:pt>
                <c:pt idx="371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5.5037472999678289E-2</c:v>
                </c:pt>
                <c:pt idx="387">
                  <c:v>2.8419750791518756E-3</c:v>
                </c:pt>
                <c:pt idx="391">
                  <c:v>2.522020828508568E-3</c:v>
                </c:pt>
                <c:pt idx="394">
                  <c:v>2.347130518874216E-3</c:v>
                </c:pt>
                <c:pt idx="397">
                  <c:v>0</c:v>
                </c:pt>
                <c:pt idx="400">
                  <c:v>0</c:v>
                </c:pt>
                <c:pt idx="403">
                  <c:v>0</c:v>
                </c:pt>
                <c:pt idx="406">
                  <c:v>4.2528690847265516E-3</c:v>
                </c:pt>
                <c:pt idx="409">
                  <c:v>0</c:v>
                </c:pt>
                <c:pt idx="413">
                  <c:v>4.1352672204043959E-3</c:v>
                </c:pt>
                <c:pt idx="416">
                  <c:v>4.7545180722891565E-3</c:v>
                </c:pt>
                <c:pt idx="419">
                  <c:v>0</c:v>
                </c:pt>
                <c:pt idx="422">
                  <c:v>2.1344620133551716E-2</c:v>
                </c:pt>
                <c:pt idx="425">
                  <c:v>4.4118741951062459E-4</c:v>
                </c:pt>
                <c:pt idx="428">
                  <c:v>0</c:v>
                </c:pt>
                <c:pt idx="432">
                  <c:v>0</c:v>
                </c:pt>
                <c:pt idx="435">
                  <c:v>0</c:v>
                </c:pt>
                <c:pt idx="438">
                  <c:v>0</c:v>
                </c:pt>
                <c:pt idx="441">
                  <c:v>4.5427303969701217E-3</c:v>
                </c:pt>
                <c:pt idx="444">
                  <c:v>0</c:v>
                </c:pt>
                <c:pt idx="448">
                  <c:v>0</c:v>
                </c:pt>
                <c:pt idx="452">
                  <c:v>1.3513517789340455E-2</c:v>
                </c:pt>
                <c:pt idx="455">
                  <c:v>0</c:v>
                </c:pt>
                <c:pt idx="458">
                  <c:v>0</c:v>
                </c:pt>
                <c:pt idx="461">
                  <c:v>0</c:v>
                </c:pt>
                <c:pt idx="465">
                  <c:v>3.1773098396440272E-3</c:v>
                </c:pt>
                <c:pt idx="468">
                  <c:v>0</c:v>
                </c:pt>
                <c:pt idx="471">
                  <c:v>0</c:v>
                </c:pt>
                <c:pt idx="474">
                  <c:v>0</c:v>
                </c:pt>
                <c:pt idx="477">
                  <c:v>0</c:v>
                </c:pt>
                <c:pt idx="481">
                  <c:v>0</c:v>
                </c:pt>
                <c:pt idx="484">
                  <c:v>0</c:v>
                </c:pt>
                <c:pt idx="488">
                  <c:v>0</c:v>
                </c:pt>
                <c:pt idx="492">
                  <c:v>5.2792961911060957E-4</c:v>
                </c:pt>
                <c:pt idx="495">
                  <c:v>0</c:v>
                </c:pt>
                <c:pt idx="498">
                  <c:v>0</c:v>
                </c:pt>
                <c:pt idx="501">
                  <c:v>0</c:v>
                </c:pt>
                <c:pt idx="505">
                  <c:v>0</c:v>
                </c:pt>
                <c:pt idx="508">
                  <c:v>3.6017823752217486E-3</c:v>
                </c:pt>
                <c:pt idx="511">
                  <c:v>0</c:v>
                </c:pt>
                <c:pt idx="514">
                  <c:v>0</c:v>
                </c:pt>
                <c:pt idx="517">
                  <c:v>0</c:v>
                </c:pt>
                <c:pt idx="521">
                  <c:v>0</c:v>
                </c:pt>
                <c:pt idx="525">
                  <c:v>0</c:v>
                </c:pt>
                <c:pt idx="528">
                  <c:v>0</c:v>
                </c:pt>
                <c:pt idx="532">
                  <c:v>0</c:v>
                </c:pt>
                <c:pt idx="535">
                  <c:v>0</c:v>
                </c:pt>
                <c:pt idx="538">
                  <c:v>0</c:v>
                </c:pt>
                <c:pt idx="541">
                  <c:v>0</c:v>
                </c:pt>
                <c:pt idx="545">
                  <c:v>0</c:v>
                </c:pt>
                <c:pt idx="549">
                  <c:v>0</c:v>
                </c:pt>
                <c:pt idx="553">
                  <c:v>0</c:v>
                </c:pt>
                <c:pt idx="556">
                  <c:v>0</c:v>
                </c:pt>
                <c:pt idx="559">
                  <c:v>0</c:v>
                </c:pt>
                <c:pt idx="562">
                  <c:v>0</c:v>
                </c:pt>
                <c:pt idx="565">
                  <c:v>0</c:v>
                </c:pt>
                <c:pt idx="568">
                  <c:v>1.2566528681253698E-3</c:v>
                </c:pt>
                <c:pt idx="574">
                  <c:v>2.4823923334487928E-3</c:v>
                </c:pt>
                <c:pt idx="577">
                  <c:v>2.7291539572965162E-3</c:v>
                </c:pt>
                <c:pt idx="580">
                  <c:v>1.1746494263340013E-2</c:v>
                </c:pt>
                <c:pt idx="583">
                  <c:v>3.879650098821462E-3</c:v>
                </c:pt>
                <c:pt idx="586">
                  <c:v>1.2585281844074982E-3</c:v>
                </c:pt>
                <c:pt idx="589">
                  <c:v>1.5389414578350837E-3</c:v>
                </c:pt>
                <c:pt idx="592">
                  <c:v>2.0049352251696483E-3</c:v>
                </c:pt>
                <c:pt idx="595">
                  <c:v>1.2043874741913283E-3</c:v>
                </c:pt>
                <c:pt idx="599">
                  <c:v>1.3163229486616939E-3</c:v>
                </c:pt>
                <c:pt idx="602">
                  <c:v>2.859005937981086E-3</c:v>
                </c:pt>
                <c:pt idx="605">
                  <c:v>9.2390924956369989E-4</c:v>
                </c:pt>
                <c:pt idx="608">
                  <c:v>1.4504431909750199E-3</c:v>
                </c:pt>
                <c:pt idx="611">
                  <c:v>2.2910648047130703E-3</c:v>
                </c:pt>
                <c:pt idx="615">
                  <c:v>9.1785414920368819E-2</c:v>
                </c:pt>
                <c:pt idx="618">
                  <c:v>5.1686174527755251E-2</c:v>
                </c:pt>
                <c:pt idx="621">
                  <c:v>3.7603479724989479E-3</c:v>
                </c:pt>
                <c:pt idx="624">
                  <c:v>9.8276772826387396E-4</c:v>
                </c:pt>
                <c:pt idx="627">
                  <c:v>1.0504171668667471E-3</c:v>
                </c:pt>
                <c:pt idx="631">
                  <c:v>5.4175546324724579E-4</c:v>
                </c:pt>
                <c:pt idx="634">
                  <c:v>1.2385218827415359E-3</c:v>
                </c:pt>
                <c:pt idx="637">
                  <c:v>5.962432915921288E-4</c:v>
                </c:pt>
                <c:pt idx="646">
                  <c:v>9.5508636456004877E-3</c:v>
                </c:pt>
                <c:pt idx="649">
                  <c:v>6.5653315824031522E-4</c:v>
                </c:pt>
                <c:pt idx="652">
                  <c:v>0.11165110870036886</c:v>
                </c:pt>
                <c:pt idx="655">
                  <c:v>1.2952676134523756E-3</c:v>
                </c:pt>
                <c:pt idx="658">
                  <c:v>7.2541409744891782E-4</c:v>
                </c:pt>
                <c:pt idx="664">
                  <c:v>1.9287743293003679E-3</c:v>
                </c:pt>
                <c:pt idx="670">
                  <c:v>1.4428571428571426E-3</c:v>
                </c:pt>
                <c:pt idx="673">
                  <c:v>2.983455383780852E-3</c:v>
                </c:pt>
                <c:pt idx="676">
                  <c:v>2.2012915535334261E-4</c:v>
                </c:pt>
                <c:pt idx="679">
                  <c:v>1.5294162630639814E-3</c:v>
                </c:pt>
                <c:pt idx="682">
                  <c:v>4.109579908675799E-3</c:v>
                </c:pt>
                <c:pt idx="685">
                  <c:v>1.5527237437998706E-2</c:v>
                </c:pt>
                <c:pt idx="688">
                  <c:v>8.1393951532144987E-2</c:v>
                </c:pt>
                <c:pt idx="691">
                  <c:v>8.2971328477920189E-4</c:v>
                </c:pt>
                <c:pt idx="694">
                  <c:v>1.7172150811889189E-3</c:v>
                </c:pt>
                <c:pt idx="697">
                  <c:v>2.0259938837920489E-3</c:v>
                </c:pt>
                <c:pt idx="700">
                  <c:v>2.4787871382187616E-3</c:v>
                </c:pt>
                <c:pt idx="703">
                  <c:v>1.2144534412955466E-3</c:v>
                </c:pt>
                <c:pt idx="704">
                  <c:v>7.7272024729520858E-4</c:v>
                </c:pt>
                <c:pt idx="718">
                  <c:v>1.8027961736571011E-2</c:v>
                </c:pt>
                <c:pt idx="721">
                  <c:v>5.3242981606969999E-3</c:v>
                </c:pt>
                <c:pt idx="724">
                  <c:v>0.14863788433965269</c:v>
                </c:pt>
                <c:pt idx="727">
                  <c:v>5.9434981732105173E-2</c:v>
                </c:pt>
                <c:pt idx="730">
                  <c:v>6.1148479626438389E-4</c:v>
                </c:pt>
                <c:pt idx="733">
                  <c:v>2.6490066225165563E-4</c:v>
                </c:pt>
                <c:pt idx="736">
                  <c:v>3.0731482430078881E-4</c:v>
                </c:pt>
                <c:pt idx="739">
                  <c:v>4.0006668444918643E-4</c:v>
                </c:pt>
                <c:pt idx="745">
                  <c:v>9.8512315270935977E-4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FE-BA4C-B5E5-F015D5F69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'Peridin update'!$N$3:$N$748</c:f>
              <c:numCache>
                <c:formatCode>General</c:formatCode>
                <c:ptCount val="746"/>
                <c:pt idx="2">
                  <c:v>-0.30318175049237367</c:v>
                </c:pt>
                <c:pt idx="5">
                  <c:v>-1.1658592883476135</c:v>
                </c:pt>
                <c:pt idx="8">
                  <c:v>-0.95471546337021918</c:v>
                </c:pt>
                <c:pt idx="11">
                  <c:v>-1.1040052013882931</c:v>
                </c:pt>
                <c:pt idx="14">
                  <c:v>-1.2747523330486572</c:v>
                </c:pt>
                <c:pt idx="17">
                  <c:v>-2.0311644130395452</c:v>
                </c:pt>
                <c:pt idx="20">
                  <c:v>-2.6835168779173673</c:v>
                </c:pt>
                <c:pt idx="23">
                  <c:v>-3.5605771096437397</c:v>
                </c:pt>
                <c:pt idx="26">
                  <c:v>-4.3535914444923938</c:v>
                </c:pt>
                <c:pt idx="29">
                  <c:v>-2.4707167102161116</c:v>
                </c:pt>
                <c:pt idx="32">
                  <c:v>-2.3625691058444742</c:v>
                </c:pt>
                <c:pt idx="35">
                  <c:v>-2.6627577635806166</c:v>
                </c:pt>
                <c:pt idx="38">
                  <c:v>-3.0656292061787238</c:v>
                </c:pt>
                <c:pt idx="41">
                  <c:v>-2.5743169436375837</c:v>
                </c:pt>
                <c:pt idx="44">
                  <c:v>-1.2719405783486106</c:v>
                </c:pt>
                <c:pt idx="47">
                  <c:v>-0.39547360312779689</c:v>
                </c:pt>
                <c:pt idx="50">
                  <c:v>0.29655168885650829</c:v>
                </c:pt>
                <c:pt idx="53">
                  <c:v>-0.63852238038681897</c:v>
                </c:pt>
                <c:pt idx="56">
                  <c:v>-1.4556810729415663</c:v>
                </c:pt>
                <c:pt idx="59">
                  <c:v>-2.2132007688546489</c:v>
                </c:pt>
                <c:pt idx="62">
                  <c:v>-3.0353737493790551</c:v>
                </c:pt>
                <c:pt idx="65">
                  <c:v>-1.4774215759512259</c:v>
                </c:pt>
                <c:pt idx="68">
                  <c:v>-2.0643002100073913</c:v>
                </c:pt>
                <c:pt idx="71">
                  <c:v>-0.14231632704302455</c:v>
                </c:pt>
                <c:pt idx="74">
                  <c:v>-0.28752471021288661</c:v>
                </c:pt>
                <c:pt idx="77">
                  <c:v>-0.99412225416658873</c:v>
                </c:pt>
                <c:pt idx="80">
                  <c:v>-1.0278957410785832</c:v>
                </c:pt>
                <c:pt idx="83">
                  <c:v>-1.3033041046950329</c:v>
                </c:pt>
                <c:pt idx="86">
                  <c:v>-1.5540320654248996</c:v>
                </c:pt>
                <c:pt idx="89">
                  <c:v>-1.6563573949363424</c:v>
                </c:pt>
                <c:pt idx="92">
                  <c:v>-1.6334149722236155</c:v>
                </c:pt>
                <c:pt idx="110">
                  <c:v>-1.0016088710596407</c:v>
                </c:pt>
                <c:pt idx="113">
                  <c:v>-1.3847074575195837</c:v>
                </c:pt>
                <c:pt idx="116">
                  <c:v>-1.1324769840977917</c:v>
                </c:pt>
                <c:pt idx="119">
                  <c:v>-0.12963012764545101</c:v>
                </c:pt>
                <c:pt idx="122">
                  <c:v>2.1473831466650384E-2</c:v>
                </c:pt>
                <c:pt idx="125">
                  <c:v>-8.1656354071222674E-3</c:v>
                </c:pt>
                <c:pt idx="128">
                  <c:v>-0.65125055331814519</c:v>
                </c:pt>
                <c:pt idx="131">
                  <c:v>-1.1080347946653704</c:v>
                </c:pt>
                <c:pt idx="134">
                  <c:v>-1.9676873602065845</c:v>
                </c:pt>
                <c:pt idx="137">
                  <c:v>-2.8019563806450845</c:v>
                </c:pt>
                <c:pt idx="140">
                  <c:v>-3.0841581041308674</c:v>
                </c:pt>
                <c:pt idx="143">
                  <c:v>-3.3564789329273386</c:v>
                </c:pt>
                <c:pt idx="146">
                  <c:v>-2.8124126997953267</c:v>
                </c:pt>
                <c:pt idx="149">
                  <c:v>-3.2623070272905066</c:v>
                </c:pt>
                <c:pt idx="152">
                  <c:v>-3.4890976537268528</c:v>
                </c:pt>
                <c:pt idx="155">
                  <c:v>-4.364842252753057</c:v>
                </c:pt>
                <c:pt idx="158">
                  <c:v>-5.1393513855298023</c:v>
                </c:pt>
                <c:pt idx="161">
                  <c:v>-5.8949871975930686</c:v>
                </c:pt>
                <c:pt idx="164">
                  <c:v>-5.8483756510410556</c:v>
                </c:pt>
                <c:pt idx="167">
                  <c:v>-6.6763712009307739</c:v>
                </c:pt>
                <c:pt idx="170">
                  <c:v>-7.3032720614415565</c:v>
                </c:pt>
                <c:pt idx="173">
                  <c:v>-6.9632146558734069</c:v>
                </c:pt>
                <c:pt idx="176">
                  <c:v>-5.0542147913895992</c:v>
                </c:pt>
                <c:pt idx="179">
                  <c:v>-4.7124470700594809</c:v>
                </c:pt>
                <c:pt idx="182">
                  <c:v>-5.2560815994492796</c:v>
                </c:pt>
                <c:pt idx="185">
                  <c:v>-4.9344479864202526</c:v>
                </c:pt>
                <c:pt idx="188">
                  <c:v>-4.8391219308541764</c:v>
                </c:pt>
                <c:pt idx="191">
                  <c:v>-3.4463298467780978</c:v>
                </c:pt>
                <c:pt idx="194">
                  <c:v>-3.9061928035657187</c:v>
                </c:pt>
                <c:pt idx="197">
                  <c:v>-4.4320853869098737</c:v>
                </c:pt>
                <c:pt idx="200">
                  <c:v>-5.194519220259135</c:v>
                </c:pt>
                <c:pt idx="203">
                  <c:v>-6.0813925120354941</c:v>
                </c:pt>
                <c:pt idx="206">
                  <c:v>-6.3489049259977319</c:v>
                </c:pt>
                <c:pt idx="209">
                  <c:v>-6.3305679525795213</c:v>
                </c:pt>
                <c:pt idx="212">
                  <c:v>-7.0574711424794954</c:v>
                </c:pt>
                <c:pt idx="215">
                  <c:v>-7.8556968016342532</c:v>
                </c:pt>
                <c:pt idx="218">
                  <c:v>-8.6480380778666515</c:v>
                </c:pt>
                <c:pt idx="221">
                  <c:v>-9.5825563671366218</c:v>
                </c:pt>
                <c:pt idx="224">
                  <c:v>-10.103059334194112</c:v>
                </c:pt>
                <c:pt idx="227">
                  <c:v>-10.530689692904794</c:v>
                </c:pt>
                <c:pt idx="230">
                  <c:v>-11.066448968565901</c:v>
                </c:pt>
                <c:pt idx="233">
                  <c:v>-11.745221604021649</c:v>
                </c:pt>
                <c:pt idx="236">
                  <c:v>-9.3687584651470068</c:v>
                </c:pt>
                <c:pt idx="239">
                  <c:v>-10.178756575036129</c:v>
                </c:pt>
                <c:pt idx="242">
                  <c:v>-11.074578175774439</c:v>
                </c:pt>
                <c:pt idx="245">
                  <c:v>-11.852453122415401</c:v>
                </c:pt>
                <c:pt idx="248">
                  <c:v>-12.697698303448414</c:v>
                </c:pt>
                <c:pt idx="251">
                  <c:v>-13.309299790300679</c:v>
                </c:pt>
                <c:pt idx="254">
                  <c:v>-13.543476800229465</c:v>
                </c:pt>
                <c:pt idx="257">
                  <c:v>-13.852946498059673</c:v>
                </c:pt>
                <c:pt idx="260">
                  <c:v>-13.767140993657547</c:v>
                </c:pt>
                <c:pt idx="263">
                  <c:v>-14.020440558206388</c:v>
                </c:pt>
                <c:pt idx="266">
                  <c:v>-14.39723604492877</c:v>
                </c:pt>
                <c:pt idx="269">
                  <c:v>-14.614406464867622</c:v>
                </c:pt>
                <c:pt idx="272">
                  <c:v>-15.204600583497299</c:v>
                </c:pt>
                <c:pt idx="275">
                  <c:v>-15.948419996541181</c:v>
                </c:pt>
                <c:pt idx="278">
                  <c:v>-16.83495676191745</c:v>
                </c:pt>
                <c:pt idx="281">
                  <c:v>-17.58578786355811</c:v>
                </c:pt>
                <c:pt idx="284">
                  <c:v>-18.052312061970618</c:v>
                </c:pt>
                <c:pt idx="287">
                  <c:v>-18.939084896626511</c:v>
                </c:pt>
                <c:pt idx="290">
                  <c:v>-19.845428714021846</c:v>
                </c:pt>
                <c:pt idx="293">
                  <c:v>-20.652204182482244</c:v>
                </c:pt>
                <c:pt idx="296">
                  <c:v>-19.999434155044508</c:v>
                </c:pt>
                <c:pt idx="299">
                  <c:v>-20.056323413401696</c:v>
                </c:pt>
                <c:pt idx="302">
                  <c:v>-19.739749548964848</c:v>
                </c:pt>
                <c:pt idx="305">
                  <c:v>-20.306759942418061</c:v>
                </c:pt>
                <c:pt idx="308">
                  <c:v>-19.606188805603072</c:v>
                </c:pt>
                <c:pt idx="311">
                  <c:v>-19.091996974127714</c:v>
                </c:pt>
                <c:pt idx="314">
                  <c:v>-18.48751639803692</c:v>
                </c:pt>
                <c:pt idx="317">
                  <c:v>-17.831544771367135</c:v>
                </c:pt>
                <c:pt idx="320">
                  <c:v>-17.449381955066329</c:v>
                </c:pt>
                <c:pt idx="323">
                  <c:v>-18.029365396999772</c:v>
                </c:pt>
                <c:pt idx="326">
                  <c:v>-18.865688063648481</c:v>
                </c:pt>
                <c:pt idx="329">
                  <c:v>-19.440373815338603</c:v>
                </c:pt>
                <c:pt idx="332">
                  <c:v>-18.832222231005396</c:v>
                </c:pt>
                <c:pt idx="335">
                  <c:v>-19.10452767265306</c:v>
                </c:pt>
                <c:pt idx="338">
                  <c:v>-19.792538384504489</c:v>
                </c:pt>
                <c:pt idx="341">
                  <c:v>-20.356666012229482</c:v>
                </c:pt>
                <c:pt idx="344">
                  <c:v>-20.734813586318591</c:v>
                </c:pt>
                <c:pt idx="347">
                  <c:v>-20.868918893719723</c:v>
                </c:pt>
                <c:pt idx="350">
                  <c:v>-21.546975047108614</c:v>
                </c:pt>
                <c:pt idx="353">
                  <c:v>-21.025266329663452</c:v>
                </c:pt>
                <c:pt idx="356">
                  <c:v>-17.539863695222643</c:v>
                </c:pt>
                <c:pt idx="359">
                  <c:v>-18.088517927461726</c:v>
                </c:pt>
                <c:pt idx="362">
                  <c:v>-17.746235475430755</c:v>
                </c:pt>
                <c:pt idx="365">
                  <c:v>-17.595149875242509</c:v>
                </c:pt>
                <c:pt idx="368">
                  <c:v>-17.954373857289838</c:v>
                </c:pt>
                <c:pt idx="371">
                  <c:v>-17.291374332091607</c:v>
                </c:pt>
                <c:pt idx="375">
                  <c:v>-18.098439259356464</c:v>
                </c:pt>
                <c:pt idx="378">
                  <c:v>-18.779599985844996</c:v>
                </c:pt>
                <c:pt idx="381">
                  <c:v>-19.714674055088324</c:v>
                </c:pt>
                <c:pt idx="384">
                  <c:v>-20.534701545451369</c:v>
                </c:pt>
                <c:pt idx="387">
                  <c:v>-20.627440470023082</c:v>
                </c:pt>
                <c:pt idx="391">
                  <c:v>-19.598711082721724</c:v>
                </c:pt>
                <c:pt idx="394">
                  <c:v>-20.162969417444597</c:v>
                </c:pt>
                <c:pt idx="397">
                  <c:v>-20.956026820706168</c:v>
                </c:pt>
                <c:pt idx="400">
                  <c:v>-21.620258088835342</c:v>
                </c:pt>
                <c:pt idx="403">
                  <c:v>-22.367520330944576</c:v>
                </c:pt>
                <c:pt idx="406">
                  <c:v>-22.436861871404453</c:v>
                </c:pt>
                <c:pt idx="409">
                  <c:v>-22.725047476164921</c:v>
                </c:pt>
                <c:pt idx="413">
                  <c:v>-23.27369875920326</c:v>
                </c:pt>
                <c:pt idx="416">
                  <c:v>-24.042460714044768</c:v>
                </c:pt>
                <c:pt idx="419">
                  <c:v>-24.753092343092614</c:v>
                </c:pt>
                <c:pt idx="422">
                  <c:v>-25.352207496176813</c:v>
                </c:pt>
                <c:pt idx="425">
                  <c:v>-25.857570516659752</c:v>
                </c:pt>
                <c:pt idx="428">
                  <c:v>-25.409525363275922</c:v>
                </c:pt>
                <c:pt idx="432">
                  <c:v>-26.00799343728761</c:v>
                </c:pt>
                <c:pt idx="435">
                  <c:v>-26.126871104604749</c:v>
                </c:pt>
                <c:pt idx="438">
                  <c:v>-24.704935009967638</c:v>
                </c:pt>
                <c:pt idx="441">
                  <c:v>-24.096521107570599</c:v>
                </c:pt>
                <c:pt idx="444">
                  <c:v>-22.740064384876536</c:v>
                </c:pt>
                <c:pt idx="448">
                  <c:v>-22.530236773081874</c:v>
                </c:pt>
                <c:pt idx="452">
                  <c:v>-22.017386246869307</c:v>
                </c:pt>
                <c:pt idx="455">
                  <c:v>-19.422000301516558</c:v>
                </c:pt>
                <c:pt idx="458">
                  <c:v>-20.102568539472131</c:v>
                </c:pt>
                <c:pt idx="461">
                  <c:v>-20.618094886392218</c:v>
                </c:pt>
                <c:pt idx="465">
                  <c:v>-21.211090799962335</c:v>
                </c:pt>
                <c:pt idx="468">
                  <c:v>-20.172518419818278</c:v>
                </c:pt>
                <c:pt idx="471">
                  <c:v>-15.090319516806765</c:v>
                </c:pt>
                <c:pt idx="474">
                  <c:v>-10.16634162950481</c:v>
                </c:pt>
                <c:pt idx="477">
                  <c:v>-9.992866175596582</c:v>
                </c:pt>
                <c:pt idx="481">
                  <c:v>-10.860390341854401</c:v>
                </c:pt>
                <c:pt idx="484">
                  <c:v>-9.7716496359196707</c:v>
                </c:pt>
                <c:pt idx="488">
                  <c:v>-9.9002386268663507</c:v>
                </c:pt>
                <c:pt idx="492">
                  <c:v>-10.689463390203857</c:v>
                </c:pt>
                <c:pt idx="495">
                  <c:v>-11.472977508606991</c:v>
                </c:pt>
                <c:pt idx="498">
                  <c:v>-12.238537827246581</c:v>
                </c:pt>
                <c:pt idx="501">
                  <c:v>-12.835251907146516</c:v>
                </c:pt>
                <c:pt idx="505">
                  <c:v>-13.280231447851783</c:v>
                </c:pt>
                <c:pt idx="508">
                  <c:v>-13.088323791097372</c:v>
                </c:pt>
                <c:pt idx="511">
                  <c:v>-10.022698330653574</c:v>
                </c:pt>
                <c:pt idx="514">
                  <c:v>-4.8918027333080154</c:v>
                </c:pt>
                <c:pt idx="517">
                  <c:v>-5.1929176624717952</c:v>
                </c:pt>
                <c:pt idx="521">
                  <c:v>-5.705473407436302</c:v>
                </c:pt>
                <c:pt idx="525">
                  <c:v>-2.2518163846808554</c:v>
                </c:pt>
                <c:pt idx="528">
                  <c:v>-1.8785601998990304</c:v>
                </c:pt>
                <c:pt idx="532">
                  <c:v>-2.3178261254688111</c:v>
                </c:pt>
                <c:pt idx="535">
                  <c:v>-2.7137852335844759</c:v>
                </c:pt>
                <c:pt idx="538">
                  <c:v>-3.2329634647853087</c:v>
                </c:pt>
                <c:pt idx="541">
                  <c:v>-3.9702483688631065</c:v>
                </c:pt>
                <c:pt idx="545">
                  <c:v>-4.0075041382301793</c:v>
                </c:pt>
                <c:pt idx="549">
                  <c:v>-3.7394778142848457</c:v>
                </c:pt>
                <c:pt idx="553">
                  <c:v>-1.6816411151467854</c:v>
                </c:pt>
                <c:pt idx="556">
                  <c:v>-1.2980319320915144</c:v>
                </c:pt>
                <c:pt idx="559">
                  <c:v>-1.5648837778763967</c:v>
                </c:pt>
                <c:pt idx="562">
                  <c:v>-1.4151073562751511</c:v>
                </c:pt>
                <c:pt idx="565">
                  <c:v>-1.1342645066187451</c:v>
                </c:pt>
                <c:pt idx="568">
                  <c:v>-0.93354410798818355</c:v>
                </c:pt>
                <c:pt idx="574">
                  <c:v>-1.6256128650600192</c:v>
                </c:pt>
                <c:pt idx="577">
                  <c:v>-2.3637154777793299</c:v>
                </c:pt>
                <c:pt idx="580">
                  <c:v>-3.0151863120744364</c:v>
                </c:pt>
                <c:pt idx="583">
                  <c:v>-2.6818227189320116</c:v>
                </c:pt>
                <c:pt idx="586">
                  <c:v>-1.1981688685645493</c:v>
                </c:pt>
                <c:pt idx="589">
                  <c:v>-1.5393088571017173</c:v>
                </c:pt>
                <c:pt idx="592">
                  <c:v>-2.0668206603181214</c:v>
                </c:pt>
                <c:pt idx="595">
                  <c:v>-2.0421829656279158</c:v>
                </c:pt>
                <c:pt idx="599">
                  <c:v>-2.4099016449604989</c:v>
                </c:pt>
                <c:pt idx="602">
                  <c:v>-2.4192361018364243</c:v>
                </c:pt>
                <c:pt idx="605">
                  <c:v>-1.1219828503865172</c:v>
                </c:pt>
                <c:pt idx="608">
                  <c:v>0.12561800079040752</c:v>
                </c:pt>
                <c:pt idx="611">
                  <c:v>0.67945028491833237</c:v>
                </c:pt>
                <c:pt idx="615">
                  <c:v>0.50911874406121138</c:v>
                </c:pt>
                <c:pt idx="618">
                  <c:v>4.2534123590536321E-3</c:v>
                </c:pt>
                <c:pt idx="621">
                  <c:v>-0.15957354527060391</c:v>
                </c:pt>
                <c:pt idx="624">
                  <c:v>-0.36421232087223954</c:v>
                </c:pt>
                <c:pt idx="627">
                  <c:v>-0.87044190893323159</c:v>
                </c:pt>
                <c:pt idx="631">
                  <c:v>-1.4100652273592595</c:v>
                </c:pt>
                <c:pt idx="634">
                  <c:v>-2.0957467780523307</c:v>
                </c:pt>
                <c:pt idx="637">
                  <c:v>-2.4680314842922995</c:v>
                </c:pt>
                <c:pt idx="646">
                  <c:v>-2.8315718550932854</c:v>
                </c:pt>
                <c:pt idx="649">
                  <c:v>-3.3328583778956129</c:v>
                </c:pt>
                <c:pt idx="652">
                  <c:v>-3.7732014008373511</c:v>
                </c:pt>
                <c:pt idx="655">
                  <c:v>-3.5696232229320013</c:v>
                </c:pt>
                <c:pt idx="658">
                  <c:v>-2.3023884054744466</c:v>
                </c:pt>
                <c:pt idx="664">
                  <c:v>-2.0426141773509698</c:v>
                </c:pt>
                <c:pt idx="670">
                  <c:v>-2.36937222891566</c:v>
                </c:pt>
                <c:pt idx="673">
                  <c:v>-0.49122758329449479</c:v>
                </c:pt>
                <c:pt idx="676">
                  <c:v>-1.3584275849568448</c:v>
                </c:pt>
                <c:pt idx="679">
                  <c:v>-0.88129343051640263</c:v>
                </c:pt>
                <c:pt idx="682">
                  <c:v>-1.637089020814178</c:v>
                </c:pt>
                <c:pt idx="685">
                  <c:v>-2.5599521340689724</c:v>
                </c:pt>
                <c:pt idx="688">
                  <c:v>-3.2916361789481625</c:v>
                </c:pt>
                <c:pt idx="691">
                  <c:v>-1.6172795415369874</c:v>
                </c:pt>
                <c:pt idx="694">
                  <c:v>-1.5284501827880697</c:v>
                </c:pt>
                <c:pt idx="697">
                  <c:v>-1.9180264631261879</c:v>
                </c:pt>
                <c:pt idx="700">
                  <c:v>-2.5697272561377296</c:v>
                </c:pt>
                <c:pt idx="703">
                  <c:v>-2.4196257157481376</c:v>
                </c:pt>
                <c:pt idx="704">
                  <c:v>-2.3773512527241647</c:v>
                </c:pt>
                <c:pt idx="718">
                  <c:v>-2.2082027750999091</c:v>
                </c:pt>
                <c:pt idx="721">
                  <c:v>-3.0199349024862525</c:v>
                </c:pt>
                <c:pt idx="724">
                  <c:v>-3.8166801258437975</c:v>
                </c:pt>
                <c:pt idx="727">
                  <c:v>-4.0757049570048771</c:v>
                </c:pt>
                <c:pt idx="730">
                  <c:v>-4.0412208163831451</c:v>
                </c:pt>
                <c:pt idx="733">
                  <c:v>-1.3961137072542962</c:v>
                </c:pt>
                <c:pt idx="736">
                  <c:v>-1.8419329179289772</c:v>
                </c:pt>
                <c:pt idx="739">
                  <c:v>-2.4295967681207835</c:v>
                </c:pt>
                <c:pt idx="745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0-784A-A797-40521EA8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update'!$B$3:$B$748</c:f>
              <c:numCache>
                <c:formatCode>[$-409]mmm\-yy;@</c:formatCode>
                <c:ptCount val="746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36598</c:v>
                </c:pt>
                <c:pt idx="16">
                  <c:v>36598</c:v>
                </c:pt>
                <c:pt idx="17">
                  <c:v>36598</c:v>
                </c:pt>
                <c:pt idx="18">
                  <c:v>36627</c:v>
                </c:pt>
                <c:pt idx="19">
                  <c:v>36627</c:v>
                </c:pt>
                <c:pt idx="20">
                  <c:v>36627</c:v>
                </c:pt>
                <c:pt idx="21">
                  <c:v>36662</c:v>
                </c:pt>
                <c:pt idx="22">
                  <c:v>36662</c:v>
                </c:pt>
                <c:pt idx="23">
                  <c:v>36662</c:v>
                </c:pt>
                <c:pt idx="24">
                  <c:v>36690</c:v>
                </c:pt>
                <c:pt idx="25">
                  <c:v>36690</c:v>
                </c:pt>
                <c:pt idx="26">
                  <c:v>36690</c:v>
                </c:pt>
                <c:pt idx="27">
                  <c:v>36718</c:v>
                </c:pt>
                <c:pt idx="28">
                  <c:v>36718</c:v>
                </c:pt>
                <c:pt idx="29">
                  <c:v>36718</c:v>
                </c:pt>
                <c:pt idx="30">
                  <c:v>36753</c:v>
                </c:pt>
                <c:pt idx="31">
                  <c:v>36753</c:v>
                </c:pt>
                <c:pt idx="32">
                  <c:v>36753</c:v>
                </c:pt>
                <c:pt idx="33">
                  <c:v>36781</c:v>
                </c:pt>
                <c:pt idx="34">
                  <c:v>36781</c:v>
                </c:pt>
                <c:pt idx="35">
                  <c:v>36781</c:v>
                </c:pt>
                <c:pt idx="36">
                  <c:v>36817</c:v>
                </c:pt>
                <c:pt idx="37">
                  <c:v>36817</c:v>
                </c:pt>
                <c:pt idx="38">
                  <c:v>36817</c:v>
                </c:pt>
                <c:pt idx="39">
                  <c:v>36848</c:v>
                </c:pt>
                <c:pt idx="40">
                  <c:v>36845</c:v>
                </c:pt>
                <c:pt idx="41">
                  <c:v>36845</c:v>
                </c:pt>
                <c:pt idx="42">
                  <c:v>36871</c:v>
                </c:pt>
                <c:pt idx="43">
                  <c:v>36871</c:v>
                </c:pt>
                <c:pt idx="44">
                  <c:v>36871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36965</c:v>
                </c:pt>
                <c:pt idx="52">
                  <c:v>36964</c:v>
                </c:pt>
                <c:pt idx="53">
                  <c:v>36964</c:v>
                </c:pt>
                <c:pt idx="54">
                  <c:v>37000</c:v>
                </c:pt>
                <c:pt idx="55">
                  <c:v>36997</c:v>
                </c:pt>
                <c:pt idx="56">
                  <c:v>36997</c:v>
                </c:pt>
                <c:pt idx="57">
                  <c:v>37026</c:v>
                </c:pt>
                <c:pt idx="58">
                  <c:v>37026</c:v>
                </c:pt>
                <c:pt idx="59">
                  <c:v>37026</c:v>
                </c:pt>
                <c:pt idx="60">
                  <c:v>37055</c:v>
                </c:pt>
                <c:pt idx="61">
                  <c:v>37055</c:v>
                </c:pt>
                <c:pt idx="62">
                  <c:v>37055</c:v>
                </c:pt>
                <c:pt idx="63">
                  <c:v>37092</c:v>
                </c:pt>
                <c:pt idx="64">
                  <c:v>37092</c:v>
                </c:pt>
                <c:pt idx="65">
                  <c:v>37092</c:v>
                </c:pt>
                <c:pt idx="66">
                  <c:v>37118</c:v>
                </c:pt>
                <c:pt idx="67">
                  <c:v>37118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37180</c:v>
                </c:pt>
                <c:pt idx="74">
                  <c:v>37180</c:v>
                </c:pt>
                <c:pt idx="75">
                  <c:v>37201</c:v>
                </c:pt>
                <c:pt idx="76">
                  <c:v>37201</c:v>
                </c:pt>
                <c:pt idx="77">
                  <c:v>37201</c:v>
                </c:pt>
                <c:pt idx="78">
                  <c:v>37229</c:v>
                </c:pt>
                <c:pt idx="79">
                  <c:v>37229</c:v>
                </c:pt>
                <c:pt idx="80">
                  <c:v>37229</c:v>
                </c:pt>
                <c:pt idx="81">
                  <c:v>37271</c:v>
                </c:pt>
                <c:pt idx="82">
                  <c:v>37271</c:v>
                </c:pt>
                <c:pt idx="83">
                  <c:v>37271</c:v>
                </c:pt>
                <c:pt idx="84">
                  <c:v>37306</c:v>
                </c:pt>
                <c:pt idx="85">
                  <c:v>37306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37362</c:v>
                </c:pt>
                <c:pt idx="92">
                  <c:v>37362</c:v>
                </c:pt>
                <c:pt idx="93">
                  <c:v>37391</c:v>
                </c:pt>
                <c:pt idx="94">
                  <c:v>37391</c:v>
                </c:pt>
                <c:pt idx="95">
                  <c:v>37392</c:v>
                </c:pt>
                <c:pt idx="96">
                  <c:v>37419</c:v>
                </c:pt>
                <c:pt idx="97">
                  <c:v>37419</c:v>
                </c:pt>
                <c:pt idx="98">
                  <c:v>37419</c:v>
                </c:pt>
                <c:pt idx="99">
                  <c:v>37454</c:v>
                </c:pt>
                <c:pt idx="100">
                  <c:v>37454</c:v>
                </c:pt>
                <c:pt idx="101">
                  <c:v>37454</c:v>
                </c:pt>
                <c:pt idx="102">
                  <c:v>37482</c:v>
                </c:pt>
                <c:pt idx="103">
                  <c:v>37482</c:v>
                </c:pt>
                <c:pt idx="104">
                  <c:v>37482</c:v>
                </c:pt>
                <c:pt idx="105">
                  <c:v>37517</c:v>
                </c:pt>
                <c:pt idx="106">
                  <c:v>37517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37692</c:v>
                </c:pt>
                <c:pt idx="125">
                  <c:v>37692</c:v>
                </c:pt>
                <c:pt idx="126">
                  <c:v>37726</c:v>
                </c:pt>
                <c:pt idx="127">
                  <c:v>37726</c:v>
                </c:pt>
                <c:pt idx="128">
                  <c:v>37726</c:v>
                </c:pt>
                <c:pt idx="129">
                  <c:v>37753</c:v>
                </c:pt>
                <c:pt idx="130">
                  <c:v>37755</c:v>
                </c:pt>
                <c:pt idx="131">
                  <c:v>37755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37819</c:v>
                </c:pt>
                <c:pt idx="137">
                  <c:v>37819</c:v>
                </c:pt>
                <c:pt idx="138">
                  <c:v>37847</c:v>
                </c:pt>
                <c:pt idx="139">
                  <c:v>37847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38117</c:v>
                </c:pt>
                <c:pt idx="168">
                  <c:v>38153</c:v>
                </c:pt>
                <c:pt idx="169">
                  <c:v>38155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38273</c:v>
                </c:pt>
                <c:pt idx="182">
                  <c:v>38273</c:v>
                </c:pt>
                <c:pt idx="183">
                  <c:v>38307</c:v>
                </c:pt>
                <c:pt idx="184">
                  <c:v>38307</c:v>
                </c:pt>
                <c:pt idx="185">
                  <c:v>38307</c:v>
                </c:pt>
                <c:pt idx="186">
                  <c:v>38336</c:v>
                </c:pt>
                <c:pt idx="187">
                  <c:v>38336</c:v>
                </c:pt>
                <c:pt idx="188">
                  <c:v>38336</c:v>
                </c:pt>
                <c:pt idx="189">
                  <c:v>38363</c:v>
                </c:pt>
                <c:pt idx="190">
                  <c:v>38363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38469</c:v>
                </c:pt>
                <c:pt idx="200">
                  <c:v>38469</c:v>
                </c:pt>
                <c:pt idx="201">
                  <c:v>38490</c:v>
                </c:pt>
                <c:pt idx="202">
                  <c:v>38490</c:v>
                </c:pt>
                <c:pt idx="203">
                  <c:v>38490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38594</c:v>
                </c:pt>
                <c:pt idx="212">
                  <c:v>38594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38637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38737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39246</c:v>
                </c:pt>
                <c:pt idx="278">
                  <c:v>39154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39373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39707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39434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40225</c:v>
                </c:pt>
                <c:pt idx="376">
                  <c:v>40254</c:v>
                </c:pt>
                <c:pt idx="377">
                  <c:v>40255</c:v>
                </c:pt>
                <c:pt idx="378">
                  <c:v>40255</c:v>
                </c:pt>
                <c:pt idx="379">
                  <c:v>40280</c:v>
                </c:pt>
                <c:pt idx="380">
                  <c:v>40281</c:v>
                </c:pt>
                <c:pt idx="381">
                  <c:v>40281</c:v>
                </c:pt>
                <c:pt idx="382">
                  <c:v>40315</c:v>
                </c:pt>
                <c:pt idx="383">
                  <c:v>40317</c:v>
                </c:pt>
                <c:pt idx="384">
                  <c:v>40317</c:v>
                </c:pt>
                <c:pt idx="385">
                  <c:v>40344</c:v>
                </c:pt>
                <c:pt idx="386">
                  <c:v>40345</c:v>
                </c:pt>
                <c:pt idx="387">
                  <c:v>40345</c:v>
                </c:pt>
                <c:pt idx="388">
                  <c:v>40373</c:v>
                </c:pt>
                <c:pt idx="389">
                  <c:v>40373</c:v>
                </c:pt>
                <c:pt idx="390">
                  <c:v>40373</c:v>
                </c:pt>
                <c:pt idx="391">
                  <c:v>40373</c:v>
                </c:pt>
                <c:pt idx="392">
                  <c:v>40407</c:v>
                </c:pt>
                <c:pt idx="393">
                  <c:v>40409</c:v>
                </c:pt>
                <c:pt idx="394">
                  <c:v>40409</c:v>
                </c:pt>
                <c:pt idx="395">
                  <c:v>40436</c:v>
                </c:pt>
                <c:pt idx="396">
                  <c:v>40434</c:v>
                </c:pt>
                <c:pt idx="397">
                  <c:v>40434</c:v>
                </c:pt>
                <c:pt idx="398">
                  <c:v>40464</c:v>
                </c:pt>
                <c:pt idx="399">
                  <c:v>40463</c:v>
                </c:pt>
                <c:pt idx="400">
                  <c:v>40463</c:v>
                </c:pt>
                <c:pt idx="401">
                  <c:v>40498</c:v>
                </c:pt>
                <c:pt idx="402">
                  <c:v>40500</c:v>
                </c:pt>
                <c:pt idx="403">
                  <c:v>40500</c:v>
                </c:pt>
                <c:pt idx="404">
                  <c:v>40520</c:v>
                </c:pt>
                <c:pt idx="405">
                  <c:v>40521</c:v>
                </c:pt>
                <c:pt idx="406">
                  <c:v>40521</c:v>
                </c:pt>
                <c:pt idx="407">
                  <c:v>40562</c:v>
                </c:pt>
                <c:pt idx="408">
                  <c:v>40563</c:v>
                </c:pt>
                <c:pt idx="409">
                  <c:v>40563</c:v>
                </c:pt>
                <c:pt idx="410">
                  <c:v>40591</c:v>
                </c:pt>
                <c:pt idx="411">
                  <c:v>40598</c:v>
                </c:pt>
                <c:pt idx="412">
                  <c:v>40598</c:v>
                </c:pt>
                <c:pt idx="413">
                  <c:v>40598</c:v>
                </c:pt>
                <c:pt idx="414">
                  <c:v>40619</c:v>
                </c:pt>
                <c:pt idx="415">
                  <c:v>40617</c:v>
                </c:pt>
                <c:pt idx="416">
                  <c:v>40617</c:v>
                </c:pt>
                <c:pt idx="417">
                  <c:v>40646</c:v>
                </c:pt>
                <c:pt idx="418">
                  <c:v>40647</c:v>
                </c:pt>
                <c:pt idx="419">
                  <c:v>40647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40735</c:v>
                </c:pt>
                <c:pt idx="427">
                  <c:v>40736</c:v>
                </c:pt>
                <c:pt idx="428">
                  <c:v>40736</c:v>
                </c:pt>
                <c:pt idx="429">
                  <c:v>40771</c:v>
                </c:pt>
                <c:pt idx="430">
                  <c:v>40772</c:v>
                </c:pt>
                <c:pt idx="431">
                  <c:v>40772</c:v>
                </c:pt>
                <c:pt idx="432">
                  <c:v>40772</c:v>
                </c:pt>
                <c:pt idx="433">
                  <c:v>40799</c:v>
                </c:pt>
                <c:pt idx="434">
                  <c:v>40798</c:v>
                </c:pt>
                <c:pt idx="435">
                  <c:v>40798</c:v>
                </c:pt>
                <c:pt idx="436">
                  <c:v>40827</c:v>
                </c:pt>
                <c:pt idx="437">
                  <c:v>40829</c:v>
                </c:pt>
                <c:pt idx="438">
                  <c:v>40829</c:v>
                </c:pt>
                <c:pt idx="439">
                  <c:v>40862</c:v>
                </c:pt>
                <c:pt idx="440">
                  <c:v>40865</c:v>
                </c:pt>
                <c:pt idx="441">
                  <c:v>40877</c:v>
                </c:pt>
                <c:pt idx="442">
                  <c:v>40891</c:v>
                </c:pt>
                <c:pt idx="443">
                  <c:v>40891</c:v>
                </c:pt>
                <c:pt idx="444">
                  <c:v>40891</c:v>
                </c:pt>
                <c:pt idx="445">
                  <c:v>40919</c:v>
                </c:pt>
                <c:pt idx="446">
                  <c:v>40919</c:v>
                </c:pt>
                <c:pt idx="447">
                  <c:v>40919</c:v>
                </c:pt>
                <c:pt idx="448">
                  <c:v>40919</c:v>
                </c:pt>
                <c:pt idx="449">
                  <c:v>40962</c:v>
                </c:pt>
                <c:pt idx="450">
                  <c:v>40960</c:v>
                </c:pt>
                <c:pt idx="451">
                  <c:v>40960</c:v>
                </c:pt>
                <c:pt idx="452">
                  <c:v>40960</c:v>
                </c:pt>
                <c:pt idx="453">
                  <c:v>40980</c:v>
                </c:pt>
                <c:pt idx="454">
                  <c:v>40982</c:v>
                </c:pt>
                <c:pt idx="455">
                  <c:v>40982</c:v>
                </c:pt>
                <c:pt idx="456">
                  <c:v>41015</c:v>
                </c:pt>
                <c:pt idx="457">
                  <c:v>41016</c:v>
                </c:pt>
                <c:pt idx="458">
                  <c:v>41016</c:v>
                </c:pt>
                <c:pt idx="459">
                  <c:v>41045</c:v>
                </c:pt>
                <c:pt idx="460">
                  <c:v>41046</c:v>
                </c:pt>
                <c:pt idx="461">
                  <c:v>41046</c:v>
                </c:pt>
                <c:pt idx="462">
                  <c:v>41073</c:v>
                </c:pt>
                <c:pt idx="463">
                  <c:v>41080</c:v>
                </c:pt>
                <c:pt idx="464">
                  <c:v>41080</c:v>
                </c:pt>
                <c:pt idx="465">
                  <c:v>41080</c:v>
                </c:pt>
                <c:pt idx="466">
                  <c:v>41107</c:v>
                </c:pt>
                <c:pt idx="467">
                  <c:v>41106</c:v>
                </c:pt>
                <c:pt idx="468">
                  <c:v>41106</c:v>
                </c:pt>
                <c:pt idx="469">
                  <c:v>41135</c:v>
                </c:pt>
                <c:pt idx="470">
                  <c:v>41137</c:v>
                </c:pt>
                <c:pt idx="471">
                  <c:v>41137</c:v>
                </c:pt>
                <c:pt idx="472">
                  <c:v>41164</c:v>
                </c:pt>
                <c:pt idx="473">
                  <c:v>41163</c:v>
                </c:pt>
                <c:pt idx="474">
                  <c:v>41163</c:v>
                </c:pt>
                <c:pt idx="475">
                  <c:v>41199</c:v>
                </c:pt>
                <c:pt idx="476">
                  <c:v>41199</c:v>
                </c:pt>
                <c:pt idx="477">
                  <c:v>41199</c:v>
                </c:pt>
                <c:pt idx="478">
                  <c:v>41225</c:v>
                </c:pt>
                <c:pt idx="479">
                  <c:v>41225</c:v>
                </c:pt>
                <c:pt idx="480">
                  <c:v>41225</c:v>
                </c:pt>
                <c:pt idx="481">
                  <c:v>41225</c:v>
                </c:pt>
                <c:pt idx="482">
                  <c:v>41254</c:v>
                </c:pt>
                <c:pt idx="483">
                  <c:v>41255</c:v>
                </c:pt>
                <c:pt idx="484">
                  <c:v>41255</c:v>
                </c:pt>
                <c:pt idx="485">
                  <c:v>41288</c:v>
                </c:pt>
                <c:pt idx="486">
                  <c:v>41297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41319</c:v>
                </c:pt>
                <c:pt idx="493">
                  <c:v>41344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41407</c:v>
                </c:pt>
                <c:pt idx="500">
                  <c:v>41407</c:v>
                </c:pt>
                <c:pt idx="501">
                  <c:v>41407</c:v>
                </c:pt>
                <c:pt idx="502">
                  <c:v>41436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41533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41597</c:v>
                </c:pt>
                <c:pt idx="519">
                  <c:v>41599</c:v>
                </c:pt>
                <c:pt idx="520">
                  <c:v>41599</c:v>
                </c:pt>
                <c:pt idx="521">
                  <c:v>41599</c:v>
                </c:pt>
                <c:pt idx="522">
                  <c:v>41624</c:v>
                </c:pt>
                <c:pt idx="523">
                  <c:v>41627</c:v>
                </c:pt>
                <c:pt idx="524">
                  <c:v>41627</c:v>
                </c:pt>
                <c:pt idx="525">
                  <c:v>41627</c:v>
                </c:pt>
                <c:pt idx="526">
                  <c:v>41654</c:v>
                </c:pt>
                <c:pt idx="527">
                  <c:v>41655</c:v>
                </c:pt>
                <c:pt idx="528">
                  <c:v>41655</c:v>
                </c:pt>
                <c:pt idx="529">
                  <c:v>41688</c:v>
                </c:pt>
                <c:pt idx="530">
                  <c:v>41690</c:v>
                </c:pt>
                <c:pt idx="531">
                  <c:v>41690</c:v>
                </c:pt>
                <c:pt idx="532">
                  <c:v>41690</c:v>
                </c:pt>
                <c:pt idx="533">
                  <c:v>41718</c:v>
                </c:pt>
                <c:pt idx="534">
                  <c:v>41718</c:v>
                </c:pt>
                <c:pt idx="535">
                  <c:v>41718</c:v>
                </c:pt>
                <c:pt idx="536">
                  <c:v>41747</c:v>
                </c:pt>
                <c:pt idx="537">
                  <c:v>41750</c:v>
                </c:pt>
                <c:pt idx="538">
                  <c:v>41750</c:v>
                </c:pt>
                <c:pt idx="539">
                  <c:v>41750</c:v>
                </c:pt>
                <c:pt idx="540">
                  <c:v>41772</c:v>
                </c:pt>
                <c:pt idx="541">
                  <c:v>41406</c:v>
                </c:pt>
                <c:pt idx="542">
                  <c:v>41406</c:v>
                </c:pt>
                <c:pt idx="543">
                  <c:v>41808</c:v>
                </c:pt>
                <c:pt idx="544">
                  <c:v>41807</c:v>
                </c:pt>
                <c:pt idx="545">
                  <c:v>41807</c:v>
                </c:pt>
                <c:pt idx="546">
                  <c:v>41834</c:v>
                </c:pt>
                <c:pt idx="547">
                  <c:v>41834</c:v>
                </c:pt>
                <c:pt idx="548">
                  <c:v>41837</c:v>
                </c:pt>
                <c:pt idx="549">
                  <c:v>41837</c:v>
                </c:pt>
                <c:pt idx="550">
                  <c:v>41864</c:v>
                </c:pt>
                <c:pt idx="551">
                  <c:v>41862</c:v>
                </c:pt>
                <c:pt idx="552">
                  <c:v>41862</c:v>
                </c:pt>
                <c:pt idx="553">
                  <c:v>41862</c:v>
                </c:pt>
                <c:pt idx="554">
                  <c:v>41898</c:v>
                </c:pt>
                <c:pt idx="555">
                  <c:v>41897</c:v>
                </c:pt>
                <c:pt idx="556">
                  <c:v>41897</c:v>
                </c:pt>
                <c:pt idx="557">
                  <c:v>41929</c:v>
                </c:pt>
                <c:pt idx="558">
                  <c:v>41928</c:v>
                </c:pt>
                <c:pt idx="559">
                  <c:v>41928</c:v>
                </c:pt>
                <c:pt idx="560">
                  <c:v>41953</c:v>
                </c:pt>
                <c:pt idx="561">
                  <c:v>41955</c:v>
                </c:pt>
                <c:pt idx="562">
                  <c:v>41955</c:v>
                </c:pt>
                <c:pt idx="563">
                  <c:v>41988</c:v>
                </c:pt>
                <c:pt idx="564">
                  <c:v>41992</c:v>
                </c:pt>
                <c:pt idx="565">
                  <c:v>41992</c:v>
                </c:pt>
                <c:pt idx="566">
                  <c:v>42014</c:v>
                </c:pt>
                <c:pt idx="567">
                  <c:v>42009</c:v>
                </c:pt>
                <c:pt idx="568">
                  <c:v>42009</c:v>
                </c:pt>
                <c:pt idx="569">
                  <c:v>42036</c:v>
                </c:pt>
                <c:pt idx="570">
                  <c:v>42036</c:v>
                </c:pt>
                <c:pt idx="571">
                  <c:v>42036</c:v>
                </c:pt>
                <c:pt idx="572">
                  <c:v>42064</c:v>
                </c:pt>
                <c:pt idx="573">
                  <c:v>42064</c:v>
                </c:pt>
                <c:pt idx="574">
                  <c:v>42064</c:v>
                </c:pt>
                <c:pt idx="575">
                  <c:v>42095</c:v>
                </c:pt>
                <c:pt idx="576">
                  <c:v>42095</c:v>
                </c:pt>
                <c:pt idx="577">
                  <c:v>42095</c:v>
                </c:pt>
                <c:pt idx="578">
                  <c:v>42125</c:v>
                </c:pt>
                <c:pt idx="579">
                  <c:v>42125</c:v>
                </c:pt>
                <c:pt idx="580">
                  <c:v>42125</c:v>
                </c:pt>
                <c:pt idx="581">
                  <c:v>42156</c:v>
                </c:pt>
                <c:pt idx="582">
                  <c:v>42156</c:v>
                </c:pt>
                <c:pt idx="583">
                  <c:v>42156</c:v>
                </c:pt>
                <c:pt idx="584">
                  <c:v>42186</c:v>
                </c:pt>
                <c:pt idx="585">
                  <c:v>42186</c:v>
                </c:pt>
                <c:pt idx="586">
                  <c:v>42186</c:v>
                </c:pt>
                <c:pt idx="587">
                  <c:v>42217</c:v>
                </c:pt>
                <c:pt idx="588">
                  <c:v>42217</c:v>
                </c:pt>
                <c:pt idx="589">
                  <c:v>42217</c:v>
                </c:pt>
                <c:pt idx="590">
                  <c:v>42248</c:v>
                </c:pt>
                <c:pt idx="591">
                  <c:v>42248</c:v>
                </c:pt>
                <c:pt idx="592">
                  <c:v>42248</c:v>
                </c:pt>
                <c:pt idx="593">
                  <c:v>42278</c:v>
                </c:pt>
                <c:pt idx="594">
                  <c:v>42278</c:v>
                </c:pt>
                <c:pt idx="595">
                  <c:v>42278</c:v>
                </c:pt>
                <c:pt idx="596">
                  <c:v>42309</c:v>
                </c:pt>
                <c:pt idx="597">
                  <c:v>42309</c:v>
                </c:pt>
                <c:pt idx="598">
                  <c:v>42309</c:v>
                </c:pt>
                <c:pt idx="599">
                  <c:v>42339</c:v>
                </c:pt>
                <c:pt idx="600">
                  <c:v>42339</c:v>
                </c:pt>
                <c:pt idx="601">
                  <c:v>42339</c:v>
                </c:pt>
                <c:pt idx="602">
                  <c:v>42379</c:v>
                </c:pt>
                <c:pt idx="603">
                  <c:v>42374</c:v>
                </c:pt>
                <c:pt idx="604">
                  <c:v>42374</c:v>
                </c:pt>
                <c:pt idx="605">
                  <c:v>42401</c:v>
                </c:pt>
                <c:pt idx="606">
                  <c:v>42401</c:v>
                </c:pt>
                <c:pt idx="607">
                  <c:v>42401</c:v>
                </c:pt>
                <c:pt idx="608">
                  <c:v>42430</c:v>
                </c:pt>
                <c:pt idx="609">
                  <c:v>42430</c:v>
                </c:pt>
                <c:pt idx="610">
                  <c:v>42430</c:v>
                </c:pt>
                <c:pt idx="611">
                  <c:v>42461</c:v>
                </c:pt>
                <c:pt idx="612">
                  <c:v>42461</c:v>
                </c:pt>
                <c:pt idx="613">
                  <c:v>42461</c:v>
                </c:pt>
                <c:pt idx="614">
                  <c:v>42491</c:v>
                </c:pt>
                <c:pt idx="615">
                  <c:v>42491</c:v>
                </c:pt>
                <c:pt idx="616">
                  <c:v>42491</c:v>
                </c:pt>
                <c:pt idx="617">
                  <c:v>42522</c:v>
                </c:pt>
                <c:pt idx="618">
                  <c:v>42522</c:v>
                </c:pt>
                <c:pt idx="619">
                  <c:v>42522</c:v>
                </c:pt>
                <c:pt idx="620">
                  <c:v>42552</c:v>
                </c:pt>
                <c:pt idx="621">
                  <c:v>42552</c:v>
                </c:pt>
                <c:pt idx="622">
                  <c:v>42552</c:v>
                </c:pt>
                <c:pt idx="623">
                  <c:v>42583</c:v>
                </c:pt>
                <c:pt idx="624">
                  <c:v>42583</c:v>
                </c:pt>
                <c:pt idx="625">
                  <c:v>42583</c:v>
                </c:pt>
                <c:pt idx="626">
                  <c:v>42614</c:v>
                </c:pt>
                <c:pt idx="627">
                  <c:v>42614</c:v>
                </c:pt>
                <c:pt idx="628">
                  <c:v>42614</c:v>
                </c:pt>
                <c:pt idx="629">
                  <c:v>42644</c:v>
                </c:pt>
                <c:pt idx="630">
                  <c:v>42644</c:v>
                </c:pt>
                <c:pt idx="631">
                  <c:v>42644</c:v>
                </c:pt>
                <c:pt idx="632">
                  <c:v>42675</c:v>
                </c:pt>
                <c:pt idx="633">
                  <c:v>42675</c:v>
                </c:pt>
                <c:pt idx="634">
                  <c:v>42675</c:v>
                </c:pt>
                <c:pt idx="635">
                  <c:v>42705</c:v>
                </c:pt>
                <c:pt idx="636">
                  <c:v>42705</c:v>
                </c:pt>
                <c:pt idx="637">
                  <c:v>42705</c:v>
                </c:pt>
                <c:pt idx="638">
                  <c:v>42745</c:v>
                </c:pt>
                <c:pt idx="639">
                  <c:v>42740</c:v>
                </c:pt>
                <c:pt idx="640">
                  <c:v>42740</c:v>
                </c:pt>
                <c:pt idx="641">
                  <c:v>42767</c:v>
                </c:pt>
                <c:pt idx="642">
                  <c:v>42767</c:v>
                </c:pt>
                <c:pt idx="643">
                  <c:v>42767</c:v>
                </c:pt>
                <c:pt idx="644">
                  <c:v>42795</c:v>
                </c:pt>
                <c:pt idx="645">
                  <c:v>42795</c:v>
                </c:pt>
                <c:pt idx="646">
                  <c:v>42795</c:v>
                </c:pt>
                <c:pt idx="647">
                  <c:v>42826</c:v>
                </c:pt>
                <c:pt idx="648">
                  <c:v>42826</c:v>
                </c:pt>
                <c:pt idx="649">
                  <c:v>42826</c:v>
                </c:pt>
                <c:pt idx="650">
                  <c:v>42856</c:v>
                </c:pt>
                <c:pt idx="651">
                  <c:v>42856</c:v>
                </c:pt>
                <c:pt idx="652">
                  <c:v>42856</c:v>
                </c:pt>
                <c:pt idx="653">
                  <c:v>42887</c:v>
                </c:pt>
                <c:pt idx="654">
                  <c:v>42887</c:v>
                </c:pt>
                <c:pt idx="655">
                  <c:v>42887</c:v>
                </c:pt>
                <c:pt idx="656">
                  <c:v>42917</c:v>
                </c:pt>
                <c:pt idx="657">
                  <c:v>42917</c:v>
                </c:pt>
                <c:pt idx="658">
                  <c:v>42917</c:v>
                </c:pt>
                <c:pt idx="659">
                  <c:v>42948</c:v>
                </c:pt>
                <c:pt idx="660">
                  <c:v>42948</c:v>
                </c:pt>
                <c:pt idx="661">
                  <c:v>42948</c:v>
                </c:pt>
                <c:pt idx="662">
                  <c:v>42979</c:v>
                </c:pt>
                <c:pt idx="663">
                  <c:v>42979</c:v>
                </c:pt>
                <c:pt idx="664">
                  <c:v>42979</c:v>
                </c:pt>
                <c:pt idx="665">
                  <c:v>43009</c:v>
                </c:pt>
                <c:pt idx="666">
                  <c:v>43009</c:v>
                </c:pt>
                <c:pt idx="667">
                  <c:v>43009</c:v>
                </c:pt>
                <c:pt idx="668">
                  <c:v>43040</c:v>
                </c:pt>
                <c:pt idx="669">
                  <c:v>43040</c:v>
                </c:pt>
                <c:pt idx="670">
                  <c:v>43040</c:v>
                </c:pt>
                <c:pt idx="671">
                  <c:v>43070</c:v>
                </c:pt>
                <c:pt idx="672">
                  <c:v>43070</c:v>
                </c:pt>
                <c:pt idx="673">
                  <c:v>43070</c:v>
                </c:pt>
                <c:pt idx="674">
                  <c:v>43110</c:v>
                </c:pt>
                <c:pt idx="675">
                  <c:v>43105</c:v>
                </c:pt>
                <c:pt idx="676">
                  <c:v>43105</c:v>
                </c:pt>
                <c:pt idx="677">
                  <c:v>43132</c:v>
                </c:pt>
                <c:pt idx="678">
                  <c:v>43132</c:v>
                </c:pt>
                <c:pt idx="679">
                  <c:v>43132</c:v>
                </c:pt>
                <c:pt idx="680">
                  <c:v>43160</c:v>
                </c:pt>
                <c:pt idx="681">
                  <c:v>43160</c:v>
                </c:pt>
                <c:pt idx="682">
                  <c:v>43160</c:v>
                </c:pt>
                <c:pt idx="683">
                  <c:v>43191</c:v>
                </c:pt>
                <c:pt idx="684">
                  <c:v>43191</c:v>
                </c:pt>
                <c:pt idx="685">
                  <c:v>43191</c:v>
                </c:pt>
                <c:pt idx="686">
                  <c:v>43221</c:v>
                </c:pt>
                <c:pt idx="687">
                  <c:v>43221</c:v>
                </c:pt>
                <c:pt idx="688">
                  <c:v>43221</c:v>
                </c:pt>
                <c:pt idx="689">
                  <c:v>43252</c:v>
                </c:pt>
                <c:pt idx="690">
                  <c:v>43252</c:v>
                </c:pt>
                <c:pt idx="691">
                  <c:v>43252</c:v>
                </c:pt>
                <c:pt idx="692">
                  <c:v>43282</c:v>
                </c:pt>
                <c:pt idx="693">
                  <c:v>43282</c:v>
                </c:pt>
                <c:pt idx="694">
                  <c:v>43282</c:v>
                </c:pt>
                <c:pt idx="695">
                  <c:v>43313</c:v>
                </c:pt>
                <c:pt idx="696">
                  <c:v>43313</c:v>
                </c:pt>
                <c:pt idx="697">
                  <c:v>43313</c:v>
                </c:pt>
                <c:pt idx="698">
                  <c:v>43344</c:v>
                </c:pt>
                <c:pt idx="699">
                  <c:v>43344</c:v>
                </c:pt>
                <c:pt idx="700">
                  <c:v>43344</c:v>
                </c:pt>
                <c:pt idx="701">
                  <c:v>43374</c:v>
                </c:pt>
                <c:pt idx="702">
                  <c:v>43374</c:v>
                </c:pt>
                <c:pt idx="703">
                  <c:v>43374</c:v>
                </c:pt>
                <c:pt idx="704">
                  <c:v>43405</c:v>
                </c:pt>
                <c:pt idx="705">
                  <c:v>43405</c:v>
                </c:pt>
                <c:pt idx="706">
                  <c:v>43405</c:v>
                </c:pt>
                <c:pt idx="707">
                  <c:v>43435</c:v>
                </c:pt>
                <c:pt idx="708">
                  <c:v>43435</c:v>
                </c:pt>
                <c:pt idx="709">
                  <c:v>43435</c:v>
                </c:pt>
                <c:pt idx="710">
                  <c:v>43475</c:v>
                </c:pt>
                <c:pt idx="711">
                  <c:v>43470</c:v>
                </c:pt>
                <c:pt idx="712">
                  <c:v>43470</c:v>
                </c:pt>
                <c:pt idx="713">
                  <c:v>43497</c:v>
                </c:pt>
                <c:pt idx="714">
                  <c:v>43497</c:v>
                </c:pt>
                <c:pt idx="715">
                  <c:v>43497</c:v>
                </c:pt>
                <c:pt idx="716">
                  <c:v>43525</c:v>
                </c:pt>
                <c:pt idx="717">
                  <c:v>43525</c:v>
                </c:pt>
                <c:pt idx="718">
                  <c:v>43525</c:v>
                </c:pt>
                <c:pt idx="719">
                  <c:v>43556</c:v>
                </c:pt>
                <c:pt idx="720">
                  <c:v>43556</c:v>
                </c:pt>
                <c:pt idx="721">
                  <c:v>43556</c:v>
                </c:pt>
                <c:pt idx="722">
                  <c:v>43586</c:v>
                </c:pt>
                <c:pt idx="723">
                  <c:v>43586</c:v>
                </c:pt>
                <c:pt idx="724">
                  <c:v>43586</c:v>
                </c:pt>
                <c:pt idx="725">
                  <c:v>43617</c:v>
                </c:pt>
                <c:pt idx="726">
                  <c:v>43617</c:v>
                </c:pt>
                <c:pt idx="727">
                  <c:v>43617</c:v>
                </c:pt>
                <c:pt idx="728">
                  <c:v>43647</c:v>
                </c:pt>
                <c:pt idx="729">
                  <c:v>43647</c:v>
                </c:pt>
                <c:pt idx="730">
                  <c:v>43647</c:v>
                </c:pt>
                <c:pt idx="731">
                  <c:v>43678</c:v>
                </c:pt>
                <c:pt idx="732">
                  <c:v>43678</c:v>
                </c:pt>
                <c:pt idx="733">
                  <c:v>43678</c:v>
                </c:pt>
                <c:pt idx="734">
                  <c:v>43709</c:v>
                </c:pt>
                <c:pt idx="735">
                  <c:v>43709</c:v>
                </c:pt>
                <c:pt idx="736">
                  <c:v>43709</c:v>
                </c:pt>
                <c:pt idx="737">
                  <c:v>43739</c:v>
                </c:pt>
                <c:pt idx="738">
                  <c:v>43739</c:v>
                </c:pt>
                <c:pt idx="739">
                  <c:v>43739</c:v>
                </c:pt>
                <c:pt idx="740">
                  <c:v>43770</c:v>
                </c:pt>
                <c:pt idx="741">
                  <c:v>43770</c:v>
                </c:pt>
                <c:pt idx="742">
                  <c:v>43770</c:v>
                </c:pt>
                <c:pt idx="743">
                  <c:v>43800</c:v>
                </c:pt>
                <c:pt idx="744">
                  <c:v>43800</c:v>
                </c:pt>
                <c:pt idx="745">
                  <c:v>43800</c:v>
                </c:pt>
              </c:numCache>
            </c:numRef>
          </c:xVal>
          <c:yVal>
            <c:numRef>
              <c:f>'Peridin update'!$L$3:$L$748</c:f>
              <c:numCache>
                <c:formatCode>General</c:formatCode>
                <c:ptCount val="746"/>
                <c:pt idx="2">
                  <c:v>3.3476044569911455E-2</c:v>
                </c:pt>
                <c:pt idx="5">
                  <c:v>3.8353837189304351E-3</c:v>
                </c:pt>
                <c:pt idx="8">
                  <c:v>6.0723702718225241E-2</c:v>
                </c:pt>
                <c:pt idx="11">
                  <c:v>4.1628851172666598E-2</c:v>
                </c:pt>
                <c:pt idx="14">
                  <c:v>4.0492093145059443E-2</c:v>
                </c:pt>
                <c:pt idx="17">
                  <c:v>9.4650568422575531E-3</c:v>
                </c:pt>
                <c:pt idx="20">
                  <c:v>1.4977870038560654E-2</c:v>
                </c:pt>
                <c:pt idx="23">
                  <c:v>3.0734252542079258E-3</c:v>
                </c:pt>
                <c:pt idx="26">
                  <c:v>7.5259626665286168E-3</c:v>
                </c:pt>
                <c:pt idx="29">
                  <c:v>0.14928774562225797</c:v>
                </c:pt>
                <c:pt idx="32">
                  <c:v>5.526722545269027E-2</c:v>
                </c:pt>
                <c:pt idx="35">
                  <c:v>3.3634610995766326E-2</c:v>
                </c:pt>
                <c:pt idx="38">
                  <c:v>2.8194738757096882E-2</c:v>
                </c:pt>
                <c:pt idx="41">
                  <c:v>7.5566312486778087E-2</c:v>
                </c:pt>
                <c:pt idx="44">
                  <c:v>0.11853442152521497</c:v>
                </c:pt>
                <c:pt idx="47">
                  <c:v>9.5970827536846076E-2</c:v>
                </c:pt>
                <c:pt idx="50">
                  <c:v>8.619957723777677E-2</c:v>
                </c:pt>
                <c:pt idx="53">
                  <c:v>0</c:v>
                </c:pt>
                <c:pt idx="56">
                  <c:v>6.2468561309740392E-3</c:v>
                </c:pt>
                <c:pt idx="59">
                  <c:v>9.4063781736340377E-3</c:v>
                </c:pt>
                <c:pt idx="62">
                  <c:v>5.9812119340474645E-3</c:v>
                </c:pt>
                <c:pt idx="65">
                  <c:v>0.13207417646504283</c:v>
                </c:pt>
                <c:pt idx="68">
                  <c:v>1.8446506725078863E-2</c:v>
                </c:pt>
                <c:pt idx="71">
                  <c:v>0.15135964864390178</c:v>
                </c:pt>
                <c:pt idx="74">
                  <c:v>4.1845070950546522E-2</c:v>
                </c:pt>
                <c:pt idx="77">
                  <c:v>1.210410400128392E-2</c:v>
                </c:pt>
                <c:pt idx="80">
                  <c:v>4.7748607744830758E-2</c:v>
                </c:pt>
                <c:pt idx="83">
                  <c:v>3.4947407821728838E-2</c:v>
                </c:pt>
                <c:pt idx="86">
                  <c:v>3.6254912664749804E-2</c:v>
                </c:pt>
                <c:pt idx="89">
                  <c:v>4.4116905839124969E-2</c:v>
                </c:pt>
                <c:pt idx="92">
                  <c:v>5.0753272087282655E-2</c:v>
                </c:pt>
                <c:pt idx="110">
                  <c:v>8.3009317986247708E-2</c:v>
                </c:pt>
                <c:pt idx="113">
                  <c:v>2.9242254281045692E-2</c:v>
                </c:pt>
                <c:pt idx="116">
                  <c:v>6.2900368636987627E-2</c:v>
                </c:pt>
                <c:pt idx="119">
                  <c:v>0.10266611154537689</c:v>
                </c:pt>
                <c:pt idx="122">
                  <c:v>5.754294364577605E-2</c:v>
                </c:pt>
                <c:pt idx="125">
                  <c:v>4.7967617590251845E-2</c:v>
                </c:pt>
                <c:pt idx="128">
                  <c:v>1.5468841057052469E-2</c:v>
                </c:pt>
                <c:pt idx="131">
                  <c:v>2.5338576084663042E-2</c:v>
                </c:pt>
                <c:pt idx="134">
                  <c:v>3.9956390425071441E-3</c:v>
                </c:pt>
                <c:pt idx="137">
                  <c:v>5.3403945680696088E-3</c:v>
                </c:pt>
                <c:pt idx="140">
                  <c:v>3.4587512929803617E-2</c:v>
                </c:pt>
                <c:pt idx="143">
                  <c:v>3.5110977547420492E-2</c:v>
                </c:pt>
                <c:pt idx="146">
                  <c:v>7.8361083396844888E-2</c:v>
                </c:pt>
                <c:pt idx="149">
                  <c:v>2.5703586160509252E-2</c:v>
                </c:pt>
                <c:pt idx="152">
                  <c:v>3.7523051627538155E-2</c:v>
                </c:pt>
                <c:pt idx="155">
                  <c:v>3.1431241215648248E-3</c:v>
                </c:pt>
                <c:pt idx="158">
                  <c:v>8.5063211088640574E-3</c:v>
                </c:pt>
                <c:pt idx="161">
                  <c:v>9.5061815386213479E-3</c:v>
                </c:pt>
                <c:pt idx="164">
                  <c:v>5.2007201943782423E-2</c:v>
                </c:pt>
                <c:pt idx="167">
                  <c:v>5.6727470488121701E-3</c:v>
                </c:pt>
                <c:pt idx="170">
                  <c:v>1.6326231170487267E-2</c:v>
                </c:pt>
                <c:pt idx="173">
                  <c:v>6.7553215661274438E-2</c:v>
                </c:pt>
                <c:pt idx="176">
                  <c:v>0.15067178843662643</c:v>
                </c:pt>
                <c:pt idx="179">
                  <c:v>6.7643823831333286E-2</c:v>
                </c:pt>
                <c:pt idx="182">
                  <c:v>2.0737469175862767E-2</c:v>
                </c:pt>
                <c:pt idx="185">
                  <c:v>6.6577170088500906E-2</c:v>
                </c:pt>
                <c:pt idx="188">
                  <c:v>5.4587972474716612E-2</c:v>
                </c:pt>
                <c:pt idx="191">
                  <c:v>0.12332441586779641</c:v>
                </c:pt>
                <c:pt idx="194">
                  <c:v>2.5175473587224113E-2</c:v>
                </c:pt>
                <c:pt idx="197">
                  <c:v>2.1677392259205397E-2</c:v>
                </c:pt>
                <c:pt idx="200">
                  <c:v>9.1460396967217809E-3</c:v>
                </c:pt>
                <c:pt idx="203">
                  <c:v>2.5535543428951905E-3</c:v>
                </c:pt>
                <c:pt idx="206">
                  <c:v>3.5365715110332457E-2</c:v>
                </c:pt>
                <c:pt idx="209">
                  <c:v>5.0509287121375118E-2</c:v>
                </c:pt>
                <c:pt idx="212">
                  <c:v>1.1028362631200651E-2</c:v>
                </c:pt>
                <c:pt idx="215">
                  <c:v>7.2498799866754287E-3</c:v>
                </c:pt>
                <c:pt idx="218">
                  <c:v>7.5616195966214618E-3</c:v>
                </c:pt>
                <c:pt idx="221">
                  <c:v>2.9443806495303713E-5</c:v>
                </c:pt>
                <c:pt idx="224">
                  <c:v>2.1962920393783423E-2</c:v>
                </c:pt>
                <c:pt idx="227">
                  <c:v>2.6883074483466253E-2</c:v>
                </c:pt>
                <c:pt idx="230">
                  <c:v>2.1154680047079231E-2</c:v>
                </c:pt>
                <c:pt idx="233">
                  <c:v>1.3578196737325389E-2</c:v>
                </c:pt>
                <c:pt idx="236">
                  <c:v>0.17543680130976438</c:v>
                </c:pt>
                <c:pt idx="239">
                  <c:v>6.6262055507214186E-3</c:v>
                </c:pt>
                <c:pt idx="242">
                  <c:v>2.0794957402717009E-3</c:v>
                </c:pt>
                <c:pt idx="245">
                  <c:v>8.3280088686468225E-3</c:v>
                </c:pt>
                <c:pt idx="248">
                  <c:v>4.7589055542535735E-3</c:v>
                </c:pt>
                <c:pt idx="251">
                  <c:v>1.7136752994042007E-2</c:v>
                </c:pt>
                <c:pt idx="254">
                  <c:v>3.7131739855475257E-2</c:v>
                </c:pt>
                <c:pt idx="257">
                  <c:v>3.3142925145781266E-2</c:v>
                </c:pt>
                <c:pt idx="260">
                  <c:v>5.4083597938680956E-2</c:v>
                </c:pt>
                <c:pt idx="263">
                  <c:v>3.6118675648559556E-2</c:v>
                </c:pt>
                <c:pt idx="266">
                  <c:v>2.9576176440695195E-2</c:v>
                </c:pt>
                <c:pt idx="269">
                  <c:v>3.8032705649157582E-2</c:v>
                </c:pt>
                <c:pt idx="272">
                  <c:v>1.8270860802410999E-2</c:v>
                </c:pt>
                <c:pt idx="275">
                  <c:v>1.0132184242706574E-2</c:v>
                </c:pt>
                <c:pt idx="278">
                  <c:v>2.5713826538811806E-3</c:v>
                </c:pt>
                <c:pt idx="281">
                  <c:v>9.7607228512465831E-3</c:v>
                </c:pt>
                <c:pt idx="284">
                  <c:v>2.4822577983165534E-2</c:v>
                </c:pt>
                <c:pt idx="287">
                  <c:v>2.5588763051066993E-3</c:v>
                </c:pt>
                <c:pt idx="290">
                  <c:v>1.5220555193157933E-3</c:v>
                </c:pt>
                <c:pt idx="293">
                  <c:v>6.7969328802039075E-3</c:v>
                </c:pt>
                <c:pt idx="296">
                  <c:v>8.4119933370349828E-2</c:v>
                </c:pt>
                <c:pt idx="299">
                  <c:v>4.6523993087863889E-2</c:v>
                </c:pt>
                <c:pt idx="302">
                  <c:v>6.6309117503656742E-2</c:v>
                </c:pt>
                <c:pt idx="305">
                  <c:v>1.9499075474869731E-2</c:v>
                </c:pt>
                <c:pt idx="308">
                  <c:v>8.6652314316469331E-2</c:v>
                </c:pt>
                <c:pt idx="311">
                  <c:v>7.6778413736712986E-2</c:v>
                </c:pt>
                <c:pt idx="314">
                  <c:v>8.1561681311292988E-2</c:v>
                </c:pt>
                <c:pt idx="317">
                  <c:v>8.4289545937881891E-2</c:v>
                </c:pt>
                <c:pt idx="320">
                  <c:v>6.9783853009592015E-2</c:v>
                </c:pt>
                <c:pt idx="323">
                  <c:v>1.8811796430252967E-2</c:v>
                </c:pt>
                <c:pt idx="326">
                  <c:v>5.2315976258948777E-3</c:v>
                </c:pt>
                <c:pt idx="329">
                  <c:v>1.9092454557342747E-2</c:v>
                </c:pt>
                <c:pt idx="332">
                  <c:v>8.1756161971830998E-2</c:v>
                </c:pt>
                <c:pt idx="335">
                  <c:v>3.5111792719347813E-2</c:v>
                </c:pt>
                <c:pt idx="338">
                  <c:v>1.3088786994581077E-2</c:v>
                </c:pt>
                <c:pt idx="341">
                  <c:v>1.9651797055966529E-2</c:v>
                </c:pt>
                <c:pt idx="344">
                  <c:v>2.9504546298014474E-2</c:v>
                </c:pt>
                <c:pt idx="347">
                  <c:v>4.2433283606829103E-2</c:v>
                </c:pt>
                <c:pt idx="350">
                  <c:v>1.3616154131159689E-2</c:v>
                </c:pt>
                <c:pt idx="353">
                  <c:v>7.717663919742028E-2</c:v>
                </c:pt>
                <c:pt idx="356">
                  <c:v>0.23418558947716611</c:v>
                </c:pt>
                <c:pt idx="359">
                  <c:v>2.0471538112414304E-2</c:v>
                </c:pt>
                <c:pt idx="362">
                  <c:v>6.7671092951991835E-2</c:v>
                </c:pt>
                <c:pt idx="365">
                  <c:v>5.7541971036780715E-2</c:v>
                </c:pt>
                <c:pt idx="368">
                  <c:v>3.0507069974620601E-2</c:v>
                </c:pt>
                <c:pt idx="371">
                  <c:v>8.4661866090207982E-2</c:v>
                </c:pt>
                <c:pt idx="375">
                  <c:v>6.7815980904751081E-3</c:v>
                </c:pt>
                <c:pt idx="378">
                  <c:v>1.345168176083626E-2</c:v>
                </c:pt>
                <c:pt idx="381">
                  <c:v>0</c:v>
                </c:pt>
                <c:pt idx="384">
                  <c:v>6.0948745346753059E-3</c:v>
                </c:pt>
                <c:pt idx="387">
                  <c:v>4.4624769140362647E-2</c:v>
                </c:pt>
                <c:pt idx="391">
                  <c:v>0.10403730206403428</c:v>
                </c:pt>
                <c:pt idx="394">
                  <c:v>1.9644872532346272E-2</c:v>
                </c:pt>
                <c:pt idx="397">
                  <c:v>7.5236810117790048E-3</c:v>
                </c:pt>
                <c:pt idx="400">
                  <c:v>1.4348561317312835E-2</c:v>
                </c:pt>
                <c:pt idx="403">
                  <c:v>9.949791933418696E-3</c:v>
                </c:pt>
                <c:pt idx="406">
                  <c:v>4.5864302918673841E-2</c:v>
                </c:pt>
                <c:pt idx="409">
                  <c:v>3.4270502150738728E-2</c:v>
                </c:pt>
                <c:pt idx="413">
                  <c:v>2.0471694353553147E-2</c:v>
                </c:pt>
                <c:pt idx="416">
                  <c:v>8.8107919482809296E-3</c:v>
                </c:pt>
                <c:pt idx="419">
                  <c:v>1.1890388454500083E-2</c:v>
                </c:pt>
                <c:pt idx="422">
                  <c:v>1.7798247133677714E-2</c:v>
                </c:pt>
                <c:pt idx="425">
                  <c:v>2.2764996176754669E-2</c:v>
                </c:pt>
                <c:pt idx="428">
                  <c:v>7.3274131316694593E-2</c:v>
                </c:pt>
                <c:pt idx="432">
                  <c:v>1.7832527733755946E-2</c:v>
                </c:pt>
                <c:pt idx="435">
                  <c:v>4.3240005168430025E-2</c:v>
                </c:pt>
                <c:pt idx="438">
                  <c:v>0.12486839126919967</c:v>
                </c:pt>
                <c:pt idx="441">
                  <c:v>8.1770058914293703E-2</c:v>
                </c:pt>
                <c:pt idx="444">
                  <c:v>0.12139946102819237</c:v>
                </c:pt>
                <c:pt idx="448">
                  <c:v>6.065397309838149E-2</c:v>
                </c:pt>
                <c:pt idx="452">
                  <c:v>7.6707354802418776E-2</c:v>
                </c:pt>
                <c:pt idx="455">
                  <c:v>0.1870347736375774</c:v>
                </c:pt>
                <c:pt idx="458">
                  <c:v>1.3483070293261698E-2</c:v>
                </c:pt>
                <c:pt idx="461">
                  <c:v>2.2226569044959506E-2</c:v>
                </c:pt>
                <c:pt idx="465">
                  <c:v>1.812242884728402E-2</c:v>
                </c:pt>
                <c:pt idx="468">
                  <c:v>0.10455875873841651</c:v>
                </c:pt>
                <c:pt idx="471">
                  <c:v>0.31877978609820318</c:v>
                </c:pt>
                <c:pt idx="474">
                  <c:v>0.31039763993719344</c:v>
                </c:pt>
                <c:pt idx="477">
                  <c:v>5.872812842278205E-2</c:v>
                </c:pt>
                <c:pt idx="481">
                  <c:v>3.5786216985608092E-3</c:v>
                </c:pt>
                <c:pt idx="484">
                  <c:v>0.10721654877689361</c:v>
                </c:pt>
                <c:pt idx="488">
                  <c:v>4.2725523993381122E-2</c:v>
                </c:pt>
                <c:pt idx="492">
                  <c:v>7.7267245068669008E-3</c:v>
                </c:pt>
                <c:pt idx="495">
                  <c:v>8.0292599210080862E-3</c:v>
                </c:pt>
                <c:pt idx="498">
                  <c:v>8.9804064743823752E-3</c:v>
                </c:pt>
                <c:pt idx="501">
                  <c:v>1.7925449871465292E-2</c:v>
                </c:pt>
                <c:pt idx="505">
                  <c:v>2.5963959038527367E-2</c:v>
                </c:pt>
                <c:pt idx="508">
                  <c:v>5.9704619552188712E-2</c:v>
                </c:pt>
                <c:pt idx="511">
                  <c:v>0.2119468646673241</c:v>
                </c:pt>
                <c:pt idx="514">
                  <c:v>0.32135961285279357</c:v>
                </c:pt>
                <c:pt idx="517">
                  <c:v>3.3585539496279335E-2</c:v>
                </c:pt>
                <c:pt idx="521">
                  <c:v>2.2383943965517239E-2</c:v>
                </c:pt>
                <c:pt idx="525">
                  <c:v>0.23250378787878789</c:v>
                </c:pt>
                <c:pt idx="528">
                  <c:v>6.931200237167541E-2</c:v>
                </c:pt>
                <c:pt idx="532">
                  <c:v>2.6266651806353607E-2</c:v>
                </c:pt>
                <c:pt idx="535">
                  <c:v>2.8560936620799018E-2</c:v>
                </c:pt>
                <c:pt idx="538">
                  <c:v>2.2033101523170256E-2</c:v>
                </c:pt>
                <c:pt idx="541">
                  <c:v>1.0478365873500102E-2</c:v>
                </c:pt>
                <c:pt idx="545">
                  <c:v>4.7564125295508276E-2</c:v>
                </c:pt>
                <c:pt idx="549">
                  <c:v>6.3737192539501539E-2</c:v>
                </c:pt>
                <c:pt idx="553">
                  <c:v>0.15855678460239564</c:v>
                </c:pt>
                <c:pt idx="556">
                  <c:v>6.9860477833949067E-2</c:v>
                </c:pt>
                <c:pt idx="559">
                  <c:v>3.540071032880629E-2</c:v>
                </c:pt>
                <c:pt idx="562">
                  <c:v>5.7472614091890223E-2</c:v>
                </c:pt>
                <c:pt idx="565">
                  <c:v>6.4416179406731319E-2</c:v>
                </c:pt>
                <c:pt idx="568">
                  <c:v>6.0171496156120649E-2</c:v>
                </c:pt>
                <c:pt idx="574">
                  <c:v>1.2873802101373974E-2</c:v>
                </c:pt>
                <c:pt idx="577">
                  <c:v>1.0435045753732542E-2</c:v>
                </c:pt>
                <c:pt idx="580">
                  <c:v>1.5024576579857948E-2</c:v>
                </c:pt>
                <c:pt idx="583">
                  <c:v>6.7198594539199172E-2</c:v>
                </c:pt>
                <c:pt idx="586">
                  <c:v>0.12813804067033188</c:v>
                </c:pt>
                <c:pt idx="589">
                  <c:v>3.146511386087137E-2</c:v>
                </c:pt>
                <c:pt idx="592">
                  <c:v>2.1591610117211595E-2</c:v>
                </c:pt>
                <c:pt idx="595">
                  <c:v>5.0843083275980722E-2</c:v>
                </c:pt>
                <c:pt idx="599">
                  <c:v>3.0057042562527427E-2</c:v>
                </c:pt>
                <c:pt idx="602">
                  <c:v>4.904332526940839E-2</c:v>
                </c:pt>
                <c:pt idx="605">
                  <c:v>0.11826301201108715</c:v>
                </c:pt>
                <c:pt idx="608">
                  <c:v>0.11563255439161965</c:v>
                </c:pt>
                <c:pt idx="611">
                  <c:v>7.887846388828279E-2</c:v>
                </c:pt>
                <c:pt idx="615">
                  <c:v>4.0514110086616373E-2</c:v>
                </c:pt>
                <c:pt idx="618">
                  <c:v>2.2791362459921971E-2</c:v>
                </c:pt>
                <c:pt idx="621">
                  <c:v>4.0858706328048271E-2</c:v>
                </c:pt>
                <c:pt idx="624">
                  <c:v>3.8696600227265746E-2</c:v>
                </c:pt>
                <c:pt idx="627">
                  <c:v>2.2719087635054029E-2</c:v>
                </c:pt>
                <c:pt idx="631">
                  <c:v>2.0949972909517792E-2</c:v>
                </c:pt>
                <c:pt idx="634">
                  <c:v>1.3212180016515276E-2</c:v>
                </c:pt>
                <c:pt idx="637">
                  <c:v>2.9815146094215862E-2</c:v>
                </c:pt>
                <c:pt idx="646">
                  <c:v>3.0278398699451332E-2</c:v>
                </c:pt>
                <c:pt idx="649">
                  <c:v>2.2980958634274462E-2</c:v>
                </c:pt>
                <c:pt idx="652">
                  <c:v>2.6209589932740297E-2</c:v>
                </c:pt>
                <c:pt idx="655">
                  <c:v>6.0322894018596467E-2</c:v>
                </c:pt>
                <c:pt idx="658">
                  <c:v>0.11667271188489906</c:v>
                </c:pt>
                <c:pt idx="664">
                  <c:v>6.3300017534630909E-2</c:v>
                </c:pt>
                <c:pt idx="670">
                  <c:v>3.2227032227032222E-2</c:v>
                </c:pt>
                <c:pt idx="673">
                  <c:v>0.14903715758068892</c:v>
                </c:pt>
                <c:pt idx="676">
                  <c:v>3.5957951126440149E-3</c:v>
                </c:pt>
                <c:pt idx="679">
                  <c:v>7.4815192454754001E-2</c:v>
                </c:pt>
                <c:pt idx="682">
                  <c:v>9.4977168949771668E-3</c:v>
                </c:pt>
                <c:pt idx="685">
                  <c:v>6.4690532671986191E-4</c:v>
                </c:pt>
                <c:pt idx="688">
                  <c:v>1.0775085119166831E-2</c:v>
                </c:pt>
                <c:pt idx="691">
                  <c:v>0.13824098829169357</c:v>
                </c:pt>
                <c:pt idx="694">
                  <c:v>5.4243794035202922E-2</c:v>
                </c:pt>
                <c:pt idx="697">
                  <c:v>2.8899082568807338E-2</c:v>
                </c:pt>
                <c:pt idx="700">
                  <c:v>1.5012393953147364E-2</c:v>
                </c:pt>
                <c:pt idx="703">
                  <c:v>5.7489838056680169E-2</c:v>
                </c:pt>
                <c:pt idx="704">
                  <c:v>5.1777434312210199E-2</c:v>
                </c:pt>
                <c:pt idx="718">
                  <c:v>5.8498896247240632E-2</c:v>
                </c:pt>
                <c:pt idx="721">
                  <c:v>6.5343417231364951E-3</c:v>
                </c:pt>
                <c:pt idx="724">
                  <c:v>7.328309702086983E-3</c:v>
                </c:pt>
                <c:pt idx="727">
                  <c:v>3.581536561519065E-2</c:v>
                </c:pt>
                <c:pt idx="730">
                  <c:v>5.1364722886208247E-2</c:v>
                </c:pt>
                <c:pt idx="733">
                  <c:v>0.18966887417218542</c:v>
                </c:pt>
                <c:pt idx="736">
                  <c:v>2.5919475463579547E-2</c:v>
                </c:pt>
                <c:pt idx="739">
                  <c:v>1.8404907975460121E-2</c:v>
                </c:pt>
                <c:pt idx="745">
                  <c:v>1.4121510673234814E-2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F-1344-B64B-9C8C6E38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vs but 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update'!$N$3:$N$748</c:f>
              <c:numCache>
                <c:formatCode>General</c:formatCode>
                <c:ptCount val="746"/>
                <c:pt idx="2">
                  <c:v>-0.3615226880513247</c:v>
                </c:pt>
                <c:pt idx="5">
                  <c:v>-0.72304537610264941</c:v>
                </c:pt>
                <c:pt idx="8">
                  <c:v>-0.95530536740405247</c:v>
                </c:pt>
                <c:pt idx="11">
                  <c:v>-1.3168280554553773</c:v>
                </c:pt>
                <c:pt idx="14">
                  <c:v>-1.678350743506702</c:v>
                </c:pt>
                <c:pt idx="17">
                  <c:v>-1.8802727645243134</c:v>
                </c:pt>
                <c:pt idx="20">
                  <c:v>-2.2011683278908767</c:v>
                </c:pt>
                <c:pt idx="23">
                  <c:v>3.6836867906299808E-2</c:v>
                </c:pt>
                <c:pt idx="26">
                  <c:v>1.61820249982965</c:v>
                </c:pt>
                <c:pt idx="29">
                  <c:v>1.3647896563914761</c:v>
                </c:pt>
                <c:pt idx="32">
                  <c:v>1.0153245789170873</c:v>
                </c:pt>
                <c:pt idx="35">
                  <c:v>0.67406952373831741</c:v>
                </c:pt>
                <c:pt idx="38">
                  <c:v>0.35365737305485101</c:v>
                </c:pt>
                <c:pt idx="41">
                  <c:v>-7.8653149964736935E-3</c:v>
                </c:pt>
                <c:pt idx="44">
                  <c:v>-0.3693880030477984</c:v>
                </c:pt>
                <c:pt idx="47">
                  <c:v>-0.7309106910991231</c:v>
                </c:pt>
                <c:pt idx="50">
                  <c:v>-0.97949885589429819</c:v>
                </c:pt>
                <c:pt idx="53">
                  <c:v>-0.88796835229421944</c:v>
                </c:pt>
                <c:pt idx="56">
                  <c:v>-1.2494910403455441</c:v>
                </c:pt>
                <c:pt idx="59">
                  <c:v>3.8336371740814239</c:v>
                </c:pt>
                <c:pt idx="62">
                  <c:v>10.016921482957521</c:v>
                </c:pt>
                <c:pt idx="65">
                  <c:v>9.8162001357732649</c:v>
                </c:pt>
                <c:pt idx="68">
                  <c:v>9.5379561839458287</c:v>
                </c:pt>
                <c:pt idx="71">
                  <c:v>9.3010268089939565</c:v>
                </c:pt>
                <c:pt idx="74">
                  <c:v>9.1461075494282813</c:v>
                </c:pt>
                <c:pt idx="77">
                  <c:v>9.0189829361326854</c:v>
                </c:pt>
                <c:pt idx="80">
                  <c:v>8.6574602480813603</c:v>
                </c:pt>
                <c:pt idx="83">
                  <c:v>8.2959375600300351</c:v>
                </c:pt>
                <c:pt idx="86">
                  <c:v>8.6847399344550116</c:v>
                </c:pt>
                <c:pt idx="89">
                  <c:v>8.6500057577787057</c:v>
                </c:pt>
                <c:pt idx="92">
                  <c:v>8.2884830697273806</c:v>
                </c:pt>
                <c:pt idx="110">
                  <c:v>7.9269603816760554</c:v>
                </c:pt>
                <c:pt idx="113">
                  <c:v>7.5654376936247303</c:v>
                </c:pt>
                <c:pt idx="116">
                  <c:v>7.2039150055734051</c:v>
                </c:pt>
                <c:pt idx="119">
                  <c:v>6.84239231752208</c:v>
                </c:pt>
                <c:pt idx="122">
                  <c:v>6.4808696294707548</c:v>
                </c:pt>
                <c:pt idx="125">
                  <c:v>6.1656544218540095</c:v>
                </c:pt>
                <c:pt idx="128">
                  <c:v>6.0202852786671723</c:v>
                </c:pt>
                <c:pt idx="131">
                  <c:v>9.4457996063870944</c:v>
                </c:pt>
                <c:pt idx="134">
                  <c:v>11.590216806405378</c:v>
                </c:pt>
                <c:pt idx="137">
                  <c:v>11.228694118354053</c:v>
                </c:pt>
                <c:pt idx="140">
                  <c:v>10.950795860716784</c:v>
                </c:pt>
                <c:pt idx="143">
                  <c:v>10.629486190229221</c:v>
                </c:pt>
                <c:pt idx="146">
                  <c:v>10.267963502177896</c:v>
                </c:pt>
                <c:pt idx="149">
                  <c:v>9.9064408141265705</c:v>
                </c:pt>
                <c:pt idx="152">
                  <c:v>9.5449181260752454</c:v>
                </c:pt>
                <c:pt idx="155">
                  <c:v>9.1833954380239202</c:v>
                </c:pt>
                <c:pt idx="158">
                  <c:v>8.8218727499725951</c:v>
                </c:pt>
                <c:pt idx="161">
                  <c:v>8.4603500619212699</c:v>
                </c:pt>
                <c:pt idx="164">
                  <c:v>8.0988273738699448</c:v>
                </c:pt>
                <c:pt idx="167">
                  <c:v>8.5607836927893377</c:v>
                </c:pt>
                <c:pt idx="170">
                  <c:v>10.232776894146834</c:v>
                </c:pt>
                <c:pt idx="173">
                  <c:v>9.8712542060955091</c:v>
                </c:pt>
                <c:pt idx="176">
                  <c:v>9.5097315180441839</c:v>
                </c:pt>
                <c:pt idx="179">
                  <c:v>9.1482088299928588</c:v>
                </c:pt>
                <c:pt idx="182">
                  <c:v>8.7866861419415336</c:v>
                </c:pt>
                <c:pt idx="185">
                  <c:v>8.4251634538902085</c:v>
                </c:pt>
                <c:pt idx="188">
                  <c:v>8.0636407658388833</c:v>
                </c:pt>
                <c:pt idx="191">
                  <c:v>7.7909716738327903</c:v>
                </c:pt>
                <c:pt idx="194">
                  <c:v>7.4294489857814661</c:v>
                </c:pt>
                <c:pt idx="197">
                  <c:v>7.0679262977301409</c:v>
                </c:pt>
                <c:pt idx="200">
                  <c:v>7.5546509414352876</c:v>
                </c:pt>
                <c:pt idx="203">
                  <c:v>10.03072351709806</c:v>
                </c:pt>
                <c:pt idx="206">
                  <c:v>10.001824149171698</c:v>
                </c:pt>
                <c:pt idx="209">
                  <c:v>9.7997479361492807</c:v>
                </c:pt>
                <c:pt idx="212">
                  <c:v>9.4382252480979556</c:v>
                </c:pt>
                <c:pt idx="215">
                  <c:v>9.0767025600466305</c:v>
                </c:pt>
                <c:pt idx="218">
                  <c:v>8.7156208919485003</c:v>
                </c:pt>
                <c:pt idx="221">
                  <c:v>8.957157092012368</c:v>
                </c:pt>
                <c:pt idx="224">
                  <c:v>8.5968301066643384</c:v>
                </c:pt>
                <c:pt idx="227">
                  <c:v>8.2362001831965923</c:v>
                </c:pt>
                <c:pt idx="230">
                  <c:v>8.1537269572066329</c:v>
                </c:pt>
                <c:pt idx="233">
                  <c:v>8.5702741416189951</c:v>
                </c:pt>
                <c:pt idx="236">
                  <c:v>9.2191078702359768</c:v>
                </c:pt>
                <c:pt idx="239">
                  <c:v>11.026595461063094</c:v>
                </c:pt>
                <c:pt idx="242">
                  <c:v>13.775917263100535</c:v>
                </c:pt>
                <c:pt idx="245">
                  <c:v>13.414568796680157</c:v>
                </c:pt>
                <c:pt idx="248">
                  <c:v>13.053186296154001</c:v>
                </c:pt>
                <c:pt idx="251">
                  <c:v>12.691823606008322</c:v>
                </c:pt>
                <c:pt idx="254">
                  <c:v>12.335620498629581</c:v>
                </c:pt>
                <c:pt idx="257">
                  <c:v>12.754301484469416</c:v>
                </c:pt>
                <c:pt idx="260">
                  <c:v>13.422387765435637</c:v>
                </c:pt>
                <c:pt idx="263">
                  <c:v>13.250626997846368</c:v>
                </c:pt>
                <c:pt idx="266">
                  <c:v>13.012319089328663</c:v>
                </c:pt>
                <c:pt idx="269">
                  <c:v>13.306877724051372</c:v>
                </c:pt>
                <c:pt idx="272">
                  <c:v>13.065538810268107</c:v>
                </c:pt>
                <c:pt idx="275">
                  <c:v>17.927976642358992</c:v>
                </c:pt>
                <c:pt idx="278">
                  <c:v>22.993047552098648</c:v>
                </c:pt>
                <c:pt idx="281">
                  <c:v>22.6611814862631</c:v>
                </c:pt>
                <c:pt idx="284">
                  <c:v>22.301238254496639</c:v>
                </c:pt>
                <c:pt idx="287">
                  <c:v>21.9815412314917</c:v>
                </c:pt>
                <c:pt idx="290">
                  <c:v>21.626954780035273</c:v>
                </c:pt>
                <c:pt idx="293">
                  <c:v>21.303378974985637</c:v>
                </c:pt>
                <c:pt idx="296">
                  <c:v>20.955140470207464</c:v>
                </c:pt>
                <c:pt idx="299">
                  <c:v>20.678431349522203</c:v>
                </c:pt>
                <c:pt idx="302">
                  <c:v>20.577451172419295</c:v>
                </c:pt>
                <c:pt idx="305">
                  <c:v>20.232015096622096</c:v>
                </c:pt>
                <c:pt idx="308">
                  <c:v>20.439982824416759</c:v>
                </c:pt>
                <c:pt idx="311">
                  <c:v>20.206280070684794</c:v>
                </c:pt>
                <c:pt idx="314">
                  <c:v>19.846976084237806</c:v>
                </c:pt>
                <c:pt idx="317">
                  <c:v>19.486972215026643</c:v>
                </c:pt>
                <c:pt idx="320">
                  <c:v>19.126700137993062</c:v>
                </c:pt>
                <c:pt idx="323">
                  <c:v>20.722668556894892</c:v>
                </c:pt>
                <c:pt idx="326">
                  <c:v>23.12041950735286</c:v>
                </c:pt>
                <c:pt idx="329">
                  <c:v>22.77141143369931</c:v>
                </c:pt>
                <c:pt idx="332">
                  <c:v>22.420419033533086</c:v>
                </c:pt>
                <c:pt idx="335">
                  <c:v>22.141299104059929</c:v>
                </c:pt>
                <c:pt idx="338">
                  <c:v>21.78775494427822</c:v>
                </c:pt>
                <c:pt idx="341">
                  <c:v>21.492979562267578</c:v>
                </c:pt>
                <c:pt idx="344">
                  <c:v>21.149215724948121</c:v>
                </c:pt>
                <c:pt idx="347">
                  <c:v>21.200161647232729</c:v>
                </c:pt>
                <c:pt idx="350">
                  <c:v>23.329763490330365</c:v>
                </c:pt>
                <c:pt idx="353">
                  <c:v>23.044826153064037</c:v>
                </c:pt>
                <c:pt idx="356">
                  <c:v>22.684234549465788</c:v>
                </c:pt>
                <c:pt idx="359">
                  <c:v>22.324998024300264</c:v>
                </c:pt>
                <c:pt idx="362">
                  <c:v>21.971621611920884</c:v>
                </c:pt>
                <c:pt idx="365">
                  <c:v>21.622363342208633</c:v>
                </c:pt>
                <c:pt idx="368">
                  <c:v>21.263319010616101</c:v>
                </c:pt>
                <c:pt idx="371">
                  <c:v>20.901796322564778</c:v>
                </c:pt>
                <c:pt idx="375">
                  <c:v>20.540273634513454</c:v>
                </c:pt>
                <c:pt idx="378">
                  <c:v>20.178750946462131</c:v>
                </c:pt>
                <c:pt idx="381">
                  <c:v>19.817228258410807</c:v>
                </c:pt>
                <c:pt idx="384">
                  <c:v>21.211562900988831</c:v>
                </c:pt>
                <c:pt idx="387">
                  <c:v>20.940707580173353</c:v>
                </c:pt>
                <c:pt idx="391">
                  <c:v>20.659644777330829</c:v>
                </c:pt>
                <c:pt idx="394">
                  <c:v>20.373002459014742</c:v>
                </c:pt>
                <c:pt idx="397">
                  <c:v>20.011479770963419</c:v>
                </c:pt>
                <c:pt idx="400">
                  <c:v>19.649957082912096</c:v>
                </c:pt>
                <c:pt idx="403">
                  <c:v>19.288434394860772</c:v>
                </c:pt>
                <c:pt idx="406">
                  <c:v>19.062590744229418</c:v>
                </c:pt>
                <c:pt idx="409">
                  <c:v>18.701068056178094</c:v>
                </c:pt>
                <c:pt idx="413">
                  <c:v>18.471472560043825</c:v>
                </c:pt>
                <c:pt idx="416">
                  <c:v>18.261632988164774</c:v>
                </c:pt>
                <c:pt idx="419">
                  <c:v>17.90011030011345</c:v>
                </c:pt>
                <c:pt idx="422">
                  <c:v>18.219543798608239</c:v>
                </c:pt>
                <c:pt idx="425">
                  <c:v>17.872096287386594</c:v>
                </c:pt>
                <c:pt idx="428">
                  <c:v>17.51057359933527</c:v>
                </c:pt>
                <c:pt idx="432">
                  <c:v>17.149050911283947</c:v>
                </c:pt>
                <c:pt idx="435">
                  <c:v>16.787528223232624</c:v>
                </c:pt>
                <c:pt idx="438">
                  <c:v>16.4260055351813</c:v>
                </c:pt>
                <c:pt idx="441">
                  <c:v>16.209409313296753</c:v>
                </c:pt>
                <c:pt idx="444">
                  <c:v>15.847886625245428</c:v>
                </c:pt>
                <c:pt idx="448">
                  <c:v>15.486363937194103</c:v>
                </c:pt>
                <c:pt idx="452">
                  <c:v>15.555962228718679</c:v>
                </c:pt>
                <c:pt idx="455">
                  <c:v>15.194439540667354</c:v>
                </c:pt>
                <c:pt idx="458">
                  <c:v>14.832916852616028</c:v>
                </c:pt>
                <c:pt idx="461">
                  <c:v>14.471394164564703</c:v>
                </c:pt>
                <c:pt idx="465">
                  <c:v>14.211237009295967</c:v>
                </c:pt>
                <c:pt idx="468">
                  <c:v>13.849714321244642</c:v>
                </c:pt>
                <c:pt idx="471">
                  <c:v>13.488191633193317</c:v>
                </c:pt>
                <c:pt idx="474">
                  <c:v>13.126668945141992</c:v>
                </c:pt>
                <c:pt idx="477">
                  <c:v>12.765146257090667</c:v>
                </c:pt>
                <c:pt idx="481">
                  <c:v>12.403623569039341</c:v>
                </c:pt>
                <c:pt idx="484">
                  <c:v>12.042100880988016</c:v>
                </c:pt>
                <c:pt idx="488">
                  <c:v>11.680578192936691</c:v>
                </c:pt>
                <c:pt idx="492">
                  <c:v>11.335898013112027</c:v>
                </c:pt>
                <c:pt idx="495">
                  <c:v>10.974375325060702</c:v>
                </c:pt>
                <c:pt idx="498">
                  <c:v>10.612852637009377</c:v>
                </c:pt>
                <c:pt idx="501">
                  <c:v>10.251329948958052</c:v>
                </c:pt>
                <c:pt idx="505">
                  <c:v>9.8898072609067267</c:v>
                </c:pt>
                <c:pt idx="508">
                  <c:v>9.6431920284884338</c:v>
                </c:pt>
                <c:pt idx="511">
                  <c:v>9.2816693404371087</c:v>
                </c:pt>
                <c:pt idx="514">
                  <c:v>8.9201466523857835</c:v>
                </c:pt>
                <c:pt idx="517">
                  <c:v>8.5586239643344584</c:v>
                </c:pt>
                <c:pt idx="521">
                  <c:v>8.1971012762831332</c:v>
                </c:pt>
                <c:pt idx="525">
                  <c:v>7.8355785882318081</c:v>
                </c:pt>
                <c:pt idx="528">
                  <c:v>7.4740559001804829</c:v>
                </c:pt>
                <c:pt idx="532">
                  <c:v>7.1125332121291578</c:v>
                </c:pt>
                <c:pt idx="535">
                  <c:v>6.7510105240778326</c:v>
                </c:pt>
                <c:pt idx="538">
                  <c:v>6.3894878360265075</c:v>
                </c:pt>
                <c:pt idx="541">
                  <c:v>6.0279651479751823</c:v>
                </c:pt>
                <c:pt idx="545">
                  <c:v>5.6664424599238572</c:v>
                </c:pt>
                <c:pt idx="549">
                  <c:v>5.3049197718725321</c:v>
                </c:pt>
                <c:pt idx="553">
                  <c:v>4.9433970838212069</c:v>
                </c:pt>
                <c:pt idx="556">
                  <c:v>4.5818743957698818</c:v>
                </c:pt>
                <c:pt idx="559">
                  <c:v>4.2203517077185566</c:v>
                </c:pt>
                <c:pt idx="562">
                  <c:v>3.8588290196672319</c:v>
                </c:pt>
                <c:pt idx="565">
                  <c:v>3.4973063316159072</c:v>
                </c:pt>
                <c:pt idx="568">
                  <c:v>3.1758745676258529</c:v>
                </c:pt>
                <c:pt idx="574">
                  <c:v>2.893547499188271</c:v>
                </c:pt>
                <c:pt idx="577">
                  <c:v>2.6190928526213946</c:v>
                </c:pt>
                <c:pt idx="580">
                  <c:v>2.6323178943868388</c:v>
                </c:pt>
                <c:pt idx="583">
                  <c:v>2.394567459947746</c:v>
                </c:pt>
                <c:pt idx="586">
                  <c:v>2.0731955240650115</c:v>
                </c:pt>
                <c:pt idx="589">
                  <c:v>1.7607695966909973</c:v>
                </c:pt>
                <c:pt idx="592">
                  <c:v>1.4632102416322994</c:v>
                </c:pt>
                <c:pt idx="595">
                  <c:v>1.1401110577903588</c:v>
                </c:pt>
                <c:pt idx="599">
                  <c:v>0.82058294494231032</c:v>
                </c:pt>
                <c:pt idx="602">
                  <c:v>0.55027095863498232</c:v>
                </c:pt>
                <c:pt idx="605">
                  <c:v>0.21822369414992793</c:v>
                </c:pt>
                <c:pt idx="608">
                  <c:v>-9.7025588333706614E-2</c:v>
                </c:pt>
                <c:pt idx="611">
                  <c:v>-0.38545656789896299</c:v>
                </c:pt>
                <c:pt idx="615">
                  <c:v>2.1812455488791054</c:v>
                </c:pt>
                <c:pt idx="618">
                  <c:v>3.4686639093617027</c:v>
                </c:pt>
                <c:pt idx="621">
                  <c:v>3.2271073860590409</c:v>
                </c:pt>
                <c:pt idx="624">
                  <c:v>2.8969378802293666</c:v>
                </c:pt>
                <c:pt idx="627">
                  <c:v>2.5689265905424374</c:v>
                </c:pt>
                <c:pt idx="631">
                  <c:v>2.2246874958268159</c:v>
                </c:pt>
                <c:pt idx="634">
                  <c:v>1.9026773000545116</c:v>
                </c:pt>
                <c:pt idx="637">
                  <c:v>1.5601765273877601</c:v>
                </c:pt>
                <c:pt idx="646">
                  <c:v>1.5033544920365873</c:v>
                </c:pt>
                <c:pt idx="649">
                  <c:v>1.162777143512465</c:v>
                </c:pt>
                <c:pt idx="652">
                  <c:v>4.3632533445740691</c:v>
                </c:pt>
                <c:pt idx="655">
                  <c:v>4.0430535045797482</c:v>
                </c:pt>
                <c:pt idx="658">
                  <c:v>3.7046736606912543</c:v>
                </c:pt>
                <c:pt idx="664">
                  <c:v>3.4046845489589503</c:v>
                </c:pt>
                <c:pt idx="670">
                  <c:v>3.0891932492192118</c:v>
                </c:pt>
                <c:pt idx="673">
                  <c:v>2.8228515664122198</c:v>
                </c:pt>
                <c:pt idx="676">
                  <c:v>2.4683516461234096</c:v>
                </c:pt>
                <c:pt idx="679">
                  <c:v>2.1556218370093196</c:v>
                </c:pt>
                <c:pt idx="682">
                  <c:v>1.9252068400487117</c:v>
                </c:pt>
                <c:pt idx="685">
                  <c:v>2.0590487135224382</c:v>
                </c:pt>
                <c:pt idx="688">
                  <c:v>4.2942325724348898</c:v>
                </c:pt>
                <c:pt idx="691">
                  <c:v>3.9591801795115522</c:v>
                </c:pt>
                <c:pt idx="694">
                  <c:v>3.6524417052737954</c:v>
                </c:pt>
                <c:pt idx="697">
                  <c:v>3.3555541833880262</c:v>
                </c:pt>
                <c:pt idx="700">
                  <c:v>3.0731120986147009</c:v>
                </c:pt>
                <c:pt idx="703">
                  <c:v>2.7503340487414278</c:v>
                </c:pt>
                <c:pt idx="704">
                  <c:v>2.4134634102263699</c:v>
                </c:pt>
                <c:pt idx="718">
                  <c:v>2.6270857469411464</c:v>
                </c:pt>
                <c:pt idx="721">
                  <c:v>2.4354238363999161</c:v>
                </c:pt>
                <c:pt idx="724">
                  <c:v>6.8158870100276321</c:v>
                </c:pt>
                <c:pt idx="727">
                  <c:v>8.3505151203741246</c:v>
                </c:pt>
                <c:pt idx="730">
                  <c:v>8.008500596552933</c:v>
                </c:pt>
                <c:pt idx="733">
                  <c:v>7.6554290190695999</c:v>
                </c:pt>
                <c:pt idx="736">
                  <c:v>7.3037105781548171</c:v>
                </c:pt>
                <c:pt idx="739">
                  <c:v>6.9549511944913007</c:v>
                </c:pt>
                <c:pt idx="745">
                  <c:v>6.6248568336320242</c:v>
                </c:pt>
              </c:numCache>
            </c:numRef>
          </c:xVal>
          <c:yVal>
            <c:numRef>
              <c:f>'Peridin update'!$N$3:$N$748</c:f>
              <c:numCache>
                <c:formatCode>General</c:formatCode>
                <c:ptCount val="746"/>
                <c:pt idx="2">
                  <c:v>-0.30318175049237367</c:v>
                </c:pt>
                <c:pt idx="5">
                  <c:v>-1.1658592883476135</c:v>
                </c:pt>
                <c:pt idx="8">
                  <c:v>-0.95471546337021918</c:v>
                </c:pt>
                <c:pt idx="11">
                  <c:v>-1.1040052013882931</c:v>
                </c:pt>
                <c:pt idx="14">
                  <c:v>-1.2747523330486572</c:v>
                </c:pt>
                <c:pt idx="17">
                  <c:v>-2.0311644130395452</c:v>
                </c:pt>
                <c:pt idx="20">
                  <c:v>-2.6835168779173673</c:v>
                </c:pt>
                <c:pt idx="23">
                  <c:v>-3.5605771096437397</c:v>
                </c:pt>
                <c:pt idx="26">
                  <c:v>-4.3535914444923938</c:v>
                </c:pt>
                <c:pt idx="29">
                  <c:v>-2.4707167102161116</c:v>
                </c:pt>
                <c:pt idx="32">
                  <c:v>-2.3625691058444742</c:v>
                </c:pt>
                <c:pt idx="35">
                  <c:v>-2.6627577635806166</c:v>
                </c:pt>
                <c:pt idx="38">
                  <c:v>-3.0656292061787238</c:v>
                </c:pt>
                <c:pt idx="41">
                  <c:v>-2.5743169436375837</c:v>
                </c:pt>
                <c:pt idx="44">
                  <c:v>-1.2719405783486106</c:v>
                </c:pt>
                <c:pt idx="47">
                  <c:v>-0.39547360312779689</c:v>
                </c:pt>
                <c:pt idx="50">
                  <c:v>0.29655168885650829</c:v>
                </c:pt>
                <c:pt idx="53">
                  <c:v>-0.63852238038681897</c:v>
                </c:pt>
                <c:pt idx="56">
                  <c:v>-1.4556810729415663</c:v>
                </c:pt>
                <c:pt idx="59">
                  <c:v>-2.2132007688546489</c:v>
                </c:pt>
                <c:pt idx="62">
                  <c:v>-3.0353737493790551</c:v>
                </c:pt>
                <c:pt idx="65">
                  <c:v>-1.4774215759512259</c:v>
                </c:pt>
                <c:pt idx="68">
                  <c:v>-2.0643002100073913</c:v>
                </c:pt>
                <c:pt idx="71">
                  <c:v>-0.14231632704302455</c:v>
                </c:pt>
                <c:pt idx="74">
                  <c:v>-0.28752471021288661</c:v>
                </c:pt>
                <c:pt idx="77">
                  <c:v>-0.99412225416658873</c:v>
                </c:pt>
                <c:pt idx="80">
                  <c:v>-1.0278957410785832</c:v>
                </c:pt>
                <c:pt idx="83">
                  <c:v>-1.3033041046950329</c:v>
                </c:pt>
                <c:pt idx="86">
                  <c:v>-1.5540320654248996</c:v>
                </c:pt>
                <c:pt idx="89">
                  <c:v>-1.6563573949363424</c:v>
                </c:pt>
                <c:pt idx="92">
                  <c:v>-1.6334149722236155</c:v>
                </c:pt>
                <c:pt idx="110">
                  <c:v>-1.0016088710596407</c:v>
                </c:pt>
                <c:pt idx="113">
                  <c:v>-1.3847074575195837</c:v>
                </c:pt>
                <c:pt idx="116">
                  <c:v>-1.1324769840977917</c:v>
                </c:pt>
                <c:pt idx="119">
                  <c:v>-0.12963012764545101</c:v>
                </c:pt>
                <c:pt idx="122">
                  <c:v>2.1473831466650384E-2</c:v>
                </c:pt>
                <c:pt idx="125">
                  <c:v>-8.1656354071222674E-3</c:v>
                </c:pt>
                <c:pt idx="128">
                  <c:v>-0.65125055331814519</c:v>
                </c:pt>
                <c:pt idx="131">
                  <c:v>-1.1080347946653704</c:v>
                </c:pt>
                <c:pt idx="134">
                  <c:v>-1.9676873602065845</c:v>
                </c:pt>
                <c:pt idx="137">
                  <c:v>-2.8019563806450845</c:v>
                </c:pt>
                <c:pt idx="140">
                  <c:v>-3.0841581041308674</c:v>
                </c:pt>
                <c:pt idx="143">
                  <c:v>-3.3564789329273386</c:v>
                </c:pt>
                <c:pt idx="146">
                  <c:v>-2.8124126997953267</c:v>
                </c:pt>
                <c:pt idx="149">
                  <c:v>-3.2623070272905066</c:v>
                </c:pt>
                <c:pt idx="152">
                  <c:v>-3.4890976537268528</c:v>
                </c:pt>
                <c:pt idx="155">
                  <c:v>-4.364842252753057</c:v>
                </c:pt>
                <c:pt idx="158">
                  <c:v>-5.1393513855298023</c:v>
                </c:pt>
                <c:pt idx="161">
                  <c:v>-5.8949871975930686</c:v>
                </c:pt>
                <c:pt idx="164">
                  <c:v>-5.8483756510410556</c:v>
                </c:pt>
                <c:pt idx="167">
                  <c:v>-6.6763712009307739</c:v>
                </c:pt>
                <c:pt idx="170">
                  <c:v>-7.3032720614415565</c:v>
                </c:pt>
                <c:pt idx="173">
                  <c:v>-6.9632146558734069</c:v>
                </c:pt>
                <c:pt idx="176">
                  <c:v>-5.0542147913895992</c:v>
                </c:pt>
                <c:pt idx="179">
                  <c:v>-4.7124470700594809</c:v>
                </c:pt>
                <c:pt idx="182">
                  <c:v>-5.2560815994492796</c:v>
                </c:pt>
                <c:pt idx="185">
                  <c:v>-4.9344479864202526</c:v>
                </c:pt>
                <c:pt idx="188">
                  <c:v>-4.8391219308541764</c:v>
                </c:pt>
                <c:pt idx="191">
                  <c:v>-3.4463298467780978</c:v>
                </c:pt>
                <c:pt idx="194">
                  <c:v>-3.9061928035657187</c:v>
                </c:pt>
                <c:pt idx="197">
                  <c:v>-4.4320853869098737</c:v>
                </c:pt>
                <c:pt idx="200">
                  <c:v>-5.194519220259135</c:v>
                </c:pt>
                <c:pt idx="203">
                  <c:v>-6.0813925120354941</c:v>
                </c:pt>
                <c:pt idx="206">
                  <c:v>-6.3489049259977319</c:v>
                </c:pt>
                <c:pt idx="209">
                  <c:v>-6.3305679525795213</c:v>
                </c:pt>
                <c:pt idx="212">
                  <c:v>-7.0574711424794954</c:v>
                </c:pt>
                <c:pt idx="215">
                  <c:v>-7.8556968016342532</c:v>
                </c:pt>
                <c:pt idx="218">
                  <c:v>-8.6480380778666515</c:v>
                </c:pt>
                <c:pt idx="221">
                  <c:v>-9.5825563671366218</c:v>
                </c:pt>
                <c:pt idx="224">
                  <c:v>-10.103059334194112</c:v>
                </c:pt>
                <c:pt idx="227">
                  <c:v>-10.530689692904794</c:v>
                </c:pt>
                <c:pt idx="230">
                  <c:v>-11.066448968565901</c:v>
                </c:pt>
                <c:pt idx="233">
                  <c:v>-11.745221604021649</c:v>
                </c:pt>
                <c:pt idx="236">
                  <c:v>-9.3687584651470068</c:v>
                </c:pt>
                <c:pt idx="239">
                  <c:v>-10.178756575036129</c:v>
                </c:pt>
                <c:pt idx="242">
                  <c:v>-11.074578175774439</c:v>
                </c:pt>
                <c:pt idx="245">
                  <c:v>-11.852453122415401</c:v>
                </c:pt>
                <c:pt idx="248">
                  <c:v>-12.697698303448414</c:v>
                </c:pt>
                <c:pt idx="251">
                  <c:v>-13.309299790300679</c:v>
                </c:pt>
                <c:pt idx="254">
                  <c:v>-13.543476800229465</c:v>
                </c:pt>
                <c:pt idx="257">
                  <c:v>-13.852946498059673</c:v>
                </c:pt>
                <c:pt idx="260">
                  <c:v>-13.767140993657547</c:v>
                </c:pt>
                <c:pt idx="263">
                  <c:v>-14.020440558206388</c:v>
                </c:pt>
                <c:pt idx="266">
                  <c:v>-14.39723604492877</c:v>
                </c:pt>
                <c:pt idx="269">
                  <c:v>-14.614406464867622</c:v>
                </c:pt>
                <c:pt idx="272">
                  <c:v>-15.204600583497299</c:v>
                </c:pt>
                <c:pt idx="275">
                  <c:v>-15.948419996541181</c:v>
                </c:pt>
                <c:pt idx="278">
                  <c:v>-16.83495676191745</c:v>
                </c:pt>
                <c:pt idx="281">
                  <c:v>-17.58578786355811</c:v>
                </c:pt>
                <c:pt idx="284">
                  <c:v>-18.052312061970618</c:v>
                </c:pt>
                <c:pt idx="287">
                  <c:v>-18.939084896626511</c:v>
                </c:pt>
                <c:pt idx="290">
                  <c:v>-19.845428714021846</c:v>
                </c:pt>
                <c:pt idx="293">
                  <c:v>-20.652204182482244</c:v>
                </c:pt>
                <c:pt idx="296">
                  <c:v>-19.999434155044508</c:v>
                </c:pt>
                <c:pt idx="299">
                  <c:v>-20.056323413401696</c:v>
                </c:pt>
                <c:pt idx="302">
                  <c:v>-19.739749548964848</c:v>
                </c:pt>
                <c:pt idx="305">
                  <c:v>-20.306759942418061</c:v>
                </c:pt>
                <c:pt idx="308">
                  <c:v>-19.606188805603072</c:v>
                </c:pt>
                <c:pt idx="311">
                  <c:v>-19.091996974127714</c:v>
                </c:pt>
                <c:pt idx="314">
                  <c:v>-18.48751639803692</c:v>
                </c:pt>
                <c:pt idx="317">
                  <c:v>-17.831544771367135</c:v>
                </c:pt>
                <c:pt idx="320">
                  <c:v>-17.449381955066329</c:v>
                </c:pt>
                <c:pt idx="323">
                  <c:v>-18.029365396999772</c:v>
                </c:pt>
                <c:pt idx="326">
                  <c:v>-18.865688063648481</c:v>
                </c:pt>
                <c:pt idx="329">
                  <c:v>-19.440373815338603</c:v>
                </c:pt>
                <c:pt idx="332">
                  <c:v>-18.832222231005396</c:v>
                </c:pt>
                <c:pt idx="335">
                  <c:v>-19.10452767265306</c:v>
                </c:pt>
                <c:pt idx="338">
                  <c:v>-19.792538384504489</c:v>
                </c:pt>
                <c:pt idx="341">
                  <c:v>-20.356666012229482</c:v>
                </c:pt>
                <c:pt idx="344">
                  <c:v>-20.734813586318591</c:v>
                </c:pt>
                <c:pt idx="347">
                  <c:v>-20.868918893719723</c:v>
                </c:pt>
                <c:pt idx="350">
                  <c:v>-21.546975047108614</c:v>
                </c:pt>
                <c:pt idx="353">
                  <c:v>-21.025266329663452</c:v>
                </c:pt>
                <c:pt idx="356">
                  <c:v>-17.539863695222643</c:v>
                </c:pt>
                <c:pt idx="359">
                  <c:v>-18.088517927461726</c:v>
                </c:pt>
                <c:pt idx="362">
                  <c:v>-17.746235475430755</c:v>
                </c:pt>
                <c:pt idx="365">
                  <c:v>-17.595149875242509</c:v>
                </c:pt>
                <c:pt idx="368">
                  <c:v>-17.954373857289838</c:v>
                </c:pt>
                <c:pt idx="371">
                  <c:v>-17.291374332091607</c:v>
                </c:pt>
                <c:pt idx="375">
                  <c:v>-18.098439259356464</c:v>
                </c:pt>
                <c:pt idx="378">
                  <c:v>-18.779599985844996</c:v>
                </c:pt>
                <c:pt idx="381">
                  <c:v>-19.714674055088324</c:v>
                </c:pt>
                <c:pt idx="384">
                  <c:v>-20.534701545451369</c:v>
                </c:pt>
                <c:pt idx="387">
                  <c:v>-20.627440470023082</c:v>
                </c:pt>
                <c:pt idx="391">
                  <c:v>-19.598711082721724</c:v>
                </c:pt>
                <c:pt idx="394">
                  <c:v>-20.162969417444597</c:v>
                </c:pt>
                <c:pt idx="397">
                  <c:v>-20.956026820706168</c:v>
                </c:pt>
                <c:pt idx="400">
                  <c:v>-21.620258088835342</c:v>
                </c:pt>
                <c:pt idx="403">
                  <c:v>-22.367520330944576</c:v>
                </c:pt>
                <c:pt idx="406">
                  <c:v>-22.436861871404453</c:v>
                </c:pt>
                <c:pt idx="409">
                  <c:v>-22.725047476164921</c:v>
                </c:pt>
                <c:pt idx="413">
                  <c:v>-23.27369875920326</c:v>
                </c:pt>
                <c:pt idx="416">
                  <c:v>-24.042460714044768</c:v>
                </c:pt>
                <c:pt idx="419">
                  <c:v>-24.753092343092614</c:v>
                </c:pt>
                <c:pt idx="422">
                  <c:v>-25.352207496176813</c:v>
                </c:pt>
                <c:pt idx="425">
                  <c:v>-25.857570516659752</c:v>
                </c:pt>
                <c:pt idx="428">
                  <c:v>-25.409525363275922</c:v>
                </c:pt>
                <c:pt idx="432">
                  <c:v>-26.00799343728761</c:v>
                </c:pt>
                <c:pt idx="435">
                  <c:v>-26.126871104604749</c:v>
                </c:pt>
                <c:pt idx="438">
                  <c:v>-24.704935009967638</c:v>
                </c:pt>
                <c:pt idx="441">
                  <c:v>-24.096521107570599</c:v>
                </c:pt>
                <c:pt idx="444">
                  <c:v>-22.740064384876536</c:v>
                </c:pt>
                <c:pt idx="448">
                  <c:v>-22.530236773081874</c:v>
                </c:pt>
                <c:pt idx="452">
                  <c:v>-22.017386246869307</c:v>
                </c:pt>
                <c:pt idx="455">
                  <c:v>-19.422000301516558</c:v>
                </c:pt>
                <c:pt idx="458">
                  <c:v>-20.102568539472131</c:v>
                </c:pt>
                <c:pt idx="461">
                  <c:v>-20.618094886392218</c:v>
                </c:pt>
                <c:pt idx="465">
                  <c:v>-21.211090799962335</c:v>
                </c:pt>
                <c:pt idx="468">
                  <c:v>-20.172518419818278</c:v>
                </c:pt>
                <c:pt idx="471">
                  <c:v>-15.090319516806765</c:v>
                </c:pt>
                <c:pt idx="474">
                  <c:v>-10.16634162950481</c:v>
                </c:pt>
                <c:pt idx="477">
                  <c:v>-9.992866175596582</c:v>
                </c:pt>
                <c:pt idx="481">
                  <c:v>-10.860390341854401</c:v>
                </c:pt>
                <c:pt idx="484">
                  <c:v>-9.7716496359196707</c:v>
                </c:pt>
                <c:pt idx="488">
                  <c:v>-9.9002386268663507</c:v>
                </c:pt>
                <c:pt idx="492">
                  <c:v>-10.689463390203857</c:v>
                </c:pt>
                <c:pt idx="495">
                  <c:v>-11.472977508606991</c:v>
                </c:pt>
                <c:pt idx="498">
                  <c:v>-12.238537827246581</c:v>
                </c:pt>
                <c:pt idx="501">
                  <c:v>-12.835251907146516</c:v>
                </c:pt>
                <c:pt idx="505">
                  <c:v>-13.280231447851783</c:v>
                </c:pt>
                <c:pt idx="508">
                  <c:v>-13.088323791097372</c:v>
                </c:pt>
                <c:pt idx="511">
                  <c:v>-10.022698330653574</c:v>
                </c:pt>
                <c:pt idx="514">
                  <c:v>-4.8918027333080154</c:v>
                </c:pt>
                <c:pt idx="517">
                  <c:v>-5.1929176624717952</c:v>
                </c:pt>
                <c:pt idx="521">
                  <c:v>-5.705473407436302</c:v>
                </c:pt>
                <c:pt idx="525">
                  <c:v>-2.2518163846808554</c:v>
                </c:pt>
                <c:pt idx="528">
                  <c:v>-1.8785601998990304</c:v>
                </c:pt>
                <c:pt idx="532">
                  <c:v>-2.3178261254688111</c:v>
                </c:pt>
                <c:pt idx="535">
                  <c:v>-2.7137852335844759</c:v>
                </c:pt>
                <c:pt idx="538">
                  <c:v>-3.2329634647853087</c:v>
                </c:pt>
                <c:pt idx="541">
                  <c:v>-3.9702483688631065</c:v>
                </c:pt>
                <c:pt idx="545">
                  <c:v>-4.0075041382301793</c:v>
                </c:pt>
                <c:pt idx="549">
                  <c:v>-3.7394778142848457</c:v>
                </c:pt>
                <c:pt idx="553">
                  <c:v>-1.6816411151467854</c:v>
                </c:pt>
                <c:pt idx="556">
                  <c:v>-1.2980319320915144</c:v>
                </c:pt>
                <c:pt idx="559">
                  <c:v>-1.5648837778763967</c:v>
                </c:pt>
                <c:pt idx="562">
                  <c:v>-1.4151073562751511</c:v>
                </c:pt>
                <c:pt idx="565">
                  <c:v>-1.1342645066187451</c:v>
                </c:pt>
                <c:pt idx="568">
                  <c:v>-0.93354410798818355</c:v>
                </c:pt>
                <c:pt idx="574">
                  <c:v>-1.6256128650600192</c:v>
                </c:pt>
                <c:pt idx="577">
                  <c:v>-2.3637154777793299</c:v>
                </c:pt>
                <c:pt idx="580">
                  <c:v>-3.0151863120744364</c:v>
                </c:pt>
                <c:pt idx="583">
                  <c:v>-2.6818227189320116</c:v>
                </c:pt>
                <c:pt idx="586">
                  <c:v>-1.1981688685645493</c:v>
                </c:pt>
                <c:pt idx="589">
                  <c:v>-1.5393088571017173</c:v>
                </c:pt>
                <c:pt idx="592">
                  <c:v>-2.0668206603181214</c:v>
                </c:pt>
                <c:pt idx="595">
                  <c:v>-2.0421829656279158</c:v>
                </c:pt>
                <c:pt idx="599">
                  <c:v>-2.4099016449604989</c:v>
                </c:pt>
                <c:pt idx="602">
                  <c:v>-2.4192361018364243</c:v>
                </c:pt>
                <c:pt idx="605">
                  <c:v>-1.1219828503865172</c:v>
                </c:pt>
                <c:pt idx="608">
                  <c:v>0.12561800079040752</c:v>
                </c:pt>
                <c:pt idx="611">
                  <c:v>0.67945028491833237</c:v>
                </c:pt>
                <c:pt idx="615">
                  <c:v>0.50911874406121138</c:v>
                </c:pt>
                <c:pt idx="618">
                  <c:v>4.2534123590536321E-3</c:v>
                </c:pt>
                <c:pt idx="621">
                  <c:v>-0.15957354527060391</c:v>
                </c:pt>
                <c:pt idx="624">
                  <c:v>-0.36421232087223954</c:v>
                </c:pt>
                <c:pt idx="627">
                  <c:v>-0.87044190893323159</c:v>
                </c:pt>
                <c:pt idx="631">
                  <c:v>-1.4100652273592595</c:v>
                </c:pt>
                <c:pt idx="634">
                  <c:v>-2.0957467780523307</c:v>
                </c:pt>
                <c:pt idx="637">
                  <c:v>-2.4680314842922995</c:v>
                </c:pt>
                <c:pt idx="646">
                  <c:v>-2.8315718550932854</c:v>
                </c:pt>
                <c:pt idx="649">
                  <c:v>-3.3328583778956129</c:v>
                </c:pt>
                <c:pt idx="652">
                  <c:v>-3.7732014008373511</c:v>
                </c:pt>
                <c:pt idx="655">
                  <c:v>-3.5696232229320013</c:v>
                </c:pt>
                <c:pt idx="658">
                  <c:v>-2.3023884054744466</c:v>
                </c:pt>
                <c:pt idx="664">
                  <c:v>-2.0426141773509698</c:v>
                </c:pt>
                <c:pt idx="670">
                  <c:v>-2.36937222891566</c:v>
                </c:pt>
                <c:pt idx="673">
                  <c:v>-0.49122758329449479</c:v>
                </c:pt>
                <c:pt idx="676">
                  <c:v>-1.3584275849568448</c:v>
                </c:pt>
                <c:pt idx="679">
                  <c:v>-0.88129343051640263</c:v>
                </c:pt>
                <c:pt idx="682">
                  <c:v>-1.637089020814178</c:v>
                </c:pt>
                <c:pt idx="685">
                  <c:v>-2.5599521340689724</c:v>
                </c:pt>
                <c:pt idx="688">
                  <c:v>-3.2916361789481625</c:v>
                </c:pt>
                <c:pt idx="691">
                  <c:v>-1.6172795415369874</c:v>
                </c:pt>
                <c:pt idx="694">
                  <c:v>-1.5284501827880697</c:v>
                </c:pt>
                <c:pt idx="697">
                  <c:v>-1.9180264631261879</c:v>
                </c:pt>
                <c:pt idx="700">
                  <c:v>-2.5697272561377296</c:v>
                </c:pt>
                <c:pt idx="703">
                  <c:v>-2.4196257157481376</c:v>
                </c:pt>
                <c:pt idx="704">
                  <c:v>-2.3773512527241647</c:v>
                </c:pt>
                <c:pt idx="718">
                  <c:v>-2.2082027750999091</c:v>
                </c:pt>
                <c:pt idx="721">
                  <c:v>-3.0199349024862525</c:v>
                </c:pt>
                <c:pt idx="724">
                  <c:v>-3.8166801258437975</c:v>
                </c:pt>
                <c:pt idx="727">
                  <c:v>-4.0757049570048771</c:v>
                </c:pt>
                <c:pt idx="730">
                  <c:v>-4.0412208163831451</c:v>
                </c:pt>
                <c:pt idx="733">
                  <c:v>-1.3961137072542962</c:v>
                </c:pt>
                <c:pt idx="736">
                  <c:v>-1.8419329179289772</c:v>
                </c:pt>
                <c:pt idx="739">
                  <c:v>-2.4295967681207835</c:v>
                </c:pt>
                <c:pt idx="745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D-5248-B617-D51F06B61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72432"/>
        <c:axId val="191280368"/>
      </c:scatterChart>
      <c:valAx>
        <c:axId val="2529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0368"/>
        <c:crosses val="autoZero"/>
        <c:crossBetween val="midCat"/>
      </c:valAx>
      <c:valAx>
        <c:axId val="1912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7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vs NH4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[1]NH4!$J$170:$J$970</c:f>
              <c:numCache>
                <c:formatCode>General</c:formatCode>
                <c:ptCount val="801"/>
                <c:pt idx="2">
                  <c:v>-17.866186087386083</c:v>
                </c:pt>
                <c:pt idx="5">
                  <c:v>-18.08942499633989</c:v>
                </c:pt>
                <c:pt idx="8">
                  <c:v>-18.552365458431588</c:v>
                </c:pt>
                <c:pt idx="11">
                  <c:v>-18.687293268860905</c:v>
                </c:pt>
                <c:pt idx="14">
                  <c:v>-19.110583849982426</c:v>
                </c:pt>
                <c:pt idx="17">
                  <c:v>-19.314598574223417</c:v>
                </c:pt>
                <c:pt idx="20">
                  <c:v>-19.824397986552597</c:v>
                </c:pt>
                <c:pt idx="23">
                  <c:v>-20.194822059713879</c:v>
                </c:pt>
                <c:pt idx="26">
                  <c:v>-20.840392276577301</c:v>
                </c:pt>
                <c:pt idx="29">
                  <c:v>-21.066034208620209</c:v>
                </c:pt>
                <c:pt idx="32">
                  <c:v>-21.003914125743194</c:v>
                </c:pt>
                <c:pt idx="35">
                  <c:v>-21.530534699696084</c:v>
                </c:pt>
                <c:pt idx="38">
                  <c:v>-21.822860522461561</c:v>
                </c:pt>
                <c:pt idx="41">
                  <c:v>-22.300819878860143</c:v>
                </c:pt>
                <c:pt idx="44">
                  <c:v>-22.856877485654529</c:v>
                </c:pt>
                <c:pt idx="53">
                  <c:v>-22.258282498135564</c:v>
                </c:pt>
                <c:pt idx="56">
                  <c:v>-20.961008547460288</c:v>
                </c:pt>
                <c:pt idx="59">
                  <c:v>-20.966773866850392</c:v>
                </c:pt>
                <c:pt idx="62">
                  <c:v>-21.513820137060648</c:v>
                </c:pt>
                <c:pt idx="65">
                  <c:v>-21.583866324084223</c:v>
                </c:pt>
                <c:pt idx="68">
                  <c:v>-21.474286535197447</c:v>
                </c:pt>
                <c:pt idx="71">
                  <c:v>-22.119916827638097</c:v>
                </c:pt>
                <c:pt idx="74">
                  <c:v>-22.765547120078747</c:v>
                </c:pt>
                <c:pt idx="77">
                  <c:v>-23.258765673093126</c:v>
                </c:pt>
                <c:pt idx="80">
                  <c:v>-23.780219747404448</c:v>
                </c:pt>
                <c:pt idx="83">
                  <c:v>-23.720502687616534</c:v>
                </c:pt>
                <c:pt idx="86">
                  <c:v>-24.209876403688348</c:v>
                </c:pt>
                <c:pt idx="89">
                  <c:v>-24.699250119760162</c:v>
                </c:pt>
                <c:pt idx="92">
                  <c:v>-25.344880412200812</c:v>
                </c:pt>
                <c:pt idx="95">
                  <c:v>-25.990510704641462</c:v>
                </c:pt>
                <c:pt idx="98">
                  <c:v>-26.636140997082112</c:v>
                </c:pt>
                <c:pt idx="101">
                  <c:v>-27.281771289522762</c:v>
                </c:pt>
                <c:pt idx="104">
                  <c:v>-27.836026629000322</c:v>
                </c:pt>
                <c:pt idx="107">
                  <c:v>-28.413951745905536</c:v>
                </c:pt>
                <c:pt idx="110">
                  <c:v>-28.334229518900848</c:v>
                </c:pt>
                <c:pt idx="113">
                  <c:v>-28.908730327904092</c:v>
                </c:pt>
                <c:pt idx="116">
                  <c:v>-29.453193348293564</c:v>
                </c:pt>
                <c:pt idx="119">
                  <c:v>-29.782165273167841</c:v>
                </c:pt>
                <c:pt idx="122">
                  <c:v>-30.377091778428447</c:v>
                </c:pt>
                <c:pt idx="125">
                  <c:v>-30.762955274937209</c:v>
                </c:pt>
                <c:pt idx="128">
                  <c:v>-31.219888179306153</c:v>
                </c:pt>
                <c:pt idx="131">
                  <c:v>-31.529335541581482</c:v>
                </c:pt>
                <c:pt idx="134">
                  <c:v>-31.869121070356719</c:v>
                </c:pt>
                <c:pt idx="137">
                  <c:v>-29.88037722579244</c:v>
                </c:pt>
                <c:pt idx="140">
                  <c:v>-30.345720710973239</c:v>
                </c:pt>
                <c:pt idx="143">
                  <c:v>-29.466572777801655</c:v>
                </c:pt>
                <c:pt idx="146">
                  <c:v>-29.633941399933846</c:v>
                </c:pt>
                <c:pt idx="149">
                  <c:v>-28.956647406246802</c:v>
                </c:pt>
                <c:pt idx="152">
                  <c:v>-27.779524610026609</c:v>
                </c:pt>
                <c:pt idx="155">
                  <c:v>-26.866734353607601</c:v>
                </c:pt>
                <c:pt idx="158">
                  <c:v>-26.160604082851336</c:v>
                </c:pt>
                <c:pt idx="161">
                  <c:v>-26.236057071825389</c:v>
                </c:pt>
                <c:pt idx="164">
                  <c:v>-26.322924420472674</c:v>
                </c:pt>
                <c:pt idx="167">
                  <c:v>-26.430217465377325</c:v>
                </c:pt>
                <c:pt idx="170">
                  <c:v>-26.741166717083342</c:v>
                </c:pt>
                <c:pt idx="173">
                  <c:v>-27.039500097571576</c:v>
                </c:pt>
                <c:pt idx="176">
                  <c:v>-27.462189922920821</c:v>
                </c:pt>
                <c:pt idx="179">
                  <c:v>-26.709200701927074</c:v>
                </c:pt>
                <c:pt idx="182">
                  <c:v>-27.206384243038471</c:v>
                </c:pt>
                <c:pt idx="185">
                  <c:v>-27.753430513248727</c:v>
                </c:pt>
                <c:pt idx="188">
                  <c:v>-26.55227748613752</c:v>
                </c:pt>
                <c:pt idx="191">
                  <c:v>-26.368804737260866</c:v>
                </c:pt>
                <c:pt idx="194">
                  <c:v>-26.326509594868938</c:v>
                </c:pt>
                <c:pt idx="197">
                  <c:v>-26.440410953268618</c:v>
                </c:pt>
                <c:pt idx="200">
                  <c:v>-24.127258991675614</c:v>
                </c:pt>
                <c:pt idx="203">
                  <c:v>-24.520211406297225</c:v>
                </c:pt>
                <c:pt idx="206">
                  <c:v>-24.319917495796862</c:v>
                </c:pt>
                <c:pt idx="209">
                  <c:v>-24.696649504567038</c:v>
                </c:pt>
                <c:pt idx="212">
                  <c:v>-24.917485390431743</c:v>
                </c:pt>
                <c:pt idx="215">
                  <c:v>-25.098671395326271</c:v>
                </c:pt>
                <c:pt idx="218">
                  <c:v>-23.029426277277086</c:v>
                </c:pt>
                <c:pt idx="221">
                  <c:v>-23.203643515213216</c:v>
                </c:pt>
                <c:pt idx="224">
                  <c:v>-23.021372277881113</c:v>
                </c:pt>
                <c:pt idx="227">
                  <c:v>-19.942857462409226</c:v>
                </c:pt>
                <c:pt idx="230">
                  <c:v>-16.924418224164882</c:v>
                </c:pt>
                <c:pt idx="233">
                  <c:v>-17.077368707762464</c:v>
                </c:pt>
                <c:pt idx="236">
                  <c:v>-17.604590037487629</c:v>
                </c:pt>
                <c:pt idx="239">
                  <c:v>-16.313924400307386</c:v>
                </c:pt>
                <c:pt idx="242">
                  <c:v>-14.812393487058468</c:v>
                </c:pt>
                <c:pt idx="245">
                  <c:v>-12.067298125199438</c:v>
                </c:pt>
                <c:pt idx="248">
                  <c:v>-9.5601020491614719</c:v>
                </c:pt>
                <c:pt idx="251">
                  <c:v>-6.9411653994802798</c:v>
                </c:pt>
                <c:pt idx="254">
                  <c:v>-7.1265566947807342</c:v>
                </c:pt>
                <c:pt idx="257">
                  <c:v>-7.2983709096277645</c:v>
                </c:pt>
                <c:pt idx="260">
                  <c:v>-7.7162546887988057</c:v>
                </c:pt>
                <c:pt idx="263">
                  <c:v>-8.2563321920506656</c:v>
                </c:pt>
                <c:pt idx="266">
                  <c:v>-8.8074636015123939</c:v>
                </c:pt>
                <c:pt idx="269">
                  <c:v>-9.316061502297023</c:v>
                </c:pt>
                <c:pt idx="272">
                  <c:v>-9.2635535117764132</c:v>
                </c:pt>
                <c:pt idx="275">
                  <c:v>-9.8216536881965357</c:v>
                </c:pt>
                <c:pt idx="278">
                  <c:v>-9.5150260060034242</c:v>
                </c:pt>
                <c:pt idx="281">
                  <c:v>-9.4901527810074828</c:v>
                </c:pt>
                <c:pt idx="284">
                  <c:v>-9.5710125719320143</c:v>
                </c:pt>
                <c:pt idx="287">
                  <c:v>-7.7360622050702412</c:v>
                </c:pt>
                <c:pt idx="290">
                  <c:v>-7.3369181339467149</c:v>
                </c:pt>
                <c:pt idx="293">
                  <c:v>-7.3691167073169384</c:v>
                </c:pt>
                <c:pt idx="296">
                  <c:v>-7.3057951128953702</c:v>
                </c:pt>
                <c:pt idx="299">
                  <c:v>-7.6840290110962339</c:v>
                </c:pt>
                <c:pt idx="302">
                  <c:v>-7.5642363740807763</c:v>
                </c:pt>
                <c:pt idx="305">
                  <c:v>-8.0271768361724742</c:v>
                </c:pt>
                <c:pt idx="308">
                  <c:v>-8.5201550868779421</c:v>
                </c:pt>
                <c:pt idx="311">
                  <c:v>-8.0423120095863361</c:v>
                </c:pt>
                <c:pt idx="314">
                  <c:v>-7.6329550903341277</c:v>
                </c:pt>
                <c:pt idx="317">
                  <c:v>-7.9739421306539153</c:v>
                </c:pt>
                <c:pt idx="320">
                  <c:v>-6.4153394190388342</c:v>
                </c:pt>
                <c:pt idx="323">
                  <c:v>-4.7305779952459153</c:v>
                </c:pt>
                <c:pt idx="326">
                  <c:v>-5.1252726016071248</c:v>
                </c:pt>
                <c:pt idx="329">
                  <c:v>-5.0373200205222641</c:v>
                </c:pt>
                <c:pt idx="332">
                  <c:v>-5.506868796108991</c:v>
                </c:pt>
                <c:pt idx="335">
                  <c:v>-5.9523873408047008</c:v>
                </c:pt>
                <c:pt idx="338">
                  <c:v>-6.5571061651533959</c:v>
                </c:pt>
                <c:pt idx="341">
                  <c:v>-6.9581687827007253</c:v>
                </c:pt>
                <c:pt idx="344">
                  <c:v>-7.370045004149012</c:v>
                </c:pt>
                <c:pt idx="347">
                  <c:v>-7.9369162148443566</c:v>
                </c:pt>
                <c:pt idx="350">
                  <c:v>-7.7924925911656073</c:v>
                </c:pt>
                <c:pt idx="353">
                  <c:v>-7.6348523404967983</c:v>
                </c:pt>
                <c:pt idx="356">
                  <c:v>-7.5805420826593615</c:v>
                </c:pt>
                <c:pt idx="359">
                  <c:v>-7.3219748622482825</c:v>
                </c:pt>
                <c:pt idx="362">
                  <c:v>-6.6627035417295009</c:v>
                </c:pt>
                <c:pt idx="365">
                  <c:v>-6.8084449560597777</c:v>
                </c:pt>
                <c:pt idx="368">
                  <c:v>-6.5318550624804361</c:v>
                </c:pt>
                <c:pt idx="371">
                  <c:v>-7.0951217385421277</c:v>
                </c:pt>
                <c:pt idx="377">
                  <c:v>-6.8311477161805705</c:v>
                </c:pt>
                <c:pt idx="380">
                  <c:v>-6.915612041738755</c:v>
                </c:pt>
                <c:pt idx="383">
                  <c:v>-6.1319842763589616</c:v>
                </c:pt>
                <c:pt idx="386">
                  <c:v>-6.6592056060841287</c:v>
                </c:pt>
                <c:pt idx="389">
                  <c:v>-6.7965364396025496</c:v>
                </c:pt>
                <c:pt idx="392">
                  <c:v>-6.6491090370624226</c:v>
                </c:pt>
                <c:pt idx="395">
                  <c:v>-6.4836589613540339</c:v>
                </c:pt>
                <c:pt idx="398">
                  <c:v>-6.7990658208903341</c:v>
                </c:pt>
                <c:pt idx="401">
                  <c:v>-6.2562029463653595</c:v>
                </c:pt>
                <c:pt idx="404">
                  <c:v>-6.0827928566743212</c:v>
                </c:pt>
                <c:pt idx="407">
                  <c:v>-5.4175259935482307</c:v>
                </c:pt>
                <c:pt idx="410">
                  <c:v>-5.5443736388404457</c:v>
                </c:pt>
                <c:pt idx="413">
                  <c:v>-6.0472463371152898</c:v>
                </c:pt>
                <c:pt idx="416">
                  <c:v>-5.2675054615821182</c:v>
                </c:pt>
                <c:pt idx="419">
                  <c:v>-4.7890616285182368</c:v>
                </c:pt>
                <c:pt idx="422">
                  <c:v>-5.1324516919271259</c:v>
                </c:pt>
                <c:pt idx="425">
                  <c:v>-3.6891940885889243</c:v>
                </c:pt>
                <c:pt idx="428">
                  <c:v>-3.4270223335441932</c:v>
                </c:pt>
                <c:pt idx="431">
                  <c:v>-3.1678543573608389</c:v>
                </c:pt>
                <c:pt idx="434">
                  <c:v>-2.1853764313578825</c:v>
                </c:pt>
                <c:pt idx="437">
                  <c:v>-1.1127851395136135</c:v>
                </c:pt>
                <c:pt idx="440">
                  <c:v>-1.5030341531599851</c:v>
                </c:pt>
                <c:pt idx="443">
                  <c:v>-1.8542340416084546</c:v>
                </c:pt>
                <c:pt idx="446">
                  <c:v>-2.2943457843536859</c:v>
                </c:pt>
                <c:pt idx="449">
                  <c:v>-2.2965065691101381</c:v>
                </c:pt>
                <c:pt idx="452">
                  <c:v>-1.8348838976699684</c:v>
                </c:pt>
                <c:pt idx="455">
                  <c:v>-2.2143193074153826</c:v>
                </c:pt>
                <c:pt idx="458">
                  <c:v>8.3213004098461774E-2</c:v>
                </c:pt>
                <c:pt idx="461">
                  <c:v>0.70283444364706626</c:v>
                </c:pt>
                <c:pt idx="464">
                  <c:v>0.40570257470338428</c:v>
                </c:pt>
                <c:pt idx="467">
                  <c:v>0.44919922863986378</c:v>
                </c:pt>
                <c:pt idx="470">
                  <c:v>0.96308765226799498</c:v>
                </c:pt>
                <c:pt idx="473">
                  <c:v>3.4768920418009897</c:v>
                </c:pt>
                <c:pt idx="476">
                  <c:v>3.8093522222019449</c:v>
                </c:pt>
                <c:pt idx="479">
                  <c:v>3.6786297021785535</c:v>
                </c:pt>
                <c:pt idx="482">
                  <c:v>4.7578293075178522</c:v>
                </c:pt>
                <c:pt idx="485">
                  <c:v>4.9413020563945036</c:v>
                </c:pt>
                <c:pt idx="488">
                  <c:v>4.6537822798072286</c:v>
                </c:pt>
                <c:pt idx="491">
                  <c:v>4.1517926925176294</c:v>
                </c:pt>
                <c:pt idx="494">
                  <c:v>3.5747086336936031</c:v>
                </c:pt>
                <c:pt idx="497">
                  <c:v>3.0294646308001738</c:v>
                </c:pt>
                <c:pt idx="500">
                  <c:v>2.4842206279067445</c:v>
                </c:pt>
                <c:pt idx="503">
                  <c:v>2.1624577722997702</c:v>
                </c:pt>
                <c:pt idx="506">
                  <c:v>1.6196167924954425</c:v>
                </c:pt>
                <c:pt idx="509">
                  <c:v>1.0449357567605178</c:v>
                </c:pt>
                <c:pt idx="512">
                  <c:v>0.4618441402137371</c:v>
                </c:pt>
                <c:pt idx="515">
                  <c:v>-0.14707997454088639</c:v>
                </c:pt>
                <c:pt idx="518">
                  <c:v>-0.6983315351570698</c:v>
                </c:pt>
                <c:pt idx="521">
                  <c:v>-1.2477808284564271</c:v>
                </c:pt>
                <c:pt idx="524">
                  <c:v>-1.610995832350405</c:v>
                </c:pt>
                <c:pt idx="527">
                  <c:v>-2.1952889604417365</c:v>
                </c:pt>
                <c:pt idx="530">
                  <c:v>-2.6366022147315187</c:v>
                </c:pt>
                <c:pt idx="533">
                  <c:v>-3.0244482052887887</c:v>
                </c:pt>
                <c:pt idx="536">
                  <c:v>-3.3125687376483395</c:v>
                </c:pt>
                <c:pt idx="539">
                  <c:v>-2.8545506008418222</c:v>
                </c:pt>
                <c:pt idx="542">
                  <c:v>-2.7996395872321096</c:v>
                </c:pt>
                <c:pt idx="545">
                  <c:v>-3.336473009313683</c:v>
                </c:pt>
                <c:pt idx="548">
                  <c:v>-3.8456716658705874</c:v>
                </c:pt>
                <c:pt idx="551">
                  <c:v>-4.4485882229024565</c:v>
                </c:pt>
                <c:pt idx="557">
                  <c:v>-4.7367087552620069</c:v>
                </c:pt>
                <c:pt idx="560">
                  <c:v>-5.2681353753931015</c:v>
                </c:pt>
                <c:pt idx="563">
                  <c:v>-5.6637911909899517</c:v>
                </c:pt>
                <c:pt idx="566">
                  <c:v>-6.0654545643095563</c:v>
                </c:pt>
                <c:pt idx="569">
                  <c:v>-6.5722501977773593</c:v>
                </c:pt>
                <c:pt idx="572">
                  <c:v>-6.7276037044640429</c:v>
                </c:pt>
                <c:pt idx="575">
                  <c:v>-6.7688136144183968</c:v>
                </c:pt>
                <c:pt idx="578">
                  <c:v>-6.8977338671249617</c:v>
                </c:pt>
                <c:pt idx="581">
                  <c:v>-7.3660811311671379</c:v>
                </c:pt>
                <c:pt idx="584">
                  <c:v>-7.9395606553575115</c:v>
                </c:pt>
                <c:pt idx="587">
                  <c:v>-8.4235275694788481</c:v>
                </c:pt>
                <c:pt idx="590">
                  <c:v>-8.9477451203426384</c:v>
                </c:pt>
                <c:pt idx="593">
                  <c:v>-9.4683581365727747</c:v>
                </c:pt>
                <c:pt idx="596">
                  <c:v>-9.931899354436748</c:v>
                </c:pt>
                <c:pt idx="599">
                  <c:v>-10.525804574884486</c:v>
                </c:pt>
                <c:pt idx="602">
                  <c:v>-11.082462937451147</c:v>
                </c:pt>
                <c:pt idx="605">
                  <c:v>-11.61809484798817</c:v>
                </c:pt>
                <c:pt idx="608">
                  <c:v>-12.091248158208549</c:v>
                </c:pt>
                <c:pt idx="611">
                  <c:v>-12.59564076858725</c:v>
                </c:pt>
                <c:pt idx="614">
                  <c:v>-11.896118811326016</c:v>
                </c:pt>
                <c:pt idx="617">
                  <c:v>-12.177086867353331</c:v>
                </c:pt>
                <c:pt idx="620">
                  <c:v>-12.672468141147901</c:v>
                </c:pt>
                <c:pt idx="623">
                  <c:v>-13.181666797704805</c:v>
                </c:pt>
                <c:pt idx="626">
                  <c:v>-13.731116091004163</c:v>
                </c:pt>
                <c:pt idx="629">
                  <c:v>-14.290778232432203</c:v>
                </c:pt>
                <c:pt idx="632">
                  <c:v>-14.856748309469134</c:v>
                </c:pt>
                <c:pt idx="635">
                  <c:v>-14.224510998702746</c:v>
                </c:pt>
                <c:pt idx="638">
                  <c:v>-14.685649193477616</c:v>
                </c:pt>
                <c:pt idx="641">
                  <c:v>-14.892667696579986</c:v>
                </c:pt>
                <c:pt idx="647">
                  <c:v>-14.528367460248434</c:v>
                </c:pt>
                <c:pt idx="653">
                  <c:v>-14.966676935676839</c:v>
                </c:pt>
                <c:pt idx="656">
                  <c:v>-14.660650009256003</c:v>
                </c:pt>
                <c:pt idx="659">
                  <c:v>-15.113978378991293</c:v>
                </c:pt>
                <c:pt idx="662">
                  <c:v>-15.45496541931108</c:v>
                </c:pt>
                <c:pt idx="665">
                  <c:v>-15.933525531481937</c:v>
                </c:pt>
                <c:pt idx="668">
                  <c:v>-16.081669968901316</c:v>
                </c:pt>
                <c:pt idx="671">
                  <c:v>-16.366185966627214</c:v>
                </c:pt>
                <c:pt idx="674">
                  <c:v>-15.58916651474245</c:v>
                </c:pt>
                <c:pt idx="677">
                  <c:v>-15.506019979835793</c:v>
                </c:pt>
                <c:pt idx="680">
                  <c:v>-15.4775422202062</c:v>
                </c:pt>
                <c:pt idx="683">
                  <c:v>-15.122854076231054</c:v>
                </c:pt>
                <c:pt idx="686">
                  <c:v>-14.872697436631832</c:v>
                </c:pt>
                <c:pt idx="689">
                  <c:v>-15.405926324079752</c:v>
                </c:pt>
                <c:pt idx="692">
                  <c:v>-15.790768535775646</c:v>
                </c:pt>
                <c:pt idx="701">
                  <c:v>-16.308978528916683</c:v>
                </c:pt>
                <c:pt idx="704">
                  <c:v>-16.567662028434739</c:v>
                </c:pt>
                <c:pt idx="707">
                  <c:v>-17.146548354575593</c:v>
                </c:pt>
                <c:pt idx="710">
                  <c:v>-17.652142476498845</c:v>
                </c:pt>
                <c:pt idx="713">
                  <c:v>-16.897350988188272</c:v>
                </c:pt>
                <c:pt idx="716">
                  <c:v>-16.916332934568437</c:v>
                </c:pt>
                <c:pt idx="719">
                  <c:v>-17.117343879948052</c:v>
                </c:pt>
                <c:pt idx="722">
                  <c:v>-16.629287954527765</c:v>
                </c:pt>
                <c:pt idx="728">
                  <c:v>-16.074548138384905</c:v>
                </c:pt>
                <c:pt idx="746">
                  <c:v>-15.694628251974192</c:v>
                </c:pt>
                <c:pt idx="749">
                  <c:v>-14.135424784586835</c:v>
                </c:pt>
                <c:pt idx="752">
                  <c:v>-13.270094234177584</c:v>
                </c:pt>
                <c:pt idx="755">
                  <c:v>-12.364513047025881</c:v>
                </c:pt>
                <c:pt idx="758">
                  <c:v>-10.109634395343591</c:v>
                </c:pt>
                <c:pt idx="761">
                  <c:v>-10.128616341723754</c:v>
                </c:pt>
                <c:pt idx="770">
                  <c:v>-9.9145050484610557</c:v>
                </c:pt>
                <c:pt idx="773">
                  <c:v>-8.0206806159162909</c:v>
                </c:pt>
                <c:pt idx="776">
                  <c:v>-8.1772356341475252</c:v>
                </c:pt>
                <c:pt idx="779">
                  <c:v>-8.5314393014573717</c:v>
                </c:pt>
                <c:pt idx="782">
                  <c:v>-5.9617646251027629</c:v>
                </c:pt>
                <c:pt idx="785">
                  <c:v>-3.9075384013604624</c:v>
                </c:pt>
                <c:pt idx="788">
                  <c:v>1.0232227980181641E-2</c:v>
                </c:pt>
                <c:pt idx="791">
                  <c:v>-0.5386163095469001</c:v>
                </c:pt>
                <c:pt idx="794">
                  <c:v>-0.206156129145945</c:v>
                </c:pt>
                <c:pt idx="797">
                  <c:v>0.81717318937173977</c:v>
                </c:pt>
                <c:pt idx="800">
                  <c:v>0.23408157282495912</c:v>
                </c:pt>
              </c:numCache>
            </c:numRef>
          </c:xVal>
          <c:yVal>
            <c:numRef>
              <c:f>'Peridin update'!$N$3:$N$748</c:f>
              <c:numCache>
                <c:formatCode>General</c:formatCode>
                <c:ptCount val="746"/>
                <c:pt idx="2">
                  <c:v>-0.30318175049237367</c:v>
                </c:pt>
                <c:pt idx="5">
                  <c:v>-1.1658592883476135</c:v>
                </c:pt>
                <c:pt idx="8">
                  <c:v>-0.95471546337021918</c:v>
                </c:pt>
                <c:pt idx="11">
                  <c:v>-1.1040052013882931</c:v>
                </c:pt>
                <c:pt idx="14">
                  <c:v>-1.2747523330486572</c:v>
                </c:pt>
                <c:pt idx="17">
                  <c:v>-2.0311644130395452</c:v>
                </c:pt>
                <c:pt idx="20">
                  <c:v>-2.6835168779173673</c:v>
                </c:pt>
                <c:pt idx="23">
                  <c:v>-3.5605771096437397</c:v>
                </c:pt>
                <c:pt idx="26">
                  <c:v>-4.3535914444923938</c:v>
                </c:pt>
                <c:pt idx="29">
                  <c:v>-2.4707167102161116</c:v>
                </c:pt>
                <c:pt idx="32">
                  <c:v>-2.3625691058444742</c:v>
                </c:pt>
                <c:pt idx="35">
                  <c:v>-2.6627577635806166</c:v>
                </c:pt>
                <c:pt idx="38">
                  <c:v>-3.0656292061787238</c:v>
                </c:pt>
                <c:pt idx="41">
                  <c:v>-2.5743169436375837</c:v>
                </c:pt>
                <c:pt idx="44">
                  <c:v>-1.2719405783486106</c:v>
                </c:pt>
                <c:pt idx="47">
                  <c:v>-0.39547360312779689</c:v>
                </c:pt>
                <c:pt idx="50">
                  <c:v>0.29655168885650829</c:v>
                </c:pt>
                <c:pt idx="53">
                  <c:v>-0.63852238038681897</c:v>
                </c:pt>
                <c:pt idx="56">
                  <c:v>-1.4556810729415663</c:v>
                </c:pt>
                <c:pt idx="59">
                  <c:v>-2.2132007688546489</c:v>
                </c:pt>
                <c:pt idx="62">
                  <c:v>-3.0353737493790551</c:v>
                </c:pt>
                <c:pt idx="65">
                  <c:v>-1.4774215759512259</c:v>
                </c:pt>
                <c:pt idx="68">
                  <c:v>-2.0643002100073913</c:v>
                </c:pt>
                <c:pt idx="71">
                  <c:v>-0.14231632704302455</c:v>
                </c:pt>
                <c:pt idx="74">
                  <c:v>-0.28752471021288661</c:v>
                </c:pt>
                <c:pt idx="77">
                  <c:v>-0.99412225416658873</c:v>
                </c:pt>
                <c:pt idx="80">
                  <c:v>-1.0278957410785832</c:v>
                </c:pt>
                <c:pt idx="83">
                  <c:v>-1.3033041046950329</c:v>
                </c:pt>
                <c:pt idx="86">
                  <c:v>-1.5540320654248996</c:v>
                </c:pt>
                <c:pt idx="89">
                  <c:v>-1.6563573949363424</c:v>
                </c:pt>
                <c:pt idx="92">
                  <c:v>-1.6334149722236155</c:v>
                </c:pt>
                <c:pt idx="110">
                  <c:v>-1.0016088710596407</c:v>
                </c:pt>
                <c:pt idx="113">
                  <c:v>-1.3847074575195837</c:v>
                </c:pt>
                <c:pt idx="116">
                  <c:v>-1.1324769840977917</c:v>
                </c:pt>
                <c:pt idx="119">
                  <c:v>-0.12963012764545101</c:v>
                </c:pt>
                <c:pt idx="122">
                  <c:v>2.1473831466650384E-2</c:v>
                </c:pt>
                <c:pt idx="125">
                  <c:v>-8.1656354071222674E-3</c:v>
                </c:pt>
                <c:pt idx="128">
                  <c:v>-0.65125055331814519</c:v>
                </c:pt>
                <c:pt idx="131">
                  <c:v>-1.1080347946653704</c:v>
                </c:pt>
                <c:pt idx="134">
                  <c:v>-1.9676873602065845</c:v>
                </c:pt>
                <c:pt idx="137">
                  <c:v>-2.8019563806450845</c:v>
                </c:pt>
                <c:pt idx="140">
                  <c:v>-3.0841581041308674</c:v>
                </c:pt>
                <c:pt idx="143">
                  <c:v>-3.3564789329273386</c:v>
                </c:pt>
                <c:pt idx="146">
                  <c:v>-2.8124126997953267</c:v>
                </c:pt>
                <c:pt idx="149">
                  <c:v>-3.2623070272905066</c:v>
                </c:pt>
                <c:pt idx="152">
                  <c:v>-3.4890976537268528</c:v>
                </c:pt>
                <c:pt idx="155">
                  <c:v>-4.364842252753057</c:v>
                </c:pt>
                <c:pt idx="158">
                  <c:v>-5.1393513855298023</c:v>
                </c:pt>
                <c:pt idx="161">
                  <c:v>-5.8949871975930686</c:v>
                </c:pt>
                <c:pt idx="164">
                  <c:v>-5.8483756510410556</c:v>
                </c:pt>
                <c:pt idx="167">
                  <c:v>-6.6763712009307739</c:v>
                </c:pt>
                <c:pt idx="170">
                  <c:v>-7.3032720614415565</c:v>
                </c:pt>
                <c:pt idx="173">
                  <c:v>-6.9632146558734069</c:v>
                </c:pt>
                <c:pt idx="176">
                  <c:v>-5.0542147913895992</c:v>
                </c:pt>
                <c:pt idx="179">
                  <c:v>-4.7124470700594809</c:v>
                </c:pt>
                <c:pt idx="182">
                  <c:v>-5.2560815994492796</c:v>
                </c:pt>
                <c:pt idx="185">
                  <c:v>-4.9344479864202526</c:v>
                </c:pt>
                <c:pt idx="188">
                  <c:v>-4.8391219308541764</c:v>
                </c:pt>
                <c:pt idx="191">
                  <c:v>-3.4463298467780978</c:v>
                </c:pt>
                <c:pt idx="194">
                  <c:v>-3.9061928035657187</c:v>
                </c:pt>
                <c:pt idx="197">
                  <c:v>-4.4320853869098737</c:v>
                </c:pt>
                <c:pt idx="200">
                  <c:v>-5.194519220259135</c:v>
                </c:pt>
                <c:pt idx="203">
                  <c:v>-6.0813925120354941</c:v>
                </c:pt>
                <c:pt idx="206">
                  <c:v>-6.3489049259977319</c:v>
                </c:pt>
                <c:pt idx="209">
                  <c:v>-6.3305679525795213</c:v>
                </c:pt>
                <c:pt idx="212">
                  <c:v>-7.0574711424794954</c:v>
                </c:pt>
                <c:pt idx="215">
                  <c:v>-7.8556968016342532</c:v>
                </c:pt>
                <c:pt idx="218">
                  <c:v>-8.6480380778666515</c:v>
                </c:pt>
                <c:pt idx="221">
                  <c:v>-9.5825563671366218</c:v>
                </c:pt>
                <c:pt idx="224">
                  <c:v>-10.103059334194112</c:v>
                </c:pt>
                <c:pt idx="227">
                  <c:v>-10.530689692904794</c:v>
                </c:pt>
                <c:pt idx="230">
                  <c:v>-11.066448968565901</c:v>
                </c:pt>
                <c:pt idx="233">
                  <c:v>-11.745221604021649</c:v>
                </c:pt>
                <c:pt idx="236">
                  <c:v>-9.3687584651470068</c:v>
                </c:pt>
                <c:pt idx="239">
                  <c:v>-10.178756575036129</c:v>
                </c:pt>
                <c:pt idx="242">
                  <c:v>-11.074578175774439</c:v>
                </c:pt>
                <c:pt idx="245">
                  <c:v>-11.852453122415401</c:v>
                </c:pt>
                <c:pt idx="248">
                  <c:v>-12.697698303448414</c:v>
                </c:pt>
                <c:pt idx="251">
                  <c:v>-13.309299790300679</c:v>
                </c:pt>
                <c:pt idx="254">
                  <c:v>-13.543476800229465</c:v>
                </c:pt>
                <c:pt idx="257">
                  <c:v>-13.852946498059673</c:v>
                </c:pt>
                <c:pt idx="260">
                  <c:v>-13.767140993657547</c:v>
                </c:pt>
                <c:pt idx="263">
                  <c:v>-14.020440558206388</c:v>
                </c:pt>
                <c:pt idx="266">
                  <c:v>-14.39723604492877</c:v>
                </c:pt>
                <c:pt idx="269">
                  <c:v>-14.614406464867622</c:v>
                </c:pt>
                <c:pt idx="272">
                  <c:v>-15.204600583497299</c:v>
                </c:pt>
                <c:pt idx="275">
                  <c:v>-15.948419996541181</c:v>
                </c:pt>
                <c:pt idx="278">
                  <c:v>-16.83495676191745</c:v>
                </c:pt>
                <c:pt idx="281">
                  <c:v>-17.58578786355811</c:v>
                </c:pt>
                <c:pt idx="284">
                  <c:v>-18.052312061970618</c:v>
                </c:pt>
                <c:pt idx="287">
                  <c:v>-18.939084896626511</c:v>
                </c:pt>
                <c:pt idx="290">
                  <c:v>-19.845428714021846</c:v>
                </c:pt>
                <c:pt idx="293">
                  <c:v>-20.652204182482244</c:v>
                </c:pt>
                <c:pt idx="296">
                  <c:v>-19.999434155044508</c:v>
                </c:pt>
                <c:pt idx="299">
                  <c:v>-20.056323413401696</c:v>
                </c:pt>
                <c:pt idx="302">
                  <c:v>-19.739749548964848</c:v>
                </c:pt>
                <c:pt idx="305">
                  <c:v>-20.306759942418061</c:v>
                </c:pt>
                <c:pt idx="308">
                  <c:v>-19.606188805603072</c:v>
                </c:pt>
                <c:pt idx="311">
                  <c:v>-19.091996974127714</c:v>
                </c:pt>
                <c:pt idx="314">
                  <c:v>-18.48751639803692</c:v>
                </c:pt>
                <c:pt idx="317">
                  <c:v>-17.831544771367135</c:v>
                </c:pt>
                <c:pt idx="320">
                  <c:v>-17.449381955066329</c:v>
                </c:pt>
                <c:pt idx="323">
                  <c:v>-18.029365396999772</c:v>
                </c:pt>
                <c:pt idx="326">
                  <c:v>-18.865688063648481</c:v>
                </c:pt>
                <c:pt idx="329">
                  <c:v>-19.440373815338603</c:v>
                </c:pt>
                <c:pt idx="332">
                  <c:v>-18.832222231005396</c:v>
                </c:pt>
                <c:pt idx="335">
                  <c:v>-19.10452767265306</c:v>
                </c:pt>
                <c:pt idx="338">
                  <c:v>-19.792538384504489</c:v>
                </c:pt>
                <c:pt idx="341">
                  <c:v>-20.356666012229482</c:v>
                </c:pt>
                <c:pt idx="344">
                  <c:v>-20.734813586318591</c:v>
                </c:pt>
                <c:pt idx="347">
                  <c:v>-20.868918893719723</c:v>
                </c:pt>
                <c:pt idx="350">
                  <c:v>-21.546975047108614</c:v>
                </c:pt>
                <c:pt idx="353">
                  <c:v>-21.025266329663452</c:v>
                </c:pt>
                <c:pt idx="356">
                  <c:v>-17.539863695222643</c:v>
                </c:pt>
                <c:pt idx="359">
                  <c:v>-18.088517927461726</c:v>
                </c:pt>
                <c:pt idx="362">
                  <c:v>-17.746235475430755</c:v>
                </c:pt>
                <c:pt idx="365">
                  <c:v>-17.595149875242509</c:v>
                </c:pt>
                <c:pt idx="368">
                  <c:v>-17.954373857289838</c:v>
                </c:pt>
                <c:pt idx="371">
                  <c:v>-17.291374332091607</c:v>
                </c:pt>
                <c:pt idx="375">
                  <c:v>-18.098439259356464</c:v>
                </c:pt>
                <c:pt idx="378">
                  <c:v>-18.779599985844996</c:v>
                </c:pt>
                <c:pt idx="381">
                  <c:v>-19.714674055088324</c:v>
                </c:pt>
                <c:pt idx="384">
                  <c:v>-20.534701545451369</c:v>
                </c:pt>
                <c:pt idx="387">
                  <c:v>-20.627440470023082</c:v>
                </c:pt>
                <c:pt idx="391">
                  <c:v>-19.598711082721724</c:v>
                </c:pt>
                <c:pt idx="394">
                  <c:v>-20.162969417444597</c:v>
                </c:pt>
                <c:pt idx="397">
                  <c:v>-20.956026820706168</c:v>
                </c:pt>
                <c:pt idx="400">
                  <c:v>-21.620258088835342</c:v>
                </c:pt>
                <c:pt idx="403">
                  <c:v>-22.367520330944576</c:v>
                </c:pt>
                <c:pt idx="406">
                  <c:v>-22.436861871404453</c:v>
                </c:pt>
                <c:pt idx="409">
                  <c:v>-22.725047476164921</c:v>
                </c:pt>
                <c:pt idx="413">
                  <c:v>-23.27369875920326</c:v>
                </c:pt>
                <c:pt idx="416">
                  <c:v>-24.042460714044768</c:v>
                </c:pt>
                <c:pt idx="419">
                  <c:v>-24.753092343092614</c:v>
                </c:pt>
                <c:pt idx="422">
                  <c:v>-25.352207496176813</c:v>
                </c:pt>
                <c:pt idx="425">
                  <c:v>-25.857570516659752</c:v>
                </c:pt>
                <c:pt idx="428">
                  <c:v>-25.409525363275922</c:v>
                </c:pt>
                <c:pt idx="432">
                  <c:v>-26.00799343728761</c:v>
                </c:pt>
                <c:pt idx="435">
                  <c:v>-26.126871104604749</c:v>
                </c:pt>
                <c:pt idx="438">
                  <c:v>-24.704935009967638</c:v>
                </c:pt>
                <c:pt idx="441">
                  <c:v>-24.096521107570599</c:v>
                </c:pt>
                <c:pt idx="444">
                  <c:v>-22.740064384876536</c:v>
                </c:pt>
                <c:pt idx="448">
                  <c:v>-22.530236773081874</c:v>
                </c:pt>
                <c:pt idx="452">
                  <c:v>-22.017386246869307</c:v>
                </c:pt>
                <c:pt idx="455">
                  <c:v>-19.422000301516558</c:v>
                </c:pt>
                <c:pt idx="458">
                  <c:v>-20.102568539472131</c:v>
                </c:pt>
                <c:pt idx="461">
                  <c:v>-20.618094886392218</c:v>
                </c:pt>
                <c:pt idx="465">
                  <c:v>-21.211090799962335</c:v>
                </c:pt>
                <c:pt idx="468">
                  <c:v>-20.172518419818278</c:v>
                </c:pt>
                <c:pt idx="471">
                  <c:v>-15.090319516806765</c:v>
                </c:pt>
                <c:pt idx="474">
                  <c:v>-10.16634162950481</c:v>
                </c:pt>
                <c:pt idx="477">
                  <c:v>-9.992866175596582</c:v>
                </c:pt>
                <c:pt idx="481">
                  <c:v>-10.860390341854401</c:v>
                </c:pt>
                <c:pt idx="484">
                  <c:v>-9.7716496359196707</c:v>
                </c:pt>
                <c:pt idx="488">
                  <c:v>-9.9002386268663507</c:v>
                </c:pt>
                <c:pt idx="492">
                  <c:v>-10.689463390203857</c:v>
                </c:pt>
                <c:pt idx="495">
                  <c:v>-11.472977508606991</c:v>
                </c:pt>
                <c:pt idx="498">
                  <c:v>-12.238537827246581</c:v>
                </c:pt>
                <c:pt idx="501">
                  <c:v>-12.835251907146516</c:v>
                </c:pt>
                <c:pt idx="505">
                  <c:v>-13.280231447851783</c:v>
                </c:pt>
                <c:pt idx="508">
                  <c:v>-13.088323791097372</c:v>
                </c:pt>
                <c:pt idx="511">
                  <c:v>-10.022698330653574</c:v>
                </c:pt>
                <c:pt idx="514">
                  <c:v>-4.8918027333080154</c:v>
                </c:pt>
                <c:pt idx="517">
                  <c:v>-5.1929176624717952</c:v>
                </c:pt>
                <c:pt idx="521">
                  <c:v>-5.705473407436302</c:v>
                </c:pt>
                <c:pt idx="525">
                  <c:v>-2.2518163846808554</c:v>
                </c:pt>
                <c:pt idx="528">
                  <c:v>-1.8785601998990304</c:v>
                </c:pt>
                <c:pt idx="532">
                  <c:v>-2.3178261254688111</c:v>
                </c:pt>
                <c:pt idx="535">
                  <c:v>-2.7137852335844759</c:v>
                </c:pt>
                <c:pt idx="538">
                  <c:v>-3.2329634647853087</c:v>
                </c:pt>
                <c:pt idx="541">
                  <c:v>-3.9702483688631065</c:v>
                </c:pt>
                <c:pt idx="545">
                  <c:v>-4.0075041382301793</c:v>
                </c:pt>
                <c:pt idx="549">
                  <c:v>-3.7394778142848457</c:v>
                </c:pt>
                <c:pt idx="553">
                  <c:v>-1.6816411151467854</c:v>
                </c:pt>
                <c:pt idx="556">
                  <c:v>-1.2980319320915144</c:v>
                </c:pt>
                <c:pt idx="559">
                  <c:v>-1.5648837778763967</c:v>
                </c:pt>
                <c:pt idx="562">
                  <c:v>-1.4151073562751511</c:v>
                </c:pt>
                <c:pt idx="565">
                  <c:v>-1.1342645066187451</c:v>
                </c:pt>
                <c:pt idx="568">
                  <c:v>-0.93354410798818355</c:v>
                </c:pt>
                <c:pt idx="574">
                  <c:v>-1.6256128650600192</c:v>
                </c:pt>
                <c:pt idx="577">
                  <c:v>-2.3637154777793299</c:v>
                </c:pt>
                <c:pt idx="580">
                  <c:v>-3.0151863120744364</c:v>
                </c:pt>
                <c:pt idx="583">
                  <c:v>-2.6818227189320116</c:v>
                </c:pt>
                <c:pt idx="586">
                  <c:v>-1.1981688685645493</c:v>
                </c:pt>
                <c:pt idx="589">
                  <c:v>-1.5393088571017173</c:v>
                </c:pt>
                <c:pt idx="592">
                  <c:v>-2.0668206603181214</c:v>
                </c:pt>
                <c:pt idx="595">
                  <c:v>-2.0421829656279158</c:v>
                </c:pt>
                <c:pt idx="599">
                  <c:v>-2.4099016449604989</c:v>
                </c:pt>
                <c:pt idx="602">
                  <c:v>-2.4192361018364243</c:v>
                </c:pt>
                <c:pt idx="605">
                  <c:v>-1.1219828503865172</c:v>
                </c:pt>
                <c:pt idx="608">
                  <c:v>0.12561800079040752</c:v>
                </c:pt>
                <c:pt idx="611">
                  <c:v>0.67945028491833237</c:v>
                </c:pt>
                <c:pt idx="615">
                  <c:v>0.50911874406121138</c:v>
                </c:pt>
                <c:pt idx="618">
                  <c:v>4.2534123590536321E-3</c:v>
                </c:pt>
                <c:pt idx="621">
                  <c:v>-0.15957354527060391</c:v>
                </c:pt>
                <c:pt idx="624">
                  <c:v>-0.36421232087223954</c:v>
                </c:pt>
                <c:pt idx="627">
                  <c:v>-0.87044190893323159</c:v>
                </c:pt>
                <c:pt idx="631">
                  <c:v>-1.4100652273592595</c:v>
                </c:pt>
                <c:pt idx="634">
                  <c:v>-2.0957467780523307</c:v>
                </c:pt>
                <c:pt idx="637">
                  <c:v>-2.4680314842922995</c:v>
                </c:pt>
                <c:pt idx="646">
                  <c:v>-2.8315718550932854</c:v>
                </c:pt>
                <c:pt idx="649">
                  <c:v>-3.3328583778956129</c:v>
                </c:pt>
                <c:pt idx="652">
                  <c:v>-3.7732014008373511</c:v>
                </c:pt>
                <c:pt idx="655">
                  <c:v>-3.5696232229320013</c:v>
                </c:pt>
                <c:pt idx="658">
                  <c:v>-2.3023884054744466</c:v>
                </c:pt>
                <c:pt idx="664">
                  <c:v>-2.0426141773509698</c:v>
                </c:pt>
                <c:pt idx="670">
                  <c:v>-2.36937222891566</c:v>
                </c:pt>
                <c:pt idx="673">
                  <c:v>-0.49122758329449479</c:v>
                </c:pt>
                <c:pt idx="676">
                  <c:v>-1.3584275849568448</c:v>
                </c:pt>
                <c:pt idx="679">
                  <c:v>-0.88129343051640263</c:v>
                </c:pt>
                <c:pt idx="682">
                  <c:v>-1.637089020814178</c:v>
                </c:pt>
                <c:pt idx="685">
                  <c:v>-2.5599521340689724</c:v>
                </c:pt>
                <c:pt idx="688">
                  <c:v>-3.2916361789481625</c:v>
                </c:pt>
                <c:pt idx="691">
                  <c:v>-1.6172795415369874</c:v>
                </c:pt>
                <c:pt idx="694">
                  <c:v>-1.5284501827880697</c:v>
                </c:pt>
                <c:pt idx="697">
                  <c:v>-1.9180264631261879</c:v>
                </c:pt>
                <c:pt idx="700">
                  <c:v>-2.5697272561377296</c:v>
                </c:pt>
                <c:pt idx="703">
                  <c:v>-2.4196257157481376</c:v>
                </c:pt>
                <c:pt idx="704">
                  <c:v>-2.3773512527241647</c:v>
                </c:pt>
                <c:pt idx="718">
                  <c:v>-2.2082027750999091</c:v>
                </c:pt>
                <c:pt idx="721">
                  <c:v>-3.0199349024862525</c:v>
                </c:pt>
                <c:pt idx="724">
                  <c:v>-3.8166801258437975</c:v>
                </c:pt>
                <c:pt idx="727">
                  <c:v>-4.0757049570048771</c:v>
                </c:pt>
                <c:pt idx="730">
                  <c:v>-4.0412208163831451</c:v>
                </c:pt>
                <c:pt idx="733">
                  <c:v>-1.3961137072542962</c:v>
                </c:pt>
                <c:pt idx="736">
                  <c:v>-1.8419329179289772</c:v>
                </c:pt>
                <c:pt idx="739">
                  <c:v>-2.4295967681207835</c:v>
                </c:pt>
                <c:pt idx="745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8-C045-A2AB-CF5D0A5D3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72432"/>
        <c:axId val="191280368"/>
      </c:scatterChart>
      <c:valAx>
        <c:axId val="2529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0368"/>
        <c:crosses val="autoZero"/>
        <c:crossBetween val="midCat"/>
      </c:valAx>
      <c:valAx>
        <c:axId val="1912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7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 vs NO3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vs NH4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[1]NO3_NO2!$J$170:$J$970</c:f>
              <c:numCache>
                <c:formatCode>General</c:formatCode>
                <c:ptCount val="801"/>
                <c:pt idx="2">
                  <c:v>4.4741973571847513</c:v>
                </c:pt>
                <c:pt idx="5">
                  <c:v>4.3258599749942528</c:v>
                </c:pt>
                <c:pt idx="8">
                  <c:v>4.1592711522693753</c:v>
                </c:pt>
                <c:pt idx="11">
                  <c:v>4.1058412608576473</c:v>
                </c:pt>
                <c:pt idx="14">
                  <c:v>3.925381343326642</c:v>
                </c:pt>
                <c:pt idx="17">
                  <c:v>3.9013971093103788</c:v>
                </c:pt>
                <c:pt idx="20">
                  <c:v>4.0548168772882791</c:v>
                </c:pt>
                <c:pt idx="23">
                  <c:v>3.8225228686396377</c:v>
                </c:pt>
                <c:pt idx="26">
                  <c:v>3.5817115210749528</c:v>
                </c:pt>
                <c:pt idx="29">
                  <c:v>3.4467585286096658</c:v>
                </c:pt>
                <c:pt idx="32">
                  <c:v>3.3787274847704349</c:v>
                </c:pt>
                <c:pt idx="35">
                  <c:v>3.1060369544057012</c:v>
                </c:pt>
                <c:pt idx="38">
                  <c:v>2.922413453848737</c:v>
                </c:pt>
                <c:pt idx="41">
                  <c:v>2.8044951392155366</c:v>
                </c:pt>
                <c:pt idx="44">
                  <c:v>2.6525074689181625</c:v>
                </c:pt>
                <c:pt idx="53">
                  <c:v>2.7694243558273048</c:v>
                </c:pt>
                <c:pt idx="56">
                  <c:v>2.7610146844003784</c:v>
                </c:pt>
                <c:pt idx="59">
                  <c:v>2.4910010319806872</c:v>
                </c:pt>
                <c:pt idx="62">
                  <c:v>2.2343717692862071</c:v>
                </c:pt>
                <c:pt idx="65">
                  <c:v>2.2782828940578335</c:v>
                </c:pt>
                <c:pt idx="68">
                  <c:v>2.1092605459283722</c:v>
                </c:pt>
                <c:pt idx="71">
                  <c:v>1.8647989102568112</c:v>
                </c:pt>
                <c:pt idx="74">
                  <c:v>1.7030771383411016</c:v>
                </c:pt>
                <c:pt idx="77">
                  <c:v>1.5012021972497582</c:v>
                </c:pt>
                <c:pt idx="80">
                  <c:v>1.3127116458836261</c:v>
                </c:pt>
                <c:pt idx="83">
                  <c:v>1.2154782971893887</c:v>
                </c:pt>
                <c:pt idx="86">
                  <c:v>1.3542969127397857</c:v>
                </c:pt>
                <c:pt idx="89">
                  <c:v>1.4931155282901827</c:v>
                </c:pt>
                <c:pt idx="92">
                  <c:v>1.2742059093667524</c:v>
                </c:pt>
                <c:pt idx="95">
                  <c:v>1.2499783228100307</c:v>
                </c:pt>
                <c:pt idx="98">
                  <c:v>1.021334602268265</c:v>
                </c:pt>
                <c:pt idx="101">
                  <c:v>0.75034753968674006</c:v>
                </c:pt>
                <c:pt idx="104">
                  <c:v>0.5582067002137322</c:v>
                </c:pt>
                <c:pt idx="107">
                  <c:v>0.7079761800847566</c:v>
                </c:pt>
                <c:pt idx="110">
                  <c:v>1.0901473360935396</c:v>
                </c:pt>
                <c:pt idx="113">
                  <c:v>1.0756538511551534</c:v>
                </c:pt>
                <c:pt idx="116">
                  <c:v>0.87742919817068588</c:v>
                </c:pt>
                <c:pt idx="119">
                  <c:v>0.61860976261208012</c:v>
                </c:pt>
                <c:pt idx="122">
                  <c:v>0.6698214635974582</c:v>
                </c:pt>
                <c:pt idx="125">
                  <c:v>1.8599230539280827</c:v>
                </c:pt>
                <c:pt idx="128">
                  <c:v>1.6324960960886088</c:v>
                </c:pt>
                <c:pt idx="131">
                  <c:v>1.3583454504811248</c:v>
                </c:pt>
                <c:pt idx="134">
                  <c:v>1.309417581067877</c:v>
                </c:pt>
                <c:pt idx="137">
                  <c:v>1.2146177577782236</c:v>
                </c:pt>
                <c:pt idx="140">
                  <c:v>1.0103092912822964</c:v>
                </c:pt>
                <c:pt idx="143">
                  <c:v>1.3742290067567005</c:v>
                </c:pt>
                <c:pt idx="146">
                  <c:v>1.3110650137266371</c:v>
                </c:pt>
                <c:pt idx="149">
                  <c:v>1.331857647154717</c:v>
                </c:pt>
                <c:pt idx="152">
                  <c:v>2.5925314742182732</c:v>
                </c:pt>
                <c:pt idx="155">
                  <c:v>2.8323413940589006</c:v>
                </c:pt>
                <c:pt idx="158">
                  <c:v>3.4262292602664792</c:v>
                </c:pt>
                <c:pt idx="161">
                  <c:v>3.380099945068503</c:v>
                </c:pt>
                <c:pt idx="164">
                  <c:v>3.7951236940391682</c:v>
                </c:pt>
                <c:pt idx="167">
                  <c:v>4.0154654106431247</c:v>
                </c:pt>
                <c:pt idx="170">
                  <c:v>4.0265239424528687</c:v>
                </c:pt>
                <c:pt idx="173">
                  <c:v>4.0181142710259419</c:v>
                </c:pt>
                <c:pt idx="176">
                  <c:v>3.9634676169119221</c:v>
                </c:pt>
                <c:pt idx="179">
                  <c:v>4.6765982279441101</c:v>
                </c:pt>
                <c:pt idx="182">
                  <c:v>4.5075758798146488</c:v>
                </c:pt>
                <c:pt idx="185">
                  <c:v>4.4736141916395917</c:v>
                </c:pt>
                <c:pt idx="188">
                  <c:v>4.6075657563808212</c:v>
                </c:pt>
                <c:pt idx="191">
                  <c:v>4.6672947962822429</c:v>
                </c:pt>
                <c:pt idx="194">
                  <c:v>4.9886278171764298</c:v>
                </c:pt>
                <c:pt idx="197">
                  <c:v>5.8830560708501149</c:v>
                </c:pt>
                <c:pt idx="200">
                  <c:v>5.9087157550873624</c:v>
                </c:pt>
                <c:pt idx="203">
                  <c:v>5.8175662199045846</c:v>
                </c:pt>
                <c:pt idx="206">
                  <c:v>5.6740958885232535</c:v>
                </c:pt>
                <c:pt idx="209">
                  <c:v>5.4941226760731645</c:v>
                </c:pt>
                <c:pt idx="212">
                  <c:v>5.3798546495468402</c:v>
                </c:pt>
                <c:pt idx="215">
                  <c:v>5.2801877754480193</c:v>
                </c:pt>
                <c:pt idx="218">
                  <c:v>6.3571304344654944</c:v>
                </c:pt>
                <c:pt idx="221">
                  <c:v>6.152821967969567</c:v>
                </c:pt>
                <c:pt idx="224">
                  <c:v>6.0336868906340753</c:v>
                </c:pt>
                <c:pt idx="227">
                  <c:v>6.0873321170240375</c:v>
                </c:pt>
                <c:pt idx="230">
                  <c:v>6.176263461780465</c:v>
                </c:pt>
                <c:pt idx="233">
                  <c:v>5.9439694531318237</c:v>
                </c:pt>
                <c:pt idx="236">
                  <c:v>5.8674210703765493</c:v>
                </c:pt>
                <c:pt idx="239">
                  <c:v>5.652161739559995</c:v>
                </c:pt>
                <c:pt idx="242">
                  <c:v>6.1535756403933872</c:v>
                </c:pt>
                <c:pt idx="245">
                  <c:v>6.1780185619283428</c:v>
                </c:pt>
                <c:pt idx="248">
                  <c:v>6.2377476018297644</c:v>
                </c:pt>
                <c:pt idx="251">
                  <c:v>6.3656153530595336</c:v>
                </c:pt>
                <c:pt idx="254">
                  <c:v>6.4837490026709679</c:v>
                </c:pt>
                <c:pt idx="257">
                  <c:v>6.621350855519073</c:v>
                </c:pt>
                <c:pt idx="260">
                  <c:v>6.6178082349013145</c:v>
                </c:pt>
                <c:pt idx="263">
                  <c:v>6.6933551899325314</c:v>
                </c:pt>
                <c:pt idx="266">
                  <c:v>6.5681362990855794</c:v>
                </c:pt>
                <c:pt idx="269">
                  <c:v>6.3212411380094347</c:v>
                </c:pt>
                <c:pt idx="272">
                  <c:v>6.5354990411019314</c:v>
                </c:pt>
                <c:pt idx="275">
                  <c:v>6.4309651161939421</c:v>
                </c:pt>
                <c:pt idx="278">
                  <c:v>6.4590583258357732</c:v>
                </c:pt>
                <c:pt idx="281">
                  <c:v>6.4117122479355046</c:v>
                </c:pt>
                <c:pt idx="284">
                  <c:v>6.2402563744014596</c:v>
                </c:pt>
                <c:pt idx="287">
                  <c:v>6.0870519414017936</c:v>
                </c:pt>
                <c:pt idx="290">
                  <c:v>6.1017607613184142</c:v>
                </c:pt>
                <c:pt idx="293">
                  <c:v>6.041030293692935</c:v>
                </c:pt>
                <c:pt idx="296">
                  <c:v>5.9693489617468281</c:v>
                </c:pt>
                <c:pt idx="299">
                  <c:v>5.925653171953436</c:v>
                </c:pt>
                <c:pt idx="302">
                  <c:v>5.7018765022208378</c:v>
                </c:pt>
                <c:pt idx="305">
                  <c:v>5.5839581875876378</c:v>
                </c:pt>
                <c:pt idx="308">
                  <c:v>5.4258867037788043</c:v>
                </c:pt>
                <c:pt idx="311">
                  <c:v>5.4685810658481389</c:v>
                </c:pt>
                <c:pt idx="314">
                  <c:v>5.305642531230137</c:v>
                </c:pt>
                <c:pt idx="317">
                  <c:v>5.1487878101235953</c:v>
                </c:pt>
                <c:pt idx="320">
                  <c:v>5.0101845295514327</c:v>
                </c:pt>
                <c:pt idx="323">
                  <c:v>5.885144579988447</c:v>
                </c:pt>
                <c:pt idx="326">
                  <c:v>5.7453245367139925</c:v>
                </c:pt>
                <c:pt idx="329">
                  <c:v>5.7016287469206004</c:v>
                </c:pt>
                <c:pt idx="332">
                  <c:v>6.1592391904714834</c:v>
                </c:pt>
                <c:pt idx="335">
                  <c:v>5.9877833169374384</c:v>
                </c:pt>
                <c:pt idx="338">
                  <c:v>6.075497898991574</c:v>
                </c:pt>
                <c:pt idx="341">
                  <c:v>6.0305853464958901</c:v>
                </c:pt>
                <c:pt idx="344">
                  <c:v>5.9954068956185411</c:v>
                </c:pt>
                <c:pt idx="347">
                  <c:v>5.8519365642372101</c:v>
                </c:pt>
                <c:pt idx="350">
                  <c:v>5.7206338598787987</c:v>
                </c:pt>
                <c:pt idx="353">
                  <c:v>5.5929814436272629</c:v>
                </c:pt>
                <c:pt idx="356">
                  <c:v>5.4823637052078142</c:v>
                </c:pt>
                <c:pt idx="359">
                  <c:v>5.7805782347584538</c:v>
                </c:pt>
                <c:pt idx="362">
                  <c:v>5.7125471909192225</c:v>
                </c:pt>
                <c:pt idx="365">
                  <c:v>6.1774582106838567</c:v>
                </c:pt>
                <c:pt idx="368">
                  <c:v>7.125424023258387</c:v>
                </c:pt>
                <c:pt idx="371">
                  <c:v>6.9271993702739199</c:v>
                </c:pt>
                <c:pt idx="377">
                  <c:v>6.7435758697169552</c:v>
                </c:pt>
                <c:pt idx="380">
                  <c:v>6.5051980475568536</c:v>
                </c:pt>
                <c:pt idx="383">
                  <c:v>6.4006641226488643</c:v>
                </c:pt>
                <c:pt idx="386">
                  <c:v>6.213390333985024</c:v>
                </c:pt>
                <c:pt idx="389">
                  <c:v>6.0455847485578547</c:v>
                </c:pt>
                <c:pt idx="392">
                  <c:v>6.0237906874057172</c:v>
                </c:pt>
                <c:pt idx="395">
                  <c:v>6.0019966262535798</c:v>
                </c:pt>
                <c:pt idx="398">
                  <c:v>5.9242314807960135</c:v>
                </c:pt>
                <c:pt idx="401">
                  <c:v>5.7925150771188232</c:v>
                </c:pt>
                <c:pt idx="404">
                  <c:v>5.6856814707035026</c:v>
                </c:pt>
                <c:pt idx="407">
                  <c:v>5.5055622467291387</c:v>
                </c:pt>
                <c:pt idx="410">
                  <c:v>5.4276997602553889</c:v>
                </c:pt>
                <c:pt idx="413">
                  <c:v>5.4787897849705374</c:v>
                </c:pt>
                <c:pt idx="416">
                  <c:v>5.3478886123038825</c:v>
                </c:pt>
                <c:pt idx="419">
                  <c:v>5.1618315863423341</c:v>
                </c:pt>
                <c:pt idx="422">
                  <c:v>5.0001098144266241</c:v>
                </c:pt>
                <c:pt idx="425">
                  <c:v>4.9807492786790704</c:v>
                </c:pt>
                <c:pt idx="428">
                  <c:v>4.8348454218931556</c:v>
                </c:pt>
                <c:pt idx="431">
                  <c:v>4.6998924294278686</c:v>
                </c:pt>
                <c:pt idx="434">
                  <c:v>4.8192428417415947</c:v>
                </c:pt>
                <c:pt idx="437">
                  <c:v>4.6757725103602636</c:v>
                </c:pt>
                <c:pt idx="440">
                  <c:v>4.5310854162766407</c:v>
                </c:pt>
                <c:pt idx="443">
                  <c:v>4.2914908314142473</c:v>
                </c:pt>
                <c:pt idx="446">
                  <c:v>4.1322025849031219</c:v>
                </c:pt>
                <c:pt idx="449">
                  <c:v>3.9704808129874123</c:v>
                </c:pt>
                <c:pt idx="452">
                  <c:v>3.7552214821708576</c:v>
                </c:pt>
                <c:pt idx="455">
                  <c:v>3.5204939481176321</c:v>
                </c:pt>
                <c:pt idx="458">
                  <c:v>3.4463790907669414</c:v>
                </c:pt>
                <c:pt idx="461">
                  <c:v>3.2396370988664303</c:v>
                </c:pt>
                <c:pt idx="464">
                  <c:v>3.08399914046218</c:v>
                </c:pt>
                <c:pt idx="467">
                  <c:v>2.876040385859377</c:v>
                </c:pt>
                <c:pt idx="470">
                  <c:v>2.8688474771347425</c:v>
                </c:pt>
                <c:pt idx="473">
                  <c:v>2.8689551446238597</c:v>
                </c:pt>
                <c:pt idx="476">
                  <c:v>2.7327853894562804</c:v>
                </c:pt>
                <c:pt idx="479">
                  <c:v>2.4907572791893031</c:v>
                </c:pt>
                <c:pt idx="482">
                  <c:v>2.3983909813042334</c:v>
                </c:pt>
                <c:pt idx="485">
                  <c:v>2.1685304980601758</c:v>
                </c:pt>
                <c:pt idx="488">
                  <c:v>1.9496208791367455</c:v>
                </c:pt>
                <c:pt idx="491">
                  <c:v>1.7380118364270667</c:v>
                </c:pt>
                <c:pt idx="494">
                  <c:v>1.5738565391067731</c:v>
                </c:pt>
                <c:pt idx="497">
                  <c:v>1.3817156996337652</c:v>
                </c:pt>
                <c:pt idx="500">
                  <c:v>1.159155792603459</c:v>
                </c:pt>
                <c:pt idx="503">
                  <c:v>0.97796581745107847</c:v>
                </c:pt>
                <c:pt idx="506">
                  <c:v>1.0413451454593758</c:v>
                </c:pt>
                <c:pt idx="509">
                  <c:v>0.83947020436803255</c:v>
                </c:pt>
                <c:pt idx="512">
                  <c:v>0.73858656756691943</c:v>
                </c:pt>
                <c:pt idx="515">
                  <c:v>0.60606710050621615</c:v>
                </c:pt>
                <c:pt idx="518">
                  <c:v>0.77287125820932756</c:v>
                </c:pt>
                <c:pt idx="521">
                  <c:v>0.86423612837033925</c:v>
                </c:pt>
                <c:pt idx="524">
                  <c:v>0.74631781373713912</c:v>
                </c:pt>
                <c:pt idx="527">
                  <c:v>0.50672322887474597</c:v>
                </c:pt>
                <c:pt idx="530">
                  <c:v>0.28659684724902368</c:v>
                </c:pt>
                <c:pt idx="533">
                  <c:v>0.14190975316540103</c:v>
                </c:pt>
                <c:pt idx="536">
                  <c:v>-2.2245544154892494E-2</c:v>
                </c:pt>
                <c:pt idx="539">
                  <c:v>0.88435033654171225</c:v>
                </c:pt>
                <c:pt idx="542">
                  <c:v>0.80901871648872958</c:v>
                </c:pt>
                <c:pt idx="545">
                  <c:v>0.64608018187072802</c:v>
                </c:pt>
                <c:pt idx="548">
                  <c:v>0.56344798560399378</c:v>
                </c:pt>
                <c:pt idx="551">
                  <c:v>0.37374067153556978</c:v>
                </c:pt>
                <c:pt idx="557">
                  <c:v>0.20958537421527626</c:v>
                </c:pt>
                <c:pt idx="560">
                  <c:v>0.10140116120041151</c:v>
                </c:pt>
                <c:pt idx="563">
                  <c:v>-7.8572051249677088E-2</c:v>
                </c:pt>
                <c:pt idx="566">
                  <c:v>-0.29991519557769131</c:v>
                </c:pt>
                <c:pt idx="569">
                  <c:v>-0.5309924415240409</c:v>
                </c:pt>
                <c:pt idx="572">
                  <c:v>-0.25467964061465581</c:v>
                </c:pt>
                <c:pt idx="575">
                  <c:v>-0.29837543040804826</c:v>
                </c:pt>
                <c:pt idx="578">
                  <c:v>0.27604423256285959</c:v>
                </c:pt>
                <c:pt idx="581">
                  <c:v>0.16907678225028677</c:v>
                </c:pt>
                <c:pt idx="584">
                  <c:v>-2.3790912837583222E-3</c:v>
                </c:pt>
                <c:pt idx="587">
                  <c:v>-0.12638121942841815</c:v>
                </c:pt>
                <c:pt idx="590">
                  <c:v>0.5052262905502104</c:v>
                </c:pt>
                <c:pt idx="593">
                  <c:v>0.28996695973365583</c:v>
                </c:pt>
                <c:pt idx="596">
                  <c:v>7.2274103512517396E-2</c:v>
                </c:pt>
                <c:pt idx="599">
                  <c:v>-0.16975400675445962</c:v>
                </c:pt>
                <c:pt idx="602">
                  <c:v>-0.42394974404435598</c:v>
                </c:pt>
                <c:pt idx="605">
                  <c:v>-0.66232756620445721</c:v>
                </c:pt>
                <c:pt idx="608">
                  <c:v>-0.90192215106685036</c:v>
                </c:pt>
                <c:pt idx="611">
                  <c:v>-0.95900233058545403</c:v>
                </c:pt>
                <c:pt idx="614">
                  <c:v>0.66183325635651347</c:v>
                </c:pt>
                <c:pt idx="617">
                  <c:v>0.4988947217385119</c:v>
                </c:pt>
                <c:pt idx="620">
                  <c:v>0.43451396600615666</c:v>
                </c:pt>
                <c:pt idx="623">
                  <c:v>0.28130953300649053</c:v>
                </c:pt>
                <c:pt idx="626">
                  <c:v>0.88371473813011281</c:v>
                </c:pt>
                <c:pt idx="629">
                  <c:v>0.70252476297773225</c:v>
                </c:pt>
                <c:pt idx="632">
                  <c:v>0.54445327916889841</c:v>
                </c:pt>
                <c:pt idx="635">
                  <c:v>0.39003208346694029</c:v>
                </c:pt>
                <c:pt idx="638">
                  <c:v>0.21614268452831134</c:v>
                </c:pt>
                <c:pt idx="641">
                  <c:v>1.1834218032384158E-2</c:v>
                </c:pt>
                <c:pt idx="647">
                  <c:v>-7.9315317150393569E-2</c:v>
                </c:pt>
                <c:pt idx="653">
                  <c:v>-0.10110937830253129</c:v>
                </c:pt>
                <c:pt idx="656">
                  <c:v>-0.22632826914948306</c:v>
                </c:pt>
                <c:pt idx="659">
                  <c:v>-0.3941338545766524</c:v>
                </c:pt>
                <c:pt idx="662">
                  <c:v>-0.52665332163735568</c:v>
                </c:pt>
                <c:pt idx="665">
                  <c:v>-0.69445890706452496</c:v>
                </c:pt>
                <c:pt idx="668">
                  <c:v>-0.91945233949941496</c:v>
                </c:pt>
                <c:pt idx="671">
                  <c:v>-0.9667984173996832</c:v>
                </c:pt>
                <c:pt idx="674">
                  <c:v>-1.093234070948927</c:v>
                </c:pt>
                <c:pt idx="677">
                  <c:v>-1.1929009450477484</c:v>
                </c:pt>
                <c:pt idx="680">
                  <c:v>-1.2061776672838427</c:v>
                </c:pt>
                <c:pt idx="683">
                  <c:v>-0.22535926174743037</c:v>
                </c:pt>
                <c:pt idx="686">
                  <c:v>-0.23011864506748109</c:v>
                </c:pt>
                <c:pt idx="689">
                  <c:v>-0.40400804400611001</c:v>
                </c:pt>
                <c:pt idx="692">
                  <c:v>-0.64238586616621118</c:v>
                </c:pt>
                <c:pt idx="701">
                  <c:v>-0.79194001105900158</c:v>
                </c:pt>
                <c:pt idx="704">
                  <c:v>-0.9049912748830341</c:v>
                </c:pt>
                <c:pt idx="707">
                  <c:v>-1.1202506056995887</c:v>
                </c:pt>
                <c:pt idx="710">
                  <c:v>-1.3647122413711497</c:v>
                </c:pt>
                <c:pt idx="713">
                  <c:v>-1.4899311322181015</c:v>
                </c:pt>
                <c:pt idx="716">
                  <c:v>-1.4545373463625184</c:v>
                </c:pt>
                <c:pt idx="719">
                  <c:v>-1.6138255928736442</c:v>
                </c:pt>
                <c:pt idx="722">
                  <c:v>-1.6745560604991236</c:v>
                </c:pt>
                <c:pt idx="728">
                  <c:v>-1.4323126152539125</c:v>
                </c:pt>
                <c:pt idx="746">
                  <c:v>-1.5514476925894047</c:v>
                </c:pt>
                <c:pt idx="749">
                  <c:v>-1.3420568403060757</c:v>
                </c:pt>
                <c:pt idx="752">
                  <c:v>-1.1703856317937966</c:v>
                </c:pt>
                <c:pt idx="755">
                  <c:v>-1.3491420815415933</c:v>
                </c:pt>
                <c:pt idx="758">
                  <c:v>-1.5765690393810672</c:v>
                </c:pt>
                <c:pt idx="761">
                  <c:v>-1.5959295751286211</c:v>
                </c:pt>
                <c:pt idx="770">
                  <c:v>-1.2733797915321428</c:v>
                </c:pt>
                <c:pt idx="773">
                  <c:v>-1.2647547851269823</c:v>
                </c:pt>
                <c:pt idx="776">
                  <c:v>-1.2025922198209769</c:v>
                </c:pt>
                <c:pt idx="779">
                  <c:v>-1.4190683133398234</c:v>
                </c:pt>
                <c:pt idx="782">
                  <c:v>-1.2595647318504635</c:v>
                </c:pt>
                <c:pt idx="785">
                  <c:v>-1.2363385730177998</c:v>
                </c:pt>
                <c:pt idx="788">
                  <c:v>-0.40518197986329474</c:v>
                </c:pt>
                <c:pt idx="791">
                  <c:v>-0.51336619287815954</c:v>
                </c:pt>
                <c:pt idx="794">
                  <c:v>-0.25652159520544532</c:v>
                </c:pt>
                <c:pt idx="797">
                  <c:v>-0.2722318428461234</c:v>
                </c:pt>
                <c:pt idx="800">
                  <c:v>-0.37311547964723657</c:v>
                </c:pt>
              </c:numCache>
            </c:numRef>
          </c:xVal>
          <c:yVal>
            <c:numRef>
              <c:f>'Peridin update'!$N$3:$N$748</c:f>
              <c:numCache>
                <c:formatCode>General</c:formatCode>
                <c:ptCount val="746"/>
                <c:pt idx="2">
                  <c:v>-0.30318175049237367</c:v>
                </c:pt>
                <c:pt idx="5">
                  <c:v>-1.1658592883476135</c:v>
                </c:pt>
                <c:pt idx="8">
                  <c:v>-0.95471546337021918</c:v>
                </c:pt>
                <c:pt idx="11">
                  <c:v>-1.1040052013882931</c:v>
                </c:pt>
                <c:pt idx="14">
                  <c:v>-1.2747523330486572</c:v>
                </c:pt>
                <c:pt idx="17">
                  <c:v>-2.0311644130395452</c:v>
                </c:pt>
                <c:pt idx="20">
                  <c:v>-2.6835168779173673</c:v>
                </c:pt>
                <c:pt idx="23">
                  <c:v>-3.5605771096437397</c:v>
                </c:pt>
                <c:pt idx="26">
                  <c:v>-4.3535914444923938</c:v>
                </c:pt>
                <c:pt idx="29">
                  <c:v>-2.4707167102161116</c:v>
                </c:pt>
                <c:pt idx="32">
                  <c:v>-2.3625691058444742</c:v>
                </c:pt>
                <c:pt idx="35">
                  <c:v>-2.6627577635806166</c:v>
                </c:pt>
                <c:pt idx="38">
                  <c:v>-3.0656292061787238</c:v>
                </c:pt>
                <c:pt idx="41">
                  <c:v>-2.5743169436375837</c:v>
                </c:pt>
                <c:pt idx="44">
                  <c:v>-1.2719405783486106</c:v>
                </c:pt>
                <c:pt idx="47">
                  <c:v>-0.39547360312779689</c:v>
                </c:pt>
                <c:pt idx="50">
                  <c:v>0.29655168885650829</c:v>
                </c:pt>
                <c:pt idx="53">
                  <c:v>-0.63852238038681897</c:v>
                </c:pt>
                <c:pt idx="56">
                  <c:v>-1.4556810729415663</c:v>
                </c:pt>
                <c:pt idx="59">
                  <c:v>-2.2132007688546489</c:v>
                </c:pt>
                <c:pt idx="62">
                  <c:v>-3.0353737493790551</c:v>
                </c:pt>
                <c:pt idx="65">
                  <c:v>-1.4774215759512259</c:v>
                </c:pt>
                <c:pt idx="68">
                  <c:v>-2.0643002100073913</c:v>
                </c:pt>
                <c:pt idx="71">
                  <c:v>-0.14231632704302455</c:v>
                </c:pt>
                <c:pt idx="74">
                  <c:v>-0.28752471021288661</c:v>
                </c:pt>
                <c:pt idx="77">
                  <c:v>-0.99412225416658873</c:v>
                </c:pt>
                <c:pt idx="80">
                  <c:v>-1.0278957410785832</c:v>
                </c:pt>
                <c:pt idx="83">
                  <c:v>-1.3033041046950329</c:v>
                </c:pt>
                <c:pt idx="86">
                  <c:v>-1.5540320654248996</c:v>
                </c:pt>
                <c:pt idx="89">
                  <c:v>-1.6563573949363424</c:v>
                </c:pt>
                <c:pt idx="92">
                  <c:v>-1.6334149722236155</c:v>
                </c:pt>
                <c:pt idx="110">
                  <c:v>-1.0016088710596407</c:v>
                </c:pt>
                <c:pt idx="113">
                  <c:v>-1.3847074575195837</c:v>
                </c:pt>
                <c:pt idx="116">
                  <c:v>-1.1324769840977917</c:v>
                </c:pt>
                <c:pt idx="119">
                  <c:v>-0.12963012764545101</c:v>
                </c:pt>
                <c:pt idx="122">
                  <c:v>2.1473831466650384E-2</c:v>
                </c:pt>
                <c:pt idx="125">
                  <c:v>-8.1656354071222674E-3</c:v>
                </c:pt>
                <c:pt idx="128">
                  <c:v>-0.65125055331814519</c:v>
                </c:pt>
                <c:pt idx="131">
                  <c:v>-1.1080347946653704</c:v>
                </c:pt>
                <c:pt idx="134">
                  <c:v>-1.9676873602065845</c:v>
                </c:pt>
                <c:pt idx="137">
                  <c:v>-2.8019563806450845</c:v>
                </c:pt>
                <c:pt idx="140">
                  <c:v>-3.0841581041308674</c:v>
                </c:pt>
                <c:pt idx="143">
                  <c:v>-3.3564789329273386</c:v>
                </c:pt>
                <c:pt idx="146">
                  <c:v>-2.8124126997953267</c:v>
                </c:pt>
                <c:pt idx="149">
                  <c:v>-3.2623070272905066</c:v>
                </c:pt>
                <c:pt idx="152">
                  <c:v>-3.4890976537268528</c:v>
                </c:pt>
                <c:pt idx="155">
                  <c:v>-4.364842252753057</c:v>
                </c:pt>
                <c:pt idx="158">
                  <c:v>-5.1393513855298023</c:v>
                </c:pt>
                <c:pt idx="161">
                  <c:v>-5.8949871975930686</c:v>
                </c:pt>
                <c:pt idx="164">
                  <c:v>-5.8483756510410556</c:v>
                </c:pt>
                <c:pt idx="167">
                  <c:v>-6.6763712009307739</c:v>
                </c:pt>
                <c:pt idx="170">
                  <c:v>-7.3032720614415565</c:v>
                </c:pt>
                <c:pt idx="173">
                  <c:v>-6.9632146558734069</c:v>
                </c:pt>
                <c:pt idx="176">
                  <c:v>-5.0542147913895992</c:v>
                </c:pt>
                <c:pt idx="179">
                  <c:v>-4.7124470700594809</c:v>
                </c:pt>
                <c:pt idx="182">
                  <c:v>-5.2560815994492796</c:v>
                </c:pt>
                <c:pt idx="185">
                  <c:v>-4.9344479864202526</c:v>
                </c:pt>
                <c:pt idx="188">
                  <c:v>-4.8391219308541764</c:v>
                </c:pt>
                <c:pt idx="191">
                  <c:v>-3.4463298467780978</c:v>
                </c:pt>
                <c:pt idx="194">
                  <c:v>-3.9061928035657187</c:v>
                </c:pt>
                <c:pt idx="197">
                  <c:v>-4.4320853869098737</c:v>
                </c:pt>
                <c:pt idx="200">
                  <c:v>-5.194519220259135</c:v>
                </c:pt>
                <c:pt idx="203">
                  <c:v>-6.0813925120354941</c:v>
                </c:pt>
                <c:pt idx="206">
                  <c:v>-6.3489049259977319</c:v>
                </c:pt>
                <c:pt idx="209">
                  <c:v>-6.3305679525795213</c:v>
                </c:pt>
                <c:pt idx="212">
                  <c:v>-7.0574711424794954</c:v>
                </c:pt>
                <c:pt idx="215">
                  <c:v>-7.8556968016342532</c:v>
                </c:pt>
                <c:pt idx="218">
                  <c:v>-8.6480380778666515</c:v>
                </c:pt>
                <c:pt idx="221">
                  <c:v>-9.5825563671366218</c:v>
                </c:pt>
                <c:pt idx="224">
                  <c:v>-10.103059334194112</c:v>
                </c:pt>
                <c:pt idx="227">
                  <c:v>-10.530689692904794</c:v>
                </c:pt>
                <c:pt idx="230">
                  <c:v>-11.066448968565901</c:v>
                </c:pt>
                <c:pt idx="233">
                  <c:v>-11.745221604021649</c:v>
                </c:pt>
                <c:pt idx="236">
                  <c:v>-9.3687584651470068</c:v>
                </c:pt>
                <c:pt idx="239">
                  <c:v>-10.178756575036129</c:v>
                </c:pt>
                <c:pt idx="242">
                  <c:v>-11.074578175774439</c:v>
                </c:pt>
                <c:pt idx="245">
                  <c:v>-11.852453122415401</c:v>
                </c:pt>
                <c:pt idx="248">
                  <c:v>-12.697698303448414</c:v>
                </c:pt>
                <c:pt idx="251">
                  <c:v>-13.309299790300679</c:v>
                </c:pt>
                <c:pt idx="254">
                  <c:v>-13.543476800229465</c:v>
                </c:pt>
                <c:pt idx="257">
                  <c:v>-13.852946498059673</c:v>
                </c:pt>
                <c:pt idx="260">
                  <c:v>-13.767140993657547</c:v>
                </c:pt>
                <c:pt idx="263">
                  <c:v>-14.020440558206388</c:v>
                </c:pt>
                <c:pt idx="266">
                  <c:v>-14.39723604492877</c:v>
                </c:pt>
                <c:pt idx="269">
                  <c:v>-14.614406464867622</c:v>
                </c:pt>
                <c:pt idx="272">
                  <c:v>-15.204600583497299</c:v>
                </c:pt>
                <c:pt idx="275">
                  <c:v>-15.948419996541181</c:v>
                </c:pt>
                <c:pt idx="278">
                  <c:v>-16.83495676191745</c:v>
                </c:pt>
                <c:pt idx="281">
                  <c:v>-17.58578786355811</c:v>
                </c:pt>
                <c:pt idx="284">
                  <c:v>-18.052312061970618</c:v>
                </c:pt>
                <c:pt idx="287">
                  <c:v>-18.939084896626511</c:v>
                </c:pt>
                <c:pt idx="290">
                  <c:v>-19.845428714021846</c:v>
                </c:pt>
                <c:pt idx="293">
                  <c:v>-20.652204182482244</c:v>
                </c:pt>
                <c:pt idx="296">
                  <c:v>-19.999434155044508</c:v>
                </c:pt>
                <c:pt idx="299">
                  <c:v>-20.056323413401696</c:v>
                </c:pt>
                <c:pt idx="302">
                  <c:v>-19.739749548964848</c:v>
                </c:pt>
                <c:pt idx="305">
                  <c:v>-20.306759942418061</c:v>
                </c:pt>
                <c:pt idx="308">
                  <c:v>-19.606188805603072</c:v>
                </c:pt>
                <c:pt idx="311">
                  <c:v>-19.091996974127714</c:v>
                </c:pt>
                <c:pt idx="314">
                  <c:v>-18.48751639803692</c:v>
                </c:pt>
                <c:pt idx="317">
                  <c:v>-17.831544771367135</c:v>
                </c:pt>
                <c:pt idx="320">
                  <c:v>-17.449381955066329</c:v>
                </c:pt>
                <c:pt idx="323">
                  <c:v>-18.029365396999772</c:v>
                </c:pt>
                <c:pt idx="326">
                  <c:v>-18.865688063648481</c:v>
                </c:pt>
                <c:pt idx="329">
                  <c:v>-19.440373815338603</c:v>
                </c:pt>
                <c:pt idx="332">
                  <c:v>-18.832222231005396</c:v>
                </c:pt>
                <c:pt idx="335">
                  <c:v>-19.10452767265306</c:v>
                </c:pt>
                <c:pt idx="338">
                  <c:v>-19.792538384504489</c:v>
                </c:pt>
                <c:pt idx="341">
                  <c:v>-20.356666012229482</c:v>
                </c:pt>
                <c:pt idx="344">
                  <c:v>-20.734813586318591</c:v>
                </c:pt>
                <c:pt idx="347">
                  <c:v>-20.868918893719723</c:v>
                </c:pt>
                <c:pt idx="350">
                  <c:v>-21.546975047108614</c:v>
                </c:pt>
                <c:pt idx="353">
                  <c:v>-21.025266329663452</c:v>
                </c:pt>
                <c:pt idx="356">
                  <c:v>-17.539863695222643</c:v>
                </c:pt>
                <c:pt idx="359">
                  <c:v>-18.088517927461726</c:v>
                </c:pt>
                <c:pt idx="362">
                  <c:v>-17.746235475430755</c:v>
                </c:pt>
                <c:pt idx="365">
                  <c:v>-17.595149875242509</c:v>
                </c:pt>
                <c:pt idx="368">
                  <c:v>-17.954373857289838</c:v>
                </c:pt>
                <c:pt idx="371">
                  <c:v>-17.291374332091607</c:v>
                </c:pt>
                <c:pt idx="375">
                  <c:v>-18.098439259356464</c:v>
                </c:pt>
                <c:pt idx="378">
                  <c:v>-18.779599985844996</c:v>
                </c:pt>
                <c:pt idx="381">
                  <c:v>-19.714674055088324</c:v>
                </c:pt>
                <c:pt idx="384">
                  <c:v>-20.534701545451369</c:v>
                </c:pt>
                <c:pt idx="387">
                  <c:v>-20.627440470023082</c:v>
                </c:pt>
                <c:pt idx="391">
                  <c:v>-19.598711082721724</c:v>
                </c:pt>
                <c:pt idx="394">
                  <c:v>-20.162969417444597</c:v>
                </c:pt>
                <c:pt idx="397">
                  <c:v>-20.956026820706168</c:v>
                </c:pt>
                <c:pt idx="400">
                  <c:v>-21.620258088835342</c:v>
                </c:pt>
                <c:pt idx="403">
                  <c:v>-22.367520330944576</c:v>
                </c:pt>
                <c:pt idx="406">
                  <c:v>-22.436861871404453</c:v>
                </c:pt>
                <c:pt idx="409">
                  <c:v>-22.725047476164921</c:v>
                </c:pt>
                <c:pt idx="413">
                  <c:v>-23.27369875920326</c:v>
                </c:pt>
                <c:pt idx="416">
                  <c:v>-24.042460714044768</c:v>
                </c:pt>
                <c:pt idx="419">
                  <c:v>-24.753092343092614</c:v>
                </c:pt>
                <c:pt idx="422">
                  <c:v>-25.352207496176813</c:v>
                </c:pt>
                <c:pt idx="425">
                  <c:v>-25.857570516659752</c:v>
                </c:pt>
                <c:pt idx="428">
                  <c:v>-25.409525363275922</c:v>
                </c:pt>
                <c:pt idx="432">
                  <c:v>-26.00799343728761</c:v>
                </c:pt>
                <c:pt idx="435">
                  <c:v>-26.126871104604749</c:v>
                </c:pt>
                <c:pt idx="438">
                  <c:v>-24.704935009967638</c:v>
                </c:pt>
                <c:pt idx="441">
                  <c:v>-24.096521107570599</c:v>
                </c:pt>
                <c:pt idx="444">
                  <c:v>-22.740064384876536</c:v>
                </c:pt>
                <c:pt idx="448">
                  <c:v>-22.530236773081874</c:v>
                </c:pt>
                <c:pt idx="452">
                  <c:v>-22.017386246869307</c:v>
                </c:pt>
                <c:pt idx="455">
                  <c:v>-19.422000301516558</c:v>
                </c:pt>
                <c:pt idx="458">
                  <c:v>-20.102568539472131</c:v>
                </c:pt>
                <c:pt idx="461">
                  <c:v>-20.618094886392218</c:v>
                </c:pt>
                <c:pt idx="465">
                  <c:v>-21.211090799962335</c:v>
                </c:pt>
                <c:pt idx="468">
                  <c:v>-20.172518419818278</c:v>
                </c:pt>
                <c:pt idx="471">
                  <c:v>-15.090319516806765</c:v>
                </c:pt>
                <c:pt idx="474">
                  <c:v>-10.16634162950481</c:v>
                </c:pt>
                <c:pt idx="477">
                  <c:v>-9.992866175596582</c:v>
                </c:pt>
                <c:pt idx="481">
                  <c:v>-10.860390341854401</c:v>
                </c:pt>
                <c:pt idx="484">
                  <c:v>-9.7716496359196707</c:v>
                </c:pt>
                <c:pt idx="488">
                  <c:v>-9.9002386268663507</c:v>
                </c:pt>
                <c:pt idx="492">
                  <c:v>-10.689463390203857</c:v>
                </c:pt>
                <c:pt idx="495">
                  <c:v>-11.472977508606991</c:v>
                </c:pt>
                <c:pt idx="498">
                  <c:v>-12.238537827246581</c:v>
                </c:pt>
                <c:pt idx="501">
                  <c:v>-12.835251907146516</c:v>
                </c:pt>
                <c:pt idx="505">
                  <c:v>-13.280231447851783</c:v>
                </c:pt>
                <c:pt idx="508">
                  <c:v>-13.088323791097372</c:v>
                </c:pt>
                <c:pt idx="511">
                  <c:v>-10.022698330653574</c:v>
                </c:pt>
                <c:pt idx="514">
                  <c:v>-4.8918027333080154</c:v>
                </c:pt>
                <c:pt idx="517">
                  <c:v>-5.1929176624717952</c:v>
                </c:pt>
                <c:pt idx="521">
                  <c:v>-5.705473407436302</c:v>
                </c:pt>
                <c:pt idx="525">
                  <c:v>-2.2518163846808554</c:v>
                </c:pt>
                <c:pt idx="528">
                  <c:v>-1.8785601998990304</c:v>
                </c:pt>
                <c:pt idx="532">
                  <c:v>-2.3178261254688111</c:v>
                </c:pt>
                <c:pt idx="535">
                  <c:v>-2.7137852335844759</c:v>
                </c:pt>
                <c:pt idx="538">
                  <c:v>-3.2329634647853087</c:v>
                </c:pt>
                <c:pt idx="541">
                  <c:v>-3.9702483688631065</c:v>
                </c:pt>
                <c:pt idx="545">
                  <c:v>-4.0075041382301793</c:v>
                </c:pt>
                <c:pt idx="549">
                  <c:v>-3.7394778142848457</c:v>
                </c:pt>
                <c:pt idx="553">
                  <c:v>-1.6816411151467854</c:v>
                </c:pt>
                <c:pt idx="556">
                  <c:v>-1.2980319320915144</c:v>
                </c:pt>
                <c:pt idx="559">
                  <c:v>-1.5648837778763967</c:v>
                </c:pt>
                <c:pt idx="562">
                  <c:v>-1.4151073562751511</c:v>
                </c:pt>
                <c:pt idx="565">
                  <c:v>-1.1342645066187451</c:v>
                </c:pt>
                <c:pt idx="568">
                  <c:v>-0.93354410798818355</c:v>
                </c:pt>
                <c:pt idx="574">
                  <c:v>-1.6256128650600192</c:v>
                </c:pt>
                <c:pt idx="577">
                  <c:v>-2.3637154777793299</c:v>
                </c:pt>
                <c:pt idx="580">
                  <c:v>-3.0151863120744364</c:v>
                </c:pt>
                <c:pt idx="583">
                  <c:v>-2.6818227189320116</c:v>
                </c:pt>
                <c:pt idx="586">
                  <c:v>-1.1981688685645493</c:v>
                </c:pt>
                <c:pt idx="589">
                  <c:v>-1.5393088571017173</c:v>
                </c:pt>
                <c:pt idx="592">
                  <c:v>-2.0668206603181214</c:v>
                </c:pt>
                <c:pt idx="595">
                  <c:v>-2.0421829656279158</c:v>
                </c:pt>
                <c:pt idx="599">
                  <c:v>-2.4099016449604989</c:v>
                </c:pt>
                <c:pt idx="602">
                  <c:v>-2.4192361018364243</c:v>
                </c:pt>
                <c:pt idx="605">
                  <c:v>-1.1219828503865172</c:v>
                </c:pt>
                <c:pt idx="608">
                  <c:v>0.12561800079040752</c:v>
                </c:pt>
                <c:pt idx="611">
                  <c:v>0.67945028491833237</c:v>
                </c:pt>
                <c:pt idx="615">
                  <c:v>0.50911874406121138</c:v>
                </c:pt>
                <c:pt idx="618">
                  <c:v>4.2534123590536321E-3</c:v>
                </c:pt>
                <c:pt idx="621">
                  <c:v>-0.15957354527060391</c:v>
                </c:pt>
                <c:pt idx="624">
                  <c:v>-0.36421232087223954</c:v>
                </c:pt>
                <c:pt idx="627">
                  <c:v>-0.87044190893323159</c:v>
                </c:pt>
                <c:pt idx="631">
                  <c:v>-1.4100652273592595</c:v>
                </c:pt>
                <c:pt idx="634">
                  <c:v>-2.0957467780523307</c:v>
                </c:pt>
                <c:pt idx="637">
                  <c:v>-2.4680314842922995</c:v>
                </c:pt>
                <c:pt idx="646">
                  <c:v>-2.8315718550932854</c:v>
                </c:pt>
                <c:pt idx="649">
                  <c:v>-3.3328583778956129</c:v>
                </c:pt>
                <c:pt idx="652">
                  <c:v>-3.7732014008373511</c:v>
                </c:pt>
                <c:pt idx="655">
                  <c:v>-3.5696232229320013</c:v>
                </c:pt>
                <c:pt idx="658">
                  <c:v>-2.3023884054744466</c:v>
                </c:pt>
                <c:pt idx="664">
                  <c:v>-2.0426141773509698</c:v>
                </c:pt>
                <c:pt idx="670">
                  <c:v>-2.36937222891566</c:v>
                </c:pt>
                <c:pt idx="673">
                  <c:v>-0.49122758329449479</c:v>
                </c:pt>
                <c:pt idx="676">
                  <c:v>-1.3584275849568448</c:v>
                </c:pt>
                <c:pt idx="679">
                  <c:v>-0.88129343051640263</c:v>
                </c:pt>
                <c:pt idx="682">
                  <c:v>-1.637089020814178</c:v>
                </c:pt>
                <c:pt idx="685">
                  <c:v>-2.5599521340689724</c:v>
                </c:pt>
                <c:pt idx="688">
                  <c:v>-3.2916361789481625</c:v>
                </c:pt>
                <c:pt idx="691">
                  <c:v>-1.6172795415369874</c:v>
                </c:pt>
                <c:pt idx="694">
                  <c:v>-1.5284501827880697</c:v>
                </c:pt>
                <c:pt idx="697">
                  <c:v>-1.9180264631261879</c:v>
                </c:pt>
                <c:pt idx="700">
                  <c:v>-2.5697272561377296</c:v>
                </c:pt>
                <c:pt idx="703">
                  <c:v>-2.4196257157481376</c:v>
                </c:pt>
                <c:pt idx="704">
                  <c:v>-2.3773512527241647</c:v>
                </c:pt>
                <c:pt idx="718">
                  <c:v>-2.2082027750999091</c:v>
                </c:pt>
                <c:pt idx="721">
                  <c:v>-3.0199349024862525</c:v>
                </c:pt>
                <c:pt idx="724">
                  <c:v>-3.8166801258437975</c:v>
                </c:pt>
                <c:pt idx="727">
                  <c:v>-4.0757049570048771</c:v>
                </c:pt>
                <c:pt idx="730">
                  <c:v>-4.0412208163831451</c:v>
                </c:pt>
                <c:pt idx="733">
                  <c:v>-1.3961137072542962</c:v>
                </c:pt>
                <c:pt idx="736">
                  <c:v>-1.8419329179289772</c:v>
                </c:pt>
                <c:pt idx="739">
                  <c:v>-2.4295967681207835</c:v>
                </c:pt>
                <c:pt idx="745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7-0B44-AD0C-4FD389D6D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72432"/>
        <c:axId val="191280368"/>
      </c:scatterChart>
      <c:valAx>
        <c:axId val="2529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0368"/>
        <c:crosses val="autoZero"/>
        <c:crossBetween val="midCat"/>
      </c:valAx>
      <c:valAx>
        <c:axId val="1912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7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 vs NH4 cusum through 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vs NH4 cusum through 2004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[1]NH4!$J$170:$J$322</c:f>
              <c:numCache>
                <c:formatCode>General</c:formatCode>
                <c:ptCount val="153"/>
                <c:pt idx="2">
                  <c:v>-17.866186087386083</c:v>
                </c:pt>
                <c:pt idx="5">
                  <c:v>-18.08942499633989</c:v>
                </c:pt>
                <c:pt idx="8">
                  <c:v>-18.552365458431588</c:v>
                </c:pt>
                <c:pt idx="11">
                  <c:v>-18.687293268860905</c:v>
                </c:pt>
                <c:pt idx="14">
                  <c:v>-19.110583849982426</c:v>
                </c:pt>
                <c:pt idx="17">
                  <c:v>-19.314598574223417</c:v>
                </c:pt>
                <c:pt idx="20">
                  <c:v>-19.824397986552597</c:v>
                </c:pt>
                <c:pt idx="23">
                  <c:v>-20.194822059713879</c:v>
                </c:pt>
                <c:pt idx="26">
                  <c:v>-20.840392276577301</c:v>
                </c:pt>
                <c:pt idx="29">
                  <c:v>-21.066034208620209</c:v>
                </c:pt>
                <c:pt idx="32">
                  <c:v>-21.003914125743194</c:v>
                </c:pt>
                <c:pt idx="35">
                  <c:v>-21.530534699696084</c:v>
                </c:pt>
                <c:pt idx="38">
                  <c:v>-21.822860522461561</c:v>
                </c:pt>
                <c:pt idx="41">
                  <c:v>-22.300819878860143</c:v>
                </c:pt>
                <c:pt idx="44">
                  <c:v>-22.856877485654529</c:v>
                </c:pt>
                <c:pt idx="53">
                  <c:v>-22.258282498135564</c:v>
                </c:pt>
                <c:pt idx="56">
                  <c:v>-20.961008547460288</c:v>
                </c:pt>
                <c:pt idx="59">
                  <c:v>-20.966773866850392</c:v>
                </c:pt>
                <c:pt idx="62">
                  <c:v>-21.513820137060648</c:v>
                </c:pt>
                <c:pt idx="65">
                  <c:v>-21.583866324084223</c:v>
                </c:pt>
                <c:pt idx="68">
                  <c:v>-21.474286535197447</c:v>
                </c:pt>
                <c:pt idx="71">
                  <c:v>-22.119916827638097</c:v>
                </c:pt>
                <c:pt idx="74">
                  <c:v>-22.765547120078747</c:v>
                </c:pt>
                <c:pt idx="77">
                  <c:v>-23.258765673093126</c:v>
                </c:pt>
                <c:pt idx="80">
                  <c:v>-23.780219747404448</c:v>
                </c:pt>
                <c:pt idx="83">
                  <c:v>-23.720502687616534</c:v>
                </c:pt>
                <c:pt idx="86">
                  <c:v>-24.209876403688348</c:v>
                </c:pt>
                <c:pt idx="89">
                  <c:v>-24.699250119760162</c:v>
                </c:pt>
                <c:pt idx="92">
                  <c:v>-25.344880412200812</c:v>
                </c:pt>
                <c:pt idx="95">
                  <c:v>-25.990510704641462</c:v>
                </c:pt>
                <c:pt idx="98">
                  <c:v>-26.636140997082112</c:v>
                </c:pt>
                <c:pt idx="101">
                  <c:v>-27.281771289522762</c:v>
                </c:pt>
                <c:pt idx="104">
                  <c:v>-27.836026629000322</c:v>
                </c:pt>
                <c:pt idx="107">
                  <c:v>-28.413951745905536</c:v>
                </c:pt>
                <c:pt idx="110">
                  <c:v>-28.334229518900848</c:v>
                </c:pt>
                <c:pt idx="113">
                  <c:v>-28.908730327904092</c:v>
                </c:pt>
                <c:pt idx="116">
                  <c:v>-29.453193348293564</c:v>
                </c:pt>
                <c:pt idx="119">
                  <c:v>-29.782165273167841</c:v>
                </c:pt>
                <c:pt idx="122">
                  <c:v>-30.377091778428447</c:v>
                </c:pt>
                <c:pt idx="125">
                  <c:v>-30.762955274937209</c:v>
                </c:pt>
                <c:pt idx="128">
                  <c:v>-31.219888179306153</c:v>
                </c:pt>
                <c:pt idx="131">
                  <c:v>-31.529335541581482</c:v>
                </c:pt>
                <c:pt idx="134">
                  <c:v>-31.869121070356719</c:v>
                </c:pt>
                <c:pt idx="137">
                  <c:v>-29.88037722579244</c:v>
                </c:pt>
                <c:pt idx="140">
                  <c:v>-30.345720710973239</c:v>
                </c:pt>
                <c:pt idx="143">
                  <c:v>-29.466572777801655</c:v>
                </c:pt>
                <c:pt idx="146">
                  <c:v>-29.633941399933846</c:v>
                </c:pt>
                <c:pt idx="149">
                  <c:v>-28.956647406246802</c:v>
                </c:pt>
                <c:pt idx="152">
                  <c:v>-27.779524610026609</c:v>
                </c:pt>
              </c:numCache>
            </c:numRef>
          </c:xVal>
          <c:yVal>
            <c:numRef>
              <c:f>'Peridin update'!$N$3:$N$748</c:f>
              <c:numCache>
                <c:formatCode>General</c:formatCode>
                <c:ptCount val="746"/>
                <c:pt idx="2">
                  <c:v>-0.30318175049237367</c:v>
                </c:pt>
                <c:pt idx="5">
                  <c:v>-1.1658592883476135</c:v>
                </c:pt>
                <c:pt idx="8">
                  <c:v>-0.95471546337021918</c:v>
                </c:pt>
                <c:pt idx="11">
                  <c:v>-1.1040052013882931</c:v>
                </c:pt>
                <c:pt idx="14">
                  <c:v>-1.2747523330486572</c:v>
                </c:pt>
                <c:pt idx="17">
                  <c:v>-2.0311644130395452</c:v>
                </c:pt>
                <c:pt idx="20">
                  <c:v>-2.6835168779173673</c:v>
                </c:pt>
                <c:pt idx="23">
                  <c:v>-3.5605771096437397</c:v>
                </c:pt>
                <c:pt idx="26">
                  <c:v>-4.3535914444923938</c:v>
                </c:pt>
                <c:pt idx="29">
                  <c:v>-2.4707167102161116</c:v>
                </c:pt>
                <c:pt idx="32">
                  <c:v>-2.3625691058444742</c:v>
                </c:pt>
                <c:pt idx="35">
                  <c:v>-2.6627577635806166</c:v>
                </c:pt>
                <c:pt idx="38">
                  <c:v>-3.0656292061787238</c:v>
                </c:pt>
                <c:pt idx="41">
                  <c:v>-2.5743169436375837</c:v>
                </c:pt>
                <c:pt idx="44">
                  <c:v>-1.2719405783486106</c:v>
                </c:pt>
                <c:pt idx="47">
                  <c:v>-0.39547360312779689</c:v>
                </c:pt>
                <c:pt idx="50">
                  <c:v>0.29655168885650829</c:v>
                </c:pt>
                <c:pt idx="53">
                  <c:v>-0.63852238038681897</c:v>
                </c:pt>
                <c:pt idx="56">
                  <c:v>-1.4556810729415663</c:v>
                </c:pt>
                <c:pt idx="59">
                  <c:v>-2.2132007688546489</c:v>
                </c:pt>
                <c:pt idx="62">
                  <c:v>-3.0353737493790551</c:v>
                </c:pt>
                <c:pt idx="65">
                  <c:v>-1.4774215759512259</c:v>
                </c:pt>
                <c:pt idx="68">
                  <c:v>-2.0643002100073913</c:v>
                </c:pt>
                <c:pt idx="71">
                  <c:v>-0.14231632704302455</c:v>
                </c:pt>
                <c:pt idx="74">
                  <c:v>-0.28752471021288661</c:v>
                </c:pt>
                <c:pt idx="77">
                  <c:v>-0.99412225416658873</c:v>
                </c:pt>
                <c:pt idx="80">
                  <c:v>-1.0278957410785832</c:v>
                </c:pt>
                <c:pt idx="83">
                  <c:v>-1.3033041046950329</c:v>
                </c:pt>
                <c:pt idx="86">
                  <c:v>-1.5540320654248996</c:v>
                </c:pt>
                <c:pt idx="89">
                  <c:v>-1.6563573949363424</c:v>
                </c:pt>
                <c:pt idx="92">
                  <c:v>-1.6334149722236155</c:v>
                </c:pt>
                <c:pt idx="110">
                  <c:v>-1.0016088710596407</c:v>
                </c:pt>
                <c:pt idx="113">
                  <c:v>-1.3847074575195837</c:v>
                </c:pt>
                <c:pt idx="116">
                  <c:v>-1.1324769840977917</c:v>
                </c:pt>
                <c:pt idx="119">
                  <c:v>-0.12963012764545101</c:v>
                </c:pt>
                <c:pt idx="122">
                  <c:v>2.1473831466650384E-2</c:v>
                </c:pt>
                <c:pt idx="125">
                  <c:v>-8.1656354071222674E-3</c:v>
                </c:pt>
                <c:pt idx="128">
                  <c:v>-0.65125055331814519</c:v>
                </c:pt>
                <c:pt idx="131">
                  <c:v>-1.1080347946653704</c:v>
                </c:pt>
                <c:pt idx="134">
                  <c:v>-1.9676873602065845</c:v>
                </c:pt>
                <c:pt idx="137">
                  <c:v>-2.8019563806450845</c:v>
                </c:pt>
                <c:pt idx="140">
                  <c:v>-3.0841581041308674</c:v>
                </c:pt>
                <c:pt idx="143">
                  <c:v>-3.3564789329273386</c:v>
                </c:pt>
                <c:pt idx="146">
                  <c:v>-2.8124126997953267</c:v>
                </c:pt>
                <c:pt idx="149">
                  <c:v>-3.2623070272905066</c:v>
                </c:pt>
                <c:pt idx="152">
                  <c:v>-3.4890976537268528</c:v>
                </c:pt>
                <c:pt idx="155">
                  <c:v>-4.364842252753057</c:v>
                </c:pt>
                <c:pt idx="158">
                  <c:v>-5.1393513855298023</c:v>
                </c:pt>
                <c:pt idx="161">
                  <c:v>-5.8949871975930686</c:v>
                </c:pt>
                <c:pt idx="164">
                  <c:v>-5.8483756510410556</c:v>
                </c:pt>
                <c:pt idx="167">
                  <c:v>-6.6763712009307739</c:v>
                </c:pt>
                <c:pt idx="170">
                  <c:v>-7.3032720614415565</c:v>
                </c:pt>
                <c:pt idx="173">
                  <c:v>-6.9632146558734069</c:v>
                </c:pt>
                <c:pt idx="176">
                  <c:v>-5.0542147913895992</c:v>
                </c:pt>
                <c:pt idx="179">
                  <c:v>-4.7124470700594809</c:v>
                </c:pt>
                <c:pt idx="182">
                  <c:v>-5.2560815994492796</c:v>
                </c:pt>
                <c:pt idx="185">
                  <c:v>-4.9344479864202526</c:v>
                </c:pt>
                <c:pt idx="188">
                  <c:v>-4.8391219308541764</c:v>
                </c:pt>
                <c:pt idx="191">
                  <c:v>-3.4463298467780978</c:v>
                </c:pt>
                <c:pt idx="194">
                  <c:v>-3.9061928035657187</c:v>
                </c:pt>
                <c:pt idx="197">
                  <c:v>-4.4320853869098737</c:v>
                </c:pt>
                <c:pt idx="200">
                  <c:v>-5.194519220259135</c:v>
                </c:pt>
                <c:pt idx="203">
                  <c:v>-6.0813925120354941</c:v>
                </c:pt>
                <c:pt idx="206">
                  <c:v>-6.3489049259977319</c:v>
                </c:pt>
                <c:pt idx="209">
                  <c:v>-6.3305679525795213</c:v>
                </c:pt>
                <c:pt idx="212">
                  <c:v>-7.0574711424794954</c:v>
                </c:pt>
                <c:pt idx="215">
                  <c:v>-7.8556968016342532</c:v>
                </c:pt>
                <c:pt idx="218">
                  <c:v>-8.6480380778666515</c:v>
                </c:pt>
                <c:pt idx="221">
                  <c:v>-9.5825563671366218</c:v>
                </c:pt>
                <c:pt idx="224">
                  <c:v>-10.103059334194112</c:v>
                </c:pt>
                <c:pt idx="227">
                  <c:v>-10.530689692904794</c:v>
                </c:pt>
                <c:pt idx="230">
                  <c:v>-11.066448968565901</c:v>
                </c:pt>
                <c:pt idx="233">
                  <c:v>-11.745221604021649</c:v>
                </c:pt>
                <c:pt idx="236">
                  <c:v>-9.3687584651470068</c:v>
                </c:pt>
                <c:pt idx="239">
                  <c:v>-10.178756575036129</c:v>
                </c:pt>
                <c:pt idx="242">
                  <c:v>-11.074578175774439</c:v>
                </c:pt>
                <c:pt idx="245">
                  <c:v>-11.852453122415401</c:v>
                </c:pt>
                <c:pt idx="248">
                  <c:v>-12.697698303448414</c:v>
                </c:pt>
                <c:pt idx="251">
                  <c:v>-13.309299790300679</c:v>
                </c:pt>
                <c:pt idx="254">
                  <c:v>-13.543476800229465</c:v>
                </c:pt>
                <c:pt idx="257">
                  <c:v>-13.852946498059673</c:v>
                </c:pt>
                <c:pt idx="260">
                  <c:v>-13.767140993657547</c:v>
                </c:pt>
                <c:pt idx="263">
                  <c:v>-14.020440558206388</c:v>
                </c:pt>
                <c:pt idx="266">
                  <c:v>-14.39723604492877</c:v>
                </c:pt>
                <c:pt idx="269">
                  <c:v>-14.614406464867622</c:v>
                </c:pt>
                <c:pt idx="272">
                  <c:v>-15.204600583497299</c:v>
                </c:pt>
                <c:pt idx="275">
                  <c:v>-15.948419996541181</c:v>
                </c:pt>
                <c:pt idx="278">
                  <c:v>-16.83495676191745</c:v>
                </c:pt>
                <c:pt idx="281">
                  <c:v>-17.58578786355811</c:v>
                </c:pt>
                <c:pt idx="284">
                  <c:v>-18.052312061970618</c:v>
                </c:pt>
                <c:pt idx="287">
                  <c:v>-18.939084896626511</c:v>
                </c:pt>
                <c:pt idx="290">
                  <c:v>-19.845428714021846</c:v>
                </c:pt>
                <c:pt idx="293">
                  <c:v>-20.652204182482244</c:v>
                </c:pt>
                <c:pt idx="296">
                  <c:v>-19.999434155044508</c:v>
                </c:pt>
                <c:pt idx="299">
                  <c:v>-20.056323413401696</c:v>
                </c:pt>
                <c:pt idx="302">
                  <c:v>-19.739749548964848</c:v>
                </c:pt>
                <c:pt idx="305">
                  <c:v>-20.306759942418061</c:v>
                </c:pt>
                <c:pt idx="308">
                  <c:v>-19.606188805603072</c:v>
                </c:pt>
                <c:pt idx="311">
                  <c:v>-19.091996974127714</c:v>
                </c:pt>
                <c:pt idx="314">
                  <c:v>-18.48751639803692</c:v>
                </c:pt>
                <c:pt idx="317">
                  <c:v>-17.831544771367135</c:v>
                </c:pt>
                <c:pt idx="320">
                  <c:v>-17.449381955066329</c:v>
                </c:pt>
                <c:pt idx="323">
                  <c:v>-18.029365396999772</c:v>
                </c:pt>
                <c:pt idx="326">
                  <c:v>-18.865688063648481</c:v>
                </c:pt>
                <c:pt idx="329">
                  <c:v>-19.440373815338603</c:v>
                </c:pt>
                <c:pt idx="332">
                  <c:v>-18.832222231005396</c:v>
                </c:pt>
                <c:pt idx="335">
                  <c:v>-19.10452767265306</c:v>
                </c:pt>
                <c:pt idx="338">
                  <c:v>-19.792538384504489</c:v>
                </c:pt>
                <c:pt idx="341">
                  <c:v>-20.356666012229482</c:v>
                </c:pt>
                <c:pt idx="344">
                  <c:v>-20.734813586318591</c:v>
                </c:pt>
                <c:pt idx="347">
                  <c:v>-20.868918893719723</c:v>
                </c:pt>
                <c:pt idx="350">
                  <c:v>-21.546975047108614</c:v>
                </c:pt>
                <c:pt idx="353">
                  <c:v>-21.025266329663452</c:v>
                </c:pt>
                <c:pt idx="356">
                  <c:v>-17.539863695222643</c:v>
                </c:pt>
                <c:pt idx="359">
                  <c:v>-18.088517927461726</c:v>
                </c:pt>
                <c:pt idx="362">
                  <c:v>-17.746235475430755</c:v>
                </c:pt>
                <c:pt idx="365">
                  <c:v>-17.595149875242509</c:v>
                </c:pt>
                <c:pt idx="368">
                  <c:v>-17.954373857289838</c:v>
                </c:pt>
                <c:pt idx="371">
                  <c:v>-17.291374332091607</c:v>
                </c:pt>
                <c:pt idx="375">
                  <c:v>-18.098439259356464</c:v>
                </c:pt>
                <c:pt idx="378">
                  <c:v>-18.779599985844996</c:v>
                </c:pt>
                <c:pt idx="381">
                  <c:v>-19.714674055088324</c:v>
                </c:pt>
                <c:pt idx="384">
                  <c:v>-20.534701545451369</c:v>
                </c:pt>
                <c:pt idx="387">
                  <c:v>-20.627440470023082</c:v>
                </c:pt>
                <c:pt idx="391">
                  <c:v>-19.598711082721724</c:v>
                </c:pt>
                <c:pt idx="394">
                  <c:v>-20.162969417444597</c:v>
                </c:pt>
                <c:pt idx="397">
                  <c:v>-20.956026820706168</c:v>
                </c:pt>
                <c:pt idx="400">
                  <c:v>-21.620258088835342</c:v>
                </c:pt>
                <c:pt idx="403">
                  <c:v>-22.367520330944576</c:v>
                </c:pt>
                <c:pt idx="406">
                  <c:v>-22.436861871404453</c:v>
                </c:pt>
                <c:pt idx="409">
                  <c:v>-22.725047476164921</c:v>
                </c:pt>
                <c:pt idx="413">
                  <c:v>-23.27369875920326</c:v>
                </c:pt>
                <c:pt idx="416">
                  <c:v>-24.042460714044768</c:v>
                </c:pt>
                <c:pt idx="419">
                  <c:v>-24.753092343092614</c:v>
                </c:pt>
                <c:pt idx="422">
                  <c:v>-25.352207496176813</c:v>
                </c:pt>
                <c:pt idx="425">
                  <c:v>-25.857570516659752</c:v>
                </c:pt>
                <c:pt idx="428">
                  <c:v>-25.409525363275922</c:v>
                </c:pt>
                <c:pt idx="432">
                  <c:v>-26.00799343728761</c:v>
                </c:pt>
                <c:pt idx="435">
                  <c:v>-26.126871104604749</c:v>
                </c:pt>
                <c:pt idx="438">
                  <c:v>-24.704935009967638</c:v>
                </c:pt>
                <c:pt idx="441">
                  <c:v>-24.096521107570599</c:v>
                </c:pt>
                <c:pt idx="444">
                  <c:v>-22.740064384876536</c:v>
                </c:pt>
                <c:pt idx="448">
                  <c:v>-22.530236773081874</c:v>
                </c:pt>
                <c:pt idx="452">
                  <c:v>-22.017386246869307</c:v>
                </c:pt>
                <c:pt idx="455">
                  <c:v>-19.422000301516558</c:v>
                </c:pt>
                <c:pt idx="458">
                  <c:v>-20.102568539472131</c:v>
                </c:pt>
                <c:pt idx="461">
                  <c:v>-20.618094886392218</c:v>
                </c:pt>
                <c:pt idx="465">
                  <c:v>-21.211090799962335</c:v>
                </c:pt>
                <c:pt idx="468">
                  <c:v>-20.172518419818278</c:v>
                </c:pt>
                <c:pt idx="471">
                  <c:v>-15.090319516806765</c:v>
                </c:pt>
                <c:pt idx="474">
                  <c:v>-10.16634162950481</c:v>
                </c:pt>
                <c:pt idx="477">
                  <c:v>-9.992866175596582</c:v>
                </c:pt>
                <c:pt idx="481">
                  <c:v>-10.860390341854401</c:v>
                </c:pt>
                <c:pt idx="484">
                  <c:v>-9.7716496359196707</c:v>
                </c:pt>
                <c:pt idx="488">
                  <c:v>-9.9002386268663507</c:v>
                </c:pt>
                <c:pt idx="492">
                  <c:v>-10.689463390203857</c:v>
                </c:pt>
                <c:pt idx="495">
                  <c:v>-11.472977508606991</c:v>
                </c:pt>
                <c:pt idx="498">
                  <c:v>-12.238537827246581</c:v>
                </c:pt>
                <c:pt idx="501">
                  <c:v>-12.835251907146516</c:v>
                </c:pt>
                <c:pt idx="505">
                  <c:v>-13.280231447851783</c:v>
                </c:pt>
                <c:pt idx="508">
                  <c:v>-13.088323791097372</c:v>
                </c:pt>
                <c:pt idx="511">
                  <c:v>-10.022698330653574</c:v>
                </c:pt>
                <c:pt idx="514">
                  <c:v>-4.8918027333080154</c:v>
                </c:pt>
                <c:pt idx="517">
                  <c:v>-5.1929176624717952</c:v>
                </c:pt>
                <c:pt idx="521">
                  <c:v>-5.705473407436302</c:v>
                </c:pt>
                <c:pt idx="525">
                  <c:v>-2.2518163846808554</c:v>
                </c:pt>
                <c:pt idx="528">
                  <c:v>-1.8785601998990304</c:v>
                </c:pt>
                <c:pt idx="532">
                  <c:v>-2.3178261254688111</c:v>
                </c:pt>
                <c:pt idx="535">
                  <c:v>-2.7137852335844759</c:v>
                </c:pt>
                <c:pt idx="538">
                  <c:v>-3.2329634647853087</c:v>
                </c:pt>
                <c:pt idx="541">
                  <c:v>-3.9702483688631065</c:v>
                </c:pt>
                <c:pt idx="545">
                  <c:v>-4.0075041382301793</c:v>
                </c:pt>
                <c:pt idx="549">
                  <c:v>-3.7394778142848457</c:v>
                </c:pt>
                <c:pt idx="553">
                  <c:v>-1.6816411151467854</c:v>
                </c:pt>
                <c:pt idx="556">
                  <c:v>-1.2980319320915144</c:v>
                </c:pt>
                <c:pt idx="559">
                  <c:v>-1.5648837778763967</c:v>
                </c:pt>
                <c:pt idx="562">
                  <c:v>-1.4151073562751511</c:v>
                </c:pt>
                <c:pt idx="565">
                  <c:v>-1.1342645066187451</c:v>
                </c:pt>
                <c:pt idx="568">
                  <c:v>-0.93354410798818355</c:v>
                </c:pt>
                <c:pt idx="574">
                  <c:v>-1.6256128650600192</c:v>
                </c:pt>
                <c:pt idx="577">
                  <c:v>-2.3637154777793299</c:v>
                </c:pt>
                <c:pt idx="580">
                  <c:v>-3.0151863120744364</c:v>
                </c:pt>
                <c:pt idx="583">
                  <c:v>-2.6818227189320116</c:v>
                </c:pt>
                <c:pt idx="586">
                  <c:v>-1.1981688685645493</c:v>
                </c:pt>
                <c:pt idx="589">
                  <c:v>-1.5393088571017173</c:v>
                </c:pt>
                <c:pt idx="592">
                  <c:v>-2.0668206603181214</c:v>
                </c:pt>
                <c:pt idx="595">
                  <c:v>-2.0421829656279158</c:v>
                </c:pt>
                <c:pt idx="599">
                  <c:v>-2.4099016449604989</c:v>
                </c:pt>
                <c:pt idx="602">
                  <c:v>-2.4192361018364243</c:v>
                </c:pt>
                <c:pt idx="605">
                  <c:v>-1.1219828503865172</c:v>
                </c:pt>
                <c:pt idx="608">
                  <c:v>0.12561800079040752</c:v>
                </c:pt>
                <c:pt idx="611">
                  <c:v>0.67945028491833237</c:v>
                </c:pt>
                <c:pt idx="615">
                  <c:v>0.50911874406121138</c:v>
                </c:pt>
                <c:pt idx="618">
                  <c:v>4.2534123590536321E-3</c:v>
                </c:pt>
                <c:pt idx="621">
                  <c:v>-0.15957354527060391</c:v>
                </c:pt>
                <c:pt idx="624">
                  <c:v>-0.36421232087223954</c:v>
                </c:pt>
                <c:pt idx="627">
                  <c:v>-0.87044190893323159</c:v>
                </c:pt>
                <c:pt idx="631">
                  <c:v>-1.4100652273592595</c:v>
                </c:pt>
                <c:pt idx="634">
                  <c:v>-2.0957467780523307</c:v>
                </c:pt>
                <c:pt idx="637">
                  <c:v>-2.4680314842922995</c:v>
                </c:pt>
                <c:pt idx="646">
                  <c:v>-2.8315718550932854</c:v>
                </c:pt>
                <c:pt idx="649">
                  <c:v>-3.3328583778956129</c:v>
                </c:pt>
                <c:pt idx="652">
                  <c:v>-3.7732014008373511</c:v>
                </c:pt>
                <c:pt idx="655">
                  <c:v>-3.5696232229320013</c:v>
                </c:pt>
                <c:pt idx="658">
                  <c:v>-2.3023884054744466</c:v>
                </c:pt>
                <c:pt idx="664">
                  <c:v>-2.0426141773509698</c:v>
                </c:pt>
                <c:pt idx="670">
                  <c:v>-2.36937222891566</c:v>
                </c:pt>
                <c:pt idx="673">
                  <c:v>-0.49122758329449479</c:v>
                </c:pt>
                <c:pt idx="676">
                  <c:v>-1.3584275849568448</c:v>
                </c:pt>
                <c:pt idx="679">
                  <c:v>-0.88129343051640263</c:v>
                </c:pt>
                <c:pt idx="682">
                  <c:v>-1.637089020814178</c:v>
                </c:pt>
                <c:pt idx="685">
                  <c:v>-2.5599521340689724</c:v>
                </c:pt>
                <c:pt idx="688">
                  <c:v>-3.2916361789481625</c:v>
                </c:pt>
                <c:pt idx="691">
                  <c:v>-1.6172795415369874</c:v>
                </c:pt>
                <c:pt idx="694">
                  <c:v>-1.5284501827880697</c:v>
                </c:pt>
                <c:pt idx="697">
                  <c:v>-1.9180264631261879</c:v>
                </c:pt>
                <c:pt idx="700">
                  <c:v>-2.5697272561377296</c:v>
                </c:pt>
                <c:pt idx="703">
                  <c:v>-2.4196257157481376</c:v>
                </c:pt>
                <c:pt idx="704">
                  <c:v>-2.3773512527241647</c:v>
                </c:pt>
                <c:pt idx="718">
                  <c:v>-2.2082027750999091</c:v>
                </c:pt>
                <c:pt idx="721">
                  <c:v>-3.0199349024862525</c:v>
                </c:pt>
                <c:pt idx="724">
                  <c:v>-3.8166801258437975</c:v>
                </c:pt>
                <c:pt idx="727">
                  <c:v>-4.0757049570048771</c:v>
                </c:pt>
                <c:pt idx="730">
                  <c:v>-4.0412208163831451</c:v>
                </c:pt>
                <c:pt idx="733">
                  <c:v>-1.3961137072542962</c:v>
                </c:pt>
                <c:pt idx="736">
                  <c:v>-1.8419329179289772</c:v>
                </c:pt>
                <c:pt idx="739">
                  <c:v>-2.4295967681207835</c:v>
                </c:pt>
                <c:pt idx="745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C-5248-A1EF-C1C20ED5D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72432"/>
        <c:axId val="191280368"/>
      </c:scatterChart>
      <c:valAx>
        <c:axId val="2529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0368"/>
        <c:crosses val="autoZero"/>
        <c:crossBetween val="midCat"/>
      </c:valAx>
      <c:valAx>
        <c:axId val="191280368"/>
        <c:scaling>
          <c:orientation val="minMax"/>
          <c:max val="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7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 vs NH4 cusum through 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vs NH4 cusum through 2004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[1]NH4!$J$323:$J$970</c:f>
              <c:numCache>
                <c:formatCode>General</c:formatCode>
                <c:ptCount val="648"/>
                <c:pt idx="2">
                  <c:v>-26.866734353607601</c:v>
                </c:pt>
                <c:pt idx="5">
                  <c:v>-26.160604082851336</c:v>
                </c:pt>
                <c:pt idx="8">
                  <c:v>-26.236057071825389</c:v>
                </c:pt>
                <c:pt idx="11">
                  <c:v>-26.322924420472674</c:v>
                </c:pt>
                <c:pt idx="14">
                  <c:v>-26.430217465377325</c:v>
                </c:pt>
                <c:pt idx="17">
                  <c:v>-26.741166717083342</c:v>
                </c:pt>
                <c:pt idx="20">
                  <c:v>-27.039500097571576</c:v>
                </c:pt>
                <c:pt idx="23">
                  <c:v>-27.462189922920821</c:v>
                </c:pt>
                <c:pt idx="26">
                  <c:v>-26.709200701927074</c:v>
                </c:pt>
                <c:pt idx="29">
                  <c:v>-27.206384243038471</c:v>
                </c:pt>
                <c:pt idx="32">
                  <c:v>-27.753430513248727</c:v>
                </c:pt>
                <c:pt idx="35">
                  <c:v>-26.55227748613752</c:v>
                </c:pt>
                <c:pt idx="38">
                  <c:v>-26.368804737260866</c:v>
                </c:pt>
                <c:pt idx="41">
                  <c:v>-26.326509594868938</c:v>
                </c:pt>
                <c:pt idx="44">
                  <c:v>-26.440410953268618</c:v>
                </c:pt>
                <c:pt idx="47">
                  <c:v>-24.127258991675614</c:v>
                </c:pt>
                <c:pt idx="50">
                  <c:v>-24.520211406297225</c:v>
                </c:pt>
                <c:pt idx="53">
                  <c:v>-24.319917495796862</c:v>
                </c:pt>
                <c:pt idx="56">
                  <c:v>-24.696649504567038</c:v>
                </c:pt>
                <c:pt idx="59">
                  <c:v>-24.917485390431743</c:v>
                </c:pt>
                <c:pt idx="62">
                  <c:v>-25.098671395326271</c:v>
                </c:pt>
                <c:pt idx="65">
                  <c:v>-23.029426277277086</c:v>
                </c:pt>
                <c:pt idx="68">
                  <c:v>-23.203643515213216</c:v>
                </c:pt>
                <c:pt idx="71">
                  <c:v>-23.021372277881113</c:v>
                </c:pt>
                <c:pt idx="74">
                  <c:v>-19.942857462409226</c:v>
                </c:pt>
                <c:pt idx="77">
                  <c:v>-16.924418224164882</c:v>
                </c:pt>
                <c:pt idx="80">
                  <c:v>-17.077368707762464</c:v>
                </c:pt>
                <c:pt idx="83">
                  <c:v>-17.604590037487629</c:v>
                </c:pt>
                <c:pt idx="86">
                  <c:v>-16.313924400307386</c:v>
                </c:pt>
                <c:pt idx="89">
                  <c:v>-14.812393487058468</c:v>
                </c:pt>
                <c:pt idx="92">
                  <c:v>-12.067298125199438</c:v>
                </c:pt>
                <c:pt idx="95">
                  <c:v>-9.5601020491614719</c:v>
                </c:pt>
                <c:pt idx="98">
                  <c:v>-6.9411653994802798</c:v>
                </c:pt>
                <c:pt idx="101">
                  <c:v>-7.1265566947807342</c:v>
                </c:pt>
                <c:pt idx="104">
                  <c:v>-7.2983709096277645</c:v>
                </c:pt>
                <c:pt idx="107">
                  <c:v>-7.7162546887988057</c:v>
                </c:pt>
                <c:pt idx="110">
                  <c:v>-8.2563321920506656</c:v>
                </c:pt>
                <c:pt idx="113">
                  <c:v>-8.8074636015123939</c:v>
                </c:pt>
                <c:pt idx="116">
                  <c:v>-9.316061502297023</c:v>
                </c:pt>
                <c:pt idx="119">
                  <c:v>-9.2635535117764132</c:v>
                </c:pt>
                <c:pt idx="122">
                  <c:v>-9.8216536881965357</c:v>
                </c:pt>
                <c:pt idx="125">
                  <c:v>-9.5150260060034242</c:v>
                </c:pt>
                <c:pt idx="128">
                  <c:v>-9.4901527810074828</c:v>
                </c:pt>
                <c:pt idx="131">
                  <c:v>-9.5710125719320143</c:v>
                </c:pt>
                <c:pt idx="134">
                  <c:v>-7.7360622050702412</c:v>
                </c:pt>
                <c:pt idx="137">
                  <c:v>-7.3369181339467149</c:v>
                </c:pt>
                <c:pt idx="140">
                  <c:v>-7.3691167073169384</c:v>
                </c:pt>
                <c:pt idx="143">
                  <c:v>-7.3057951128953702</c:v>
                </c:pt>
                <c:pt idx="146">
                  <c:v>-7.6840290110962339</c:v>
                </c:pt>
                <c:pt idx="149">
                  <c:v>-7.5642363740807763</c:v>
                </c:pt>
                <c:pt idx="152">
                  <c:v>-8.0271768361724742</c:v>
                </c:pt>
                <c:pt idx="155">
                  <c:v>-8.5201550868779421</c:v>
                </c:pt>
                <c:pt idx="158">
                  <c:v>-8.0423120095863361</c:v>
                </c:pt>
                <c:pt idx="161">
                  <c:v>-7.6329550903341277</c:v>
                </c:pt>
                <c:pt idx="164">
                  <c:v>-7.9739421306539153</c:v>
                </c:pt>
                <c:pt idx="167">
                  <c:v>-6.4153394190388342</c:v>
                </c:pt>
                <c:pt idx="170">
                  <c:v>-4.7305779952459153</c:v>
                </c:pt>
                <c:pt idx="173">
                  <c:v>-5.1252726016071248</c:v>
                </c:pt>
                <c:pt idx="176">
                  <c:v>-5.0373200205222641</c:v>
                </c:pt>
                <c:pt idx="179">
                  <c:v>-5.506868796108991</c:v>
                </c:pt>
                <c:pt idx="182">
                  <c:v>-5.9523873408047008</c:v>
                </c:pt>
                <c:pt idx="185">
                  <c:v>-6.5571061651533959</c:v>
                </c:pt>
                <c:pt idx="188">
                  <c:v>-6.9581687827007253</c:v>
                </c:pt>
                <c:pt idx="191">
                  <c:v>-7.370045004149012</c:v>
                </c:pt>
                <c:pt idx="194">
                  <c:v>-7.9369162148443566</c:v>
                </c:pt>
                <c:pt idx="197">
                  <c:v>-7.7924925911656073</c:v>
                </c:pt>
                <c:pt idx="200">
                  <c:v>-7.6348523404967983</c:v>
                </c:pt>
                <c:pt idx="203">
                  <c:v>-7.5805420826593615</c:v>
                </c:pt>
                <c:pt idx="206">
                  <c:v>-7.3219748622482825</c:v>
                </c:pt>
                <c:pt idx="209">
                  <c:v>-6.6627035417295009</c:v>
                </c:pt>
                <c:pt idx="212">
                  <c:v>-6.8084449560597777</c:v>
                </c:pt>
                <c:pt idx="215">
                  <c:v>-6.5318550624804361</c:v>
                </c:pt>
                <c:pt idx="218">
                  <c:v>-7.0951217385421277</c:v>
                </c:pt>
                <c:pt idx="224">
                  <c:v>-6.8311477161805705</c:v>
                </c:pt>
                <c:pt idx="227">
                  <c:v>-6.915612041738755</c:v>
                </c:pt>
                <c:pt idx="230">
                  <c:v>-6.1319842763589616</c:v>
                </c:pt>
                <c:pt idx="233">
                  <c:v>-6.6592056060841287</c:v>
                </c:pt>
                <c:pt idx="236">
                  <c:v>-6.7965364396025496</c:v>
                </c:pt>
                <c:pt idx="239">
                  <c:v>-6.6491090370624226</c:v>
                </c:pt>
                <c:pt idx="242">
                  <c:v>-6.4836589613540339</c:v>
                </c:pt>
                <c:pt idx="245">
                  <c:v>-6.7990658208903341</c:v>
                </c:pt>
                <c:pt idx="248">
                  <c:v>-6.2562029463653595</c:v>
                </c:pt>
                <c:pt idx="251">
                  <c:v>-6.0827928566743212</c:v>
                </c:pt>
                <c:pt idx="254">
                  <c:v>-5.4175259935482307</c:v>
                </c:pt>
                <c:pt idx="257">
                  <c:v>-5.5443736388404457</c:v>
                </c:pt>
                <c:pt idx="260">
                  <c:v>-6.0472463371152898</c:v>
                </c:pt>
                <c:pt idx="263">
                  <c:v>-5.2675054615821182</c:v>
                </c:pt>
                <c:pt idx="266">
                  <c:v>-4.7890616285182368</c:v>
                </c:pt>
                <c:pt idx="269">
                  <c:v>-5.1324516919271259</c:v>
                </c:pt>
                <c:pt idx="272">
                  <c:v>-3.6891940885889243</c:v>
                </c:pt>
                <c:pt idx="275">
                  <c:v>-3.4270223335441932</c:v>
                </c:pt>
                <c:pt idx="278">
                  <c:v>-3.1678543573608389</c:v>
                </c:pt>
                <c:pt idx="281">
                  <c:v>-2.1853764313578825</c:v>
                </c:pt>
                <c:pt idx="284">
                  <c:v>-1.1127851395136135</c:v>
                </c:pt>
                <c:pt idx="287">
                  <c:v>-1.5030341531599851</c:v>
                </c:pt>
                <c:pt idx="290">
                  <c:v>-1.8542340416084546</c:v>
                </c:pt>
                <c:pt idx="293">
                  <c:v>-2.2943457843536859</c:v>
                </c:pt>
                <c:pt idx="296">
                  <c:v>-2.2965065691101381</c:v>
                </c:pt>
                <c:pt idx="299">
                  <c:v>-1.8348838976699684</c:v>
                </c:pt>
                <c:pt idx="302">
                  <c:v>-2.2143193074153826</c:v>
                </c:pt>
                <c:pt idx="305">
                  <c:v>8.3213004098461774E-2</c:v>
                </c:pt>
                <c:pt idx="308">
                  <c:v>0.70283444364706626</c:v>
                </c:pt>
                <c:pt idx="311">
                  <c:v>0.40570257470338428</c:v>
                </c:pt>
                <c:pt idx="314">
                  <c:v>0.44919922863986378</c:v>
                </c:pt>
                <c:pt idx="317">
                  <c:v>0.96308765226799498</c:v>
                </c:pt>
                <c:pt idx="320">
                  <c:v>3.4768920418009897</c:v>
                </c:pt>
                <c:pt idx="323">
                  <c:v>3.8093522222019449</c:v>
                </c:pt>
                <c:pt idx="326">
                  <c:v>3.6786297021785535</c:v>
                </c:pt>
                <c:pt idx="329">
                  <c:v>4.7578293075178522</c:v>
                </c:pt>
                <c:pt idx="332">
                  <c:v>4.9413020563945036</c:v>
                </c:pt>
                <c:pt idx="335">
                  <c:v>4.6537822798072286</c:v>
                </c:pt>
                <c:pt idx="338">
                  <c:v>4.1517926925176294</c:v>
                </c:pt>
                <c:pt idx="341">
                  <c:v>3.5747086336936031</c:v>
                </c:pt>
                <c:pt idx="344">
                  <c:v>3.0294646308001738</c:v>
                </c:pt>
                <c:pt idx="347">
                  <c:v>2.4842206279067445</c:v>
                </c:pt>
                <c:pt idx="350">
                  <c:v>2.1624577722997702</c:v>
                </c:pt>
                <c:pt idx="353">
                  <c:v>1.6196167924954425</c:v>
                </c:pt>
                <c:pt idx="356">
                  <c:v>1.0449357567605178</c:v>
                </c:pt>
                <c:pt idx="359">
                  <c:v>0.4618441402137371</c:v>
                </c:pt>
                <c:pt idx="362">
                  <c:v>-0.14707997454088639</c:v>
                </c:pt>
                <c:pt idx="365">
                  <c:v>-0.6983315351570698</c:v>
                </c:pt>
                <c:pt idx="368">
                  <c:v>-1.2477808284564271</c:v>
                </c:pt>
                <c:pt idx="371">
                  <c:v>-1.610995832350405</c:v>
                </c:pt>
                <c:pt idx="374">
                  <c:v>-2.1952889604417365</c:v>
                </c:pt>
                <c:pt idx="377">
                  <c:v>-2.6366022147315187</c:v>
                </c:pt>
                <c:pt idx="380">
                  <c:v>-3.0244482052887887</c:v>
                </c:pt>
                <c:pt idx="383">
                  <c:v>-3.3125687376483395</c:v>
                </c:pt>
                <c:pt idx="386">
                  <c:v>-2.8545506008418222</c:v>
                </c:pt>
                <c:pt idx="389">
                  <c:v>-2.7996395872321096</c:v>
                </c:pt>
                <c:pt idx="392">
                  <c:v>-3.336473009313683</c:v>
                </c:pt>
                <c:pt idx="395">
                  <c:v>-3.8456716658705874</c:v>
                </c:pt>
                <c:pt idx="398">
                  <c:v>-4.4485882229024565</c:v>
                </c:pt>
                <c:pt idx="404">
                  <c:v>-4.7367087552620069</c:v>
                </c:pt>
                <c:pt idx="407">
                  <c:v>-5.2681353753931015</c:v>
                </c:pt>
                <c:pt idx="410">
                  <c:v>-5.6637911909899517</c:v>
                </c:pt>
                <c:pt idx="413">
                  <c:v>-6.0654545643095563</c:v>
                </c:pt>
                <c:pt idx="416">
                  <c:v>-6.5722501977773593</c:v>
                </c:pt>
                <c:pt idx="419">
                  <c:v>-6.7276037044640429</c:v>
                </c:pt>
                <c:pt idx="422">
                  <c:v>-6.7688136144183968</c:v>
                </c:pt>
                <c:pt idx="425">
                  <c:v>-6.8977338671249617</c:v>
                </c:pt>
                <c:pt idx="428">
                  <c:v>-7.3660811311671379</c:v>
                </c:pt>
                <c:pt idx="431">
                  <c:v>-7.9395606553575115</c:v>
                </c:pt>
                <c:pt idx="434">
                  <c:v>-8.4235275694788481</c:v>
                </c:pt>
                <c:pt idx="437">
                  <c:v>-8.9477451203426384</c:v>
                </c:pt>
                <c:pt idx="440">
                  <c:v>-9.4683581365727747</c:v>
                </c:pt>
                <c:pt idx="443">
                  <c:v>-9.931899354436748</c:v>
                </c:pt>
                <c:pt idx="446">
                  <c:v>-10.525804574884486</c:v>
                </c:pt>
                <c:pt idx="449">
                  <c:v>-11.082462937451147</c:v>
                </c:pt>
                <c:pt idx="452">
                  <c:v>-11.61809484798817</c:v>
                </c:pt>
                <c:pt idx="455">
                  <c:v>-12.091248158208549</c:v>
                </c:pt>
                <c:pt idx="458">
                  <c:v>-12.59564076858725</c:v>
                </c:pt>
                <c:pt idx="461">
                  <c:v>-11.896118811326016</c:v>
                </c:pt>
                <c:pt idx="464">
                  <c:v>-12.177086867353331</c:v>
                </c:pt>
                <c:pt idx="467">
                  <c:v>-12.672468141147901</c:v>
                </c:pt>
                <c:pt idx="470">
                  <c:v>-13.181666797704805</c:v>
                </c:pt>
                <c:pt idx="473">
                  <c:v>-13.731116091004163</c:v>
                </c:pt>
                <c:pt idx="476">
                  <c:v>-14.290778232432203</c:v>
                </c:pt>
                <c:pt idx="479">
                  <c:v>-14.856748309469134</c:v>
                </c:pt>
                <c:pt idx="482">
                  <c:v>-14.224510998702746</c:v>
                </c:pt>
                <c:pt idx="485">
                  <c:v>-14.685649193477616</c:v>
                </c:pt>
                <c:pt idx="488">
                  <c:v>-14.892667696579986</c:v>
                </c:pt>
                <c:pt idx="494">
                  <c:v>-14.528367460248434</c:v>
                </c:pt>
                <c:pt idx="500">
                  <c:v>-14.966676935676839</c:v>
                </c:pt>
                <c:pt idx="503">
                  <c:v>-14.660650009256003</c:v>
                </c:pt>
                <c:pt idx="506">
                  <c:v>-15.113978378991293</c:v>
                </c:pt>
                <c:pt idx="509">
                  <c:v>-15.45496541931108</c:v>
                </c:pt>
                <c:pt idx="512">
                  <c:v>-15.933525531481937</c:v>
                </c:pt>
                <c:pt idx="515">
                  <c:v>-16.081669968901316</c:v>
                </c:pt>
                <c:pt idx="518">
                  <c:v>-16.366185966627214</c:v>
                </c:pt>
                <c:pt idx="521">
                  <c:v>-15.58916651474245</c:v>
                </c:pt>
                <c:pt idx="524">
                  <c:v>-15.506019979835793</c:v>
                </c:pt>
                <c:pt idx="527">
                  <c:v>-15.4775422202062</c:v>
                </c:pt>
                <c:pt idx="530">
                  <c:v>-15.122854076231054</c:v>
                </c:pt>
                <c:pt idx="533">
                  <c:v>-14.872697436631832</c:v>
                </c:pt>
                <c:pt idx="536">
                  <c:v>-15.405926324079752</c:v>
                </c:pt>
                <c:pt idx="539">
                  <c:v>-15.790768535775646</c:v>
                </c:pt>
                <c:pt idx="548">
                  <c:v>-16.308978528916683</c:v>
                </c:pt>
                <c:pt idx="551">
                  <c:v>-16.567662028434739</c:v>
                </c:pt>
                <c:pt idx="554">
                  <c:v>-17.146548354575593</c:v>
                </c:pt>
                <c:pt idx="557">
                  <c:v>-17.652142476498845</c:v>
                </c:pt>
                <c:pt idx="560">
                  <c:v>-16.897350988188272</c:v>
                </c:pt>
                <c:pt idx="563">
                  <c:v>-16.916332934568437</c:v>
                </c:pt>
                <c:pt idx="566">
                  <c:v>-17.117343879948052</c:v>
                </c:pt>
                <c:pt idx="569">
                  <c:v>-16.629287954527765</c:v>
                </c:pt>
                <c:pt idx="575">
                  <c:v>-16.074548138384905</c:v>
                </c:pt>
                <c:pt idx="593">
                  <c:v>-15.694628251974192</c:v>
                </c:pt>
                <c:pt idx="596">
                  <c:v>-14.135424784586835</c:v>
                </c:pt>
                <c:pt idx="599">
                  <c:v>-13.270094234177584</c:v>
                </c:pt>
                <c:pt idx="602">
                  <c:v>-12.364513047025881</c:v>
                </c:pt>
                <c:pt idx="605">
                  <c:v>-10.109634395343591</c:v>
                </c:pt>
                <c:pt idx="608">
                  <c:v>-10.128616341723754</c:v>
                </c:pt>
                <c:pt idx="617">
                  <c:v>-9.9145050484610557</c:v>
                </c:pt>
                <c:pt idx="620">
                  <c:v>-8.0206806159162909</c:v>
                </c:pt>
                <c:pt idx="623">
                  <c:v>-8.1772356341475252</c:v>
                </c:pt>
                <c:pt idx="626">
                  <c:v>-8.5314393014573717</c:v>
                </c:pt>
                <c:pt idx="629">
                  <c:v>-5.9617646251027629</c:v>
                </c:pt>
                <c:pt idx="632">
                  <c:v>-3.9075384013604624</c:v>
                </c:pt>
                <c:pt idx="635">
                  <c:v>1.0232227980181641E-2</c:v>
                </c:pt>
                <c:pt idx="638">
                  <c:v>-0.5386163095469001</c:v>
                </c:pt>
                <c:pt idx="641">
                  <c:v>-0.206156129145945</c:v>
                </c:pt>
                <c:pt idx="644">
                  <c:v>0.81717318937173977</c:v>
                </c:pt>
                <c:pt idx="647">
                  <c:v>0.23408157282495912</c:v>
                </c:pt>
              </c:numCache>
            </c:numRef>
          </c:xVal>
          <c:yVal>
            <c:numRef>
              <c:f>'Peridin update'!$N$120:$N$748</c:f>
              <c:numCache>
                <c:formatCode>General</c:formatCode>
                <c:ptCount val="629"/>
                <c:pt idx="2">
                  <c:v>-0.12963012764545101</c:v>
                </c:pt>
                <c:pt idx="5">
                  <c:v>2.1473831466650384E-2</c:v>
                </c:pt>
                <c:pt idx="8">
                  <c:v>-8.1656354071222674E-3</c:v>
                </c:pt>
                <c:pt idx="11">
                  <c:v>-0.65125055331814519</c:v>
                </c:pt>
                <c:pt idx="14">
                  <c:v>-1.1080347946653704</c:v>
                </c:pt>
                <c:pt idx="17">
                  <c:v>-1.9676873602065845</c:v>
                </c:pt>
                <c:pt idx="20">
                  <c:v>-2.8019563806450845</c:v>
                </c:pt>
                <c:pt idx="23">
                  <c:v>-3.0841581041308674</c:v>
                </c:pt>
                <c:pt idx="26">
                  <c:v>-3.3564789329273386</c:v>
                </c:pt>
                <c:pt idx="29">
                  <c:v>-2.8124126997953267</c:v>
                </c:pt>
                <c:pt idx="32">
                  <c:v>-3.2623070272905066</c:v>
                </c:pt>
                <c:pt idx="35">
                  <c:v>-3.4890976537268528</c:v>
                </c:pt>
                <c:pt idx="38">
                  <c:v>-4.364842252753057</c:v>
                </c:pt>
                <c:pt idx="41">
                  <c:v>-5.1393513855298023</c:v>
                </c:pt>
                <c:pt idx="44">
                  <c:v>-5.8949871975930686</c:v>
                </c:pt>
                <c:pt idx="47">
                  <c:v>-5.8483756510410556</c:v>
                </c:pt>
                <c:pt idx="50">
                  <c:v>-6.6763712009307739</c:v>
                </c:pt>
                <c:pt idx="53">
                  <c:v>-7.3032720614415565</c:v>
                </c:pt>
                <c:pt idx="56">
                  <c:v>-6.9632146558734069</c:v>
                </c:pt>
                <c:pt idx="59">
                  <c:v>-5.0542147913895992</c:v>
                </c:pt>
                <c:pt idx="62">
                  <c:v>-4.7124470700594809</c:v>
                </c:pt>
                <c:pt idx="65">
                  <c:v>-5.2560815994492796</c:v>
                </c:pt>
                <c:pt idx="68">
                  <c:v>-4.9344479864202526</c:v>
                </c:pt>
                <c:pt idx="71">
                  <c:v>-4.8391219308541764</c:v>
                </c:pt>
                <c:pt idx="74">
                  <c:v>-3.4463298467780978</c:v>
                </c:pt>
                <c:pt idx="77">
                  <c:v>-3.9061928035657187</c:v>
                </c:pt>
                <c:pt idx="80">
                  <c:v>-4.4320853869098737</c:v>
                </c:pt>
                <c:pt idx="83">
                  <c:v>-5.194519220259135</c:v>
                </c:pt>
                <c:pt idx="86">
                  <c:v>-6.0813925120354941</c:v>
                </c:pt>
                <c:pt idx="89">
                  <c:v>-6.3489049259977319</c:v>
                </c:pt>
                <c:pt idx="92">
                  <c:v>-6.3305679525795213</c:v>
                </c:pt>
                <c:pt idx="95">
                  <c:v>-7.0574711424794954</c:v>
                </c:pt>
                <c:pt idx="98">
                  <c:v>-7.8556968016342532</c:v>
                </c:pt>
                <c:pt idx="101">
                  <c:v>-8.6480380778666515</c:v>
                </c:pt>
                <c:pt idx="104">
                  <c:v>-9.5825563671366218</c:v>
                </c:pt>
                <c:pt idx="107">
                  <c:v>-10.103059334194112</c:v>
                </c:pt>
                <c:pt idx="110">
                  <c:v>-10.530689692904794</c:v>
                </c:pt>
                <c:pt idx="113">
                  <c:v>-11.066448968565901</c:v>
                </c:pt>
                <c:pt idx="116">
                  <c:v>-11.745221604021649</c:v>
                </c:pt>
                <c:pt idx="119">
                  <c:v>-9.3687584651470068</c:v>
                </c:pt>
                <c:pt idx="122">
                  <c:v>-10.178756575036129</c:v>
                </c:pt>
                <c:pt idx="125">
                  <c:v>-11.074578175774439</c:v>
                </c:pt>
                <c:pt idx="128">
                  <c:v>-11.852453122415401</c:v>
                </c:pt>
                <c:pt idx="131">
                  <c:v>-12.697698303448414</c:v>
                </c:pt>
                <c:pt idx="134">
                  <c:v>-13.309299790300679</c:v>
                </c:pt>
                <c:pt idx="137">
                  <c:v>-13.543476800229465</c:v>
                </c:pt>
                <c:pt idx="140">
                  <c:v>-13.852946498059673</c:v>
                </c:pt>
                <c:pt idx="143">
                  <c:v>-13.767140993657547</c:v>
                </c:pt>
                <c:pt idx="146">
                  <c:v>-14.020440558206388</c:v>
                </c:pt>
                <c:pt idx="149">
                  <c:v>-14.39723604492877</c:v>
                </c:pt>
                <c:pt idx="152">
                  <c:v>-14.614406464867622</c:v>
                </c:pt>
                <c:pt idx="155">
                  <c:v>-15.204600583497299</c:v>
                </c:pt>
                <c:pt idx="158">
                  <c:v>-15.948419996541181</c:v>
                </c:pt>
                <c:pt idx="161">
                  <c:v>-16.83495676191745</c:v>
                </c:pt>
                <c:pt idx="164">
                  <c:v>-17.58578786355811</c:v>
                </c:pt>
                <c:pt idx="167">
                  <c:v>-18.052312061970618</c:v>
                </c:pt>
                <c:pt idx="170">
                  <c:v>-18.939084896626511</c:v>
                </c:pt>
                <c:pt idx="173">
                  <c:v>-19.845428714021846</c:v>
                </c:pt>
                <c:pt idx="176">
                  <c:v>-20.652204182482244</c:v>
                </c:pt>
                <c:pt idx="179">
                  <c:v>-19.999434155044508</c:v>
                </c:pt>
                <c:pt idx="182">
                  <c:v>-20.056323413401696</c:v>
                </c:pt>
                <c:pt idx="185">
                  <c:v>-19.739749548964848</c:v>
                </c:pt>
                <c:pt idx="188">
                  <c:v>-20.306759942418061</c:v>
                </c:pt>
                <c:pt idx="191">
                  <c:v>-19.606188805603072</c:v>
                </c:pt>
                <c:pt idx="194">
                  <c:v>-19.091996974127714</c:v>
                </c:pt>
                <c:pt idx="197">
                  <c:v>-18.48751639803692</c:v>
                </c:pt>
                <c:pt idx="200">
                  <c:v>-17.831544771367135</c:v>
                </c:pt>
                <c:pt idx="203">
                  <c:v>-17.449381955066329</c:v>
                </c:pt>
                <c:pt idx="206">
                  <c:v>-18.029365396999772</c:v>
                </c:pt>
                <c:pt idx="209">
                  <c:v>-18.865688063648481</c:v>
                </c:pt>
                <c:pt idx="212">
                  <c:v>-19.440373815338603</c:v>
                </c:pt>
                <c:pt idx="215">
                  <c:v>-18.832222231005396</c:v>
                </c:pt>
                <c:pt idx="218">
                  <c:v>-19.10452767265306</c:v>
                </c:pt>
                <c:pt idx="221">
                  <c:v>-19.792538384504489</c:v>
                </c:pt>
                <c:pt idx="224">
                  <c:v>-20.356666012229482</c:v>
                </c:pt>
                <c:pt idx="227">
                  <c:v>-20.734813586318591</c:v>
                </c:pt>
                <c:pt idx="230">
                  <c:v>-20.868918893719723</c:v>
                </c:pt>
                <c:pt idx="233">
                  <c:v>-21.546975047108614</c:v>
                </c:pt>
                <c:pt idx="236">
                  <c:v>-21.025266329663452</c:v>
                </c:pt>
                <c:pt idx="239">
                  <c:v>-17.539863695222643</c:v>
                </c:pt>
                <c:pt idx="242">
                  <c:v>-18.088517927461726</c:v>
                </c:pt>
                <c:pt idx="245">
                  <c:v>-17.746235475430755</c:v>
                </c:pt>
                <c:pt idx="248">
                  <c:v>-17.595149875242509</c:v>
                </c:pt>
                <c:pt idx="251">
                  <c:v>-17.954373857289838</c:v>
                </c:pt>
                <c:pt idx="254">
                  <c:v>-17.291374332091607</c:v>
                </c:pt>
                <c:pt idx="258">
                  <c:v>-18.098439259356464</c:v>
                </c:pt>
                <c:pt idx="261">
                  <c:v>-18.779599985844996</c:v>
                </c:pt>
                <c:pt idx="264">
                  <c:v>-19.714674055088324</c:v>
                </c:pt>
                <c:pt idx="267">
                  <c:v>-20.534701545451369</c:v>
                </c:pt>
                <c:pt idx="270">
                  <c:v>-20.627440470023082</c:v>
                </c:pt>
                <c:pt idx="274">
                  <c:v>-19.598711082721724</c:v>
                </c:pt>
                <c:pt idx="277">
                  <c:v>-20.162969417444597</c:v>
                </c:pt>
                <c:pt idx="280">
                  <c:v>-20.956026820706168</c:v>
                </c:pt>
                <c:pt idx="283">
                  <c:v>-21.620258088835342</c:v>
                </c:pt>
                <c:pt idx="286">
                  <c:v>-22.367520330944576</c:v>
                </c:pt>
                <c:pt idx="289">
                  <c:v>-22.436861871404453</c:v>
                </c:pt>
                <c:pt idx="292">
                  <c:v>-22.725047476164921</c:v>
                </c:pt>
                <c:pt idx="296">
                  <c:v>-23.27369875920326</c:v>
                </c:pt>
                <c:pt idx="299">
                  <c:v>-24.042460714044768</c:v>
                </c:pt>
                <c:pt idx="302">
                  <c:v>-24.753092343092614</c:v>
                </c:pt>
                <c:pt idx="305">
                  <c:v>-25.352207496176813</c:v>
                </c:pt>
                <c:pt idx="308">
                  <c:v>-25.857570516659752</c:v>
                </c:pt>
                <c:pt idx="311">
                  <c:v>-25.409525363275922</c:v>
                </c:pt>
                <c:pt idx="315">
                  <c:v>-26.00799343728761</c:v>
                </c:pt>
                <c:pt idx="318">
                  <c:v>-26.126871104604749</c:v>
                </c:pt>
                <c:pt idx="321">
                  <c:v>-24.704935009967638</c:v>
                </c:pt>
                <c:pt idx="324">
                  <c:v>-24.096521107570599</c:v>
                </c:pt>
                <c:pt idx="327">
                  <c:v>-22.740064384876536</c:v>
                </c:pt>
                <c:pt idx="331">
                  <c:v>-22.530236773081874</c:v>
                </c:pt>
                <c:pt idx="335">
                  <c:v>-22.017386246869307</c:v>
                </c:pt>
                <c:pt idx="338">
                  <c:v>-19.422000301516558</c:v>
                </c:pt>
                <c:pt idx="341">
                  <c:v>-20.102568539472131</c:v>
                </c:pt>
                <c:pt idx="344">
                  <c:v>-20.618094886392218</c:v>
                </c:pt>
                <c:pt idx="348">
                  <c:v>-21.211090799962335</c:v>
                </c:pt>
                <c:pt idx="351">
                  <c:v>-20.172518419818278</c:v>
                </c:pt>
                <c:pt idx="354">
                  <c:v>-15.090319516806765</c:v>
                </c:pt>
                <c:pt idx="357">
                  <c:v>-10.16634162950481</c:v>
                </c:pt>
                <c:pt idx="360">
                  <c:v>-9.992866175596582</c:v>
                </c:pt>
                <c:pt idx="364">
                  <c:v>-10.860390341854401</c:v>
                </c:pt>
                <c:pt idx="367">
                  <c:v>-9.7716496359196707</c:v>
                </c:pt>
                <c:pt idx="371">
                  <c:v>-9.9002386268663507</c:v>
                </c:pt>
                <c:pt idx="375">
                  <c:v>-10.689463390203857</c:v>
                </c:pt>
                <c:pt idx="378">
                  <c:v>-11.472977508606991</c:v>
                </c:pt>
                <c:pt idx="381">
                  <c:v>-12.238537827246581</c:v>
                </c:pt>
                <c:pt idx="384">
                  <c:v>-12.835251907146516</c:v>
                </c:pt>
                <c:pt idx="388">
                  <c:v>-13.280231447851783</c:v>
                </c:pt>
                <c:pt idx="391">
                  <c:v>-13.088323791097372</c:v>
                </c:pt>
                <c:pt idx="394">
                  <c:v>-10.022698330653574</c:v>
                </c:pt>
                <c:pt idx="397">
                  <c:v>-4.8918027333080154</c:v>
                </c:pt>
                <c:pt idx="400">
                  <c:v>-5.1929176624717952</c:v>
                </c:pt>
                <c:pt idx="404">
                  <c:v>-5.705473407436302</c:v>
                </c:pt>
                <c:pt idx="408">
                  <c:v>-2.2518163846808554</c:v>
                </c:pt>
                <c:pt idx="411">
                  <c:v>-1.8785601998990304</c:v>
                </c:pt>
                <c:pt idx="415">
                  <c:v>-2.3178261254688111</c:v>
                </c:pt>
                <c:pt idx="418">
                  <c:v>-2.7137852335844759</c:v>
                </c:pt>
                <c:pt idx="421">
                  <c:v>-3.2329634647853087</c:v>
                </c:pt>
                <c:pt idx="424">
                  <c:v>-3.9702483688631065</c:v>
                </c:pt>
                <c:pt idx="428">
                  <c:v>-4.0075041382301793</c:v>
                </c:pt>
                <c:pt idx="432">
                  <c:v>-3.7394778142848457</c:v>
                </c:pt>
                <c:pt idx="436">
                  <c:v>-1.6816411151467854</c:v>
                </c:pt>
                <c:pt idx="439">
                  <c:v>-1.2980319320915144</c:v>
                </c:pt>
                <c:pt idx="442">
                  <c:v>-1.5648837778763967</c:v>
                </c:pt>
                <c:pt idx="445">
                  <c:v>-1.4151073562751511</c:v>
                </c:pt>
                <c:pt idx="448">
                  <c:v>-1.1342645066187451</c:v>
                </c:pt>
                <c:pt idx="451">
                  <c:v>-0.93354410798818355</c:v>
                </c:pt>
                <c:pt idx="457">
                  <c:v>-1.6256128650600192</c:v>
                </c:pt>
                <c:pt idx="460">
                  <c:v>-2.3637154777793299</c:v>
                </c:pt>
                <c:pt idx="463">
                  <c:v>-3.0151863120744364</c:v>
                </c:pt>
                <c:pt idx="466">
                  <c:v>-2.6818227189320116</c:v>
                </c:pt>
                <c:pt idx="469">
                  <c:v>-1.1981688685645493</c:v>
                </c:pt>
                <c:pt idx="472">
                  <c:v>-1.5393088571017173</c:v>
                </c:pt>
                <c:pt idx="475">
                  <c:v>-2.0668206603181214</c:v>
                </c:pt>
                <c:pt idx="478">
                  <c:v>-2.0421829656279158</c:v>
                </c:pt>
                <c:pt idx="482">
                  <c:v>-2.4099016449604989</c:v>
                </c:pt>
                <c:pt idx="485">
                  <c:v>-2.4192361018364243</c:v>
                </c:pt>
                <c:pt idx="488">
                  <c:v>-1.1219828503865172</c:v>
                </c:pt>
                <c:pt idx="491">
                  <c:v>0.12561800079040752</c:v>
                </c:pt>
                <c:pt idx="494">
                  <c:v>0.67945028491833237</c:v>
                </c:pt>
                <c:pt idx="498">
                  <c:v>0.50911874406121138</c:v>
                </c:pt>
                <c:pt idx="501">
                  <c:v>4.2534123590536321E-3</c:v>
                </c:pt>
                <c:pt idx="504">
                  <c:v>-0.15957354527060391</c:v>
                </c:pt>
                <c:pt idx="507">
                  <c:v>-0.36421232087223954</c:v>
                </c:pt>
                <c:pt idx="510">
                  <c:v>-0.87044190893323159</c:v>
                </c:pt>
                <c:pt idx="514">
                  <c:v>-1.4100652273592595</c:v>
                </c:pt>
                <c:pt idx="517">
                  <c:v>-2.0957467780523307</c:v>
                </c:pt>
                <c:pt idx="520">
                  <c:v>-2.4680314842922995</c:v>
                </c:pt>
                <c:pt idx="529">
                  <c:v>-2.8315718550932854</c:v>
                </c:pt>
                <c:pt idx="532">
                  <c:v>-3.3328583778956129</c:v>
                </c:pt>
                <c:pt idx="535">
                  <c:v>-3.7732014008373511</c:v>
                </c:pt>
                <c:pt idx="538">
                  <c:v>-3.5696232229320013</c:v>
                </c:pt>
                <c:pt idx="541">
                  <c:v>-2.3023884054744466</c:v>
                </c:pt>
                <c:pt idx="547">
                  <c:v>-2.0426141773509698</c:v>
                </c:pt>
                <c:pt idx="553">
                  <c:v>-2.36937222891566</c:v>
                </c:pt>
                <c:pt idx="556">
                  <c:v>-0.49122758329449479</c:v>
                </c:pt>
                <c:pt idx="559">
                  <c:v>-1.3584275849568448</c:v>
                </c:pt>
                <c:pt idx="562">
                  <c:v>-0.88129343051640263</c:v>
                </c:pt>
                <c:pt idx="565">
                  <c:v>-1.637089020814178</c:v>
                </c:pt>
                <c:pt idx="568">
                  <c:v>-2.5599521340689724</c:v>
                </c:pt>
                <c:pt idx="571">
                  <c:v>-3.2916361789481625</c:v>
                </c:pt>
                <c:pt idx="574">
                  <c:v>-1.6172795415369874</c:v>
                </c:pt>
                <c:pt idx="577">
                  <c:v>-1.5284501827880697</c:v>
                </c:pt>
                <c:pt idx="580">
                  <c:v>-1.9180264631261879</c:v>
                </c:pt>
                <c:pt idx="583">
                  <c:v>-2.5697272561377296</c:v>
                </c:pt>
                <c:pt idx="586">
                  <c:v>-2.4196257157481376</c:v>
                </c:pt>
                <c:pt idx="587">
                  <c:v>-2.3773512527241647</c:v>
                </c:pt>
                <c:pt idx="601">
                  <c:v>-2.2082027750999091</c:v>
                </c:pt>
                <c:pt idx="604">
                  <c:v>-3.0199349024862525</c:v>
                </c:pt>
                <c:pt idx="607">
                  <c:v>-3.8166801258437975</c:v>
                </c:pt>
                <c:pt idx="610">
                  <c:v>-4.0757049570048771</c:v>
                </c:pt>
                <c:pt idx="613">
                  <c:v>-4.0412208163831451</c:v>
                </c:pt>
                <c:pt idx="616">
                  <c:v>-1.3961137072542962</c:v>
                </c:pt>
                <c:pt idx="619">
                  <c:v>-1.8419329179289772</c:v>
                </c:pt>
                <c:pt idx="622">
                  <c:v>-2.4295967681207835</c:v>
                </c:pt>
                <c:pt idx="628">
                  <c:v>-3.0981138340436827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7-5D42-A479-477FC7157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72432"/>
        <c:axId val="191280368"/>
      </c:scatterChart>
      <c:valAx>
        <c:axId val="2529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80368"/>
        <c:crosses val="autoZero"/>
        <c:crossBetween val="midCat"/>
      </c:valAx>
      <c:valAx>
        <c:axId val="191280368"/>
        <c:scaling>
          <c:orientation val="minMax"/>
          <c:max val="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7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819150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31A9B-4327-264B-8131-1B5C8A683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819150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A8A41-5D58-674C-84E3-BB8980E81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22</xdr:col>
      <xdr:colOff>819150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FF4669-CCF8-CB48-9809-F21A76999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22</xdr:col>
      <xdr:colOff>819150</xdr:colOff>
      <xdr:row>70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4DF78F-C5CC-844A-9C75-C4BC1CF39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22</xdr:col>
      <xdr:colOff>819150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BE35C-9FB1-D141-B070-41E7D1D99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819150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19CD07-E0B8-B74D-BA85-F4BADC4A9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819150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8C4AE-E4EB-1846-8872-D6A734272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819150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D0A8D-5D72-3E4A-8A1B-D3857932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22</xdr:col>
      <xdr:colOff>819150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CCC67-4B62-1E4B-AE8B-CC1E49E1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819150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A7A8E-DA6A-6944-976B-8F7DFC17A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5</xdr:row>
      <xdr:rowOff>184150</xdr:rowOff>
    </xdr:from>
    <xdr:to>
      <xdr:col>30</xdr:col>
      <xdr:colOff>774700</xdr:colOff>
      <xdr:row>20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51B27-F2EC-923F-AF98-98AFB6C1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22</xdr:row>
      <xdr:rowOff>0</xdr:rowOff>
    </xdr:from>
    <xdr:to>
      <xdr:col>30</xdr:col>
      <xdr:colOff>774700</xdr:colOff>
      <xdr:row>36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86E406-CB3D-1F4C-BB05-7FED8C522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22</xdr:row>
      <xdr:rowOff>0</xdr:rowOff>
    </xdr:from>
    <xdr:to>
      <xdr:col>38</xdr:col>
      <xdr:colOff>774700</xdr:colOff>
      <xdr:row>36</xdr:row>
      <xdr:rowOff>184150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175715-FC7A-5844-9D91-5AB758C17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38</xdr:row>
      <xdr:rowOff>0</xdr:rowOff>
    </xdr:from>
    <xdr:to>
      <xdr:col>30</xdr:col>
      <xdr:colOff>774700</xdr:colOff>
      <xdr:row>52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C09E1C-5FAF-4B41-8698-66A7C3D1C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30</xdr:col>
      <xdr:colOff>774700</xdr:colOff>
      <xdr:row>68</xdr:row>
      <xdr:rowOff>184150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16ACDD-E94E-8449-9F6F-7E43C7D2B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ibert\Documents\CUSUM%20Sta%205,7,14%20NH4,%20NO3,%20PO4,%20Chla%20with%20ratios.xlsx" TargetMode="External"/><Relationship Id="rId1" Type="http://schemas.openxmlformats.org/officeDocument/2006/relationships/externalLinkPath" Target="/Users/glibert/Documents/CUSUM%20Sta%205,7,14%20NH4,%20NO3,%20PO4,%20Chla%20with%20rat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ll data"/>
      <sheetName val="annual"/>
      <sheetName val="seasonal summary"/>
      <sheetName val="spring"/>
      <sheetName val="summer"/>
      <sheetName val="fall"/>
      <sheetName val="winter"/>
      <sheetName val="NH4"/>
      <sheetName val="NO3_NO2"/>
      <sheetName val="Sheet2"/>
      <sheetName val="PO4"/>
      <sheetName val="SILICA"/>
      <sheetName val="TN"/>
      <sheetName val="TP"/>
      <sheetName val="N-PO4"/>
      <sheetName val="TN-TP"/>
      <sheetName val="CHL_A"/>
      <sheetName val="sta 5 NH4"/>
      <sheetName val="chl STP"/>
      <sheetName val="zeachl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2">
          <cell r="J172">
            <v>-17.866186087386083</v>
          </cell>
        </row>
        <row r="175">
          <cell r="J175">
            <v>-18.08942499633989</v>
          </cell>
        </row>
        <row r="178">
          <cell r="J178">
            <v>-18.552365458431588</v>
          </cell>
        </row>
        <row r="181">
          <cell r="J181">
            <v>-18.687293268860905</v>
          </cell>
        </row>
        <row r="184">
          <cell r="J184">
            <v>-19.110583849982426</v>
          </cell>
        </row>
        <row r="187">
          <cell r="J187">
            <v>-19.314598574223417</v>
          </cell>
        </row>
        <row r="190">
          <cell r="J190">
            <v>-19.824397986552597</v>
          </cell>
        </row>
        <row r="193">
          <cell r="J193">
            <v>-20.194822059713879</v>
          </cell>
        </row>
        <row r="196">
          <cell r="J196">
            <v>-20.840392276577301</v>
          </cell>
        </row>
        <row r="199">
          <cell r="J199">
            <v>-21.066034208620209</v>
          </cell>
        </row>
        <row r="202">
          <cell r="J202">
            <v>-21.003914125743194</v>
          </cell>
        </row>
        <row r="205">
          <cell r="J205">
            <v>-21.530534699696084</v>
          </cell>
        </row>
        <row r="208">
          <cell r="J208">
            <v>-21.822860522461561</v>
          </cell>
        </row>
        <row r="211">
          <cell r="J211">
            <v>-22.300819878860143</v>
          </cell>
        </row>
        <row r="214">
          <cell r="J214">
            <v>-22.856877485654529</v>
          </cell>
        </row>
        <row r="223">
          <cell r="J223">
            <v>-22.258282498135564</v>
          </cell>
        </row>
        <row r="226">
          <cell r="J226">
            <v>-20.961008547460288</v>
          </cell>
        </row>
        <row r="229">
          <cell r="J229">
            <v>-20.966773866850392</v>
          </cell>
        </row>
        <row r="232">
          <cell r="J232">
            <v>-21.513820137060648</v>
          </cell>
        </row>
        <row r="235">
          <cell r="J235">
            <v>-21.583866324084223</v>
          </cell>
        </row>
        <row r="238">
          <cell r="J238">
            <v>-21.474286535197447</v>
          </cell>
        </row>
        <row r="241">
          <cell r="J241">
            <v>-22.119916827638097</v>
          </cell>
        </row>
        <row r="244">
          <cell r="J244">
            <v>-22.765547120078747</v>
          </cell>
        </row>
        <row r="247">
          <cell r="J247">
            <v>-23.258765673093126</v>
          </cell>
        </row>
        <row r="250">
          <cell r="J250">
            <v>-23.780219747404448</v>
          </cell>
        </row>
        <row r="253">
          <cell r="J253">
            <v>-23.720502687616534</v>
          </cell>
        </row>
        <row r="256">
          <cell r="J256">
            <v>-24.209876403688348</v>
          </cell>
        </row>
        <row r="259">
          <cell r="J259">
            <v>-24.699250119760162</v>
          </cell>
        </row>
        <row r="262">
          <cell r="J262">
            <v>-25.344880412200812</v>
          </cell>
        </row>
        <row r="265">
          <cell r="J265">
            <v>-25.990510704641462</v>
          </cell>
        </row>
        <row r="268">
          <cell r="J268">
            <v>-26.636140997082112</v>
          </cell>
        </row>
        <row r="271">
          <cell r="J271">
            <v>-27.281771289522762</v>
          </cell>
        </row>
        <row r="274">
          <cell r="J274">
            <v>-27.836026629000322</v>
          </cell>
        </row>
        <row r="277">
          <cell r="J277">
            <v>-28.413951745905536</v>
          </cell>
        </row>
        <row r="280">
          <cell r="J280">
            <v>-28.334229518900848</v>
          </cell>
        </row>
        <row r="283">
          <cell r="J283">
            <v>-28.908730327904092</v>
          </cell>
        </row>
        <row r="286">
          <cell r="J286">
            <v>-29.453193348293564</v>
          </cell>
        </row>
        <row r="289">
          <cell r="J289">
            <v>-29.782165273167841</v>
          </cell>
        </row>
        <row r="292">
          <cell r="J292">
            <v>-30.377091778428447</v>
          </cell>
        </row>
        <row r="295">
          <cell r="J295">
            <v>-30.762955274937209</v>
          </cell>
        </row>
        <row r="298">
          <cell r="J298">
            <v>-31.219888179306153</v>
          </cell>
        </row>
        <row r="301">
          <cell r="J301">
            <v>-31.529335541581482</v>
          </cell>
        </row>
        <row r="304">
          <cell r="J304">
            <v>-31.869121070356719</v>
          </cell>
        </row>
        <row r="307">
          <cell r="J307">
            <v>-29.88037722579244</v>
          </cell>
        </row>
        <row r="310">
          <cell r="J310">
            <v>-30.345720710973239</v>
          </cell>
        </row>
        <row r="313">
          <cell r="J313">
            <v>-29.466572777801655</v>
          </cell>
        </row>
        <row r="316">
          <cell r="J316">
            <v>-29.633941399933846</v>
          </cell>
        </row>
        <row r="319">
          <cell r="J319">
            <v>-28.956647406246802</v>
          </cell>
        </row>
        <row r="322">
          <cell r="J322">
            <v>-27.779524610026609</v>
          </cell>
        </row>
        <row r="325">
          <cell r="J325">
            <v>-26.866734353607601</v>
          </cell>
        </row>
        <row r="328">
          <cell r="J328">
            <v>-26.160604082851336</v>
          </cell>
        </row>
        <row r="331">
          <cell r="J331">
            <v>-26.236057071825389</v>
          </cell>
        </row>
        <row r="334">
          <cell r="J334">
            <v>-26.322924420472674</v>
          </cell>
        </row>
        <row r="337">
          <cell r="J337">
            <v>-26.430217465377325</v>
          </cell>
        </row>
        <row r="340">
          <cell r="J340">
            <v>-26.741166717083342</v>
          </cell>
        </row>
        <row r="343">
          <cell r="J343">
            <v>-27.039500097571576</v>
          </cell>
        </row>
        <row r="346">
          <cell r="J346">
            <v>-27.462189922920821</v>
          </cell>
        </row>
        <row r="349">
          <cell r="J349">
            <v>-26.709200701927074</v>
          </cell>
        </row>
        <row r="352">
          <cell r="J352">
            <v>-27.206384243038471</v>
          </cell>
        </row>
        <row r="355">
          <cell r="J355">
            <v>-27.753430513248727</v>
          </cell>
        </row>
        <row r="358">
          <cell r="J358">
            <v>-26.55227748613752</v>
          </cell>
        </row>
        <row r="361">
          <cell r="J361">
            <v>-26.368804737260866</v>
          </cell>
        </row>
        <row r="364">
          <cell r="J364">
            <v>-26.326509594868938</v>
          </cell>
        </row>
        <row r="367">
          <cell r="J367">
            <v>-26.440410953268618</v>
          </cell>
        </row>
        <row r="370">
          <cell r="J370">
            <v>-24.127258991675614</v>
          </cell>
        </row>
        <row r="373">
          <cell r="J373">
            <v>-24.520211406297225</v>
          </cell>
        </row>
        <row r="376">
          <cell r="J376">
            <v>-24.319917495796862</v>
          </cell>
        </row>
        <row r="379">
          <cell r="J379">
            <v>-24.696649504567038</v>
          </cell>
        </row>
        <row r="382">
          <cell r="J382">
            <v>-24.917485390431743</v>
          </cell>
        </row>
        <row r="385">
          <cell r="J385">
            <v>-25.098671395326271</v>
          </cell>
        </row>
        <row r="388">
          <cell r="J388">
            <v>-23.029426277277086</v>
          </cell>
        </row>
        <row r="391">
          <cell r="J391">
            <v>-23.203643515213216</v>
          </cell>
        </row>
        <row r="394">
          <cell r="J394">
            <v>-23.021372277881113</v>
          </cell>
        </row>
        <row r="397">
          <cell r="J397">
            <v>-19.942857462409226</v>
          </cell>
        </row>
        <row r="400">
          <cell r="J400">
            <v>-16.924418224164882</v>
          </cell>
        </row>
        <row r="403">
          <cell r="J403">
            <v>-17.077368707762464</v>
          </cell>
        </row>
        <row r="406">
          <cell r="J406">
            <v>-17.604590037487629</v>
          </cell>
        </row>
        <row r="409">
          <cell r="J409">
            <v>-16.313924400307386</v>
          </cell>
        </row>
        <row r="412">
          <cell r="J412">
            <v>-14.812393487058468</v>
          </cell>
        </row>
        <row r="415">
          <cell r="J415">
            <v>-12.067298125199438</v>
          </cell>
        </row>
        <row r="418">
          <cell r="J418">
            <v>-9.5601020491614719</v>
          </cell>
        </row>
        <row r="421">
          <cell r="J421">
            <v>-6.9411653994802798</v>
          </cell>
        </row>
        <row r="424">
          <cell r="J424">
            <v>-7.1265566947807342</v>
          </cell>
        </row>
        <row r="427">
          <cell r="J427">
            <v>-7.2983709096277645</v>
          </cell>
        </row>
        <row r="430">
          <cell r="J430">
            <v>-7.7162546887988057</v>
          </cell>
        </row>
        <row r="433">
          <cell r="J433">
            <v>-8.2563321920506656</v>
          </cell>
        </row>
        <row r="436">
          <cell r="J436">
            <v>-8.8074636015123939</v>
          </cell>
        </row>
        <row r="439">
          <cell r="J439">
            <v>-9.316061502297023</v>
          </cell>
        </row>
        <row r="442">
          <cell r="J442">
            <v>-9.2635535117764132</v>
          </cell>
        </row>
        <row r="445">
          <cell r="J445">
            <v>-9.8216536881965357</v>
          </cell>
        </row>
        <row r="448">
          <cell r="J448">
            <v>-9.5150260060034242</v>
          </cell>
        </row>
        <row r="451">
          <cell r="J451">
            <v>-9.4901527810074828</v>
          </cell>
        </row>
        <row r="454">
          <cell r="J454">
            <v>-9.5710125719320143</v>
          </cell>
        </row>
        <row r="457">
          <cell r="J457">
            <v>-7.7360622050702412</v>
          </cell>
        </row>
        <row r="460">
          <cell r="J460">
            <v>-7.3369181339467149</v>
          </cell>
        </row>
        <row r="463">
          <cell r="J463">
            <v>-7.3691167073169384</v>
          </cell>
        </row>
        <row r="466">
          <cell r="J466">
            <v>-7.3057951128953702</v>
          </cell>
        </row>
        <row r="469">
          <cell r="J469">
            <v>-7.6840290110962339</v>
          </cell>
        </row>
        <row r="472">
          <cell r="J472">
            <v>-7.5642363740807763</v>
          </cell>
        </row>
        <row r="475">
          <cell r="J475">
            <v>-8.0271768361724742</v>
          </cell>
        </row>
        <row r="478">
          <cell r="J478">
            <v>-8.5201550868779421</v>
          </cell>
        </row>
        <row r="481">
          <cell r="J481">
            <v>-8.0423120095863361</v>
          </cell>
        </row>
        <row r="484">
          <cell r="J484">
            <v>-7.6329550903341277</v>
          </cell>
        </row>
        <row r="487">
          <cell r="J487">
            <v>-7.9739421306539153</v>
          </cell>
        </row>
        <row r="490">
          <cell r="J490">
            <v>-6.4153394190388342</v>
          </cell>
        </row>
        <row r="493">
          <cell r="J493">
            <v>-4.7305779952459153</v>
          </cell>
        </row>
        <row r="496">
          <cell r="J496">
            <v>-5.1252726016071248</v>
          </cell>
        </row>
        <row r="499">
          <cell r="J499">
            <v>-5.0373200205222641</v>
          </cell>
        </row>
        <row r="502">
          <cell r="J502">
            <v>-5.506868796108991</v>
          </cell>
        </row>
        <row r="505">
          <cell r="J505">
            <v>-5.9523873408047008</v>
          </cell>
        </row>
        <row r="508">
          <cell r="J508">
            <v>-6.5571061651533959</v>
          </cell>
        </row>
        <row r="511">
          <cell r="J511">
            <v>-6.9581687827007253</v>
          </cell>
        </row>
        <row r="514">
          <cell r="J514">
            <v>-7.370045004149012</v>
          </cell>
        </row>
        <row r="517">
          <cell r="J517">
            <v>-7.9369162148443566</v>
          </cell>
        </row>
        <row r="520">
          <cell r="J520">
            <v>-7.7924925911656073</v>
          </cell>
        </row>
        <row r="523">
          <cell r="J523">
            <v>-7.6348523404967983</v>
          </cell>
        </row>
        <row r="526">
          <cell r="J526">
            <v>-7.5805420826593615</v>
          </cell>
        </row>
        <row r="529">
          <cell r="J529">
            <v>-7.3219748622482825</v>
          </cell>
        </row>
        <row r="532">
          <cell r="J532">
            <v>-6.6627035417295009</v>
          </cell>
        </row>
        <row r="535">
          <cell r="J535">
            <v>-6.8084449560597777</v>
          </cell>
        </row>
        <row r="538">
          <cell r="J538">
            <v>-6.5318550624804361</v>
          </cell>
        </row>
        <row r="541">
          <cell r="J541">
            <v>-7.0951217385421277</v>
          </cell>
        </row>
        <row r="547">
          <cell r="J547">
            <v>-6.8311477161805705</v>
          </cell>
        </row>
        <row r="550">
          <cell r="J550">
            <v>-6.915612041738755</v>
          </cell>
        </row>
        <row r="553">
          <cell r="J553">
            <v>-6.1319842763589616</v>
          </cell>
        </row>
        <row r="556">
          <cell r="J556">
            <v>-6.6592056060841287</v>
          </cell>
        </row>
        <row r="559">
          <cell r="J559">
            <v>-6.7965364396025496</v>
          </cell>
        </row>
        <row r="562">
          <cell r="J562">
            <v>-6.6491090370624226</v>
          </cell>
        </row>
        <row r="565">
          <cell r="J565">
            <v>-6.4836589613540339</v>
          </cell>
        </row>
        <row r="568">
          <cell r="J568">
            <v>-6.7990658208903341</v>
          </cell>
        </row>
        <row r="571">
          <cell r="J571">
            <v>-6.2562029463653595</v>
          </cell>
        </row>
        <row r="574">
          <cell r="J574">
            <v>-6.0827928566743212</v>
          </cell>
        </row>
        <row r="577">
          <cell r="J577">
            <v>-5.4175259935482307</v>
          </cell>
        </row>
        <row r="580">
          <cell r="J580">
            <v>-5.5443736388404457</v>
          </cell>
        </row>
        <row r="583">
          <cell r="J583">
            <v>-6.0472463371152898</v>
          </cell>
        </row>
        <row r="586">
          <cell r="J586">
            <v>-5.2675054615821182</v>
          </cell>
        </row>
        <row r="589">
          <cell r="J589">
            <v>-4.7890616285182368</v>
          </cell>
        </row>
        <row r="592">
          <cell r="J592">
            <v>-5.1324516919271259</v>
          </cell>
        </row>
        <row r="595">
          <cell r="J595">
            <v>-3.6891940885889243</v>
          </cell>
        </row>
        <row r="598">
          <cell r="J598">
            <v>-3.4270223335441932</v>
          </cell>
        </row>
        <row r="601">
          <cell r="J601">
            <v>-3.1678543573608389</v>
          </cell>
        </row>
        <row r="604">
          <cell r="J604">
            <v>-2.1853764313578825</v>
          </cell>
        </row>
        <row r="607">
          <cell r="J607">
            <v>-1.1127851395136135</v>
          </cell>
        </row>
        <row r="610">
          <cell r="J610">
            <v>-1.5030341531599851</v>
          </cell>
        </row>
        <row r="613">
          <cell r="J613">
            <v>-1.8542340416084546</v>
          </cell>
        </row>
        <row r="616">
          <cell r="J616">
            <v>-2.2943457843536859</v>
          </cell>
        </row>
        <row r="619">
          <cell r="J619">
            <v>-2.2965065691101381</v>
          </cell>
        </row>
        <row r="622">
          <cell r="J622">
            <v>-1.8348838976699684</v>
          </cell>
        </row>
        <row r="625">
          <cell r="J625">
            <v>-2.2143193074153826</v>
          </cell>
        </row>
        <row r="628">
          <cell r="J628">
            <v>8.3213004098461774E-2</v>
          </cell>
        </row>
        <row r="631">
          <cell r="J631">
            <v>0.70283444364706626</v>
          </cell>
        </row>
        <row r="634">
          <cell r="J634">
            <v>0.40570257470338428</v>
          </cell>
        </row>
        <row r="637">
          <cell r="J637">
            <v>0.44919922863986378</v>
          </cell>
        </row>
        <row r="640">
          <cell r="J640">
            <v>0.96308765226799498</v>
          </cell>
        </row>
        <row r="643">
          <cell r="J643">
            <v>3.4768920418009897</v>
          </cell>
        </row>
        <row r="646">
          <cell r="J646">
            <v>3.8093522222019449</v>
          </cell>
        </row>
        <row r="649">
          <cell r="J649">
            <v>3.6786297021785535</v>
          </cell>
        </row>
        <row r="652">
          <cell r="J652">
            <v>4.7578293075178522</v>
          </cell>
        </row>
        <row r="655">
          <cell r="J655">
            <v>4.9413020563945036</v>
          </cell>
        </row>
        <row r="658">
          <cell r="J658">
            <v>4.6537822798072286</v>
          </cell>
        </row>
        <row r="661">
          <cell r="J661">
            <v>4.1517926925176294</v>
          </cell>
        </row>
        <row r="664">
          <cell r="J664">
            <v>3.5747086336936031</v>
          </cell>
        </row>
        <row r="667">
          <cell r="J667">
            <v>3.0294646308001738</v>
          </cell>
        </row>
        <row r="670">
          <cell r="J670">
            <v>2.4842206279067445</v>
          </cell>
        </row>
        <row r="673">
          <cell r="J673">
            <v>2.1624577722997702</v>
          </cell>
        </row>
        <row r="676">
          <cell r="J676">
            <v>1.6196167924954425</v>
          </cell>
        </row>
        <row r="679">
          <cell r="J679">
            <v>1.0449357567605178</v>
          </cell>
        </row>
        <row r="682">
          <cell r="J682">
            <v>0.4618441402137371</v>
          </cell>
        </row>
        <row r="685">
          <cell r="J685">
            <v>-0.14707997454088639</v>
          </cell>
        </row>
        <row r="688">
          <cell r="J688">
            <v>-0.6983315351570698</v>
          </cell>
        </row>
        <row r="691">
          <cell r="J691">
            <v>-1.2477808284564271</v>
          </cell>
        </row>
        <row r="694">
          <cell r="J694">
            <v>-1.610995832350405</v>
          </cell>
        </row>
        <row r="697">
          <cell r="J697">
            <v>-2.1952889604417365</v>
          </cell>
        </row>
        <row r="700">
          <cell r="J700">
            <v>-2.6366022147315187</v>
          </cell>
        </row>
        <row r="703">
          <cell r="J703">
            <v>-3.0244482052887887</v>
          </cell>
        </row>
        <row r="706">
          <cell r="J706">
            <v>-3.3125687376483395</v>
          </cell>
        </row>
        <row r="709">
          <cell r="J709">
            <v>-2.8545506008418222</v>
          </cell>
        </row>
        <row r="712">
          <cell r="J712">
            <v>-2.7996395872321096</v>
          </cell>
        </row>
        <row r="715">
          <cell r="J715">
            <v>-3.336473009313683</v>
          </cell>
        </row>
        <row r="718">
          <cell r="J718">
            <v>-3.8456716658705874</v>
          </cell>
        </row>
        <row r="721">
          <cell r="J721">
            <v>-4.4485882229024565</v>
          </cell>
        </row>
        <row r="727">
          <cell r="J727">
            <v>-4.7367087552620069</v>
          </cell>
        </row>
        <row r="730">
          <cell r="J730">
            <v>-5.2681353753931015</v>
          </cell>
        </row>
        <row r="733">
          <cell r="J733">
            <v>-5.6637911909899517</v>
          </cell>
        </row>
        <row r="736">
          <cell r="J736">
            <v>-6.0654545643095563</v>
          </cell>
        </row>
        <row r="739">
          <cell r="J739">
            <v>-6.5722501977773593</v>
          </cell>
        </row>
        <row r="742">
          <cell r="J742">
            <v>-6.7276037044640429</v>
          </cell>
        </row>
        <row r="745">
          <cell r="J745">
            <v>-6.7688136144183968</v>
          </cell>
        </row>
        <row r="748">
          <cell r="J748">
            <v>-6.8977338671249617</v>
          </cell>
        </row>
        <row r="751">
          <cell r="J751">
            <v>-7.3660811311671379</v>
          </cell>
        </row>
        <row r="754">
          <cell r="J754">
            <v>-7.9395606553575115</v>
          </cell>
        </row>
        <row r="757">
          <cell r="J757">
            <v>-8.4235275694788481</v>
          </cell>
        </row>
        <row r="760">
          <cell r="J760">
            <v>-8.9477451203426384</v>
          </cell>
        </row>
        <row r="763">
          <cell r="J763">
            <v>-9.4683581365727747</v>
          </cell>
        </row>
        <row r="766">
          <cell r="J766">
            <v>-9.931899354436748</v>
          </cell>
        </row>
        <row r="769">
          <cell r="J769">
            <v>-10.525804574884486</v>
          </cell>
        </row>
        <row r="772">
          <cell r="J772">
            <v>-11.082462937451147</v>
          </cell>
        </row>
        <row r="775">
          <cell r="J775">
            <v>-11.61809484798817</v>
          </cell>
        </row>
        <row r="778">
          <cell r="J778">
            <v>-12.091248158208549</v>
          </cell>
        </row>
        <row r="781">
          <cell r="J781">
            <v>-12.59564076858725</v>
          </cell>
        </row>
        <row r="784">
          <cell r="J784">
            <v>-11.896118811326016</v>
          </cell>
        </row>
        <row r="787">
          <cell r="J787">
            <v>-12.177086867353331</v>
          </cell>
        </row>
        <row r="790">
          <cell r="J790">
            <v>-12.672468141147901</v>
          </cell>
        </row>
        <row r="793">
          <cell r="J793">
            <v>-13.181666797704805</v>
          </cell>
        </row>
        <row r="796">
          <cell r="J796">
            <v>-13.731116091004163</v>
          </cell>
        </row>
        <row r="799">
          <cell r="J799">
            <v>-14.290778232432203</v>
          </cell>
        </row>
        <row r="802">
          <cell r="J802">
            <v>-14.856748309469134</v>
          </cell>
        </row>
        <row r="805">
          <cell r="J805">
            <v>-14.224510998702746</v>
          </cell>
        </row>
        <row r="808">
          <cell r="J808">
            <v>-14.685649193477616</v>
          </cell>
        </row>
        <row r="811">
          <cell r="J811">
            <v>-14.892667696579986</v>
          </cell>
        </row>
        <row r="817">
          <cell r="J817">
            <v>-14.528367460248434</v>
          </cell>
        </row>
        <row r="823">
          <cell r="J823">
            <v>-14.966676935676839</v>
          </cell>
        </row>
        <row r="826">
          <cell r="J826">
            <v>-14.660650009256003</v>
          </cell>
        </row>
        <row r="829">
          <cell r="J829">
            <v>-15.113978378991293</v>
          </cell>
        </row>
        <row r="832">
          <cell r="J832">
            <v>-15.45496541931108</v>
          </cell>
        </row>
        <row r="835">
          <cell r="J835">
            <v>-15.933525531481937</v>
          </cell>
        </row>
        <row r="838">
          <cell r="J838">
            <v>-16.081669968901316</v>
          </cell>
        </row>
        <row r="841">
          <cell r="J841">
            <v>-16.366185966627214</v>
          </cell>
        </row>
        <row r="844">
          <cell r="J844">
            <v>-15.58916651474245</v>
          </cell>
        </row>
        <row r="847">
          <cell r="J847">
            <v>-15.506019979835793</v>
          </cell>
        </row>
        <row r="850">
          <cell r="J850">
            <v>-15.4775422202062</v>
          </cell>
        </row>
        <row r="853">
          <cell r="J853">
            <v>-15.122854076231054</v>
          </cell>
        </row>
        <row r="856">
          <cell r="J856">
            <v>-14.872697436631832</v>
          </cell>
        </row>
        <row r="859">
          <cell r="J859">
            <v>-15.405926324079752</v>
          </cell>
        </row>
        <row r="862">
          <cell r="J862">
            <v>-15.790768535775646</v>
          </cell>
        </row>
        <row r="871">
          <cell r="J871">
            <v>-16.308978528916683</v>
          </cell>
        </row>
        <row r="874">
          <cell r="J874">
            <v>-16.567662028434739</v>
          </cell>
        </row>
        <row r="877">
          <cell r="J877">
            <v>-17.146548354575593</v>
          </cell>
        </row>
        <row r="880">
          <cell r="J880">
            <v>-17.652142476498845</v>
          </cell>
        </row>
        <row r="883">
          <cell r="J883">
            <v>-16.897350988188272</v>
          </cell>
        </row>
        <row r="886">
          <cell r="J886">
            <v>-16.916332934568437</v>
          </cell>
        </row>
        <row r="889">
          <cell r="J889">
            <v>-17.117343879948052</v>
          </cell>
        </row>
        <row r="892">
          <cell r="J892">
            <v>-16.629287954527765</v>
          </cell>
        </row>
        <row r="898">
          <cell r="J898">
            <v>-16.074548138384905</v>
          </cell>
        </row>
        <row r="916">
          <cell r="J916">
            <v>-15.694628251974192</v>
          </cell>
        </row>
        <row r="919">
          <cell r="J919">
            <v>-14.135424784586835</v>
          </cell>
        </row>
        <row r="922">
          <cell r="J922">
            <v>-13.270094234177584</v>
          </cell>
        </row>
        <row r="925">
          <cell r="J925">
            <v>-12.364513047025881</v>
          </cell>
        </row>
        <row r="928">
          <cell r="J928">
            <v>-10.109634395343591</v>
          </cell>
        </row>
        <row r="931">
          <cell r="J931">
            <v>-10.128616341723754</v>
          </cell>
        </row>
        <row r="940">
          <cell r="J940">
            <v>-9.9145050484610557</v>
          </cell>
        </row>
        <row r="943">
          <cell r="J943">
            <v>-8.0206806159162909</v>
          </cell>
        </row>
        <row r="946">
          <cell r="J946">
            <v>-8.1772356341475252</v>
          </cell>
        </row>
        <row r="949">
          <cell r="J949">
            <v>-8.5314393014573717</v>
          </cell>
        </row>
        <row r="952">
          <cell r="J952">
            <v>-5.9617646251027629</v>
          </cell>
        </row>
        <row r="955">
          <cell r="J955">
            <v>-3.9075384013604624</v>
          </cell>
        </row>
        <row r="958">
          <cell r="J958">
            <v>1.0232227980181641E-2</v>
          </cell>
        </row>
        <row r="961">
          <cell r="J961">
            <v>-0.5386163095469001</v>
          </cell>
        </row>
        <row r="964">
          <cell r="J964">
            <v>-0.206156129145945</v>
          </cell>
        </row>
        <row r="967">
          <cell r="J967">
            <v>0.81717318937173977</v>
          </cell>
        </row>
        <row r="970">
          <cell r="J970">
            <v>0.23408157282495912</v>
          </cell>
        </row>
      </sheetData>
      <sheetData sheetId="9">
        <row r="172">
          <cell r="J172">
            <v>4.4741973571847513</v>
          </cell>
        </row>
        <row r="175">
          <cell r="J175">
            <v>4.3258599749942528</v>
          </cell>
        </row>
        <row r="178">
          <cell r="J178">
            <v>4.1592711522693753</v>
          </cell>
        </row>
        <row r="181">
          <cell r="J181">
            <v>4.1058412608576473</v>
          </cell>
        </row>
        <row r="184">
          <cell r="J184">
            <v>3.925381343326642</v>
          </cell>
        </row>
        <row r="187">
          <cell r="J187">
            <v>3.9013971093103788</v>
          </cell>
        </row>
        <row r="190">
          <cell r="J190">
            <v>4.0548168772882791</v>
          </cell>
        </row>
        <row r="193">
          <cell r="J193">
            <v>3.8225228686396377</v>
          </cell>
        </row>
        <row r="196">
          <cell r="J196">
            <v>3.5817115210749528</v>
          </cell>
        </row>
        <row r="199">
          <cell r="J199">
            <v>3.4467585286096658</v>
          </cell>
        </row>
        <row r="202">
          <cell r="J202">
            <v>3.3787274847704349</v>
          </cell>
        </row>
        <row r="205">
          <cell r="J205">
            <v>3.1060369544057012</v>
          </cell>
        </row>
        <row r="208">
          <cell r="J208">
            <v>2.922413453848737</v>
          </cell>
        </row>
        <row r="211">
          <cell r="J211">
            <v>2.8044951392155366</v>
          </cell>
        </row>
        <row r="214">
          <cell r="J214">
            <v>2.6525074689181625</v>
          </cell>
        </row>
        <row r="223">
          <cell r="J223">
            <v>2.7694243558273048</v>
          </cell>
        </row>
        <row r="226">
          <cell r="J226">
            <v>2.7610146844003784</v>
          </cell>
        </row>
        <row r="229">
          <cell r="J229">
            <v>2.4910010319806872</v>
          </cell>
        </row>
        <row r="232">
          <cell r="J232">
            <v>2.2343717692862071</v>
          </cell>
        </row>
        <row r="235">
          <cell r="J235">
            <v>2.2782828940578335</v>
          </cell>
        </row>
        <row r="238">
          <cell r="J238">
            <v>2.1092605459283722</v>
          </cell>
        </row>
        <row r="241">
          <cell r="J241">
            <v>1.8647989102568112</v>
          </cell>
        </row>
        <row r="244">
          <cell r="J244">
            <v>1.7030771383411016</v>
          </cell>
        </row>
        <row r="247">
          <cell r="J247">
            <v>1.5012021972497582</v>
          </cell>
        </row>
        <row r="250">
          <cell r="J250">
            <v>1.3127116458836261</v>
          </cell>
        </row>
        <row r="253">
          <cell r="J253">
            <v>1.2154782971893887</v>
          </cell>
        </row>
        <row r="256">
          <cell r="J256">
            <v>1.3542969127397857</v>
          </cell>
        </row>
        <row r="259">
          <cell r="J259">
            <v>1.4931155282901827</v>
          </cell>
        </row>
        <row r="262">
          <cell r="J262">
            <v>1.2742059093667524</v>
          </cell>
        </row>
        <row r="265">
          <cell r="J265">
            <v>1.2499783228100307</v>
          </cell>
        </row>
        <row r="268">
          <cell r="J268">
            <v>1.021334602268265</v>
          </cell>
        </row>
        <row r="271">
          <cell r="J271">
            <v>0.75034753968674006</v>
          </cell>
        </row>
        <row r="274">
          <cell r="J274">
            <v>0.5582067002137322</v>
          </cell>
        </row>
        <row r="277">
          <cell r="J277">
            <v>0.7079761800847566</v>
          </cell>
        </row>
        <row r="280">
          <cell r="J280">
            <v>1.0901473360935396</v>
          </cell>
        </row>
        <row r="283">
          <cell r="J283">
            <v>1.0756538511551534</v>
          </cell>
        </row>
        <row r="286">
          <cell r="J286">
            <v>0.87742919817068588</v>
          </cell>
        </row>
        <row r="289">
          <cell r="J289">
            <v>0.61860976261208012</v>
          </cell>
        </row>
        <row r="292">
          <cell r="J292">
            <v>0.6698214635974582</v>
          </cell>
        </row>
        <row r="295">
          <cell r="J295">
            <v>1.8599230539280827</v>
          </cell>
        </row>
        <row r="298">
          <cell r="J298">
            <v>1.6324960960886088</v>
          </cell>
        </row>
        <row r="301">
          <cell r="J301">
            <v>1.3583454504811248</v>
          </cell>
        </row>
        <row r="304">
          <cell r="J304">
            <v>1.309417581067877</v>
          </cell>
        </row>
        <row r="307">
          <cell r="J307">
            <v>1.2146177577782236</v>
          </cell>
        </row>
        <row r="310">
          <cell r="J310">
            <v>1.0103092912822964</v>
          </cell>
        </row>
        <row r="313">
          <cell r="J313">
            <v>1.3742290067567005</v>
          </cell>
        </row>
        <row r="316">
          <cell r="J316">
            <v>1.3110650137266371</v>
          </cell>
        </row>
        <row r="319">
          <cell r="J319">
            <v>1.331857647154717</v>
          </cell>
        </row>
        <row r="322">
          <cell r="J322">
            <v>2.5925314742182732</v>
          </cell>
        </row>
        <row r="325">
          <cell r="J325">
            <v>2.8323413940589006</v>
          </cell>
        </row>
        <row r="328">
          <cell r="J328">
            <v>3.4262292602664792</v>
          </cell>
        </row>
        <row r="331">
          <cell r="J331">
            <v>3.380099945068503</v>
          </cell>
        </row>
        <row r="334">
          <cell r="J334">
            <v>3.7951236940391682</v>
          </cell>
        </row>
        <row r="337">
          <cell r="J337">
            <v>4.0154654106431247</v>
          </cell>
        </row>
        <row r="340">
          <cell r="J340">
            <v>4.0265239424528687</v>
          </cell>
        </row>
        <row r="343">
          <cell r="J343">
            <v>4.0181142710259419</v>
          </cell>
        </row>
        <row r="346">
          <cell r="J346">
            <v>3.9634676169119221</v>
          </cell>
        </row>
        <row r="349">
          <cell r="J349">
            <v>4.6765982279441101</v>
          </cell>
        </row>
        <row r="352">
          <cell r="J352">
            <v>4.5075758798146488</v>
          </cell>
        </row>
        <row r="355">
          <cell r="J355">
            <v>4.4736141916395917</v>
          </cell>
        </row>
        <row r="358">
          <cell r="J358">
            <v>4.6075657563808212</v>
          </cell>
        </row>
        <row r="361">
          <cell r="J361">
            <v>4.6672947962822429</v>
          </cell>
        </row>
        <row r="364">
          <cell r="J364">
            <v>4.9886278171764298</v>
          </cell>
        </row>
        <row r="367">
          <cell r="J367">
            <v>5.8830560708501149</v>
          </cell>
        </row>
        <row r="370">
          <cell r="J370">
            <v>5.9087157550873624</v>
          </cell>
        </row>
        <row r="373">
          <cell r="J373">
            <v>5.8175662199045846</v>
          </cell>
        </row>
        <row r="376">
          <cell r="J376">
            <v>5.6740958885232535</v>
          </cell>
        </row>
        <row r="379">
          <cell r="J379">
            <v>5.4941226760731645</v>
          </cell>
        </row>
        <row r="382">
          <cell r="J382">
            <v>5.3798546495468402</v>
          </cell>
        </row>
        <row r="385">
          <cell r="J385">
            <v>5.2801877754480193</v>
          </cell>
        </row>
        <row r="388">
          <cell r="J388">
            <v>6.3571304344654944</v>
          </cell>
        </row>
        <row r="391">
          <cell r="J391">
            <v>6.152821967969567</v>
          </cell>
        </row>
        <row r="394">
          <cell r="J394">
            <v>6.0336868906340753</v>
          </cell>
        </row>
        <row r="397">
          <cell r="J397">
            <v>6.0873321170240375</v>
          </cell>
        </row>
        <row r="400">
          <cell r="J400">
            <v>6.176263461780465</v>
          </cell>
        </row>
        <row r="403">
          <cell r="J403">
            <v>5.9439694531318237</v>
          </cell>
        </row>
        <row r="406">
          <cell r="J406">
            <v>5.8674210703765493</v>
          </cell>
        </row>
        <row r="409">
          <cell r="J409">
            <v>5.652161739559995</v>
          </cell>
        </row>
        <row r="412">
          <cell r="J412">
            <v>6.1535756403933872</v>
          </cell>
        </row>
        <row r="415">
          <cell r="J415">
            <v>6.1780185619283428</v>
          </cell>
        </row>
        <row r="418">
          <cell r="J418">
            <v>6.2377476018297644</v>
          </cell>
        </row>
        <row r="421">
          <cell r="J421">
            <v>6.3656153530595336</v>
          </cell>
        </row>
        <row r="424">
          <cell r="J424">
            <v>6.4837490026709679</v>
          </cell>
        </row>
        <row r="427">
          <cell r="J427">
            <v>6.621350855519073</v>
          </cell>
        </row>
        <row r="430">
          <cell r="J430">
            <v>6.6178082349013145</v>
          </cell>
        </row>
        <row r="433">
          <cell r="J433">
            <v>6.6933551899325314</v>
          </cell>
        </row>
        <row r="436">
          <cell r="J436">
            <v>6.5681362990855794</v>
          </cell>
        </row>
        <row r="439">
          <cell r="J439">
            <v>6.3212411380094347</v>
          </cell>
        </row>
        <row r="442">
          <cell r="J442">
            <v>6.5354990411019314</v>
          </cell>
        </row>
        <row r="445">
          <cell r="J445">
            <v>6.4309651161939421</v>
          </cell>
        </row>
        <row r="448">
          <cell r="J448">
            <v>6.4590583258357732</v>
          </cell>
        </row>
        <row r="451">
          <cell r="J451">
            <v>6.4117122479355046</v>
          </cell>
        </row>
        <row r="454">
          <cell r="J454">
            <v>6.2402563744014596</v>
          </cell>
        </row>
        <row r="457">
          <cell r="J457">
            <v>6.0870519414017936</v>
          </cell>
        </row>
        <row r="460">
          <cell r="J460">
            <v>6.1017607613184142</v>
          </cell>
        </row>
        <row r="463">
          <cell r="J463">
            <v>6.041030293692935</v>
          </cell>
        </row>
        <row r="466">
          <cell r="J466">
            <v>5.9693489617468281</v>
          </cell>
        </row>
        <row r="469">
          <cell r="J469">
            <v>5.925653171953436</v>
          </cell>
        </row>
        <row r="472">
          <cell r="J472">
            <v>5.7018765022208378</v>
          </cell>
        </row>
        <row r="475">
          <cell r="J475">
            <v>5.5839581875876378</v>
          </cell>
        </row>
        <row r="478">
          <cell r="J478">
            <v>5.4258867037788043</v>
          </cell>
        </row>
        <row r="481">
          <cell r="J481">
            <v>5.4685810658481389</v>
          </cell>
        </row>
        <row r="484">
          <cell r="J484">
            <v>5.305642531230137</v>
          </cell>
        </row>
        <row r="487">
          <cell r="J487">
            <v>5.1487878101235953</v>
          </cell>
        </row>
        <row r="490">
          <cell r="J490">
            <v>5.0101845295514327</v>
          </cell>
        </row>
        <row r="493">
          <cell r="J493">
            <v>5.885144579988447</v>
          </cell>
        </row>
        <row r="496">
          <cell r="J496">
            <v>5.7453245367139925</v>
          </cell>
        </row>
        <row r="499">
          <cell r="J499">
            <v>5.7016287469206004</v>
          </cell>
        </row>
        <row r="502">
          <cell r="J502">
            <v>6.1592391904714834</v>
          </cell>
        </row>
        <row r="505">
          <cell r="J505">
            <v>5.9877833169374384</v>
          </cell>
        </row>
        <row r="508">
          <cell r="J508">
            <v>6.075497898991574</v>
          </cell>
        </row>
        <row r="511">
          <cell r="J511">
            <v>6.0305853464958901</v>
          </cell>
        </row>
        <row r="514">
          <cell r="J514">
            <v>5.9954068956185411</v>
          </cell>
        </row>
        <row r="517">
          <cell r="J517">
            <v>5.8519365642372101</v>
          </cell>
        </row>
        <row r="520">
          <cell r="J520">
            <v>5.7206338598787987</v>
          </cell>
        </row>
        <row r="523">
          <cell r="J523">
            <v>5.5929814436272629</v>
          </cell>
        </row>
        <row r="526">
          <cell r="J526">
            <v>5.4823637052078142</v>
          </cell>
        </row>
        <row r="529">
          <cell r="J529">
            <v>5.7805782347584538</v>
          </cell>
        </row>
        <row r="532">
          <cell r="J532">
            <v>5.7125471909192225</v>
          </cell>
        </row>
        <row r="535">
          <cell r="J535">
            <v>6.1774582106838567</v>
          </cell>
        </row>
        <row r="538">
          <cell r="J538">
            <v>7.125424023258387</v>
          </cell>
        </row>
        <row r="541">
          <cell r="J541">
            <v>6.9271993702739199</v>
          </cell>
        </row>
        <row r="547">
          <cell r="J547">
            <v>6.7435758697169552</v>
          </cell>
        </row>
        <row r="550">
          <cell r="J550">
            <v>6.5051980475568536</v>
          </cell>
        </row>
        <row r="553">
          <cell r="J553">
            <v>6.4006641226488643</v>
          </cell>
        </row>
        <row r="556">
          <cell r="J556">
            <v>6.213390333985024</v>
          </cell>
        </row>
        <row r="559">
          <cell r="J559">
            <v>6.0455847485578547</v>
          </cell>
        </row>
        <row r="562">
          <cell r="J562">
            <v>6.0237906874057172</v>
          </cell>
        </row>
        <row r="565">
          <cell r="J565">
            <v>6.0019966262535798</v>
          </cell>
        </row>
        <row r="568">
          <cell r="J568">
            <v>5.9242314807960135</v>
          </cell>
        </row>
        <row r="571">
          <cell r="J571">
            <v>5.7925150771188232</v>
          </cell>
        </row>
        <row r="574">
          <cell r="J574">
            <v>5.6856814707035026</v>
          </cell>
        </row>
        <row r="577">
          <cell r="J577">
            <v>5.5055622467291387</v>
          </cell>
        </row>
        <row r="580">
          <cell r="J580">
            <v>5.4276997602553889</v>
          </cell>
        </row>
        <row r="583">
          <cell r="J583">
            <v>5.4787897849705374</v>
          </cell>
        </row>
        <row r="586">
          <cell r="J586">
            <v>5.3478886123038825</v>
          </cell>
        </row>
        <row r="589">
          <cell r="J589">
            <v>5.1618315863423341</v>
          </cell>
        </row>
        <row r="592">
          <cell r="J592">
            <v>5.0001098144266241</v>
          </cell>
        </row>
        <row r="595">
          <cell r="J595">
            <v>4.9807492786790704</v>
          </cell>
        </row>
        <row r="598">
          <cell r="J598">
            <v>4.8348454218931556</v>
          </cell>
        </row>
        <row r="601">
          <cell r="J601">
            <v>4.6998924294278686</v>
          </cell>
        </row>
        <row r="604">
          <cell r="J604">
            <v>4.8192428417415947</v>
          </cell>
        </row>
        <row r="607">
          <cell r="J607">
            <v>4.6757725103602636</v>
          </cell>
        </row>
        <row r="610">
          <cell r="J610">
            <v>4.5310854162766407</v>
          </cell>
        </row>
        <row r="613">
          <cell r="J613">
            <v>4.2914908314142473</v>
          </cell>
        </row>
        <row r="616">
          <cell r="J616">
            <v>4.1322025849031219</v>
          </cell>
        </row>
        <row r="619">
          <cell r="J619">
            <v>3.9704808129874123</v>
          </cell>
        </row>
        <row r="622">
          <cell r="J622">
            <v>3.7552214821708576</v>
          </cell>
        </row>
        <row r="625">
          <cell r="J625">
            <v>3.5204939481176321</v>
          </cell>
        </row>
        <row r="628">
          <cell r="J628">
            <v>3.4463790907669414</v>
          </cell>
        </row>
        <row r="631">
          <cell r="J631">
            <v>3.2396370988664303</v>
          </cell>
        </row>
        <row r="634">
          <cell r="J634">
            <v>3.08399914046218</v>
          </cell>
        </row>
        <row r="637">
          <cell r="J637">
            <v>2.876040385859377</v>
          </cell>
        </row>
        <row r="640">
          <cell r="J640">
            <v>2.8688474771347425</v>
          </cell>
        </row>
        <row r="643">
          <cell r="J643">
            <v>2.8689551446238597</v>
          </cell>
        </row>
        <row r="646">
          <cell r="J646">
            <v>2.7327853894562804</v>
          </cell>
        </row>
        <row r="649">
          <cell r="J649">
            <v>2.4907572791893031</v>
          </cell>
        </row>
        <row r="652">
          <cell r="J652">
            <v>2.3983909813042334</v>
          </cell>
        </row>
        <row r="655">
          <cell r="J655">
            <v>2.1685304980601758</v>
          </cell>
        </row>
        <row r="658">
          <cell r="J658">
            <v>1.9496208791367455</v>
          </cell>
        </row>
        <row r="661">
          <cell r="J661">
            <v>1.7380118364270667</v>
          </cell>
        </row>
        <row r="664">
          <cell r="J664">
            <v>1.5738565391067731</v>
          </cell>
        </row>
        <row r="667">
          <cell r="J667">
            <v>1.3817156996337652</v>
          </cell>
        </row>
        <row r="670">
          <cell r="J670">
            <v>1.159155792603459</v>
          </cell>
        </row>
        <row r="673">
          <cell r="J673">
            <v>0.97796581745107847</v>
          </cell>
        </row>
        <row r="676">
          <cell r="J676">
            <v>1.0413451454593758</v>
          </cell>
        </row>
        <row r="679">
          <cell r="J679">
            <v>0.83947020436803255</v>
          </cell>
        </row>
        <row r="682">
          <cell r="J682">
            <v>0.73858656756691943</v>
          </cell>
        </row>
        <row r="685">
          <cell r="J685">
            <v>0.60606710050621615</v>
          </cell>
        </row>
        <row r="688">
          <cell r="J688">
            <v>0.77287125820932756</v>
          </cell>
        </row>
        <row r="691">
          <cell r="J691">
            <v>0.86423612837033925</v>
          </cell>
        </row>
        <row r="694">
          <cell r="J694">
            <v>0.74631781373713912</v>
          </cell>
        </row>
        <row r="697">
          <cell r="J697">
            <v>0.50672322887474597</v>
          </cell>
        </row>
        <row r="700">
          <cell r="J700">
            <v>0.28659684724902368</v>
          </cell>
        </row>
        <row r="703">
          <cell r="J703">
            <v>0.14190975316540103</v>
          </cell>
        </row>
        <row r="706">
          <cell r="J706">
            <v>-2.2245544154892494E-2</v>
          </cell>
        </row>
        <row r="709">
          <cell r="J709">
            <v>0.88435033654171225</v>
          </cell>
        </row>
        <row r="712">
          <cell r="J712">
            <v>0.80901871648872958</v>
          </cell>
        </row>
        <row r="715">
          <cell r="J715">
            <v>0.64608018187072802</v>
          </cell>
        </row>
        <row r="718">
          <cell r="J718">
            <v>0.56344798560399378</v>
          </cell>
        </row>
        <row r="721">
          <cell r="J721">
            <v>0.37374067153556978</v>
          </cell>
        </row>
        <row r="727">
          <cell r="J727">
            <v>0.20958537421527626</v>
          </cell>
        </row>
        <row r="730">
          <cell r="J730">
            <v>0.10140116120041151</v>
          </cell>
        </row>
        <row r="733">
          <cell r="J733">
            <v>-7.8572051249677088E-2</v>
          </cell>
        </row>
        <row r="736">
          <cell r="J736">
            <v>-0.29991519557769131</v>
          </cell>
        </row>
        <row r="739">
          <cell r="J739">
            <v>-0.5309924415240409</v>
          </cell>
        </row>
        <row r="742">
          <cell r="J742">
            <v>-0.25467964061465581</v>
          </cell>
        </row>
        <row r="745">
          <cell r="J745">
            <v>-0.29837543040804826</v>
          </cell>
        </row>
        <row r="748">
          <cell r="J748">
            <v>0.27604423256285959</v>
          </cell>
        </row>
        <row r="751">
          <cell r="J751">
            <v>0.16907678225028677</v>
          </cell>
        </row>
        <row r="754">
          <cell r="J754">
            <v>-2.3790912837583222E-3</v>
          </cell>
        </row>
        <row r="757">
          <cell r="J757">
            <v>-0.12638121942841815</v>
          </cell>
        </row>
        <row r="760">
          <cell r="J760">
            <v>0.5052262905502104</v>
          </cell>
        </row>
        <row r="763">
          <cell r="J763">
            <v>0.28996695973365583</v>
          </cell>
        </row>
        <row r="766">
          <cell r="J766">
            <v>7.2274103512517396E-2</v>
          </cell>
        </row>
        <row r="769">
          <cell r="J769">
            <v>-0.16975400675445962</v>
          </cell>
        </row>
        <row r="772">
          <cell r="J772">
            <v>-0.42394974404435598</v>
          </cell>
        </row>
        <row r="775">
          <cell r="J775">
            <v>-0.66232756620445721</v>
          </cell>
        </row>
        <row r="778">
          <cell r="J778">
            <v>-0.90192215106685036</v>
          </cell>
        </row>
        <row r="781">
          <cell r="J781">
            <v>-0.95900233058545403</v>
          </cell>
        </row>
        <row r="784">
          <cell r="J784">
            <v>0.66183325635651347</v>
          </cell>
        </row>
        <row r="787">
          <cell r="J787">
            <v>0.4988947217385119</v>
          </cell>
        </row>
        <row r="790">
          <cell r="J790">
            <v>0.43451396600615666</v>
          </cell>
        </row>
        <row r="793">
          <cell r="J793">
            <v>0.28130953300649053</v>
          </cell>
        </row>
        <row r="796">
          <cell r="J796">
            <v>0.88371473813011281</v>
          </cell>
        </row>
        <row r="799">
          <cell r="J799">
            <v>0.70252476297773225</v>
          </cell>
        </row>
        <row r="802">
          <cell r="J802">
            <v>0.54445327916889841</v>
          </cell>
        </row>
        <row r="805">
          <cell r="J805">
            <v>0.39003208346694029</v>
          </cell>
        </row>
        <row r="808">
          <cell r="J808">
            <v>0.21614268452831134</v>
          </cell>
        </row>
        <row r="811">
          <cell r="J811">
            <v>1.1834218032384158E-2</v>
          </cell>
        </row>
        <row r="817">
          <cell r="J817">
            <v>-7.9315317150393569E-2</v>
          </cell>
        </row>
        <row r="823">
          <cell r="J823">
            <v>-0.10110937830253129</v>
          </cell>
        </row>
        <row r="826">
          <cell r="J826">
            <v>-0.22632826914948306</v>
          </cell>
        </row>
        <row r="829">
          <cell r="J829">
            <v>-0.3941338545766524</v>
          </cell>
        </row>
        <row r="832">
          <cell r="J832">
            <v>-0.52665332163735568</v>
          </cell>
        </row>
        <row r="835">
          <cell r="J835">
            <v>-0.69445890706452496</v>
          </cell>
        </row>
        <row r="838">
          <cell r="J838">
            <v>-0.91945233949941496</v>
          </cell>
        </row>
        <row r="841">
          <cell r="J841">
            <v>-0.9667984173996832</v>
          </cell>
        </row>
        <row r="844">
          <cell r="J844">
            <v>-1.093234070948927</v>
          </cell>
        </row>
        <row r="847">
          <cell r="J847">
            <v>-1.1929009450477484</v>
          </cell>
        </row>
        <row r="850">
          <cell r="J850">
            <v>-1.2061776672838427</v>
          </cell>
        </row>
        <row r="853">
          <cell r="J853">
            <v>-0.22535926174743037</v>
          </cell>
        </row>
        <row r="856">
          <cell r="J856">
            <v>-0.23011864506748109</v>
          </cell>
        </row>
        <row r="859">
          <cell r="J859">
            <v>-0.40400804400611001</v>
          </cell>
        </row>
        <row r="862">
          <cell r="J862">
            <v>-0.64238586616621118</v>
          </cell>
        </row>
        <row r="871">
          <cell r="J871">
            <v>-0.79194001105900158</v>
          </cell>
        </row>
        <row r="874">
          <cell r="J874">
            <v>-0.9049912748830341</v>
          </cell>
        </row>
        <row r="877">
          <cell r="J877">
            <v>-1.1202506056995887</v>
          </cell>
        </row>
        <row r="880">
          <cell r="J880">
            <v>-1.3647122413711497</v>
          </cell>
        </row>
        <row r="883">
          <cell r="J883">
            <v>-1.4899311322181015</v>
          </cell>
        </row>
        <row r="886">
          <cell r="J886">
            <v>-1.4545373463625184</v>
          </cell>
        </row>
        <row r="889">
          <cell r="J889">
            <v>-1.6138255928736442</v>
          </cell>
        </row>
        <row r="892">
          <cell r="J892">
            <v>-1.6745560604991236</v>
          </cell>
        </row>
        <row r="898">
          <cell r="J898">
            <v>-1.4323126152539125</v>
          </cell>
        </row>
        <row r="916">
          <cell r="J916">
            <v>-1.5514476925894047</v>
          </cell>
        </row>
        <row r="919">
          <cell r="J919">
            <v>-1.3420568403060757</v>
          </cell>
        </row>
        <row r="922">
          <cell r="J922">
            <v>-1.1703856317937966</v>
          </cell>
        </row>
        <row r="925">
          <cell r="J925">
            <v>-1.3491420815415933</v>
          </cell>
        </row>
        <row r="928">
          <cell r="J928">
            <v>-1.5765690393810672</v>
          </cell>
        </row>
        <row r="931">
          <cell r="J931">
            <v>-1.5959295751286211</v>
          </cell>
        </row>
        <row r="940">
          <cell r="J940">
            <v>-1.2733797915321428</v>
          </cell>
        </row>
        <row r="943">
          <cell r="J943">
            <v>-1.2647547851269823</v>
          </cell>
        </row>
        <row r="946">
          <cell r="J946">
            <v>-1.2025922198209769</v>
          </cell>
        </row>
        <row r="949">
          <cell r="J949">
            <v>-1.4190683133398234</v>
          </cell>
        </row>
        <row r="952">
          <cell r="J952">
            <v>-1.2595647318504635</v>
          </cell>
        </row>
        <row r="955">
          <cell r="J955">
            <v>-1.2363385730177998</v>
          </cell>
        </row>
        <row r="958">
          <cell r="J958">
            <v>-0.40518197986329474</v>
          </cell>
        </row>
        <row r="961">
          <cell r="J961">
            <v>-0.51336619287815954</v>
          </cell>
        </row>
        <row r="964">
          <cell r="J964">
            <v>-0.25652159520544532</v>
          </cell>
        </row>
        <row r="967">
          <cell r="J967">
            <v>-0.2722318428461234</v>
          </cell>
        </row>
        <row r="970">
          <cell r="J970">
            <v>-0.37311547964723657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8"/>
  <sheetViews>
    <sheetView topLeftCell="A363" workbookViewId="0">
      <selection sqref="A1:J1048576"/>
    </sheetView>
  </sheetViews>
  <sheetFormatPr defaultColWidth="8.85546875" defaultRowHeight="15"/>
  <cols>
    <col min="1" max="10" width="11.28515625" customWidth="1"/>
  </cols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5</v>
      </c>
      <c r="B3" s="9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0.14854642216666666</v>
      </c>
      <c r="H3" s="13">
        <v>0</v>
      </c>
      <c r="I3" s="13">
        <v>0.61767045200000004</v>
      </c>
      <c r="J3" s="13">
        <v>3.2527267333333332E-2</v>
      </c>
      <c r="K3" s="14" t="s">
        <v>15</v>
      </c>
    </row>
    <row r="4" spans="1:12">
      <c r="A4" s="8">
        <v>7</v>
      </c>
      <c r="B4" s="9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0.16553434933333333</v>
      </c>
      <c r="H4" s="13">
        <v>0</v>
      </c>
      <c r="I4" s="13">
        <v>0.38768184366666669</v>
      </c>
      <c r="J4" s="13">
        <v>1.4024393666666666E-2</v>
      </c>
      <c r="K4" s="14" t="s">
        <v>15</v>
      </c>
    </row>
    <row r="5" spans="1:12">
      <c r="A5" s="8">
        <v>14</v>
      </c>
      <c r="B5" s="9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7.1061170166666673E-2</v>
      </c>
      <c r="H5" s="13">
        <v>0</v>
      </c>
      <c r="I5" s="13">
        <v>0.20175154033333331</v>
      </c>
      <c r="J5" s="13">
        <v>0</v>
      </c>
      <c r="K5" s="14" t="s">
        <v>15</v>
      </c>
    </row>
    <row r="6" spans="1:12">
      <c r="A6" s="8">
        <v>5</v>
      </c>
      <c r="B6" s="9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8.8613520000000012E-3</v>
      </c>
      <c r="H6" s="13">
        <v>0</v>
      </c>
      <c r="I6" s="13">
        <v>4.0543138500000006E-2</v>
      </c>
      <c r="J6" s="13">
        <v>6.6823911666666668E-3</v>
      </c>
      <c r="K6" s="14" t="s">
        <v>15</v>
      </c>
    </row>
    <row r="7" spans="1:12">
      <c r="A7" s="8">
        <v>7</v>
      </c>
      <c r="B7" s="9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0</v>
      </c>
      <c r="H7" s="13">
        <v>0</v>
      </c>
      <c r="I7" s="13">
        <v>3.5184477833333332E-2</v>
      </c>
      <c r="J7" s="13">
        <v>0</v>
      </c>
      <c r="K7" s="14" t="s">
        <v>15</v>
      </c>
    </row>
    <row r="8" spans="1:12">
      <c r="A8" s="8">
        <v>14</v>
      </c>
      <c r="B8" s="9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0</v>
      </c>
      <c r="H8" s="13">
        <v>0</v>
      </c>
      <c r="I8" s="13">
        <v>4.4647677999999996E-2</v>
      </c>
      <c r="J8" s="13">
        <v>0</v>
      </c>
      <c r="K8" s="14" t="s">
        <v>15</v>
      </c>
    </row>
    <row r="9" spans="1:12">
      <c r="A9" s="8">
        <v>5</v>
      </c>
      <c r="B9" s="9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6.8806938999999998E-2</v>
      </c>
      <c r="H9" s="13">
        <v>0</v>
      </c>
      <c r="I9" s="13">
        <v>7.4320228833333349E-2</v>
      </c>
      <c r="J9" s="13">
        <v>0</v>
      </c>
      <c r="K9" s="14" t="s">
        <v>15</v>
      </c>
    </row>
    <row r="10" spans="1:12">
      <c r="A10" s="8">
        <v>7</v>
      </c>
      <c r="B10" s="9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9.6929424166666667E-2</v>
      </c>
      <c r="H10" s="13">
        <v>0</v>
      </c>
      <c r="I10" s="13">
        <v>0.11124053699999999</v>
      </c>
      <c r="J10" s="13">
        <v>0</v>
      </c>
      <c r="K10" s="14" t="s">
        <v>15</v>
      </c>
    </row>
    <row r="11" spans="1:12">
      <c r="A11" s="8">
        <v>14</v>
      </c>
      <c r="B11" s="9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0.11645793933333333</v>
      </c>
      <c r="H11" s="13">
        <v>1.8829226000000001E-2</v>
      </c>
      <c r="I11" s="13">
        <v>0.31870416133333335</v>
      </c>
      <c r="J11" s="13">
        <v>1.3039497333333334E-2</v>
      </c>
      <c r="K11" s="14" t="s">
        <v>15</v>
      </c>
    </row>
    <row r="12" spans="1:12">
      <c r="A12" s="8">
        <v>5</v>
      </c>
      <c r="B12" s="9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5.2456503333333335E-2</v>
      </c>
      <c r="H12" s="13">
        <v>0</v>
      </c>
      <c r="I12" s="13">
        <v>0.65526588683333331</v>
      </c>
      <c r="J12" s="13">
        <v>1.3203758333333336E-2</v>
      </c>
      <c r="K12" s="14" t="s">
        <v>15</v>
      </c>
    </row>
    <row r="13" spans="1:12">
      <c r="A13" s="8">
        <v>7</v>
      </c>
      <c r="B13" s="9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0.23095831666666666</v>
      </c>
      <c r="H13" s="13">
        <v>0</v>
      </c>
      <c r="I13" s="13">
        <v>0.40100553133333328</v>
      </c>
      <c r="J13" s="13">
        <v>1.5057106833333334E-2</v>
      </c>
      <c r="K13" s="14" t="s">
        <v>15</v>
      </c>
    </row>
    <row r="14" spans="1:12">
      <c r="A14" s="8">
        <v>14</v>
      </c>
      <c r="B14" s="9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0.12680470966666665</v>
      </c>
      <c r="H14" s="13">
        <v>0</v>
      </c>
      <c r="I14" s="13">
        <v>0.60627986616666674</v>
      </c>
      <c r="J14" s="13">
        <v>3.1546008166666667E-2</v>
      </c>
      <c r="K14" s="14" t="s">
        <v>15</v>
      </c>
    </row>
    <row r="15" spans="1:12">
      <c r="A15" s="8">
        <v>5</v>
      </c>
      <c r="B15" s="9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0.27614882166666666</v>
      </c>
      <c r="H15" s="13">
        <v>0</v>
      </c>
      <c r="I15" s="13">
        <v>1.4868349175</v>
      </c>
      <c r="J15" s="13">
        <v>2.9241056833333331E-2</v>
      </c>
      <c r="K15" s="14" t="s">
        <v>15</v>
      </c>
    </row>
    <row r="16" spans="1:12">
      <c r="A16" s="8">
        <v>7</v>
      </c>
      <c r="B16" s="9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0.10133514983333333</v>
      </c>
      <c r="H16" s="13">
        <v>0</v>
      </c>
      <c r="I16" s="13">
        <v>0.63362377900000011</v>
      </c>
      <c r="J16" s="13">
        <v>3.8387870000000004E-2</v>
      </c>
      <c r="K16" s="14" t="s">
        <v>15</v>
      </c>
    </row>
    <row r="17" spans="1:11">
      <c r="A17" s="8">
        <v>14</v>
      </c>
      <c r="B17" s="9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4.4017524833333335E-2</v>
      </c>
      <c r="H17" s="13">
        <v>0</v>
      </c>
      <c r="I17" s="13">
        <v>1.2114384846666666</v>
      </c>
      <c r="J17" s="13">
        <v>1.9160073833333336E-2</v>
      </c>
      <c r="K17" s="14" t="s">
        <v>15</v>
      </c>
    </row>
    <row r="18" spans="1:11">
      <c r="A18" s="8">
        <v>5</v>
      </c>
      <c r="B18" s="9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4.6444311666666661E-2</v>
      </c>
      <c r="H18" s="13">
        <v>4.7302477333333329E-2</v>
      </c>
      <c r="I18" s="13">
        <v>1.3414158833333334</v>
      </c>
      <c r="J18" s="13">
        <v>5.4305448833333332E-2</v>
      </c>
      <c r="K18" s="14" t="s">
        <v>15</v>
      </c>
    </row>
    <row r="19" spans="1:11">
      <c r="A19" s="8">
        <v>7</v>
      </c>
      <c r="B19" s="9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0</v>
      </c>
      <c r="H19" s="13">
        <v>0</v>
      </c>
      <c r="I19" s="13">
        <v>0.46975512650000006</v>
      </c>
      <c r="J19" s="13">
        <v>3.6092858666666665E-2</v>
      </c>
      <c r="K19" s="14" t="s">
        <v>15</v>
      </c>
    </row>
    <row r="20" spans="1:11">
      <c r="A20" s="8">
        <v>14</v>
      </c>
      <c r="B20" s="9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4.30515905E-2</v>
      </c>
      <c r="H20" s="13">
        <v>0</v>
      </c>
      <c r="I20" s="13">
        <v>0.60951599116666666</v>
      </c>
      <c r="J20" s="13">
        <v>3.2971865499999996E-2</v>
      </c>
      <c r="K20" s="14" t="s">
        <v>15</v>
      </c>
    </row>
    <row r="21" spans="1:11">
      <c r="A21" s="8">
        <v>5</v>
      </c>
      <c r="B21" s="9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7.3832205999999997E-2</v>
      </c>
      <c r="H21" s="13">
        <v>1.7670699666666664E-2</v>
      </c>
      <c r="I21" s="13">
        <v>1.0981972843333332</v>
      </c>
      <c r="J21" s="13">
        <v>1.9788472666666664E-2</v>
      </c>
      <c r="K21" s="14" t="s">
        <v>15</v>
      </c>
    </row>
    <row r="22" spans="1:11">
      <c r="A22" s="8">
        <v>7</v>
      </c>
      <c r="B22" s="9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0.10348161233333335</v>
      </c>
      <c r="H22" s="13">
        <v>0</v>
      </c>
      <c r="I22" s="13">
        <v>1.6612509565000002</v>
      </c>
      <c r="J22" s="13">
        <v>2.5330354166666669E-2</v>
      </c>
      <c r="K22" s="14" t="s">
        <v>15</v>
      </c>
    </row>
    <row r="23" spans="1:11">
      <c r="A23" s="8">
        <v>14</v>
      </c>
      <c r="B23" s="9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3.052107183333333E-2</v>
      </c>
      <c r="H23" s="13">
        <v>0</v>
      </c>
      <c r="I23" s="13">
        <v>0.19911519166666669</v>
      </c>
      <c r="J23" s="13">
        <v>0</v>
      </c>
      <c r="K23" s="14" t="s">
        <v>15</v>
      </c>
    </row>
    <row r="24" spans="1:11">
      <c r="A24" s="8">
        <v>5</v>
      </c>
      <c r="B24" s="9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0</v>
      </c>
      <c r="H24" s="13">
        <v>0.89007840099999991</v>
      </c>
      <c r="I24" s="13">
        <v>3.680431951833333</v>
      </c>
      <c r="J24" s="13">
        <v>7.2124284999999996E-2</v>
      </c>
      <c r="K24" s="14" t="s">
        <v>15</v>
      </c>
    </row>
    <row r="25" spans="1:11">
      <c r="A25" s="8">
        <v>7</v>
      </c>
      <c r="B25" s="9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3.3572770166666668E-2</v>
      </c>
      <c r="H25" s="13">
        <v>0</v>
      </c>
      <c r="I25" s="13">
        <v>0.18482494066666669</v>
      </c>
      <c r="J25" s="13">
        <v>3.4789885166666673E-2</v>
      </c>
      <c r="K25" s="14" t="s">
        <v>15</v>
      </c>
    </row>
    <row r="26" spans="1:11">
      <c r="A26" s="8">
        <v>14</v>
      </c>
      <c r="B26" s="9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0</v>
      </c>
      <c r="H26" s="13">
        <v>0</v>
      </c>
      <c r="I26" s="13">
        <v>8.1282315333333327E-2</v>
      </c>
      <c r="J26" s="13">
        <v>0</v>
      </c>
      <c r="K26" s="14" t="s">
        <v>15</v>
      </c>
    </row>
    <row r="27" spans="1:11">
      <c r="A27" s="8">
        <v>5</v>
      </c>
      <c r="B27" s="9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0.23083937733333332</v>
      </c>
      <c r="H27" s="13">
        <v>3.1005776213333331</v>
      </c>
      <c r="I27" s="13">
        <v>10.088649282666667</v>
      </c>
      <c r="J27" s="13">
        <v>0.40641289033333339</v>
      </c>
      <c r="K27" s="14" t="s">
        <v>15</v>
      </c>
    </row>
    <row r="28" spans="1:11">
      <c r="A28" s="8">
        <v>7</v>
      </c>
      <c r="B28" s="9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0.14338315766666668</v>
      </c>
      <c r="H28" s="13">
        <v>5.9331934666666662E-2</v>
      </c>
      <c r="I28" s="13">
        <v>9.0537022210000018</v>
      </c>
      <c r="J28" s="13">
        <v>0.21376748933333331</v>
      </c>
      <c r="K28" s="14" t="s">
        <v>15</v>
      </c>
    </row>
    <row r="29" spans="1:11">
      <c r="A29" s="8">
        <v>14</v>
      </c>
      <c r="B29" s="9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4.7996699000000004E-2</v>
      </c>
      <c r="H29" s="13">
        <v>0.25668190899999999</v>
      </c>
      <c r="I29" s="13">
        <v>4.5481529706666661</v>
      </c>
      <c r="J29" s="13">
        <v>0.13775459766666667</v>
      </c>
      <c r="K29" s="14" t="s">
        <v>15</v>
      </c>
    </row>
    <row r="30" spans="1:11">
      <c r="A30" s="8">
        <v>5</v>
      </c>
      <c r="B30" s="9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0.46264665416666662</v>
      </c>
      <c r="H30" s="13">
        <v>9.5690609583333336E-2</v>
      </c>
      <c r="I30" s="13">
        <v>2.8404941541666662</v>
      </c>
      <c r="J30" s="13">
        <v>0.33123802250000006</v>
      </c>
      <c r="K30" s="14" t="s">
        <v>15</v>
      </c>
    </row>
    <row r="31" spans="1:11">
      <c r="A31" s="8">
        <v>7</v>
      </c>
      <c r="B31" s="9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5.0669256003333336</v>
      </c>
      <c r="H31" s="13">
        <v>2.1917322000000003E-2</v>
      </c>
      <c r="I31" s="13">
        <v>1.7385050899999999</v>
      </c>
      <c r="J31" s="13">
        <v>0.29868528200000005</v>
      </c>
      <c r="K31" s="14" t="s">
        <v>15</v>
      </c>
    </row>
    <row r="32" spans="1:11">
      <c r="A32" s="8">
        <v>14</v>
      </c>
      <c r="B32" s="9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0.27285642600000004</v>
      </c>
      <c r="H32" s="13">
        <v>1.41024945E-2</v>
      </c>
      <c r="I32" s="13">
        <v>1.172564188</v>
      </c>
      <c r="J32" s="13">
        <v>7.7646905000000002E-2</v>
      </c>
      <c r="K32" s="14" t="s">
        <v>15</v>
      </c>
    </row>
    <row r="33" spans="1:11">
      <c r="A33" s="8">
        <v>5</v>
      </c>
      <c r="B33" s="9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0.23991622016666667</v>
      </c>
      <c r="H33" s="13">
        <v>1.3696055666666668E-2</v>
      </c>
      <c r="I33" s="13">
        <v>2.8204126221666668</v>
      </c>
      <c r="J33" s="13">
        <v>0.62871653066666677</v>
      </c>
      <c r="K33" s="14" t="s">
        <v>15</v>
      </c>
    </row>
    <row r="34" spans="1:11">
      <c r="A34" s="8">
        <v>7</v>
      </c>
      <c r="B34" s="9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1.7155985483333336</v>
      </c>
      <c r="H34" s="13">
        <v>0</v>
      </c>
      <c r="I34" s="13">
        <v>5.390792817166667</v>
      </c>
      <c r="J34" s="13">
        <v>0.60630316400000006</v>
      </c>
      <c r="K34" s="14" t="s">
        <v>15</v>
      </c>
    </row>
    <row r="35" spans="1:11">
      <c r="A35" s="8">
        <v>14</v>
      </c>
      <c r="B35" s="9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4.7262535833333334E-2</v>
      </c>
      <c r="H35" s="13">
        <v>0</v>
      </c>
      <c r="I35" s="13">
        <v>1.1982441613333334</v>
      </c>
      <c r="J35" s="13">
        <v>0.16750626433333335</v>
      </c>
      <c r="K35" s="14" t="s">
        <v>15</v>
      </c>
    </row>
    <row r="36" spans="1:11">
      <c r="A36" s="8">
        <v>5</v>
      </c>
      <c r="B36" s="9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0.23122868183333334</v>
      </c>
      <c r="H36" s="13">
        <v>2.190324766666667E-2</v>
      </c>
      <c r="I36" s="13">
        <v>2.4231018368333337</v>
      </c>
      <c r="J36" s="13">
        <v>0.2036702</v>
      </c>
      <c r="K36" s="14" t="s">
        <v>15</v>
      </c>
    </row>
    <row r="37" spans="1:11">
      <c r="A37" s="8">
        <v>7</v>
      </c>
      <c r="B37" s="9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0.67242036399999994</v>
      </c>
      <c r="H37" s="13">
        <v>0</v>
      </c>
      <c r="I37" s="13">
        <v>5.3998350356666673</v>
      </c>
      <c r="J37" s="13">
        <v>0.50746458633333336</v>
      </c>
      <c r="K37" s="14" t="s">
        <v>15</v>
      </c>
    </row>
    <row r="38" spans="1:11">
      <c r="A38" s="8">
        <v>14</v>
      </c>
      <c r="B38" s="9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0.25598947650000003</v>
      </c>
      <c r="H38" s="13">
        <v>0</v>
      </c>
      <c r="I38" s="13">
        <v>0.63070951716666668</v>
      </c>
      <c r="J38" s="13">
        <v>4.997321133333333E-2</v>
      </c>
      <c r="K38" s="14" t="s">
        <v>15</v>
      </c>
    </row>
    <row r="39" spans="1:11">
      <c r="A39" s="8">
        <v>5</v>
      </c>
      <c r="B39" s="9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0.39871628583333335</v>
      </c>
      <c r="H39" s="14">
        <v>0</v>
      </c>
      <c r="I39" s="14">
        <v>0.48715599216666661</v>
      </c>
      <c r="J39" s="14">
        <v>1.5461344166666668E-2</v>
      </c>
      <c r="K39" s="14" t="s">
        <v>15</v>
      </c>
    </row>
    <row r="40" spans="1:11">
      <c r="A40" s="8">
        <v>7</v>
      </c>
      <c r="B40" s="9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0.16287483249999998</v>
      </c>
      <c r="H40" s="14">
        <v>2.6477335666666667E-2</v>
      </c>
      <c r="I40" s="14">
        <v>4.5633285356666669</v>
      </c>
      <c r="J40" s="14">
        <v>0.24104705733333331</v>
      </c>
      <c r="K40" s="14" t="s">
        <v>15</v>
      </c>
    </row>
    <row r="41" spans="1:11">
      <c r="A41" s="8">
        <v>14</v>
      </c>
      <c r="B41" s="9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1.7730776166666667E-2</v>
      </c>
      <c r="H41" s="14">
        <v>0</v>
      </c>
      <c r="I41" s="14">
        <v>0.22293898599999998</v>
      </c>
      <c r="J41" s="14">
        <v>0</v>
      </c>
      <c r="K41" s="14" t="s">
        <v>15</v>
      </c>
    </row>
    <row r="42" spans="1:11">
      <c r="A42" s="8">
        <v>5</v>
      </c>
      <c r="B42" s="9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8.8048258666666671E-2</v>
      </c>
      <c r="H42" s="14">
        <v>0</v>
      </c>
      <c r="I42" s="14">
        <v>0</v>
      </c>
      <c r="J42" s="14">
        <v>0</v>
      </c>
      <c r="K42" s="14" t="s">
        <v>15</v>
      </c>
    </row>
    <row r="43" spans="1:11">
      <c r="A43" s="8">
        <v>7</v>
      </c>
      <c r="B43" s="9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5.1936530000000002E-2</v>
      </c>
      <c r="H43" s="14">
        <v>0</v>
      </c>
      <c r="I43" s="14">
        <v>0.32511793933333338</v>
      </c>
      <c r="J43" s="14">
        <v>1.0636494833333333E-2</v>
      </c>
      <c r="K43" s="14" t="s">
        <v>15</v>
      </c>
    </row>
    <row r="44" spans="1:11">
      <c r="A44" s="8">
        <v>14</v>
      </c>
      <c r="B44" s="9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0.1665853035</v>
      </c>
      <c r="H44" s="14">
        <v>0</v>
      </c>
      <c r="I44" s="14">
        <v>7.6417000333333332E-2</v>
      </c>
      <c r="J44" s="14">
        <v>0</v>
      </c>
      <c r="K44" s="14" t="s">
        <v>15</v>
      </c>
    </row>
    <row r="45" spans="1:11">
      <c r="A45" s="8">
        <v>5</v>
      </c>
      <c r="B45" s="9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0.13476555633333334</v>
      </c>
      <c r="H45" s="14">
        <v>0</v>
      </c>
      <c r="I45" s="14">
        <v>0.13617158100000001</v>
      </c>
      <c r="J45" s="14">
        <v>1.1902462166666666E-2</v>
      </c>
      <c r="K45" s="14" t="s">
        <v>15</v>
      </c>
    </row>
    <row r="46" spans="1:11">
      <c r="A46" s="8">
        <v>7</v>
      </c>
      <c r="B46" s="9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0.52885366016666668</v>
      </c>
      <c r="H46" s="14">
        <v>0</v>
      </c>
      <c r="I46" s="14">
        <v>0.147356459</v>
      </c>
      <c r="J46" s="14">
        <v>0</v>
      </c>
      <c r="K46" s="14" t="s">
        <v>15</v>
      </c>
    </row>
    <row r="47" spans="1:11">
      <c r="A47" s="8">
        <v>14</v>
      </c>
      <c r="B47" s="9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0.16283090733333336</v>
      </c>
      <c r="H47" s="14">
        <v>0</v>
      </c>
      <c r="I47" s="14">
        <v>0.15314577499999998</v>
      </c>
      <c r="J47" s="14">
        <v>8.2205058333333341E-3</v>
      </c>
      <c r="K47" s="14" t="s">
        <v>15</v>
      </c>
    </row>
    <row r="48" spans="1:11">
      <c r="A48" s="8">
        <v>5</v>
      </c>
      <c r="B48" s="9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0.20628610616666665</v>
      </c>
      <c r="H48" s="14">
        <v>0</v>
      </c>
      <c r="I48" s="14">
        <v>0.36231458816666662</v>
      </c>
      <c r="J48" s="14">
        <v>3.1920177500000001E-2</v>
      </c>
      <c r="K48" s="14" t="s">
        <v>15</v>
      </c>
    </row>
    <row r="49" spans="1:11">
      <c r="A49" s="8">
        <v>7</v>
      </c>
      <c r="B49" s="9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0.83915864949999985</v>
      </c>
      <c r="H49" s="14">
        <v>0</v>
      </c>
      <c r="I49" s="14">
        <v>0.71640384816666669</v>
      </c>
      <c r="J49" s="14">
        <v>4.6131803500000006E-2</v>
      </c>
      <c r="K49" s="14" t="s">
        <v>15</v>
      </c>
    </row>
    <row r="50" spans="1:11">
      <c r="A50" s="8">
        <v>14</v>
      </c>
      <c r="B50" s="9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0.44035398916666663</v>
      </c>
      <c r="H50" s="14">
        <v>0</v>
      </c>
      <c r="I50" s="14">
        <v>0.72236299416666672</v>
      </c>
      <c r="J50" s="14">
        <v>3.8046218166666666E-2</v>
      </c>
      <c r="K50" s="14" t="s">
        <v>15</v>
      </c>
    </row>
    <row r="51" spans="1:11">
      <c r="A51" s="12">
        <v>5</v>
      </c>
      <c r="B51" s="9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0.22659578233333336</v>
      </c>
      <c r="H51" s="14">
        <v>0</v>
      </c>
      <c r="I51" s="14">
        <v>0.26857566166666663</v>
      </c>
      <c r="J51" s="14">
        <v>2.1796317666666665E-2</v>
      </c>
      <c r="K51" s="14" t="s">
        <v>15</v>
      </c>
    </row>
    <row r="52" spans="1:11">
      <c r="A52" s="12">
        <v>7</v>
      </c>
      <c r="B52" s="9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0.32032852366666664</v>
      </c>
      <c r="H52" s="14">
        <v>1.2141691833333334E-2</v>
      </c>
      <c r="I52" s="14">
        <v>0.57551288016666668</v>
      </c>
      <c r="J52" s="14">
        <v>3.0454607500000001E-2</v>
      </c>
      <c r="K52" s="14" t="s">
        <v>15</v>
      </c>
    </row>
    <row r="53" spans="1:11">
      <c r="A53" s="12">
        <v>14</v>
      </c>
      <c r="B53" s="9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0.50737739866666665</v>
      </c>
      <c r="H53" s="14">
        <v>3.1155103833333329E-2</v>
      </c>
      <c r="I53" s="14">
        <v>1.2267358694999999</v>
      </c>
      <c r="J53" s="14">
        <v>3.8289221833333331E-2</v>
      </c>
      <c r="K53" s="14" t="s">
        <v>15</v>
      </c>
    </row>
    <row r="54" spans="1:11">
      <c r="A54" s="8">
        <v>5</v>
      </c>
      <c r="B54" s="9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0</v>
      </c>
      <c r="H54" s="14">
        <v>0.10580183786666668</v>
      </c>
      <c r="I54" s="14">
        <v>1.5262234549333331</v>
      </c>
      <c r="J54" s="14">
        <v>5.5605562133333335E-2</v>
      </c>
      <c r="K54" s="14" t="s">
        <v>15</v>
      </c>
    </row>
    <row r="55" spans="1:11">
      <c r="A55" s="8">
        <v>7</v>
      </c>
      <c r="B55" s="9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0</v>
      </c>
      <c r="H55" s="14">
        <v>5.7272651499999994E-2</v>
      </c>
      <c r="I55" s="14">
        <v>1.4004971194999998</v>
      </c>
      <c r="J55" s="14">
        <v>7.1937996166666671E-2</v>
      </c>
      <c r="K55" s="14" t="s">
        <v>15</v>
      </c>
    </row>
    <row r="56" spans="1:11">
      <c r="A56" s="8">
        <v>14</v>
      </c>
      <c r="B56" s="9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0</v>
      </c>
      <c r="H56" s="14">
        <v>8.4992017599999997E-2</v>
      </c>
      <c r="I56" s="14">
        <v>2.3649093776000001</v>
      </c>
      <c r="J56" s="14">
        <v>4.9220154666666668E-2</v>
      </c>
      <c r="K56" s="14" t="s">
        <v>15</v>
      </c>
    </row>
    <row r="57" spans="1:11">
      <c r="A57" s="8">
        <v>5</v>
      </c>
      <c r="B57" s="9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0</v>
      </c>
      <c r="H57" s="14">
        <v>0</v>
      </c>
      <c r="I57" s="14">
        <v>0.42401707700000002</v>
      </c>
      <c r="J57" s="14">
        <v>1.8483269833333333E-2</v>
      </c>
      <c r="K57" s="14" t="s">
        <v>15</v>
      </c>
    </row>
    <row r="58" spans="1:11">
      <c r="A58" s="8">
        <v>7</v>
      </c>
      <c r="B58" s="9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3.4440894999999999E-2</v>
      </c>
      <c r="H58" s="14">
        <v>0</v>
      </c>
      <c r="I58" s="14">
        <v>0.45002423516666668</v>
      </c>
      <c r="J58" s="14">
        <v>2.5415688499999999E-2</v>
      </c>
      <c r="K58" s="14" t="s">
        <v>15</v>
      </c>
    </row>
    <row r="59" spans="1:11">
      <c r="A59" s="8">
        <v>14</v>
      </c>
      <c r="B59" s="9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0</v>
      </c>
      <c r="H59" s="14">
        <v>0</v>
      </c>
      <c r="I59" s="14">
        <v>0.7245479305000001</v>
      </c>
      <c r="J59" s="14">
        <v>1.5806769999999998E-2</v>
      </c>
      <c r="K59" s="14" t="s">
        <v>15</v>
      </c>
    </row>
    <row r="60" spans="1:11">
      <c r="A60" s="8">
        <v>5</v>
      </c>
      <c r="B60" s="9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3.961955683333334E-2</v>
      </c>
      <c r="H60" s="14">
        <v>0.7577818793333333</v>
      </c>
      <c r="I60" s="14">
        <v>1.7679434041666666</v>
      </c>
      <c r="J60" s="14">
        <v>8.1913411999999977E-2</v>
      </c>
      <c r="K60" s="14" t="s">
        <v>15</v>
      </c>
    </row>
    <row r="61" spans="1:11">
      <c r="A61" s="8">
        <v>7</v>
      </c>
      <c r="B61" s="9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1.4955208833333336E-2</v>
      </c>
      <c r="H61" s="14">
        <v>0.40954535949999998</v>
      </c>
      <c r="I61" s="14">
        <v>0.86186607366666679</v>
      </c>
      <c r="J61" s="14">
        <v>8.2971285166666672E-2</v>
      </c>
      <c r="K61" s="14" t="s">
        <v>15</v>
      </c>
    </row>
    <row r="62" spans="1:11">
      <c r="A62" s="8">
        <v>14</v>
      </c>
      <c r="B62" s="9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3.1943031166666663E-2</v>
      </c>
      <c r="H62" s="14">
        <v>0.40239321016666663</v>
      </c>
      <c r="I62" s="14">
        <v>0.76788833683333335</v>
      </c>
      <c r="J62" s="14">
        <v>4.32597895E-2</v>
      </c>
      <c r="K62" s="14" t="s">
        <v>15</v>
      </c>
    </row>
    <row r="63" spans="1:11">
      <c r="A63" s="8">
        <v>5</v>
      </c>
      <c r="B63" s="9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9.9762754666666675E-2</v>
      </c>
      <c r="H63" s="14">
        <v>6.7075853423333331</v>
      </c>
      <c r="I63" s="14">
        <v>9.0941062165000002</v>
      </c>
      <c r="J63" s="14">
        <v>1.0425682338333333</v>
      </c>
      <c r="K63" s="14" t="s">
        <v>15</v>
      </c>
    </row>
    <row r="64" spans="1:11">
      <c r="A64" s="8">
        <v>7</v>
      </c>
      <c r="B64" s="9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7.4304818333333328E-2</v>
      </c>
      <c r="H64" s="14">
        <v>0</v>
      </c>
      <c r="I64" s="14">
        <v>0.71319112583333333</v>
      </c>
      <c r="J64" s="14">
        <v>0.21493066283333331</v>
      </c>
      <c r="K64" s="14" t="s">
        <v>15</v>
      </c>
    </row>
    <row r="65" spans="1:11">
      <c r="A65" s="8">
        <v>14</v>
      </c>
      <c r="B65" s="9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2.1496599166666668E-2</v>
      </c>
      <c r="H65" s="14">
        <v>0</v>
      </c>
      <c r="I65" s="14">
        <v>0.35925188233333338</v>
      </c>
      <c r="J65" s="14">
        <v>0.10611743683333331</v>
      </c>
      <c r="K65" s="14" t="s">
        <v>15</v>
      </c>
    </row>
    <row r="66" spans="1:11">
      <c r="A66" s="8">
        <v>5</v>
      </c>
      <c r="B66" s="9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0.14748163422222221</v>
      </c>
      <c r="H66" s="14">
        <v>9.1410968444444449E-2</v>
      </c>
      <c r="I66" s="14">
        <v>1.9048858733333334</v>
      </c>
      <c r="J66" s="14">
        <v>1.2921786453333333</v>
      </c>
      <c r="K66" s="14" t="s">
        <v>15</v>
      </c>
    </row>
    <row r="67" spans="1:11">
      <c r="A67" s="8">
        <v>7</v>
      </c>
      <c r="B67" s="9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2.4434892993333328</v>
      </c>
      <c r="H67" s="14">
        <v>4.0755845333333332E-2</v>
      </c>
      <c r="I67" s="14">
        <v>1.4145519148333332</v>
      </c>
      <c r="J67" s="14">
        <v>0.33025005516666667</v>
      </c>
      <c r="K67" s="14" t="s">
        <v>15</v>
      </c>
    </row>
    <row r="68" spans="1:11">
      <c r="A68" s="8">
        <v>14</v>
      </c>
      <c r="B68" s="9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1.6068359999999999</v>
      </c>
      <c r="H68" s="14">
        <v>2.8033541666666665E-2</v>
      </c>
      <c r="I68" s="14">
        <v>0.67115034933333328</v>
      </c>
      <c r="J68" s="14">
        <v>0.22513239699999998</v>
      </c>
      <c r="K68" s="14" t="s">
        <v>15</v>
      </c>
    </row>
    <row r="69" spans="1:11">
      <c r="A69" s="8">
        <v>5</v>
      </c>
      <c r="B69" s="9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0.13342814333333333</v>
      </c>
      <c r="H69" s="14">
        <v>0.12124571199999998</v>
      </c>
      <c r="I69" s="14">
        <v>2.9183182816666662</v>
      </c>
      <c r="J69" s="14">
        <v>2.5594050533333332</v>
      </c>
      <c r="K69" s="14" t="s">
        <v>15</v>
      </c>
    </row>
    <row r="70" spans="1:11">
      <c r="A70" s="8">
        <v>7</v>
      </c>
      <c r="B70" s="9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0.50199796033333333</v>
      </c>
      <c r="H70" s="14">
        <v>0</v>
      </c>
      <c r="I70" s="14">
        <v>0.88912326766666672</v>
      </c>
      <c r="J70" s="14">
        <v>0.79101360333333337</v>
      </c>
      <c r="K70" s="14" t="s">
        <v>15</v>
      </c>
    </row>
    <row r="71" spans="1:11">
      <c r="A71" s="8">
        <v>14</v>
      </c>
      <c r="B71" s="9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0.22136931649999997</v>
      </c>
      <c r="H71" s="14">
        <v>0</v>
      </c>
      <c r="I71" s="14">
        <v>0.24185720933333335</v>
      </c>
      <c r="J71" s="14">
        <v>7.7533789833333339E-2</v>
      </c>
      <c r="K71" s="14" t="s">
        <v>15</v>
      </c>
    </row>
    <row r="72" spans="1:11">
      <c r="A72" s="8">
        <v>5</v>
      </c>
      <c r="B72" s="9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3.7298442000000001E-2</v>
      </c>
      <c r="H72" s="14">
        <v>0</v>
      </c>
      <c r="I72" s="14">
        <v>0.61712406066666659</v>
      </c>
      <c r="J72" s="14">
        <v>4.123577233333333E-2</v>
      </c>
      <c r="K72" s="14" t="s">
        <v>15</v>
      </c>
    </row>
    <row r="73" spans="1:11">
      <c r="A73" s="8">
        <v>7</v>
      </c>
      <c r="B73" s="9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4.7005784323333337</v>
      </c>
      <c r="H73" s="14">
        <v>0.15914653983333335</v>
      </c>
      <c r="I73" s="14">
        <v>3.0990747181666665</v>
      </c>
      <c r="J73" s="14">
        <v>0.69888798033333333</v>
      </c>
      <c r="K73" s="14" t="s">
        <v>15</v>
      </c>
    </row>
    <row r="74" spans="1:11">
      <c r="A74" s="8">
        <v>14</v>
      </c>
      <c r="B74" s="9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1.4301082379999999</v>
      </c>
      <c r="H74" s="14">
        <v>0</v>
      </c>
      <c r="I74" s="14">
        <v>0.59229197933333333</v>
      </c>
      <c r="J74" s="14">
        <v>0.12627604816666668</v>
      </c>
      <c r="K74" s="14" t="s">
        <v>15</v>
      </c>
    </row>
    <row r="75" spans="1:11">
      <c r="A75" s="8">
        <v>5</v>
      </c>
      <c r="B75" s="9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3">
        <v>0</v>
      </c>
      <c r="H75" s="17">
        <v>5.2162035954882384E-2</v>
      </c>
      <c r="I75" s="13">
        <v>0.61972519240877189</v>
      </c>
      <c r="J75" s="13">
        <v>3.9418072647319828E-2</v>
      </c>
      <c r="K75" s="14" t="s">
        <v>27</v>
      </c>
    </row>
    <row r="76" spans="1:11">
      <c r="A76" s="8">
        <v>7</v>
      </c>
      <c r="B76" s="9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3">
        <v>0.37687994907169559</v>
      </c>
      <c r="H76" s="17">
        <v>1.0841694102448514E-2</v>
      </c>
      <c r="I76" s="13">
        <v>0.57252673817096078</v>
      </c>
      <c r="J76" s="13">
        <v>3.3983901968444696E-2</v>
      </c>
      <c r="K76" s="14" t="s">
        <v>27</v>
      </c>
    </row>
    <row r="77" spans="1:11">
      <c r="A77" s="8">
        <v>14</v>
      </c>
      <c r="B77" s="9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3">
        <v>3.0222566683733857E-2</v>
      </c>
      <c r="H77" s="17">
        <v>0</v>
      </c>
      <c r="I77" s="13">
        <v>0.17073806332285021</v>
      </c>
      <c r="J77" s="13">
        <v>1.3626716086538104E-2</v>
      </c>
      <c r="K77" s="14" t="s">
        <v>27</v>
      </c>
    </row>
    <row r="78" spans="1:11">
      <c r="A78" s="8">
        <v>5</v>
      </c>
      <c r="B78" s="9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3">
        <v>0</v>
      </c>
      <c r="H78" s="17">
        <v>0</v>
      </c>
      <c r="I78" s="13">
        <v>4.2579197981704245E-2</v>
      </c>
      <c r="J78" s="13">
        <v>0</v>
      </c>
      <c r="K78" s="14" t="s">
        <v>27</v>
      </c>
    </row>
    <row r="79" spans="1:11">
      <c r="A79" s="8">
        <v>7</v>
      </c>
      <c r="B79" s="9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3">
        <v>2.8979049214946366E-2</v>
      </c>
      <c r="H79" s="17">
        <v>0</v>
      </c>
      <c r="I79" s="13">
        <v>0.1244959305012765</v>
      </c>
      <c r="J79" s="13">
        <v>1.6376767386090889E-2</v>
      </c>
      <c r="K79" s="14" t="s">
        <v>27</v>
      </c>
    </row>
    <row r="80" spans="1:11">
      <c r="A80" s="8">
        <v>14</v>
      </c>
      <c r="B80" s="9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3">
        <v>2.2773747592106656E-2</v>
      </c>
      <c r="H80" s="17">
        <v>3.1414089644994023E-2</v>
      </c>
      <c r="I80" s="13">
        <v>0.44699137236604936</v>
      </c>
      <c r="J80" s="13">
        <v>2.0516983256928203E-2</v>
      </c>
      <c r="K80" s="14" t="s">
        <v>27</v>
      </c>
    </row>
    <row r="81" spans="1:11">
      <c r="A81" s="8">
        <v>5</v>
      </c>
      <c r="B81" s="9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3">
        <v>9.1410905291424843E-2</v>
      </c>
      <c r="H81" s="17">
        <v>0</v>
      </c>
      <c r="I81" s="13">
        <v>0.15805740557678352</v>
      </c>
      <c r="J81" s="13">
        <v>6.7843087320572128E-3</v>
      </c>
      <c r="K81" s="14" t="s">
        <v>27</v>
      </c>
    </row>
    <row r="82" spans="1:11">
      <c r="A82" s="8">
        <v>7</v>
      </c>
      <c r="B82" s="9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3">
        <v>9.1110658383313489E-2</v>
      </c>
      <c r="H82" s="17">
        <v>0</v>
      </c>
      <c r="I82" s="13">
        <v>9.2872536438773565E-2</v>
      </c>
      <c r="J82" s="13">
        <v>1.042666029523823E-2</v>
      </c>
      <c r="K82" s="14" t="s">
        <v>27</v>
      </c>
    </row>
    <row r="83" spans="1:11">
      <c r="A83" s="8">
        <v>14</v>
      </c>
      <c r="B83" s="9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3">
        <v>0</v>
      </c>
      <c r="H83" s="17">
        <v>0</v>
      </c>
      <c r="I83" s="13">
        <v>7.0691964937843174E-2</v>
      </c>
      <c r="J83" s="13">
        <v>9.4637034664093195E-3</v>
      </c>
      <c r="K83" s="14" t="s">
        <v>27</v>
      </c>
    </row>
    <row r="84" spans="1:11">
      <c r="A84" s="8">
        <v>5</v>
      </c>
      <c r="B84" s="9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3">
        <v>7.0339293261909339E-2</v>
      </c>
      <c r="H84" s="17">
        <v>0</v>
      </c>
      <c r="I84" s="13">
        <v>0.68024399821271286</v>
      </c>
      <c r="J84" s="13">
        <v>1.2396181825899586E-2</v>
      </c>
      <c r="K84" s="14" t="s">
        <v>27</v>
      </c>
    </row>
    <row r="85" spans="1:11">
      <c r="A85" s="8">
        <v>7</v>
      </c>
      <c r="B85" s="9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3">
        <v>0.3080815283178005</v>
      </c>
      <c r="H85" s="17">
        <v>0</v>
      </c>
      <c r="I85" s="13">
        <v>1.0162337947508526</v>
      </c>
      <c r="J85" s="13">
        <v>1.5866461111538305E-2</v>
      </c>
      <c r="K85" s="14" t="s">
        <v>27</v>
      </c>
    </row>
    <row r="86" spans="1:11">
      <c r="A86" s="8">
        <v>14</v>
      </c>
      <c r="B86" s="9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3">
        <v>7.4344902168521992E-2</v>
      </c>
      <c r="H86" s="17">
        <v>0</v>
      </c>
      <c r="I86" s="13">
        <v>1.1766496882336346</v>
      </c>
      <c r="J86" s="13">
        <v>7.668391813987591E-3</v>
      </c>
      <c r="K86" s="14" t="s">
        <v>27</v>
      </c>
    </row>
    <row r="87" spans="1:11">
      <c r="A87" s="8">
        <v>5</v>
      </c>
      <c r="B87" s="9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3">
        <v>4.1286874698036199E-2</v>
      </c>
      <c r="H87" s="17">
        <v>7.0347981373627327E-2</v>
      </c>
      <c r="I87" s="13">
        <v>0.74431597907869329</v>
      </c>
      <c r="J87" s="13">
        <v>4.4380691315709681E-2</v>
      </c>
      <c r="K87" s="14" t="s">
        <v>27</v>
      </c>
    </row>
    <row r="88" spans="1:11">
      <c r="A88" s="8">
        <v>7</v>
      </c>
      <c r="B88" s="9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3">
        <v>4.6888190323033659E-2</v>
      </c>
      <c r="H88" s="17">
        <v>0</v>
      </c>
      <c r="I88" s="13">
        <v>0.15683745027956378</v>
      </c>
      <c r="J88" s="13">
        <v>2.9985026943748591E-2</v>
      </c>
      <c r="K88" s="14" t="s">
        <v>27</v>
      </c>
    </row>
    <row r="89" spans="1:11">
      <c r="A89" s="8">
        <v>14</v>
      </c>
      <c r="B89" s="9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3">
        <v>6.8178833612144205E-2</v>
      </c>
      <c r="H89" s="17">
        <v>3.1080649864447717E-2</v>
      </c>
      <c r="I89" s="13">
        <v>0.44539199815995645</v>
      </c>
      <c r="J89" s="13">
        <v>5.3875469748401301E-2</v>
      </c>
      <c r="K89" s="14" t="s">
        <v>27</v>
      </c>
    </row>
    <row r="90" spans="1:11">
      <c r="A90" s="8">
        <v>5</v>
      </c>
      <c r="B90" s="18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3">
        <v>4.5499180051188554E-2</v>
      </c>
      <c r="H90" s="17">
        <v>6.833126298152771E-2</v>
      </c>
      <c r="I90" s="13">
        <v>1.2087634448791753</v>
      </c>
      <c r="J90" s="13">
        <v>3.0292525366181686E-2</v>
      </c>
      <c r="K90" s="14" t="s">
        <v>27</v>
      </c>
    </row>
    <row r="91" spans="1:11">
      <c r="A91" s="8">
        <v>7</v>
      </c>
      <c r="B91" s="18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3">
        <v>0.29483343226158615</v>
      </c>
      <c r="H91" s="17">
        <v>0</v>
      </c>
      <c r="I91" s="13">
        <v>0.24972283257507472</v>
      </c>
      <c r="J91" s="13">
        <v>1.7217965085621359E-2</v>
      </c>
      <c r="K91" s="14" t="s">
        <v>27</v>
      </c>
    </row>
    <row r="92" spans="1:11">
      <c r="A92" s="8">
        <v>14</v>
      </c>
      <c r="B92" s="18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3">
        <v>2.6767546310393818E-2</v>
      </c>
      <c r="H92" s="17">
        <v>1.6903266309695301E-2</v>
      </c>
      <c r="I92" s="13">
        <v>0.5307479311759381</v>
      </c>
      <c r="J92" s="13">
        <v>8.0065399745271951E-3</v>
      </c>
      <c r="K92" s="14" t="s">
        <v>27</v>
      </c>
    </row>
    <row r="93" spans="1:11">
      <c r="A93" s="8">
        <v>5</v>
      </c>
      <c r="B93" s="18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3">
        <v>3.4789774552445731E-2</v>
      </c>
      <c r="H93" s="17">
        <v>0</v>
      </c>
      <c r="I93" s="13">
        <v>0.28658022184470872</v>
      </c>
      <c r="J93" s="13">
        <v>0</v>
      </c>
      <c r="K93" s="14" t="s">
        <v>27</v>
      </c>
    </row>
    <row r="94" spans="1:11">
      <c r="A94" s="8">
        <v>7</v>
      </c>
      <c r="B94" s="18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3">
        <v>0.2730604614842333</v>
      </c>
      <c r="H94" s="17">
        <v>0</v>
      </c>
      <c r="I94" s="13">
        <v>0.23749267560524343</v>
      </c>
      <c r="J94" s="13">
        <v>0</v>
      </c>
      <c r="K94" s="14" t="s">
        <v>27</v>
      </c>
    </row>
    <row r="95" spans="1:11">
      <c r="A95" s="8">
        <v>14</v>
      </c>
      <c r="B95" s="18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3">
        <v>0</v>
      </c>
      <c r="H95" s="17">
        <v>0</v>
      </c>
      <c r="I95" s="13">
        <v>0.28270287748387207</v>
      </c>
      <c r="J95" s="13">
        <v>1.0771338373559036E-2</v>
      </c>
      <c r="K95" s="14" t="s">
        <v>27</v>
      </c>
    </row>
    <row r="96" spans="1:11">
      <c r="A96" s="8">
        <v>5</v>
      </c>
      <c r="B96" s="18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9"/>
      <c r="H96" s="13">
        <v>0</v>
      </c>
      <c r="I96" s="19"/>
      <c r="J96" s="19"/>
      <c r="K96" s="14" t="s">
        <v>27</v>
      </c>
    </row>
    <row r="97" spans="1:11">
      <c r="A97" s="8">
        <v>7</v>
      </c>
      <c r="B97" s="18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9"/>
      <c r="H97" s="13">
        <v>2.7956321528156181E-2</v>
      </c>
      <c r="I97" s="19"/>
      <c r="J97" s="19"/>
      <c r="K97" s="14" t="s">
        <v>27</v>
      </c>
    </row>
    <row r="98" spans="1:11">
      <c r="A98" s="8">
        <v>14</v>
      </c>
      <c r="B98" s="18">
        <v>37392</v>
      </c>
      <c r="C98" s="12">
        <v>2002</v>
      </c>
      <c r="D98" s="15" t="s">
        <v>22</v>
      </c>
      <c r="E98" s="12">
        <v>5</v>
      </c>
      <c r="F98" s="20" t="s">
        <v>28</v>
      </c>
    </row>
    <row r="99" spans="1:11">
      <c r="A99" s="8">
        <v>5</v>
      </c>
      <c r="B99" s="18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9"/>
      <c r="H99" s="13">
        <v>6.845844967785621</v>
      </c>
      <c r="I99" s="19"/>
      <c r="J99" s="19"/>
      <c r="K99" s="14" t="s">
        <v>27</v>
      </c>
    </row>
    <row r="100" spans="1:11">
      <c r="A100" s="8">
        <v>7</v>
      </c>
      <c r="B100" s="18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9"/>
      <c r="H100" s="13">
        <v>4.5095003723220443E-2</v>
      </c>
      <c r="I100" s="19"/>
      <c r="J100" s="19"/>
      <c r="K100" s="14" t="s">
        <v>27</v>
      </c>
    </row>
    <row r="101" spans="1:11">
      <c r="A101" s="8">
        <v>14</v>
      </c>
      <c r="B101" s="18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9"/>
      <c r="H101" s="13">
        <v>4.0361815528345807E-2</v>
      </c>
      <c r="I101" s="19"/>
      <c r="J101" s="19"/>
      <c r="K101" s="14" t="s">
        <v>27</v>
      </c>
    </row>
    <row r="102" spans="1:11">
      <c r="A102" s="8">
        <v>5</v>
      </c>
      <c r="B102" s="18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9"/>
      <c r="H102" s="13">
        <v>5.8342901489878862E-2</v>
      </c>
      <c r="I102" s="19"/>
      <c r="J102" s="19"/>
      <c r="K102" s="14" t="s">
        <v>27</v>
      </c>
    </row>
    <row r="103" spans="1:11">
      <c r="A103" s="8">
        <v>7</v>
      </c>
      <c r="B103" s="18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9"/>
      <c r="H103" s="13">
        <v>3.7194636779788973E-2</v>
      </c>
      <c r="I103" s="19"/>
      <c r="J103" s="19"/>
      <c r="K103" s="14" t="s">
        <v>27</v>
      </c>
    </row>
    <row r="104" spans="1:11">
      <c r="A104" s="8">
        <v>14</v>
      </c>
      <c r="B104" s="18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9"/>
      <c r="H104" s="13">
        <v>0</v>
      </c>
      <c r="I104" s="19"/>
      <c r="J104" s="19"/>
      <c r="K104" s="14" t="s">
        <v>27</v>
      </c>
    </row>
    <row r="105" spans="1:11">
      <c r="A105" s="8">
        <v>5</v>
      </c>
      <c r="B105" s="18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9"/>
      <c r="H105" s="13">
        <v>0</v>
      </c>
      <c r="I105" s="19"/>
      <c r="J105" s="19"/>
      <c r="K105" s="14" t="s">
        <v>27</v>
      </c>
    </row>
    <row r="106" spans="1:11">
      <c r="A106" s="8">
        <v>7</v>
      </c>
      <c r="B106" s="18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9"/>
      <c r="H106" s="13">
        <v>7.39608194679576E-2</v>
      </c>
      <c r="I106" s="19"/>
      <c r="J106" s="19"/>
      <c r="K106" s="14" t="s">
        <v>27</v>
      </c>
    </row>
    <row r="107" spans="1:11">
      <c r="A107" s="8">
        <v>14</v>
      </c>
      <c r="B107" s="18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9"/>
      <c r="H107" s="13">
        <v>0</v>
      </c>
      <c r="I107" s="19"/>
      <c r="J107" s="19"/>
      <c r="K107" s="14" t="s">
        <v>27</v>
      </c>
    </row>
    <row r="108" spans="1:11">
      <c r="A108" s="8">
        <v>5</v>
      </c>
      <c r="B108" s="18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9"/>
      <c r="H108" s="13">
        <v>0</v>
      </c>
      <c r="I108" s="19"/>
      <c r="J108" s="19"/>
      <c r="K108" s="14" t="s">
        <v>27</v>
      </c>
    </row>
    <row r="109" spans="1:11">
      <c r="A109" s="8">
        <v>7</v>
      </c>
      <c r="B109" s="18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9"/>
      <c r="H109" s="13">
        <v>2.8175768405430145E-2</v>
      </c>
      <c r="I109" s="19"/>
      <c r="J109" s="19"/>
      <c r="K109" s="14" t="s">
        <v>27</v>
      </c>
    </row>
    <row r="110" spans="1:11">
      <c r="A110" s="8">
        <v>14</v>
      </c>
      <c r="B110" s="18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9"/>
      <c r="H110" s="13">
        <v>0</v>
      </c>
      <c r="I110" s="19"/>
      <c r="J110" s="19"/>
      <c r="K110" s="14" t="s">
        <v>27</v>
      </c>
    </row>
    <row r="111" spans="1:11">
      <c r="A111" s="8">
        <v>5</v>
      </c>
      <c r="B111" s="18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0.81386460427356899</v>
      </c>
      <c r="H111" s="14">
        <v>0</v>
      </c>
      <c r="I111" s="14">
        <v>2.1205076497610729</v>
      </c>
      <c r="J111" s="14">
        <v>5.6820706518696369E-2</v>
      </c>
      <c r="K111" s="14">
        <v>0</v>
      </c>
    </row>
    <row r="112" spans="1:11">
      <c r="A112" s="8">
        <v>7</v>
      </c>
      <c r="B112" s="18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0.4749209723276156</v>
      </c>
      <c r="H112" s="14">
        <v>0</v>
      </c>
      <c r="I112" s="14">
        <v>1.3211793263764937</v>
      </c>
      <c r="J112" s="14">
        <v>4.5214084782749513E-2</v>
      </c>
      <c r="K112" s="14">
        <v>0</v>
      </c>
    </row>
    <row r="113" spans="1:11">
      <c r="A113" s="8">
        <v>14</v>
      </c>
      <c r="B113" s="18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0.138376226468822</v>
      </c>
      <c r="H113" s="14">
        <v>0</v>
      </c>
      <c r="I113" s="14">
        <v>0.30396266664470595</v>
      </c>
      <c r="J113" s="14">
        <v>1.4094094911628077E-2</v>
      </c>
      <c r="K113" s="14">
        <v>0</v>
      </c>
    </row>
    <row r="114" spans="1:11">
      <c r="A114" s="8">
        <v>5</v>
      </c>
      <c r="B114" s="18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0.15692429022909976</v>
      </c>
      <c r="H114" s="14">
        <v>0</v>
      </c>
      <c r="I114" s="14">
        <v>0.10999846014412767</v>
      </c>
      <c r="J114" s="14">
        <v>0</v>
      </c>
      <c r="K114" s="14">
        <v>0</v>
      </c>
    </row>
    <row r="115" spans="1:11">
      <c r="A115" s="8">
        <v>7</v>
      </c>
      <c r="B115" s="18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0.11454447940775923</v>
      </c>
      <c r="H115" s="14">
        <v>0</v>
      </c>
      <c r="I115" s="14">
        <v>0.33593046702716356</v>
      </c>
      <c r="J115" s="14">
        <v>1.4972813518314459E-2</v>
      </c>
      <c r="K115" s="14">
        <v>0</v>
      </c>
    </row>
    <row r="116" spans="1:11">
      <c r="A116" s="8">
        <v>14</v>
      </c>
      <c r="B116" s="18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2.5436066721756235E-2</v>
      </c>
      <c r="H116" s="14">
        <v>0</v>
      </c>
      <c r="I116" s="14">
        <v>9.4533786525651517E-2</v>
      </c>
      <c r="J116" s="14">
        <v>1.0136576891791054E-2</v>
      </c>
      <c r="K116" s="14">
        <v>0</v>
      </c>
    </row>
    <row r="117" spans="1:11">
      <c r="A117" s="8">
        <v>5</v>
      </c>
      <c r="B117" s="18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0.2347381230894397</v>
      </c>
      <c r="H117" s="14">
        <v>0</v>
      </c>
      <c r="I117" s="14">
        <v>0.77568623448413576</v>
      </c>
      <c r="J117" s="14">
        <v>2.0649246861529458E-2</v>
      </c>
      <c r="K117" s="14">
        <v>0</v>
      </c>
    </row>
    <row r="118" spans="1:11">
      <c r="A118" s="8">
        <v>7</v>
      </c>
      <c r="B118" s="18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0.51887761888216932</v>
      </c>
      <c r="H118" s="14">
        <v>0</v>
      </c>
      <c r="I118" s="14">
        <v>1.3366032360412157</v>
      </c>
      <c r="J118" s="14">
        <v>2.9856877287001735E-2</v>
      </c>
      <c r="K118" s="14">
        <v>0</v>
      </c>
    </row>
    <row r="119" spans="1:11">
      <c r="A119" s="8">
        <v>14</v>
      </c>
      <c r="B119" s="18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0.31581246382554284</v>
      </c>
      <c r="H119" s="14">
        <v>0</v>
      </c>
      <c r="I119" s="14">
        <v>1.2651023065976412</v>
      </c>
      <c r="J119" s="14">
        <v>3.9409581119330392E-2</v>
      </c>
      <c r="K119" s="14">
        <v>0</v>
      </c>
    </row>
    <row r="120" spans="1:11">
      <c r="A120" s="8">
        <v>5</v>
      </c>
      <c r="B120" s="18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0.18910446813080115</v>
      </c>
      <c r="H120" s="14">
        <v>0</v>
      </c>
      <c r="I120" s="14">
        <v>1.5919580401604667</v>
      </c>
      <c r="J120" s="14">
        <v>4.0800297448330039E-2</v>
      </c>
      <c r="K120" s="14">
        <v>0</v>
      </c>
    </row>
    <row r="121" spans="1:11">
      <c r="A121" s="8">
        <v>7</v>
      </c>
      <c r="B121" s="18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0.58343263704463633</v>
      </c>
      <c r="H121" s="14">
        <v>0</v>
      </c>
      <c r="I121" s="14">
        <v>0.2621794808062205</v>
      </c>
      <c r="J121" s="14">
        <v>3.643716346720919E-2</v>
      </c>
      <c r="K121" s="14">
        <v>0</v>
      </c>
    </row>
    <row r="122" spans="1:11">
      <c r="A122" s="8">
        <v>14</v>
      </c>
      <c r="B122" s="18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0.44982011531414368</v>
      </c>
      <c r="H122" s="14">
        <v>0</v>
      </c>
      <c r="I122" s="14">
        <v>0.86955959114978154</v>
      </c>
      <c r="J122" s="14">
        <v>2.4964701153593061E-2</v>
      </c>
      <c r="K122" s="14">
        <v>0</v>
      </c>
    </row>
    <row r="123" spans="1:11">
      <c r="A123" s="8">
        <v>5</v>
      </c>
      <c r="B123" s="18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0.38746510896053499</v>
      </c>
      <c r="H123" s="14">
        <v>0</v>
      </c>
      <c r="I123" s="14">
        <v>2.3901324552714924</v>
      </c>
      <c r="J123" s="14">
        <v>8.3701168997901337E-2</v>
      </c>
      <c r="K123" s="14">
        <v>0</v>
      </c>
    </row>
    <row r="124" spans="1:11">
      <c r="A124" s="8">
        <v>7</v>
      </c>
      <c r="B124" s="18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0.36162083263853767</v>
      </c>
      <c r="H124" s="14">
        <v>0</v>
      </c>
      <c r="I124" s="14">
        <v>1.0646347717009059</v>
      </c>
      <c r="J124" s="14">
        <v>3.905504992496206E-2</v>
      </c>
      <c r="K124" s="14">
        <v>0</v>
      </c>
    </row>
    <row r="125" spans="1:11">
      <c r="A125" s="8">
        <v>14</v>
      </c>
      <c r="B125" s="18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0.18842406011308657</v>
      </c>
      <c r="H125" s="14">
        <v>0</v>
      </c>
      <c r="I125" s="14">
        <v>1.350751076935558</v>
      </c>
      <c r="J125" s="14">
        <v>3.0673327792956465E-2</v>
      </c>
      <c r="K125" s="14">
        <v>0</v>
      </c>
    </row>
    <row r="126" spans="1:11">
      <c r="A126" s="8">
        <v>5</v>
      </c>
      <c r="B126" s="18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0.50242739416757332</v>
      </c>
      <c r="H126" s="14">
        <v>0</v>
      </c>
      <c r="I126" s="14">
        <v>1.419883836219521</v>
      </c>
      <c r="J126" s="14">
        <v>4.9667759099901003E-2</v>
      </c>
      <c r="K126" s="14">
        <v>0</v>
      </c>
    </row>
    <row r="127" spans="1:11">
      <c r="A127" s="8">
        <v>7</v>
      </c>
      <c r="B127" s="18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0.31991342106696763</v>
      </c>
      <c r="H127" s="14">
        <v>0</v>
      </c>
      <c r="I127" s="14">
        <v>1.061458173975222</v>
      </c>
      <c r="J127" s="14">
        <v>0.11080498172082603</v>
      </c>
      <c r="K127" s="14">
        <v>0</v>
      </c>
    </row>
    <row r="128" spans="1:11">
      <c r="A128" s="8">
        <v>14</v>
      </c>
      <c r="B128" s="18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0.14165809842099822</v>
      </c>
      <c r="H128" s="14">
        <v>2.9170831444885352E-2</v>
      </c>
      <c r="I128" s="14">
        <v>1.6594301425910389</v>
      </c>
      <c r="J128" s="14">
        <v>8.2938511801734144E-2</v>
      </c>
      <c r="K128" s="14">
        <v>0</v>
      </c>
    </row>
    <row r="129" spans="1:11">
      <c r="A129" s="8">
        <v>5</v>
      </c>
      <c r="B129" s="18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8.3353541371396944E-2</v>
      </c>
      <c r="H129" s="14">
        <v>7.6099118214118744E-2</v>
      </c>
      <c r="I129" s="14">
        <v>2.0748581176166025</v>
      </c>
      <c r="J129" s="14">
        <v>4.3532548450121361E-2</v>
      </c>
      <c r="K129" s="14">
        <v>0</v>
      </c>
    </row>
    <row r="130" spans="1:11">
      <c r="A130" s="8">
        <v>7</v>
      </c>
      <c r="B130" s="18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0.16568656701431028</v>
      </c>
      <c r="H130" s="14">
        <v>0</v>
      </c>
      <c r="I130" s="14">
        <v>3.0581521738201052</v>
      </c>
      <c r="J130" s="14">
        <v>3.9453256648297706E-2</v>
      </c>
      <c r="K130" s="14">
        <v>0</v>
      </c>
    </row>
    <row r="131" spans="1:11">
      <c r="A131" s="8">
        <v>14</v>
      </c>
      <c r="B131" s="18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5.126245297303593E-2</v>
      </c>
      <c r="H131" s="14">
        <v>5.5433323391815413E-2</v>
      </c>
      <c r="I131" s="14">
        <v>2.6284061667991234</v>
      </c>
      <c r="J131" s="14">
        <v>3.902659372390798E-2</v>
      </c>
      <c r="K131" s="14">
        <v>0</v>
      </c>
    </row>
    <row r="132" spans="1:11">
      <c r="A132" s="8">
        <v>5</v>
      </c>
      <c r="B132" s="18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9.6980753592142616E-2</v>
      </c>
      <c r="H132" s="14">
        <v>0.74880994819766411</v>
      </c>
      <c r="I132" s="14">
        <v>2.4392850292795303</v>
      </c>
      <c r="J132" s="14">
        <v>9.7211215370956908E-2</v>
      </c>
      <c r="K132" s="14">
        <v>3.6589595436697327E-2</v>
      </c>
    </row>
    <row r="133" spans="1:11">
      <c r="A133" s="8">
        <v>7</v>
      </c>
      <c r="B133" s="18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0.24395651643368768</v>
      </c>
      <c r="H133" s="14">
        <v>0.81767243750311125</v>
      </c>
      <c r="I133" s="14">
        <v>2.3250030916225226</v>
      </c>
      <c r="J133" s="14">
        <v>0.17992236342963885</v>
      </c>
      <c r="K133" s="14">
        <v>2.8587458991022944E-2</v>
      </c>
    </row>
    <row r="134" spans="1:11">
      <c r="A134" s="8">
        <v>14</v>
      </c>
      <c r="B134" s="18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4.8137830692275958E-2</v>
      </c>
      <c r="H134" s="14">
        <v>0.25623796758308287</v>
      </c>
      <c r="I134" s="14">
        <v>1.1097388475232872</v>
      </c>
      <c r="J134" s="14">
        <v>6.6261799857848927E-2</v>
      </c>
      <c r="K134" s="14">
        <v>0</v>
      </c>
    </row>
    <row r="135" spans="1:11">
      <c r="A135" s="8">
        <v>5</v>
      </c>
      <c r="B135" s="18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0</v>
      </c>
      <c r="H135" s="14">
        <v>5.1255917759256571</v>
      </c>
      <c r="I135" s="14">
        <v>10.425029136393857</v>
      </c>
      <c r="J135" s="14">
        <v>0.7014873581621538</v>
      </c>
      <c r="K135" s="14">
        <v>0</v>
      </c>
    </row>
    <row r="136" spans="1:11">
      <c r="A136" s="8">
        <v>7</v>
      </c>
      <c r="B136" s="18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0.19224508467445214</v>
      </c>
      <c r="H136" s="14">
        <v>0</v>
      </c>
      <c r="I136" s="14">
        <v>7.8741695382141579</v>
      </c>
      <c r="J136" s="14">
        <v>0.38392031772426227</v>
      </c>
      <c r="K136" s="14">
        <v>0</v>
      </c>
    </row>
    <row r="137" spans="1:11">
      <c r="A137" s="8">
        <v>14</v>
      </c>
      <c r="B137" s="18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8.390508991628598E-2</v>
      </c>
      <c r="H137" s="14">
        <v>0.30314748652062457</v>
      </c>
      <c r="I137" s="14">
        <v>6.4291447772063668</v>
      </c>
      <c r="J137" s="14">
        <v>0.49104942153484876</v>
      </c>
      <c r="K137" s="14">
        <v>0</v>
      </c>
    </row>
    <row r="138" spans="1:11">
      <c r="A138" s="8">
        <v>5</v>
      </c>
      <c r="B138" s="18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0.12764234397128355</v>
      </c>
      <c r="H138" s="14">
        <v>0</v>
      </c>
      <c r="I138" s="14">
        <v>3.9107748162162999</v>
      </c>
      <c r="J138" s="14">
        <v>2.2281129503129486</v>
      </c>
      <c r="K138" s="14">
        <v>0</v>
      </c>
    </row>
    <row r="139" spans="1:11">
      <c r="A139" s="8">
        <v>7</v>
      </c>
      <c r="B139" s="18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7.7431054756380749E-2</v>
      </c>
      <c r="H139" s="14">
        <v>0</v>
      </c>
      <c r="I139" s="14">
        <v>1.5943647326937167</v>
      </c>
      <c r="J139" s="14">
        <v>2.0987210695673082</v>
      </c>
      <c r="K139" s="14">
        <v>0</v>
      </c>
    </row>
    <row r="140" spans="1:11">
      <c r="A140" s="8">
        <v>14</v>
      </c>
      <c r="B140" s="18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3.6914981481075734E-2</v>
      </c>
      <c r="H140" s="14">
        <v>0</v>
      </c>
      <c r="I140" s="14">
        <v>1.180784397029939</v>
      </c>
      <c r="J140" s="14">
        <v>1.5686011616822841</v>
      </c>
      <c r="K140" s="14">
        <v>0</v>
      </c>
    </row>
    <row r="141" spans="1:11">
      <c r="A141" s="8">
        <v>5</v>
      </c>
      <c r="B141" s="18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0.16096967440786819</v>
      </c>
      <c r="H141" s="14">
        <v>0</v>
      </c>
      <c r="I141" s="14">
        <v>1.3629153846783544</v>
      </c>
      <c r="J141" s="14">
        <v>0.70455768831393362</v>
      </c>
      <c r="K141" s="14">
        <v>0</v>
      </c>
    </row>
    <row r="142" spans="1:11">
      <c r="A142" s="8">
        <v>7</v>
      </c>
      <c r="B142" s="18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0.4492464585014419</v>
      </c>
      <c r="H142" s="14">
        <v>6.4802535626351701E-2</v>
      </c>
      <c r="I142" s="14">
        <v>1.7710922272034046</v>
      </c>
      <c r="J142" s="14">
        <v>0.7200836040316666</v>
      </c>
      <c r="K142" s="14">
        <v>0</v>
      </c>
    </row>
    <row r="143" spans="1:11">
      <c r="A143" s="8">
        <v>14</v>
      </c>
      <c r="B143" s="18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0.24486810498493716</v>
      </c>
      <c r="H143" s="14">
        <v>0</v>
      </c>
      <c r="I143" s="14">
        <v>1.5589303186110968</v>
      </c>
      <c r="J143" s="14">
        <v>0.55663848368145408</v>
      </c>
      <c r="K143" s="14">
        <v>0</v>
      </c>
    </row>
    <row r="144" spans="1:11">
      <c r="A144" s="8">
        <v>5</v>
      </c>
      <c r="B144" s="18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7.0766722838774665E-2</v>
      </c>
      <c r="H144" s="14">
        <v>0</v>
      </c>
      <c r="I144" s="14">
        <v>1.070424645138123</v>
      </c>
      <c r="J144" s="14">
        <v>0.26305301147311388</v>
      </c>
      <c r="K144" s="14">
        <v>0</v>
      </c>
    </row>
    <row r="145" spans="1:11">
      <c r="A145" s="8">
        <v>7</v>
      </c>
      <c r="B145" s="18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0.64005526774287957</v>
      </c>
      <c r="H145" s="14">
        <v>4.2509117471454798E-2</v>
      </c>
      <c r="I145" s="14">
        <v>2.0253642072984785</v>
      </c>
      <c r="J145" s="14">
        <v>0.2771719625502323</v>
      </c>
      <c r="K145" s="14">
        <v>0</v>
      </c>
    </row>
    <row r="146" spans="1:11">
      <c r="A146" s="8">
        <v>14</v>
      </c>
      <c r="B146" s="18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0.47327993114083333</v>
      </c>
      <c r="H146" s="14">
        <v>0</v>
      </c>
      <c r="I146" s="14">
        <v>1.2953165644904567</v>
      </c>
      <c r="J146" s="14">
        <v>0.15907149092940784</v>
      </c>
      <c r="K146" s="14">
        <v>0</v>
      </c>
    </row>
    <row r="147" spans="1:11">
      <c r="A147" s="8">
        <v>5</v>
      </c>
      <c r="B147" s="18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0.43098040197329623</v>
      </c>
      <c r="H147" s="14">
        <v>0</v>
      </c>
      <c r="I147" s="14">
        <v>0.41682497158360265</v>
      </c>
      <c r="J147" s="14">
        <v>6.4666599969464306E-2</v>
      </c>
      <c r="K147" s="14">
        <v>0</v>
      </c>
    </row>
    <row r="148" spans="1:11">
      <c r="A148" s="8">
        <v>7</v>
      </c>
      <c r="B148" s="18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0.23212981808065178</v>
      </c>
      <c r="H148" s="14">
        <v>0</v>
      </c>
      <c r="I148" s="14">
        <v>0.26436273851805059</v>
      </c>
      <c r="J148" s="14">
        <v>2.915463137862746E-2</v>
      </c>
      <c r="K148" s="14">
        <v>0</v>
      </c>
    </row>
    <row r="149" spans="1:11">
      <c r="A149" s="8">
        <v>14</v>
      </c>
      <c r="B149" s="18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0.15820013113672279</v>
      </c>
      <c r="H149" s="14">
        <v>0</v>
      </c>
      <c r="I149" s="14">
        <v>0.22068723733849907</v>
      </c>
      <c r="J149" s="14">
        <v>1.7228432691433065E-2</v>
      </c>
      <c r="K149" s="14">
        <v>0</v>
      </c>
    </row>
    <row r="150" spans="1:11">
      <c r="A150" s="8">
        <v>5</v>
      </c>
      <c r="B150" s="18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6.1145193281555661E-2</v>
      </c>
      <c r="H150" s="14">
        <v>0</v>
      </c>
      <c r="I150" s="14">
        <v>0.28369180483431444</v>
      </c>
      <c r="J150" s="14">
        <v>1.5812193719507043E-2</v>
      </c>
      <c r="K150" s="14">
        <v>0</v>
      </c>
    </row>
    <row r="151" spans="1:11">
      <c r="A151" s="8">
        <v>7</v>
      </c>
      <c r="B151" s="18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0.10215653787338916</v>
      </c>
      <c r="H151" s="14">
        <v>0</v>
      </c>
      <c r="I151" s="14">
        <v>0.15915644078325575</v>
      </c>
      <c r="J151" s="14">
        <v>1.6316834025480724E-2</v>
      </c>
      <c r="K151" s="14">
        <v>0</v>
      </c>
    </row>
    <row r="152" spans="1:11">
      <c r="A152" s="8">
        <v>14</v>
      </c>
      <c r="B152" s="18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2.0607427823498895E-2</v>
      </c>
      <c r="H152" s="14">
        <v>0</v>
      </c>
      <c r="I152" s="14">
        <v>0.15177113587273633</v>
      </c>
      <c r="J152" s="14">
        <v>1.5137262014766404E-2</v>
      </c>
      <c r="K152" s="14">
        <v>0</v>
      </c>
    </row>
    <row r="153" spans="1:11">
      <c r="A153" s="8">
        <v>5</v>
      </c>
      <c r="B153" s="18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0.16318884324111949</v>
      </c>
      <c r="H153" s="14">
        <v>0</v>
      </c>
      <c r="I153" s="14">
        <v>2.2440966922895869</v>
      </c>
      <c r="J153" s="14">
        <v>3.1168839450886766E-2</v>
      </c>
      <c r="K153" s="14">
        <v>0</v>
      </c>
    </row>
    <row r="154" spans="1:11">
      <c r="A154" s="8">
        <v>7</v>
      </c>
      <c r="B154" s="18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0.14400769077223163</v>
      </c>
      <c r="H154" s="14">
        <v>0</v>
      </c>
      <c r="I154" s="14">
        <v>0.19727980393471042</v>
      </c>
      <c r="J154" s="14">
        <v>1.2492783887103964E-2</v>
      </c>
      <c r="K154" s="14">
        <v>0</v>
      </c>
    </row>
    <row r="155" spans="1:11">
      <c r="A155" s="8">
        <v>14</v>
      </c>
      <c r="B155" s="18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7.6551714981481611E-2</v>
      </c>
      <c r="H155" s="14">
        <v>0</v>
      </c>
      <c r="I155" s="14">
        <v>0.10857548809705277</v>
      </c>
      <c r="J155" s="14">
        <v>1.7857830304729226E-2</v>
      </c>
      <c r="K155" s="14">
        <v>0</v>
      </c>
    </row>
    <row r="156" spans="1:11">
      <c r="A156" s="8">
        <v>5</v>
      </c>
      <c r="B156" s="18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2.6948203281060339E-2</v>
      </c>
      <c r="H156" s="13">
        <v>0</v>
      </c>
      <c r="I156" s="13">
        <v>2.4219660466238513</v>
      </c>
      <c r="J156" s="13">
        <v>4.5769118861683174E-2</v>
      </c>
      <c r="K156" s="13">
        <v>0</v>
      </c>
    </row>
    <row r="157" spans="1:11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11">
      <c r="A158" s="8">
        <v>14</v>
      </c>
      <c r="C158" s="12">
        <v>2004</v>
      </c>
      <c r="D158" s="15" t="s">
        <v>18</v>
      </c>
      <c r="E158" s="12">
        <v>1</v>
      </c>
      <c r="F158" s="13"/>
    </row>
    <row r="159" spans="1:11">
      <c r="A159" s="8">
        <v>5</v>
      </c>
      <c r="B159" s="18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3.2898402393573403E-2</v>
      </c>
      <c r="H159" s="13">
        <v>0</v>
      </c>
      <c r="I159" s="13">
        <v>1.990850915483422</v>
      </c>
      <c r="J159" s="13">
        <v>3.2515221899410814E-2</v>
      </c>
      <c r="K159" s="13">
        <v>0</v>
      </c>
    </row>
    <row r="160" spans="1:11">
      <c r="A160" s="8">
        <v>7</v>
      </c>
      <c r="B160" s="18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0.10370252087540481</v>
      </c>
      <c r="H160" s="13">
        <v>0</v>
      </c>
      <c r="I160" s="13">
        <v>0.97129687047492141</v>
      </c>
      <c r="J160" s="13">
        <v>3.4474804990044634E-2</v>
      </c>
      <c r="K160" s="13">
        <v>0</v>
      </c>
    </row>
    <row r="161" spans="1:11">
      <c r="A161" s="8">
        <v>14</v>
      </c>
      <c r="B161" s="18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2.0592488294386015E-2</v>
      </c>
      <c r="H161" s="13">
        <v>0</v>
      </c>
      <c r="I161" s="13">
        <v>1.7856782358934884</v>
      </c>
      <c r="J161" s="13">
        <v>2.8236364744651313E-2</v>
      </c>
      <c r="K161" s="13">
        <v>0</v>
      </c>
    </row>
    <row r="162" spans="1:11">
      <c r="A162" s="8">
        <v>5</v>
      </c>
      <c r="B162" s="18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2.9831276747966675E-2</v>
      </c>
      <c r="H162" s="13">
        <v>0</v>
      </c>
      <c r="I162" s="13">
        <v>2.1586805030066798</v>
      </c>
      <c r="J162" s="13">
        <v>2.814604044964656E-2</v>
      </c>
      <c r="K162" s="13">
        <v>0</v>
      </c>
    </row>
    <row r="163" spans="1:11">
      <c r="A163" s="8">
        <v>7</v>
      </c>
      <c r="B163" s="18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0.18748573693384049</v>
      </c>
      <c r="H163" s="13">
        <v>0</v>
      </c>
      <c r="I163" s="13">
        <v>2.606115055091796</v>
      </c>
      <c r="J163" s="13">
        <v>3.3596063426458794E-2</v>
      </c>
      <c r="K163" s="13">
        <v>0</v>
      </c>
    </row>
    <row r="164" spans="1:11">
      <c r="A164" s="8">
        <v>14</v>
      </c>
      <c r="B164" s="18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0</v>
      </c>
      <c r="H164" s="13">
        <v>0</v>
      </c>
      <c r="I164" s="13">
        <v>4.1413452689056758</v>
      </c>
      <c r="J164" s="13">
        <v>4.9539471399876966E-2</v>
      </c>
      <c r="K164" s="13">
        <v>0</v>
      </c>
    </row>
    <row r="165" spans="1:11">
      <c r="A165" s="8">
        <v>5</v>
      </c>
      <c r="B165" s="18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0.11065685100059267</v>
      </c>
      <c r="H165" s="21">
        <v>0</v>
      </c>
      <c r="I165" s="21">
        <v>0.34700953053040712</v>
      </c>
      <c r="J165" s="21">
        <v>3.1357739004796513E-2</v>
      </c>
      <c r="K165" s="21">
        <v>0</v>
      </c>
    </row>
    <row r="166" spans="1:11">
      <c r="A166" s="8">
        <v>7</v>
      </c>
      <c r="B166" s="18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0.1306045059398783</v>
      </c>
      <c r="H166" s="21">
        <v>0</v>
      </c>
      <c r="I166" s="21">
        <v>0.3458912719363979</v>
      </c>
      <c r="J166" s="21">
        <v>2.0807551118455517E-2</v>
      </c>
      <c r="K166" s="21">
        <v>0</v>
      </c>
    </row>
    <row r="167" spans="1:11">
      <c r="A167" s="8">
        <v>14</v>
      </c>
      <c r="B167" s="18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3.3045428991815069E-2</v>
      </c>
      <c r="H167" s="21">
        <v>0</v>
      </c>
      <c r="I167" s="21">
        <v>0.30505609445635995</v>
      </c>
      <c r="J167" s="21">
        <v>2.1049410185069551E-2</v>
      </c>
      <c r="K167" s="21">
        <v>0</v>
      </c>
    </row>
    <row r="168" spans="1:11">
      <c r="A168" s="8">
        <v>5</v>
      </c>
      <c r="B168" s="18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2.4402370941568288E-2</v>
      </c>
      <c r="H168" s="21">
        <v>0.21968112606794668</v>
      </c>
      <c r="I168" s="21">
        <v>1.6900995027836445</v>
      </c>
      <c r="J168" s="21">
        <v>0.20401613129406826</v>
      </c>
      <c r="K168" s="21">
        <v>0</v>
      </c>
    </row>
    <row r="169" spans="1:11">
      <c r="A169" s="8">
        <v>7</v>
      </c>
      <c r="B169" s="18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3.7148756642373944E-2</v>
      </c>
      <c r="H169" s="21">
        <v>0</v>
      </c>
      <c r="I169" s="21">
        <v>0.76328861812246429</v>
      </c>
      <c r="J169" s="21">
        <v>7.4471320565865279E-2</v>
      </c>
      <c r="K169" s="21">
        <v>0</v>
      </c>
    </row>
    <row r="170" spans="1:11">
      <c r="A170" s="8">
        <v>14</v>
      </c>
      <c r="B170" s="18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1.9722886659094614E-2</v>
      </c>
      <c r="H170" s="21">
        <v>0.15013009494741217</v>
      </c>
      <c r="I170" s="21">
        <v>0.84923021687159372</v>
      </c>
      <c r="J170" s="21">
        <v>0.11667869779577877</v>
      </c>
      <c r="K170" s="21">
        <v>0</v>
      </c>
    </row>
    <row r="171" spans="1:11">
      <c r="A171" s="8">
        <v>5</v>
      </c>
      <c r="B171" s="18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4.854605886253003E-2</v>
      </c>
      <c r="H171" s="21">
        <v>2.215528999315771</v>
      </c>
      <c r="I171" s="21">
        <v>6.1757416221212171</v>
      </c>
      <c r="J171" s="21">
        <v>1.1286450230940246</v>
      </c>
      <c r="K171" s="21">
        <v>0</v>
      </c>
    </row>
    <row r="172" spans="1:11">
      <c r="A172" s="8">
        <v>7</v>
      </c>
      <c r="B172" s="18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0.61073890429733335</v>
      </c>
      <c r="H172" s="21">
        <v>5.3197136681675382E-2</v>
      </c>
      <c r="I172" s="21">
        <v>1.012879395721791</v>
      </c>
      <c r="J172" s="21">
        <v>0.17697194453293308</v>
      </c>
      <c r="K172" s="21">
        <v>0</v>
      </c>
    </row>
    <row r="173" spans="1:11">
      <c r="A173" s="8">
        <v>14</v>
      </c>
      <c r="B173" s="18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0.11370167570737787</v>
      </c>
      <c r="H173" s="21">
        <v>0.74916018198416046</v>
      </c>
      <c r="I173" s="21">
        <v>3.9673254506366731</v>
      </c>
      <c r="J173" s="21">
        <v>0.48128625872051833</v>
      </c>
      <c r="K173" s="21">
        <v>0</v>
      </c>
    </row>
    <row r="174" spans="1:11">
      <c r="A174" s="8">
        <v>5</v>
      </c>
      <c r="B174" s="18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0.14457254129556907</v>
      </c>
      <c r="H174" s="21">
        <v>0</v>
      </c>
      <c r="I174" s="21">
        <v>1.7817920024558263</v>
      </c>
      <c r="J174" s="21">
        <v>1.9003463699171124</v>
      </c>
      <c r="K174" s="21">
        <v>0</v>
      </c>
    </row>
    <row r="175" spans="1:11">
      <c r="A175" s="8">
        <v>7</v>
      </c>
      <c r="B175" s="18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2.5743626604460128</v>
      </c>
      <c r="H175" s="21">
        <v>0</v>
      </c>
      <c r="I175" s="21">
        <v>1.7138864520593682</v>
      </c>
      <c r="J175" s="21">
        <v>0.27207381660998498</v>
      </c>
      <c r="K175" s="21">
        <v>0</v>
      </c>
    </row>
    <row r="176" spans="1:11">
      <c r="A176" s="8">
        <v>14</v>
      </c>
      <c r="B176" s="18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0.49656408712725081</v>
      </c>
      <c r="H176" s="21">
        <v>0</v>
      </c>
      <c r="I176" s="21">
        <v>1.217794569725491</v>
      </c>
      <c r="J176" s="21">
        <v>0.39353989700111774</v>
      </c>
      <c r="K176" s="21">
        <v>0</v>
      </c>
    </row>
    <row r="177" spans="1:11">
      <c r="A177" s="8">
        <v>5</v>
      </c>
      <c r="B177" s="18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0.25269298809472029</v>
      </c>
      <c r="H177" s="21">
        <v>0</v>
      </c>
      <c r="I177" s="21">
        <v>5.2095464941243783</v>
      </c>
      <c r="J177" s="21">
        <v>1.6050875586926512</v>
      </c>
      <c r="K177" s="21">
        <v>0</v>
      </c>
    </row>
    <row r="178" spans="1:11">
      <c r="A178" s="8">
        <v>7</v>
      </c>
      <c r="B178" s="18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7.556193880782109</v>
      </c>
      <c r="H178" s="21">
        <v>0</v>
      </c>
      <c r="I178" s="21">
        <v>1.1706346801969989</v>
      </c>
      <c r="J178" s="21">
        <v>0.45629057758087932</v>
      </c>
      <c r="K178" s="21">
        <v>0</v>
      </c>
    </row>
    <row r="179" spans="1:11">
      <c r="A179" s="8">
        <v>14</v>
      </c>
      <c r="B179" s="18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H179" s="19"/>
      <c r="I179" s="19"/>
      <c r="J179" s="19"/>
      <c r="K179" s="19"/>
    </row>
    <row r="180" spans="1:11">
      <c r="A180" s="8">
        <v>5</v>
      </c>
      <c r="B180" s="18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0.71963685005129674</v>
      </c>
      <c r="H180" s="21">
        <v>0</v>
      </c>
      <c r="I180" s="21">
        <v>2.9098726568057787</v>
      </c>
      <c r="J180" s="21">
        <v>0.80519103030104178</v>
      </c>
      <c r="K180" s="21">
        <v>0</v>
      </c>
    </row>
    <row r="181" spans="1:11">
      <c r="A181" s="8">
        <v>7</v>
      </c>
      <c r="B181" s="18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1.8060648103095729</v>
      </c>
      <c r="H181" s="21">
        <v>0</v>
      </c>
      <c r="I181" s="21">
        <v>2.8664190037934656</v>
      </c>
      <c r="J181" s="21">
        <v>0.24403145630055448</v>
      </c>
      <c r="K181" s="21">
        <v>0</v>
      </c>
    </row>
    <row r="182" spans="1:11">
      <c r="A182" s="8">
        <v>14</v>
      </c>
      <c r="B182" s="18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0.19941095527298944</v>
      </c>
      <c r="H182" s="21">
        <v>0</v>
      </c>
      <c r="I182" s="21">
        <v>0.91076026551730793</v>
      </c>
      <c r="J182" s="21">
        <v>5.8674132644699145E-2</v>
      </c>
      <c r="K182" s="21">
        <v>0</v>
      </c>
    </row>
    <row r="183" spans="1:11">
      <c r="A183" s="8">
        <v>5</v>
      </c>
      <c r="B183" s="18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5.6407532358487993E-2</v>
      </c>
      <c r="H183" s="14">
        <v>0</v>
      </c>
      <c r="I183" s="14">
        <v>0.50217534036755429</v>
      </c>
      <c r="J183" s="14">
        <v>0.15122303325000877</v>
      </c>
      <c r="K183" s="14">
        <v>0</v>
      </c>
    </row>
    <row r="184" spans="1:11">
      <c r="A184" s="8">
        <v>7</v>
      </c>
      <c r="B184" s="18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8.145702907354678E-2</v>
      </c>
      <c r="H184" s="14">
        <v>0</v>
      </c>
      <c r="I184" s="14">
        <v>0.22615791524446571</v>
      </c>
      <c r="J184" s="14">
        <v>4.3158223274665147E-2</v>
      </c>
      <c r="K184" s="14">
        <v>0</v>
      </c>
    </row>
    <row r="185" spans="1:11">
      <c r="A185" s="8">
        <v>14</v>
      </c>
      <c r="B185" s="18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5.5174317885318958E-2</v>
      </c>
      <c r="H185" s="14">
        <v>0</v>
      </c>
      <c r="I185" s="14">
        <v>4.6299102037104946E-2</v>
      </c>
      <c r="J185" s="14">
        <v>1.5791058248858399E-2</v>
      </c>
      <c r="K185" s="14">
        <v>0</v>
      </c>
    </row>
    <row r="186" spans="1:11">
      <c r="A186" s="8">
        <v>5</v>
      </c>
      <c r="B186" s="18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5.9141238929310266E-2</v>
      </c>
      <c r="H186" s="14">
        <v>0</v>
      </c>
      <c r="I186" s="14">
        <v>0.55371327263595449</v>
      </c>
      <c r="J186" s="14">
        <v>2.6944359399203463E-2</v>
      </c>
      <c r="K186" s="14">
        <v>0</v>
      </c>
    </row>
    <row r="187" spans="1:11">
      <c r="A187" s="8">
        <v>7</v>
      </c>
      <c r="B187" s="18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0.24189712968405927</v>
      </c>
      <c r="H187" s="14">
        <v>0</v>
      </c>
      <c r="I187" s="14">
        <v>0.23219365111833226</v>
      </c>
      <c r="J187" s="14">
        <v>1.9439833937961219E-2</v>
      </c>
      <c r="K187" s="14">
        <v>0</v>
      </c>
    </row>
    <row r="188" spans="1:11">
      <c r="A188" s="8">
        <v>14</v>
      </c>
      <c r="B188" s="18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0.11418679693608853</v>
      </c>
      <c r="H188" s="14">
        <v>0</v>
      </c>
      <c r="I188" s="14">
        <v>6.2881266380053952E-2</v>
      </c>
      <c r="J188" s="14">
        <v>7.9291488509604102E-3</v>
      </c>
      <c r="K188" s="14">
        <v>0</v>
      </c>
    </row>
    <row r="189" spans="1:11">
      <c r="A189" s="8">
        <v>5</v>
      </c>
      <c r="B189" s="18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0.19131963328544649</v>
      </c>
      <c r="H189" s="14">
        <v>0</v>
      </c>
      <c r="I189" s="14">
        <v>0.26127791626290892</v>
      </c>
      <c r="J189" s="14">
        <v>2.8504932103971946E-2</v>
      </c>
      <c r="K189" s="14">
        <v>0</v>
      </c>
    </row>
    <row r="190" spans="1:11">
      <c r="A190" s="8">
        <v>7</v>
      </c>
      <c r="B190" s="18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5.9220030163794644E-2</v>
      </c>
      <c r="H190" s="14">
        <v>0</v>
      </c>
      <c r="I190" s="14">
        <v>0.18064272248943589</v>
      </c>
      <c r="J190" s="14">
        <v>2.0655659114853942E-2</v>
      </c>
      <c r="K190" s="14">
        <v>0</v>
      </c>
    </row>
    <row r="191" spans="1:11">
      <c r="A191" s="8">
        <v>14</v>
      </c>
      <c r="B191" s="18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7.5003898599602631E-2</v>
      </c>
      <c r="H191" s="14">
        <v>0</v>
      </c>
      <c r="I191" s="14">
        <v>0.16174241764476968</v>
      </c>
      <c r="J191" s="14">
        <v>1.9558602994633332E-2</v>
      </c>
      <c r="K191" s="14">
        <v>0</v>
      </c>
    </row>
    <row r="192" spans="1:11">
      <c r="A192" s="8">
        <v>5</v>
      </c>
      <c r="B192" s="22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0.34683565562114793</v>
      </c>
      <c r="H192" s="14">
        <v>3.5255080617288201E-2</v>
      </c>
      <c r="I192" s="14">
        <v>0.95853728703125129</v>
      </c>
      <c r="J192" s="14">
        <v>1.732023487912325E-2</v>
      </c>
      <c r="K192" s="14">
        <v>0</v>
      </c>
    </row>
    <row r="193" spans="1:11">
      <c r="A193" s="8">
        <v>7</v>
      </c>
      <c r="B193" s="22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0.81447461663789</v>
      </c>
      <c r="H193" s="14">
        <v>0</v>
      </c>
      <c r="I193" s="14">
        <v>0.25165551347636206</v>
      </c>
      <c r="J193" s="14">
        <v>2.272946348919504E-2</v>
      </c>
      <c r="K193" s="14">
        <v>0</v>
      </c>
    </row>
    <row r="194" spans="1:11">
      <c r="A194" s="8">
        <v>14</v>
      </c>
      <c r="B194" s="22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0.39977458058524146</v>
      </c>
      <c r="H194" s="14">
        <v>0</v>
      </c>
      <c r="I194" s="14">
        <v>0.41636809005780429</v>
      </c>
      <c r="J194" s="14">
        <v>2.376842466816597E-2</v>
      </c>
      <c r="K194" s="14">
        <v>0</v>
      </c>
    </row>
    <row r="195" spans="1:11">
      <c r="A195" s="8">
        <v>5</v>
      </c>
      <c r="B195" s="22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0.19302482752036837</v>
      </c>
      <c r="H195" s="14">
        <v>0</v>
      </c>
      <c r="I195" s="14">
        <v>1.3464223608490331</v>
      </c>
      <c r="J195" s="14">
        <v>4.176471778499944E-2</v>
      </c>
      <c r="K195" s="14">
        <v>0</v>
      </c>
    </row>
    <row r="196" spans="1:11">
      <c r="A196" s="8">
        <v>7</v>
      </c>
      <c r="B196" s="22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0.1106997199477031</v>
      </c>
      <c r="H196" s="14">
        <v>0</v>
      </c>
      <c r="I196" s="14">
        <v>0.7398090928702582</v>
      </c>
      <c r="J196" s="14">
        <v>2.5375718700862322E-2</v>
      </c>
      <c r="K196" s="14">
        <v>0</v>
      </c>
    </row>
    <row r="197" spans="1:11">
      <c r="A197" s="8">
        <v>14</v>
      </c>
      <c r="B197" s="22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6.0416775309104415E-2</v>
      </c>
      <c r="H197" s="14">
        <v>0</v>
      </c>
      <c r="I197" s="14">
        <v>1.2138287095049045</v>
      </c>
      <c r="J197" s="14">
        <v>2.7357361886098244E-2</v>
      </c>
      <c r="K197" s="14">
        <v>0</v>
      </c>
    </row>
    <row r="198" spans="1:11">
      <c r="A198" s="8">
        <v>5</v>
      </c>
      <c r="B198" s="22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4.1085828891658356E-2</v>
      </c>
      <c r="H198" s="14">
        <v>0</v>
      </c>
      <c r="I198" s="14">
        <v>0.23499923182253316</v>
      </c>
      <c r="J198" s="14">
        <v>4.455117542085686E-3</v>
      </c>
      <c r="K198" s="14">
        <v>0</v>
      </c>
    </row>
    <row r="199" spans="1:11">
      <c r="A199" s="8">
        <v>7</v>
      </c>
      <c r="B199" s="22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3.9982792670052961E-2</v>
      </c>
      <c r="H199" s="14">
        <v>0</v>
      </c>
      <c r="I199" s="14">
        <v>0.36003393329932831</v>
      </c>
      <c r="J199" s="14">
        <v>2.5504104997462425E-2</v>
      </c>
      <c r="K199" s="14">
        <v>0</v>
      </c>
    </row>
    <row r="200" spans="1:11">
      <c r="A200" s="8">
        <v>14</v>
      </c>
      <c r="B200" s="22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4.7697256197194643E-2</v>
      </c>
      <c r="H200" s="14">
        <v>0</v>
      </c>
      <c r="I200" s="14">
        <v>0.37731668029580129</v>
      </c>
      <c r="J200" s="14">
        <v>2.6596063560465861E-2</v>
      </c>
      <c r="K200" s="14">
        <v>0</v>
      </c>
    </row>
    <row r="201" spans="1:11">
      <c r="A201" s="8">
        <v>5</v>
      </c>
      <c r="B201" s="22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2.6000531378009714E-2</v>
      </c>
      <c r="H201" s="14">
        <v>3.5810545584977753E-2</v>
      </c>
      <c r="I201" s="14">
        <v>1.4977720311607163</v>
      </c>
      <c r="J201" s="14">
        <v>4.4170336751129427E-2</v>
      </c>
      <c r="K201" s="14">
        <v>0</v>
      </c>
    </row>
    <row r="202" spans="1:11">
      <c r="A202" s="8">
        <v>7</v>
      </c>
      <c r="B202" s="22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5.9795082982249524E-2</v>
      </c>
      <c r="H202" s="14">
        <v>8.0829281226623223E-2</v>
      </c>
      <c r="I202" s="14">
        <v>1.1737163940683397</v>
      </c>
      <c r="J202" s="14">
        <v>4.1414714200311932E-2</v>
      </c>
      <c r="K202" s="14">
        <v>0</v>
      </c>
    </row>
    <row r="203" spans="1:11">
      <c r="A203" s="8">
        <v>14</v>
      </c>
      <c r="B203" s="22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0</v>
      </c>
      <c r="H203" s="14">
        <v>0.13277586248071774</v>
      </c>
      <c r="I203" s="14">
        <v>0.87348498350281301</v>
      </c>
      <c r="J203" s="14">
        <v>3.1729330768308993E-2</v>
      </c>
      <c r="K203" s="14">
        <v>0</v>
      </c>
    </row>
    <row r="204" spans="1:11">
      <c r="A204" s="8">
        <v>5</v>
      </c>
      <c r="B204" s="22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0</v>
      </c>
      <c r="H204" s="14">
        <v>0.99381743638759046</v>
      </c>
      <c r="I204" s="14">
        <v>2.2413377293907617</v>
      </c>
      <c r="J204" s="14">
        <v>9.9102377985554518E-2</v>
      </c>
      <c r="K204" s="14">
        <v>0</v>
      </c>
    </row>
    <row r="205" spans="1:11">
      <c r="A205" s="8">
        <v>7</v>
      </c>
      <c r="B205" s="22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2.8531986237078834E-2</v>
      </c>
      <c r="H205" s="14">
        <v>0</v>
      </c>
      <c r="I205" s="14">
        <v>0.50450894830217952</v>
      </c>
      <c r="J205" s="14">
        <v>4.5799852519879558E-2</v>
      </c>
      <c r="K205" s="14">
        <v>0</v>
      </c>
    </row>
    <row r="206" spans="1:11">
      <c r="A206" s="8">
        <v>14</v>
      </c>
      <c r="B206" s="22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0</v>
      </c>
      <c r="H206" s="14">
        <v>0</v>
      </c>
      <c r="I206" s="14">
        <v>0.60707082343794161</v>
      </c>
      <c r="J206" s="14">
        <v>3.7982783300614831E-2</v>
      </c>
      <c r="K206" s="14">
        <v>0</v>
      </c>
    </row>
    <row r="207" spans="1:11">
      <c r="A207" s="8">
        <v>5</v>
      </c>
      <c r="B207" s="22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5.3382738687281141E-2</v>
      </c>
      <c r="H207" s="14">
        <v>0.27179668834843757</v>
      </c>
      <c r="I207" s="14">
        <v>2.7379352550633707</v>
      </c>
      <c r="J207" s="14">
        <v>0.86112874585185251</v>
      </c>
      <c r="K207" s="14">
        <v>1.9172130988976955E-2</v>
      </c>
    </row>
    <row r="208" spans="1:11">
      <c r="A208" s="8">
        <v>7</v>
      </c>
      <c r="B208" s="22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0.83193879668365167</v>
      </c>
      <c r="H208" s="14">
        <v>0</v>
      </c>
      <c r="I208" s="14">
        <v>0.57144315685540836</v>
      </c>
      <c r="J208" s="14">
        <v>0.16553316588919934</v>
      </c>
      <c r="K208" s="14">
        <v>0</v>
      </c>
    </row>
    <row r="209" spans="1:11">
      <c r="A209" s="8">
        <v>14</v>
      </c>
      <c r="B209" s="22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3.6622694297359731E-2</v>
      </c>
      <c r="H209" s="14">
        <v>0</v>
      </c>
      <c r="I209" s="14">
        <v>1.1391693630284243</v>
      </c>
      <c r="J209" s="14">
        <v>0.39900221117560425</v>
      </c>
      <c r="K209" s="14">
        <v>0</v>
      </c>
    </row>
    <row r="210" spans="1:11">
      <c r="A210" s="8">
        <v>5</v>
      </c>
      <c r="B210" s="22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0.43128081454489275</v>
      </c>
      <c r="H210" s="14">
        <v>5.0667282399810928E-2</v>
      </c>
      <c r="I210" s="14">
        <v>2.2289488713578653</v>
      </c>
      <c r="J210" s="14">
        <v>0.97074257004985587</v>
      </c>
      <c r="K210" s="14">
        <v>3.1650047178928012E-2</v>
      </c>
    </row>
    <row r="211" spans="1:11">
      <c r="A211" s="8">
        <v>7</v>
      </c>
      <c r="B211" s="22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1.1610817897947143</v>
      </c>
      <c r="H211" s="14">
        <v>0.13855613727435218</v>
      </c>
      <c r="I211" s="14">
        <v>1.3376534098750503</v>
      </c>
      <c r="J211" s="14">
        <v>0.45707860418875446</v>
      </c>
      <c r="K211" s="14">
        <v>5.4205733667471979E-2</v>
      </c>
    </row>
    <row r="212" spans="1:11">
      <c r="A212" s="8">
        <v>14</v>
      </c>
      <c r="B212" s="22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0.31996345424832123</v>
      </c>
      <c r="H212" s="14">
        <v>0</v>
      </c>
      <c r="I212" s="14">
        <v>1.9620124346237617</v>
      </c>
      <c r="J212" s="14">
        <v>0.80573887272125522</v>
      </c>
      <c r="K212" s="14">
        <v>0</v>
      </c>
    </row>
    <row r="213" spans="1:11">
      <c r="A213" s="8">
        <v>5</v>
      </c>
      <c r="B213" s="22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0.39416663697571563</v>
      </c>
      <c r="H213" s="14">
        <v>0</v>
      </c>
      <c r="I213" s="14">
        <v>5.9958265335985219</v>
      </c>
      <c r="J213" s="14">
        <v>0.83758518565383255</v>
      </c>
      <c r="K213" s="14">
        <v>0</v>
      </c>
    </row>
    <row r="214" spans="1:11">
      <c r="A214" s="8">
        <v>7</v>
      </c>
      <c r="B214" s="22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0.39582628004041231</v>
      </c>
      <c r="H214" s="14">
        <v>0</v>
      </c>
      <c r="I214" s="14">
        <v>17.763611464333312</v>
      </c>
      <c r="J214" s="14">
        <v>1.5759792659198266</v>
      </c>
      <c r="K214" s="14">
        <v>0</v>
      </c>
    </row>
    <row r="215" spans="1:11">
      <c r="A215" s="8">
        <v>14</v>
      </c>
      <c r="B215" s="22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0.25287871968568376</v>
      </c>
      <c r="H215" s="14">
        <v>0</v>
      </c>
      <c r="I215" s="14">
        <v>5.4260015367507517</v>
      </c>
      <c r="J215" s="14">
        <v>1.1919818628276686</v>
      </c>
      <c r="K215" s="14">
        <v>0</v>
      </c>
    </row>
    <row r="216" spans="1:11">
      <c r="A216" s="8">
        <v>5</v>
      </c>
      <c r="B216" s="22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4.9811086518616883E-2</v>
      </c>
      <c r="H216" s="14">
        <v>0</v>
      </c>
      <c r="I216" s="14">
        <v>3.7330446164094919</v>
      </c>
      <c r="J216" s="14">
        <v>0.75331771409506121</v>
      </c>
      <c r="K216" s="14">
        <v>0</v>
      </c>
    </row>
    <row r="217" spans="1:11">
      <c r="A217" s="8">
        <v>7</v>
      </c>
      <c r="B217" s="22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0.29915893694467621</v>
      </c>
      <c r="H217" s="14">
        <v>0</v>
      </c>
      <c r="I217" s="14">
        <v>9.3517733074708556</v>
      </c>
      <c r="J217" s="14">
        <v>1.2298603281792595</v>
      </c>
      <c r="K217" s="14">
        <v>0</v>
      </c>
    </row>
    <row r="218" spans="1:11">
      <c r="A218" s="8">
        <v>14</v>
      </c>
      <c r="B218" s="22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0.12172038730482386</v>
      </c>
      <c r="H218" s="14">
        <v>0</v>
      </c>
      <c r="I218" s="14">
        <v>7.5228619403633301</v>
      </c>
      <c r="J218" s="14">
        <v>0.63507420819371441</v>
      </c>
      <c r="K218" s="14">
        <v>0</v>
      </c>
    </row>
    <row r="219" spans="1:11">
      <c r="A219" s="8">
        <v>5</v>
      </c>
      <c r="B219" s="22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3.6499999999999998E-2</v>
      </c>
      <c r="H219" s="14">
        <v>1E-4</v>
      </c>
      <c r="I219" s="14">
        <v>1.6903999999999999</v>
      </c>
      <c r="J219" s="14">
        <v>4.4499999999999998E-2</v>
      </c>
      <c r="K219" s="14">
        <v>1E-4</v>
      </c>
    </row>
    <row r="220" spans="1:11">
      <c r="A220" s="8">
        <v>7</v>
      </c>
      <c r="B220" s="22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0.10059999999999999</v>
      </c>
      <c r="H220" s="14">
        <v>1E-4</v>
      </c>
      <c r="I220" s="14">
        <v>2.3917999999999999</v>
      </c>
      <c r="J220" s="14">
        <v>0.15029999999999999</v>
      </c>
      <c r="K220" s="14">
        <v>1E-4</v>
      </c>
    </row>
    <row r="221" spans="1:11">
      <c r="A221" s="8">
        <v>14</v>
      </c>
      <c r="B221" s="22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2.7E-2</v>
      </c>
      <c r="H221" s="14">
        <v>1E-4</v>
      </c>
      <c r="I221" s="14">
        <v>2.2774000000000001</v>
      </c>
      <c r="J221" s="14">
        <v>9.2200000000000004E-2</v>
      </c>
      <c r="K221" s="14">
        <v>1E-4</v>
      </c>
    </row>
    <row r="222" spans="1:11">
      <c r="A222" s="8">
        <v>5</v>
      </c>
      <c r="B222" s="22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1E-4</v>
      </c>
      <c r="H222" s="14">
        <v>1E-4</v>
      </c>
      <c r="I222" s="14">
        <v>1.0018</v>
      </c>
      <c r="J222" s="14">
        <v>5.3E-3</v>
      </c>
      <c r="K222" s="14">
        <v>1E-4</v>
      </c>
    </row>
    <row r="223" spans="1:11">
      <c r="A223" s="8">
        <v>7</v>
      </c>
      <c r="B223" s="22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1E-4</v>
      </c>
      <c r="H223" s="14">
        <v>0.11409999999999999</v>
      </c>
      <c r="I223" s="14">
        <v>1.9603999999999999</v>
      </c>
      <c r="J223" s="14">
        <v>2.4799999999999999E-2</v>
      </c>
      <c r="K223" s="14">
        <v>1E-4</v>
      </c>
    </row>
    <row r="224" spans="1:11">
      <c r="A224" s="8">
        <v>14</v>
      </c>
      <c r="B224" s="22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1E-4</v>
      </c>
      <c r="H224" s="14">
        <v>7.8399999999999997E-2</v>
      </c>
      <c r="I224" s="14">
        <v>1.1626000000000001</v>
      </c>
      <c r="J224" s="14">
        <v>1.29E-2</v>
      </c>
      <c r="K224" s="14">
        <v>1E-4</v>
      </c>
    </row>
    <row r="225" spans="1:11">
      <c r="A225" s="8">
        <v>5</v>
      </c>
      <c r="B225" s="22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3.5700000000000003E-2</v>
      </c>
      <c r="H225" s="14">
        <v>1E-4</v>
      </c>
      <c r="I225" s="14">
        <v>1.1926000000000001</v>
      </c>
      <c r="J225" s="14">
        <v>1.04E-2</v>
      </c>
      <c r="K225" s="14">
        <v>1E-4</v>
      </c>
    </row>
    <row r="226" spans="1:11">
      <c r="A226" s="8">
        <v>7</v>
      </c>
      <c r="B226" s="22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0.1183</v>
      </c>
      <c r="H226" s="14">
        <v>1E-4</v>
      </c>
      <c r="I226" s="14">
        <v>0.41320000000000001</v>
      </c>
      <c r="J226" s="14">
        <v>5.3E-3</v>
      </c>
      <c r="K226" s="14">
        <v>1E-4</v>
      </c>
    </row>
    <row r="227" spans="1:11">
      <c r="A227" s="8">
        <v>14</v>
      </c>
      <c r="B227" s="22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2.18E-2</v>
      </c>
      <c r="H227" s="14">
        <v>1E-4</v>
      </c>
      <c r="I227" s="14">
        <v>0.38</v>
      </c>
      <c r="J227" s="14">
        <v>4.3E-3</v>
      </c>
      <c r="K227" s="14">
        <v>1E-4</v>
      </c>
    </row>
    <row r="228" spans="1:11">
      <c r="A228" s="12">
        <v>5</v>
      </c>
      <c r="B228" s="22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9.4399999999999998E-2</v>
      </c>
      <c r="H228" s="14">
        <v>1E-4</v>
      </c>
      <c r="I228" s="14">
        <v>1.8855</v>
      </c>
      <c r="J228" s="14">
        <v>3.6499999999999998E-2</v>
      </c>
      <c r="K228" s="14">
        <v>1E-4</v>
      </c>
    </row>
    <row r="229" spans="1:11">
      <c r="A229" s="12">
        <v>7</v>
      </c>
      <c r="B229" s="22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0.1101</v>
      </c>
      <c r="H229" s="14">
        <v>1E-4</v>
      </c>
      <c r="I229" s="14">
        <v>0.58250000000000002</v>
      </c>
      <c r="J229" s="14">
        <v>2.06E-2</v>
      </c>
      <c r="K229" s="14">
        <v>1E-4</v>
      </c>
    </row>
    <row r="230" spans="1:11">
      <c r="A230" s="12">
        <v>14</v>
      </c>
      <c r="B230" s="22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8.3699999999999997E-2</v>
      </c>
      <c r="H230" s="14">
        <v>1E-4</v>
      </c>
      <c r="I230" s="14">
        <v>0.57779999999999998</v>
      </c>
      <c r="J230" s="14">
        <v>1.4E-2</v>
      </c>
      <c r="K230" s="14">
        <v>1E-4</v>
      </c>
    </row>
    <row r="231" spans="1:11">
      <c r="A231" s="12">
        <v>5</v>
      </c>
      <c r="B231" s="22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6.7000000000000004E-2</v>
      </c>
      <c r="H231" s="14">
        <v>7.0699999999999999E-2</v>
      </c>
      <c r="I231" s="14">
        <v>2.7787999999999999</v>
      </c>
      <c r="J231" s="14">
        <v>7.2099999999999997E-2</v>
      </c>
      <c r="K231" s="14">
        <v>1E-4</v>
      </c>
    </row>
    <row r="232" spans="1:11">
      <c r="A232" s="12">
        <v>7</v>
      </c>
      <c r="B232" s="22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0.1928</v>
      </c>
      <c r="H232" s="14">
        <v>2.75E-2</v>
      </c>
      <c r="I232" s="14">
        <v>0.67820000000000003</v>
      </c>
      <c r="J232" s="14">
        <v>5.0099999999999999E-2</v>
      </c>
      <c r="K232" s="14">
        <v>1E-4</v>
      </c>
    </row>
    <row r="233" spans="1:11">
      <c r="A233" s="12">
        <v>14</v>
      </c>
      <c r="B233" s="22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8.1699999999999995E-2</v>
      </c>
      <c r="H233" s="14">
        <v>4.2999999999999997E-2</v>
      </c>
      <c r="I233" s="14">
        <v>0.84499999999999997</v>
      </c>
      <c r="J233" s="14">
        <v>6.25E-2</v>
      </c>
      <c r="K233" s="14">
        <v>1E-4</v>
      </c>
    </row>
    <row r="234" spans="1:11">
      <c r="A234" s="12">
        <v>5</v>
      </c>
      <c r="B234" s="22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3.4700000000000002E-2</v>
      </c>
      <c r="H234" s="14">
        <v>7.8299999999999995E-2</v>
      </c>
      <c r="I234" s="14">
        <v>1.4623999999999999</v>
      </c>
      <c r="J234" s="14">
        <v>3.4000000000000002E-2</v>
      </c>
      <c r="K234" s="14">
        <v>1E-4</v>
      </c>
    </row>
    <row r="235" spans="1:11">
      <c r="A235" s="12">
        <v>7</v>
      </c>
      <c r="B235" s="22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3.2199999999999999E-2</v>
      </c>
      <c r="H235" s="14">
        <v>2.0199999999999999E-2</v>
      </c>
      <c r="I235" s="14">
        <v>0.24199999999999999</v>
      </c>
      <c r="J235" s="14">
        <v>1.7500000000000002E-2</v>
      </c>
      <c r="K235" s="14">
        <v>1E-4</v>
      </c>
    </row>
    <row r="236" spans="1:11">
      <c r="A236" s="12">
        <v>14</v>
      </c>
      <c r="B236" s="22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1.6500000000000001E-2</v>
      </c>
      <c r="H236" s="14">
        <v>5.1299999999999998E-2</v>
      </c>
      <c r="I236" s="14">
        <v>0.35289999999999999</v>
      </c>
      <c r="J236" s="14">
        <v>2.01E-2</v>
      </c>
      <c r="K236" s="14">
        <v>1E-4</v>
      </c>
    </row>
    <row r="237" spans="1:11">
      <c r="A237" s="12">
        <v>5</v>
      </c>
      <c r="B237" s="9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0.64249999999999996</v>
      </c>
      <c r="H237" s="14">
        <v>0.34320000000000001</v>
      </c>
      <c r="I237" s="14">
        <v>2.5569000000000002</v>
      </c>
      <c r="J237" s="14">
        <v>0.1028</v>
      </c>
      <c r="K237" s="14">
        <v>1E-4</v>
      </c>
    </row>
    <row r="238" spans="1:11">
      <c r="A238" s="12">
        <v>7</v>
      </c>
      <c r="B238" s="9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1.2434000000000001</v>
      </c>
      <c r="H238" s="14">
        <v>2.81E-2</v>
      </c>
      <c r="I238" s="14">
        <v>0.1779</v>
      </c>
      <c r="J238" s="14">
        <v>1.9800000000000002E-2</v>
      </c>
      <c r="K238" s="14">
        <v>1E-4</v>
      </c>
    </row>
    <row r="239" spans="1:11">
      <c r="A239" s="12">
        <v>14</v>
      </c>
      <c r="B239" s="9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0.17150000000000001</v>
      </c>
      <c r="H239" s="14">
        <v>1E-4</v>
      </c>
      <c r="I239" s="14">
        <v>0.1201</v>
      </c>
      <c r="J239" s="14">
        <v>1.2800000000000001E-2</v>
      </c>
      <c r="K239" s="14">
        <v>1E-4</v>
      </c>
    </row>
    <row r="240" spans="1:11">
      <c r="A240" s="12">
        <v>5</v>
      </c>
      <c r="B240" s="9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0.1125</v>
      </c>
      <c r="H240" s="14">
        <v>0.71540000000000004</v>
      </c>
      <c r="I240" s="14">
        <v>4.0697000000000001</v>
      </c>
      <c r="J240" s="14">
        <v>0.185</v>
      </c>
      <c r="K240" s="14">
        <v>1E-4</v>
      </c>
    </row>
    <row r="241" spans="1:11">
      <c r="A241" s="12">
        <v>7</v>
      </c>
      <c r="B241" s="9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4.2900000000000001E-2</v>
      </c>
      <c r="H241" s="14">
        <v>0.65800000000000003</v>
      </c>
      <c r="I241" s="14">
        <v>4.6253000000000002</v>
      </c>
      <c r="J241" s="14">
        <v>0.21060000000000001</v>
      </c>
      <c r="K241" s="14">
        <v>1E-4</v>
      </c>
    </row>
    <row r="242" spans="1:11">
      <c r="A242" s="12">
        <v>14</v>
      </c>
      <c r="B242" s="9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2.6599999999999999E-2</v>
      </c>
      <c r="H242" s="14">
        <v>0.49399999999999999</v>
      </c>
      <c r="I242" s="14">
        <v>2.927</v>
      </c>
      <c r="J242" s="14">
        <v>0.17280000000000001</v>
      </c>
      <c r="K242" s="14">
        <v>1E-4</v>
      </c>
    </row>
    <row r="243" spans="1:11">
      <c r="A243" s="12">
        <v>5</v>
      </c>
      <c r="B243" s="9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2.4500000000000001E-2</v>
      </c>
      <c r="H243" s="14">
        <v>1.7673000000000001</v>
      </c>
      <c r="I243" s="14">
        <v>6.9710999999999999</v>
      </c>
      <c r="J243" s="14">
        <v>0.29759999999999998</v>
      </c>
      <c r="K243" s="14">
        <v>1E-4</v>
      </c>
    </row>
    <row r="244" spans="1:11">
      <c r="A244" s="12">
        <v>7</v>
      </c>
      <c r="B244" s="9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5.3699999999999998E-2</v>
      </c>
      <c r="H244" s="14">
        <v>2.0459999999999998</v>
      </c>
      <c r="I244" s="14">
        <v>8.1868999999999996</v>
      </c>
      <c r="J244" s="14">
        <v>0.8488</v>
      </c>
      <c r="K244" s="14">
        <v>4.8399999999999999E-2</v>
      </c>
    </row>
    <row r="245" spans="1:11">
      <c r="A245" s="12">
        <v>14</v>
      </c>
      <c r="B245" s="9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3.7400000000000003E-2</v>
      </c>
      <c r="H245" s="14">
        <v>1.6073</v>
      </c>
      <c r="I245" s="14">
        <v>5.0462999999999996</v>
      </c>
      <c r="J245" s="14">
        <v>0.58809999999999996</v>
      </c>
      <c r="K245" s="14">
        <v>1E-4</v>
      </c>
    </row>
    <row r="246" spans="1:11">
      <c r="A246" s="12">
        <v>5</v>
      </c>
      <c r="B246" s="9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6.7699999999999996E-2</v>
      </c>
      <c r="H246" s="14">
        <v>1E-4</v>
      </c>
      <c r="I246" s="14">
        <v>1.1283000000000001</v>
      </c>
      <c r="J246" s="14">
        <v>2.0190000000000001</v>
      </c>
      <c r="K246" s="14">
        <v>1E-4</v>
      </c>
    </row>
    <row r="247" spans="1:11">
      <c r="A247" s="12">
        <v>7</v>
      </c>
      <c r="B247" s="9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0.28820000000000001</v>
      </c>
      <c r="H247" s="14">
        <v>1E-4</v>
      </c>
      <c r="I247" s="14">
        <v>5.2392000000000003</v>
      </c>
      <c r="J247" s="14">
        <v>2.8065000000000002</v>
      </c>
      <c r="K247" s="14">
        <v>1E-4</v>
      </c>
    </row>
    <row r="248" spans="1:11">
      <c r="A248" s="12">
        <v>14</v>
      </c>
      <c r="B248" s="9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0.1016</v>
      </c>
      <c r="H248" s="14">
        <v>1E-4</v>
      </c>
      <c r="I248" s="14">
        <v>2.0116999999999998</v>
      </c>
      <c r="J248" s="14">
        <v>1.1636</v>
      </c>
      <c r="K248" s="14">
        <v>1E-4</v>
      </c>
    </row>
    <row r="249" spans="1:11">
      <c r="A249" s="12">
        <v>5</v>
      </c>
      <c r="B249" s="9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7.9799999999999996E-2</v>
      </c>
      <c r="H249" s="14">
        <v>1E-4</v>
      </c>
      <c r="I249" s="14">
        <v>7.1170999999999998</v>
      </c>
      <c r="J249" s="14">
        <v>0.60070000000000001</v>
      </c>
      <c r="K249" s="14">
        <v>1E-4</v>
      </c>
    </row>
    <row r="250" spans="1:11">
      <c r="A250" s="12">
        <v>7</v>
      </c>
      <c r="B250" s="9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0.16400000000000001</v>
      </c>
      <c r="H250" s="14">
        <v>1E-4</v>
      </c>
      <c r="I250" s="14">
        <v>9.1367999999999991</v>
      </c>
      <c r="J250" s="14">
        <v>2.2038000000000002</v>
      </c>
      <c r="K250" s="14">
        <v>1E-4</v>
      </c>
    </row>
    <row r="251" spans="1:11">
      <c r="A251" s="12">
        <v>14</v>
      </c>
      <c r="B251" s="9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8.1100000000000005E-2</v>
      </c>
      <c r="H251" s="14">
        <v>1E-4</v>
      </c>
      <c r="I251" s="14">
        <v>5.665</v>
      </c>
      <c r="J251" s="14">
        <v>1.0821000000000001</v>
      </c>
      <c r="K251" s="14">
        <v>1E-4</v>
      </c>
    </row>
    <row r="252" spans="1:11">
      <c r="A252" s="12">
        <v>5</v>
      </c>
      <c r="B252" s="9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5.6399999999999999E-2</v>
      </c>
      <c r="H252" s="14">
        <v>1E-4</v>
      </c>
      <c r="I252" s="14">
        <v>6.3269000000000002</v>
      </c>
      <c r="J252" s="14">
        <v>0.4158</v>
      </c>
      <c r="K252" s="14">
        <v>1E-4</v>
      </c>
    </row>
    <row r="253" spans="1:11">
      <c r="A253" s="12">
        <v>7</v>
      </c>
      <c r="B253" s="9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0.82620000000000005</v>
      </c>
      <c r="H253" s="14">
        <v>1E-4</v>
      </c>
      <c r="I253" s="14">
        <v>6.7244999999999999</v>
      </c>
      <c r="J253" s="14">
        <v>0.25269999999999998</v>
      </c>
      <c r="K253" s="14">
        <v>1E-4</v>
      </c>
    </row>
    <row r="254" spans="1:11">
      <c r="A254" s="12">
        <v>14</v>
      </c>
      <c r="B254" s="9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0.14249999999999999</v>
      </c>
      <c r="H254" s="14">
        <v>1E-4</v>
      </c>
      <c r="I254" s="14">
        <v>4.8068999999999997</v>
      </c>
      <c r="J254" s="14">
        <v>0.2291</v>
      </c>
      <c r="K254" s="14">
        <v>1E-4</v>
      </c>
    </row>
    <row r="255" spans="1:11">
      <c r="A255" s="12">
        <v>5</v>
      </c>
      <c r="B255" s="9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0.05</v>
      </c>
      <c r="H255" s="14">
        <v>9.9989999999999996E-4</v>
      </c>
      <c r="I255" s="14">
        <v>0.66</v>
      </c>
      <c r="J255" s="14">
        <v>6.4000000000000001E-2</v>
      </c>
      <c r="K255" s="14">
        <v>9.9989999999999996E-4</v>
      </c>
    </row>
    <row r="256" spans="1:11">
      <c r="A256" s="12">
        <v>7</v>
      </c>
      <c r="B256" s="9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0.24099999999999999</v>
      </c>
      <c r="H256" s="14">
        <v>9.9989999999999996E-4</v>
      </c>
      <c r="I256" s="14">
        <v>1.6879999999999999</v>
      </c>
      <c r="J256" s="14">
        <v>0.20899999999999999</v>
      </c>
      <c r="K256" s="14">
        <v>9.9989999999999996E-4</v>
      </c>
    </row>
    <row r="257" spans="1:11">
      <c r="A257" s="12">
        <v>14</v>
      </c>
      <c r="B257" s="9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0.377</v>
      </c>
      <c r="H257" s="14">
        <v>9.9989999999999996E-4</v>
      </c>
      <c r="I257" s="14">
        <v>0.38500000000000001</v>
      </c>
      <c r="J257" s="14">
        <v>0.10199999999999999</v>
      </c>
      <c r="K257" s="14">
        <v>9.9989999999999996E-4</v>
      </c>
    </row>
    <row r="258" spans="1:11">
      <c r="A258" s="12">
        <v>5</v>
      </c>
      <c r="B258" s="9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4.2999999999999997E-2</v>
      </c>
      <c r="H258" s="14">
        <v>0.40899999999999997</v>
      </c>
      <c r="I258" s="14">
        <v>4.8460000000000001</v>
      </c>
      <c r="J258" s="14">
        <v>0.13300000000000001</v>
      </c>
      <c r="K258" s="14">
        <v>9.9989999999999996E-4</v>
      </c>
    </row>
    <row r="259" spans="1:11">
      <c r="A259" s="12">
        <v>7</v>
      </c>
      <c r="B259" s="9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0.46600000000000003</v>
      </c>
      <c r="H259" s="14">
        <v>9.9989999999999996E-4</v>
      </c>
      <c r="I259" s="14">
        <v>0.23699999999999999</v>
      </c>
      <c r="J259" s="14">
        <v>1.6E-2</v>
      </c>
      <c r="K259" s="14">
        <v>9.9989999999999996E-4</v>
      </c>
    </row>
    <row r="260" spans="1:11">
      <c r="A260" s="12">
        <v>14</v>
      </c>
      <c r="B260" s="9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4.8000000000000001E-2</v>
      </c>
      <c r="H260" s="14">
        <v>9.9989999999999996E-4</v>
      </c>
      <c r="I260" s="14">
        <v>0.26</v>
      </c>
      <c r="J260" s="14">
        <v>2.1000000000000001E-2</v>
      </c>
      <c r="K260" s="14">
        <v>9.9989999999999996E-4</v>
      </c>
    </row>
    <row r="261" spans="1:11">
      <c r="A261" s="12">
        <v>5</v>
      </c>
      <c r="B261" s="22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0.20300000000000001</v>
      </c>
      <c r="H261" s="14">
        <v>0.61799999999999999</v>
      </c>
      <c r="I261" s="14">
        <v>2.859</v>
      </c>
      <c r="J261" s="14">
        <v>0.19900000000000001</v>
      </c>
      <c r="K261" s="14">
        <v>9.9989999999999996E-4</v>
      </c>
    </row>
    <row r="262" spans="1:11">
      <c r="A262" s="12">
        <v>7</v>
      </c>
      <c r="B262" s="22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0.60199999999999998</v>
      </c>
      <c r="H262" s="14">
        <v>9.9989999999999996E-4</v>
      </c>
      <c r="I262" s="14">
        <v>0.42499999999999999</v>
      </c>
      <c r="J262" s="14">
        <v>4.8000000000000001E-2</v>
      </c>
      <c r="K262" s="14">
        <v>9.9989999999999996E-4</v>
      </c>
    </row>
    <row r="263" spans="1:11">
      <c r="A263" s="12">
        <v>14</v>
      </c>
      <c r="B263" s="22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0.23400000000000001</v>
      </c>
      <c r="H263" s="14">
        <v>9.9989999999999996E-4</v>
      </c>
      <c r="I263" s="14">
        <v>0.32800000000000001</v>
      </c>
      <c r="J263" s="14">
        <v>4.8000000000000001E-2</v>
      </c>
      <c r="K263" s="14">
        <v>9.9989999999999996E-4</v>
      </c>
    </row>
    <row r="264" spans="1:11">
      <c r="A264" s="15">
        <v>5</v>
      </c>
      <c r="B264" s="22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7.1999999999999995E-2</v>
      </c>
      <c r="H264" s="14">
        <v>8.1000000000000003E-2</v>
      </c>
      <c r="I264" s="14">
        <v>3.1070000000000002</v>
      </c>
      <c r="J264" s="14">
        <v>0.106</v>
      </c>
      <c r="K264" s="14">
        <v>9.9989999999999996E-4</v>
      </c>
    </row>
    <row r="265" spans="1:11">
      <c r="A265" s="15">
        <v>7</v>
      </c>
      <c r="B265" s="22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0.34799999999999998</v>
      </c>
      <c r="H265" s="14">
        <v>9.9989999999999996E-4</v>
      </c>
      <c r="I265" s="14">
        <v>0.26700000000000002</v>
      </c>
      <c r="J265" s="14">
        <v>1.0999999999999999E-2</v>
      </c>
      <c r="K265" s="14">
        <v>9.9989999999999996E-4</v>
      </c>
    </row>
    <row r="266" spans="1:11">
      <c r="A266" s="15">
        <v>14</v>
      </c>
      <c r="B266" s="22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8.4000000000000005E-2</v>
      </c>
      <c r="H266" s="14">
        <v>9.9989999999999996E-4</v>
      </c>
      <c r="I266" s="14">
        <v>0.374</v>
      </c>
      <c r="J266" s="14">
        <v>1.2999999999999999E-2</v>
      </c>
      <c r="K266" s="14">
        <v>9.9989999999999996E-4</v>
      </c>
    </row>
    <row r="267" spans="1:11">
      <c r="A267" s="15">
        <v>5</v>
      </c>
      <c r="B267" s="22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9.9000000000000005E-2</v>
      </c>
      <c r="H267" s="14">
        <v>3.9E-2</v>
      </c>
      <c r="I267" s="14">
        <v>1.9039999999999999</v>
      </c>
      <c r="J267" s="14">
        <v>5.6000000000000001E-2</v>
      </c>
      <c r="K267" s="14">
        <v>9.9989999999999996E-4</v>
      </c>
    </row>
    <row r="268" spans="1:11">
      <c r="A268" s="15">
        <v>7</v>
      </c>
      <c r="B268" s="22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0.379</v>
      </c>
      <c r="H268" s="14">
        <v>9.9989999999999996E-4</v>
      </c>
      <c r="I268" s="14">
        <v>2.3839999999999999</v>
      </c>
      <c r="J268" s="14">
        <v>3.5999999999999997E-2</v>
      </c>
      <c r="K268" s="14">
        <v>9.9989999999999996E-4</v>
      </c>
    </row>
    <row r="269" spans="1:11">
      <c r="A269" s="15">
        <v>14</v>
      </c>
      <c r="B269" s="22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0.104</v>
      </c>
      <c r="H269" s="14">
        <v>3.5999999999999997E-2</v>
      </c>
      <c r="I269" s="14">
        <v>1.617</v>
      </c>
      <c r="J269" s="14">
        <v>2.4E-2</v>
      </c>
      <c r="K269" s="14">
        <v>9.9989999999999996E-4</v>
      </c>
    </row>
    <row r="270" spans="1:11">
      <c r="A270" s="15">
        <v>5</v>
      </c>
      <c r="B270" s="22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6.9000000000000006E-2</v>
      </c>
      <c r="H270" s="14">
        <v>5.8999999999999997E-2</v>
      </c>
      <c r="I270" s="14">
        <v>1.2689999999999999</v>
      </c>
      <c r="J270" s="14">
        <v>2.1999999999999999E-2</v>
      </c>
      <c r="K270" s="14">
        <v>9.9989999999999996E-4</v>
      </c>
    </row>
    <row r="271" spans="1:11">
      <c r="A271" s="15">
        <v>7</v>
      </c>
      <c r="B271" s="22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0.186</v>
      </c>
      <c r="H271" s="14">
        <v>3.7999999999999999E-2</v>
      </c>
      <c r="I271" s="14">
        <v>0.749</v>
      </c>
      <c r="J271" s="14">
        <v>4.7E-2</v>
      </c>
      <c r="K271" s="14">
        <v>9.9989999999999996E-4</v>
      </c>
    </row>
    <row r="272" spans="1:11">
      <c r="A272" s="15">
        <v>14</v>
      </c>
      <c r="B272" s="22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5.1999999999999998E-2</v>
      </c>
      <c r="H272" s="14">
        <v>6.9000000000000006E-2</v>
      </c>
      <c r="I272" s="14">
        <v>0.73399999999999999</v>
      </c>
      <c r="J272" s="14">
        <v>0.03</v>
      </c>
      <c r="K272" s="14">
        <v>9.9989999999999996E-4</v>
      </c>
    </row>
    <row r="273" spans="1:11">
      <c r="A273" s="15">
        <v>5</v>
      </c>
      <c r="B273" s="22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9.9000000000000005E-2</v>
      </c>
      <c r="H273" s="14">
        <v>3.7999999999999999E-2</v>
      </c>
      <c r="I273" s="14">
        <v>2.0339999999999998</v>
      </c>
      <c r="J273" s="14">
        <v>1.2999999999999999E-2</v>
      </c>
      <c r="K273" s="14">
        <v>9.9989999999999996E-4</v>
      </c>
    </row>
    <row r="274" spans="1:11">
      <c r="A274" s="15">
        <v>7</v>
      </c>
      <c r="B274" s="22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7.9000000000000001E-2</v>
      </c>
      <c r="H274" s="14">
        <v>9.9989999999999996E-4</v>
      </c>
      <c r="I274" s="14">
        <v>0.77500000000000002</v>
      </c>
      <c r="J274" s="14">
        <v>7.0000000000000001E-3</v>
      </c>
      <c r="K274" s="14">
        <v>9.9989999999999996E-4</v>
      </c>
    </row>
    <row r="275" spans="1:11">
      <c r="A275" s="15">
        <v>14</v>
      </c>
      <c r="B275" s="22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1.6E-2</v>
      </c>
      <c r="H275" s="14">
        <v>9.9989999999999996E-4</v>
      </c>
      <c r="I275" s="14">
        <v>0.76</v>
      </c>
      <c r="J275" s="14">
        <v>7.0000000000000001E-3</v>
      </c>
      <c r="K275" s="14">
        <v>9.9989999999999996E-4</v>
      </c>
    </row>
    <row r="276" spans="1:11">
      <c r="A276" s="15">
        <v>5</v>
      </c>
      <c r="B276" s="22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5.8999999999999997E-2</v>
      </c>
      <c r="H276" s="14">
        <v>2.1469999999999998</v>
      </c>
      <c r="I276" s="14">
        <v>5.2670000000000003</v>
      </c>
      <c r="J276" s="14">
        <v>0.113</v>
      </c>
      <c r="K276" s="14">
        <v>0.01</v>
      </c>
    </row>
    <row r="277" spans="1:11">
      <c r="A277" s="15">
        <v>7</v>
      </c>
      <c r="B277" s="22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0.185</v>
      </c>
      <c r="H277" s="14">
        <v>1.7090000000000001</v>
      </c>
      <c r="I277" s="14">
        <v>5.742</v>
      </c>
      <c r="J277" s="14">
        <v>0.14899999999999999</v>
      </c>
      <c r="K277" s="14">
        <v>1.2E-2</v>
      </c>
    </row>
    <row r="278" spans="1:11">
      <c r="A278" s="15">
        <v>14</v>
      </c>
      <c r="B278" s="22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0.104</v>
      </c>
      <c r="H278" s="14">
        <v>1.768</v>
      </c>
      <c r="I278" s="14">
        <v>4.125</v>
      </c>
      <c r="J278" s="14">
        <v>0.14000000000000001</v>
      </c>
      <c r="K278" s="14">
        <v>1.4999999999999999E-2</v>
      </c>
    </row>
    <row r="279" spans="1:11">
      <c r="A279" s="15">
        <v>5</v>
      </c>
      <c r="B279" s="22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3.5999999999999997E-2</v>
      </c>
      <c r="H279" s="14">
        <v>8.7569999999999997</v>
      </c>
      <c r="I279" s="14">
        <v>12.96</v>
      </c>
      <c r="J279" s="14">
        <v>0.51900000000000002</v>
      </c>
      <c r="K279" s="14">
        <v>1.0999999999999999E-2</v>
      </c>
    </row>
    <row r="280" spans="1:11">
      <c r="A280" s="15">
        <v>7</v>
      </c>
      <c r="B280" s="22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0.11700000000000001</v>
      </c>
      <c r="H280" s="14">
        <v>1.327</v>
      </c>
      <c r="I280" s="14">
        <v>6.5380000000000003</v>
      </c>
      <c r="J280" s="14">
        <v>1.1080000000000001</v>
      </c>
      <c r="K280" s="14">
        <v>0.06</v>
      </c>
    </row>
    <row r="281" spans="1:11">
      <c r="A281" s="15">
        <v>14</v>
      </c>
      <c r="B281" s="22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8.6999999999999994E-2</v>
      </c>
      <c r="H281" s="14">
        <v>5.7919999999999998</v>
      </c>
      <c r="I281" s="14">
        <v>10.273999999999999</v>
      </c>
      <c r="J281" s="14">
        <v>0.624</v>
      </c>
      <c r="K281" s="14">
        <v>1.9E-2</v>
      </c>
    </row>
    <row r="282" spans="1:11">
      <c r="A282" s="15">
        <v>5</v>
      </c>
      <c r="B282" s="22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0.127</v>
      </c>
      <c r="H282" s="14">
        <v>9.9989999999999996E-4</v>
      </c>
      <c r="I282" s="14">
        <v>1.6439999999999999</v>
      </c>
      <c r="J282" s="14">
        <v>2.4990000000000001</v>
      </c>
      <c r="K282" s="14">
        <v>9.9989999999999996E-4</v>
      </c>
    </row>
    <row r="283" spans="1:11">
      <c r="A283" s="15">
        <v>7</v>
      </c>
      <c r="B283" s="22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0.29699999999999999</v>
      </c>
      <c r="H283" s="14">
        <v>4.8000000000000001E-2</v>
      </c>
      <c r="I283" s="14">
        <v>3.3530000000000002</v>
      </c>
      <c r="J283" s="14">
        <v>1.536</v>
      </c>
      <c r="K283" s="14">
        <v>9.9989999999999996E-4</v>
      </c>
    </row>
    <row r="284" spans="1:11">
      <c r="A284" s="15">
        <v>14</v>
      </c>
      <c r="B284" s="22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0.10100000000000001</v>
      </c>
      <c r="H284" s="14">
        <v>9.9989999999999996E-4</v>
      </c>
      <c r="I284" s="14">
        <v>1.7450000000000001</v>
      </c>
      <c r="J284" s="14">
        <v>0.85599999999999998</v>
      </c>
      <c r="K284" s="14">
        <v>9.9989999999999996E-4</v>
      </c>
    </row>
    <row r="285" spans="1:11">
      <c r="A285" s="15">
        <v>5</v>
      </c>
      <c r="B285" s="22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0.20599999999999999</v>
      </c>
      <c r="H285" s="14">
        <v>9.9989999999999996E-4</v>
      </c>
      <c r="I285" s="14">
        <v>1.379</v>
      </c>
      <c r="J285" s="14">
        <v>2.9750000000000001</v>
      </c>
      <c r="K285" s="14">
        <v>9.9989999999999996E-4</v>
      </c>
    </row>
    <row r="286" spans="1:11">
      <c r="A286" s="15">
        <v>7</v>
      </c>
      <c r="B286" s="22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0.56200000000000006</v>
      </c>
      <c r="H286" s="14">
        <v>9.9989999999999996E-4</v>
      </c>
      <c r="I286" s="14">
        <v>5.37</v>
      </c>
      <c r="J286" s="14">
        <v>1.4239999999999999</v>
      </c>
      <c r="K286" s="14">
        <v>9.9989999999999996E-4</v>
      </c>
    </row>
    <row r="287" spans="1:11">
      <c r="A287" s="15">
        <v>14</v>
      </c>
      <c r="B287" s="22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0.73599999999999999</v>
      </c>
      <c r="H287" s="14">
        <v>9.9989999999999996E-4</v>
      </c>
      <c r="I287" s="14">
        <v>3.89</v>
      </c>
      <c r="J287" s="14">
        <v>0.52300000000000002</v>
      </c>
      <c r="K287" s="14">
        <v>9.9989999999999996E-4</v>
      </c>
    </row>
    <row r="288" spans="1:11">
      <c r="A288" s="15">
        <v>5</v>
      </c>
      <c r="B288" s="22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0.121</v>
      </c>
      <c r="H288" s="14">
        <v>4.5999999999999999E-2</v>
      </c>
      <c r="I288" s="14">
        <v>5.0839999999999996</v>
      </c>
      <c r="J288" s="14">
        <v>0.93899999999999995</v>
      </c>
      <c r="K288" s="14">
        <v>9.9989999999999996E-4</v>
      </c>
    </row>
    <row r="289" spans="1:11">
      <c r="A289" s="15">
        <v>7</v>
      </c>
      <c r="B289" s="22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9.9989999999999996E-4</v>
      </c>
      <c r="H289" s="14">
        <v>3.5999999999999997E-2</v>
      </c>
      <c r="I289" s="14">
        <v>9.4120000000000008</v>
      </c>
      <c r="J289" s="14">
        <v>0.66400000000000003</v>
      </c>
      <c r="K289" s="14">
        <v>9.9989999999999996E-4</v>
      </c>
    </row>
    <row r="290" spans="1:11">
      <c r="A290" s="15">
        <v>14</v>
      </c>
      <c r="B290" s="22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0.04</v>
      </c>
      <c r="H290" s="14">
        <v>9.9989999999999996E-4</v>
      </c>
      <c r="I290" s="14">
        <v>6.0259999999999998</v>
      </c>
      <c r="J290" s="14">
        <v>0.22800000000000001</v>
      </c>
      <c r="K290" s="14">
        <v>9.9989999999999996E-4</v>
      </c>
    </row>
    <row r="291" spans="1:11">
      <c r="A291" s="15">
        <v>5</v>
      </c>
      <c r="B291" s="22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9.9989999999999996E-4</v>
      </c>
      <c r="H291" s="14">
        <v>9.9989999999999996E-4</v>
      </c>
      <c r="I291" s="14">
        <v>1.879</v>
      </c>
      <c r="J291" s="14">
        <v>0.39</v>
      </c>
      <c r="K291" s="14">
        <v>9.9989999999999996E-4</v>
      </c>
    </row>
    <row r="292" spans="1:11">
      <c r="A292" s="15">
        <v>7</v>
      </c>
      <c r="B292" s="22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1.9E-2</v>
      </c>
      <c r="H292" s="14">
        <v>9.9989999999999996E-4</v>
      </c>
      <c r="I292" s="14">
        <v>1.0669999999999999</v>
      </c>
      <c r="J292" s="14">
        <v>3.7999999999999999E-2</v>
      </c>
      <c r="K292" s="14">
        <v>9.9989999999999996E-4</v>
      </c>
    </row>
    <row r="293" spans="1:11">
      <c r="A293" s="15">
        <v>14</v>
      </c>
      <c r="B293" s="22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9.9989999999999996E-4</v>
      </c>
      <c r="H293" s="14">
        <v>9.9989999999999996E-4</v>
      </c>
      <c r="I293" s="14">
        <v>0.57499999999999996</v>
      </c>
      <c r="J293" s="14">
        <v>2.1000000000000001E-2</v>
      </c>
      <c r="K293" s="14">
        <v>9.9989999999999996E-4</v>
      </c>
    </row>
    <row r="294" spans="1:11">
      <c r="A294" s="15">
        <v>5</v>
      </c>
      <c r="B294" s="22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0.04</v>
      </c>
      <c r="H294" s="14">
        <v>1.2E-2</v>
      </c>
      <c r="I294" s="14">
        <v>0.76900000000000002</v>
      </c>
      <c r="J294" s="14">
        <v>7.6999999999999999E-2</v>
      </c>
      <c r="K294" s="14">
        <v>9.9989999999999996E-4</v>
      </c>
    </row>
    <row r="295" spans="1:11">
      <c r="A295" s="15">
        <v>7</v>
      </c>
      <c r="B295" s="22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3.9E-2</v>
      </c>
      <c r="H295" s="14">
        <v>9.9989999999999996E-4</v>
      </c>
      <c r="I295" s="14">
        <v>0.32700000000000001</v>
      </c>
      <c r="J295" s="14">
        <v>0.01</v>
      </c>
      <c r="K295" s="14">
        <v>9.9989999999999996E-4</v>
      </c>
    </row>
    <row r="296" spans="1:11">
      <c r="A296" s="15">
        <v>14</v>
      </c>
      <c r="B296" s="22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9.9989999999999996E-4</v>
      </c>
      <c r="H296" s="14">
        <v>9.9989999999999996E-4</v>
      </c>
      <c r="I296" s="14">
        <v>0.17699999999999999</v>
      </c>
      <c r="J296" s="14">
        <v>8.0000000000000002E-3</v>
      </c>
      <c r="K296" s="14">
        <v>9.9989999999999996E-4</v>
      </c>
    </row>
    <row r="297" spans="1:11">
      <c r="A297" s="15">
        <v>5</v>
      </c>
      <c r="B297" s="22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0.10299999999999999</v>
      </c>
      <c r="H297" s="14">
        <v>9.9989999999999996E-4</v>
      </c>
      <c r="I297" s="14">
        <v>0.68899999999999995</v>
      </c>
      <c r="J297" s="14">
        <v>1.6E-2</v>
      </c>
      <c r="K297" s="14">
        <v>9.9989999999999996E-4</v>
      </c>
    </row>
    <row r="298" spans="1:11">
      <c r="A298" s="15">
        <v>7</v>
      </c>
      <c r="B298" s="22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0.46</v>
      </c>
      <c r="H298" s="14">
        <v>9.9989999999999996E-4</v>
      </c>
      <c r="I298" s="14">
        <v>0.20799999999999999</v>
      </c>
      <c r="J298" s="14">
        <v>1.2E-2</v>
      </c>
      <c r="K298" s="14">
        <v>9.9989999999999996E-4</v>
      </c>
    </row>
    <row r="299" spans="1:11">
      <c r="A299" s="15">
        <v>14</v>
      </c>
      <c r="B299" s="22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4.2999999999999997E-2</v>
      </c>
      <c r="H299" s="14">
        <v>9.9989999999999996E-4</v>
      </c>
      <c r="I299" s="14">
        <v>0.10100000000000001</v>
      </c>
      <c r="J299" s="14">
        <v>8.9999999999999993E-3</v>
      </c>
      <c r="K299" s="14">
        <v>9.9989999999999996E-4</v>
      </c>
    </row>
    <row r="300" spans="1:11">
      <c r="A300" s="15">
        <v>5</v>
      </c>
      <c r="B300" s="22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0.19</v>
      </c>
      <c r="H300" s="23">
        <v>1.7999999999999999E-2</v>
      </c>
      <c r="I300" s="23">
        <v>0.67200000000000004</v>
      </c>
      <c r="J300" s="23">
        <v>9.1999999999999998E-2</v>
      </c>
      <c r="K300" s="23">
        <v>9.9989999999999996E-4</v>
      </c>
    </row>
    <row r="301" spans="1:11">
      <c r="A301" s="15">
        <v>7</v>
      </c>
      <c r="B301" s="22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9.6000000000000002E-2</v>
      </c>
      <c r="H301" s="23">
        <v>9.9989999999999996E-4</v>
      </c>
      <c r="I301" s="23">
        <v>0.18099999999999999</v>
      </c>
      <c r="J301" s="23">
        <v>1.7999999999999999E-2</v>
      </c>
      <c r="K301" s="23">
        <v>9.9989999999999996E-4</v>
      </c>
    </row>
    <row r="302" spans="1:11">
      <c r="A302" s="15">
        <v>14</v>
      </c>
      <c r="B302" s="22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6.4000000000000001E-2</v>
      </c>
      <c r="H302" s="23">
        <v>9.9989999999999996E-4</v>
      </c>
      <c r="I302" s="23">
        <v>0.13600000000000001</v>
      </c>
      <c r="J302" s="23">
        <v>2.5999999999999999E-2</v>
      </c>
      <c r="K302" s="23">
        <v>9.9989999999999996E-4</v>
      </c>
    </row>
    <row r="303" spans="1:11">
      <c r="A303" s="15">
        <v>5</v>
      </c>
      <c r="B303" s="22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0.20100000000000001</v>
      </c>
      <c r="H303" s="23">
        <v>6.5000000000000002E-2</v>
      </c>
      <c r="I303" s="23">
        <v>0.98299999999999998</v>
      </c>
      <c r="J303" s="23">
        <v>6.8000000000000005E-2</v>
      </c>
      <c r="K303" s="23">
        <v>9.9989999999999996E-4</v>
      </c>
    </row>
    <row r="304" spans="1:11">
      <c r="A304" s="15">
        <v>7</v>
      </c>
      <c r="B304" s="22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0.20399999999999999</v>
      </c>
      <c r="H304" s="23">
        <v>9.9989999999999996E-4</v>
      </c>
      <c r="I304" s="23">
        <v>0.17799999999999999</v>
      </c>
      <c r="J304" s="23">
        <v>1.2999999999999999E-2</v>
      </c>
      <c r="K304" s="23">
        <v>9.9989999999999996E-4</v>
      </c>
    </row>
    <row r="305" spans="1:11">
      <c r="A305" s="15">
        <v>14</v>
      </c>
      <c r="B305" s="22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0.13900000000000001</v>
      </c>
      <c r="H305" s="23">
        <v>9.9989999999999996E-4</v>
      </c>
      <c r="I305" s="23">
        <v>0.48599999999999999</v>
      </c>
      <c r="J305" s="23">
        <v>1.4999999999999999E-2</v>
      </c>
      <c r="K305" s="23">
        <v>9.9989999999999996E-4</v>
      </c>
    </row>
    <row r="306" spans="1:11">
      <c r="A306" s="15">
        <v>5</v>
      </c>
      <c r="B306" s="22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4.1000000000000002E-2</v>
      </c>
      <c r="H306" s="23">
        <v>9.9989999999999996E-4</v>
      </c>
      <c r="I306" s="23">
        <v>0.60199999999999998</v>
      </c>
      <c r="J306" s="23">
        <v>2.9000000000000001E-2</v>
      </c>
      <c r="K306" s="23">
        <v>9.9989999999999996E-4</v>
      </c>
    </row>
    <row r="307" spans="1:11">
      <c r="A307" s="15">
        <v>7</v>
      </c>
      <c r="B307" s="22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3.5000000000000003E-2</v>
      </c>
      <c r="H307" s="23">
        <v>9.9989999999999996E-4</v>
      </c>
      <c r="I307" s="23">
        <v>0.32400000000000001</v>
      </c>
      <c r="J307" s="23">
        <v>2.7E-2</v>
      </c>
      <c r="K307" s="23">
        <v>9.9989999999999996E-4</v>
      </c>
    </row>
    <row r="308" spans="1:11">
      <c r="A308" s="15">
        <v>14</v>
      </c>
      <c r="B308" s="22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0.04</v>
      </c>
      <c r="H308" s="23">
        <v>9.9989999999999996E-4</v>
      </c>
      <c r="I308" s="23">
        <v>0.379</v>
      </c>
      <c r="J308" s="23">
        <v>0.01</v>
      </c>
      <c r="K308" s="23">
        <v>9.9989999999999996E-4</v>
      </c>
    </row>
    <row r="309" spans="1:11">
      <c r="A309" s="15">
        <v>5</v>
      </c>
      <c r="B309" s="22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0.111</v>
      </c>
      <c r="H309" s="23">
        <v>0.19700000000000001</v>
      </c>
      <c r="I309" s="23">
        <v>1.167</v>
      </c>
      <c r="J309" s="23">
        <v>5.0999999999999997E-2</v>
      </c>
      <c r="K309" s="23">
        <v>9.9989999999999996E-4</v>
      </c>
    </row>
    <row r="310" spans="1:11">
      <c r="A310" s="15">
        <v>7</v>
      </c>
      <c r="B310" s="22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0.73799999999999999</v>
      </c>
      <c r="H310" s="23">
        <v>9.9989999999999996E-4</v>
      </c>
      <c r="I310" s="23">
        <v>0.26400000000000001</v>
      </c>
      <c r="J310" s="23">
        <v>2.1999999999999999E-2</v>
      </c>
      <c r="K310" s="23">
        <v>9.9989999999999996E-4</v>
      </c>
    </row>
    <row r="311" spans="1:11">
      <c r="A311" s="15">
        <v>14</v>
      </c>
      <c r="B311" s="22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0.11700000000000001</v>
      </c>
      <c r="H311" s="23">
        <v>9.9989999999999996E-4</v>
      </c>
      <c r="I311" s="23">
        <v>0.107</v>
      </c>
      <c r="J311" s="23">
        <v>1.4E-2</v>
      </c>
      <c r="K311" s="23">
        <v>9.9989999999999996E-4</v>
      </c>
    </row>
    <row r="312" spans="1:11">
      <c r="A312" s="15">
        <v>5</v>
      </c>
      <c r="B312" s="22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8.1000000000000003E-2</v>
      </c>
      <c r="H312" s="23">
        <v>4.7E-2</v>
      </c>
      <c r="I312" s="23">
        <v>1.33</v>
      </c>
      <c r="J312" s="23">
        <v>4.3999999999999997E-2</v>
      </c>
      <c r="K312" s="23">
        <v>9.9989999999999996E-4</v>
      </c>
    </row>
    <row r="313" spans="1:11">
      <c r="A313" s="15">
        <v>7</v>
      </c>
      <c r="B313" s="22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0.75600000000000001</v>
      </c>
      <c r="H313" s="23">
        <v>9.9989999999999996E-4</v>
      </c>
      <c r="I313" s="23">
        <v>0.63100000000000001</v>
      </c>
      <c r="J313" s="23">
        <v>1.2999999999999999E-2</v>
      </c>
      <c r="K313" s="23">
        <v>9.9989999999999996E-4</v>
      </c>
    </row>
    <row r="314" spans="1:11">
      <c r="A314" s="15">
        <v>14</v>
      </c>
      <c r="B314" s="22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0.10199999999999999</v>
      </c>
      <c r="H314" s="23">
        <v>9.9989999999999996E-4</v>
      </c>
      <c r="I314" s="23">
        <v>0.57099999999999995</v>
      </c>
      <c r="J314" s="23">
        <v>1.2E-2</v>
      </c>
      <c r="K314" s="23">
        <v>9.9989999999999996E-4</v>
      </c>
    </row>
    <row r="315" spans="1:11">
      <c r="A315" s="15">
        <v>5</v>
      </c>
      <c r="B315" s="22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7.4999999999999997E-2</v>
      </c>
      <c r="H315" s="23">
        <v>9.9989999999999996E-4</v>
      </c>
      <c r="I315" s="23">
        <v>2.6659999999999999</v>
      </c>
      <c r="J315" s="23">
        <v>0.63400000000000001</v>
      </c>
      <c r="K315" s="23">
        <v>9.9989999999999996E-4</v>
      </c>
    </row>
    <row r="316" spans="1:11">
      <c r="A316" s="15">
        <v>7</v>
      </c>
      <c r="B316" s="22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3.242</v>
      </c>
      <c r="H316" s="23">
        <v>9.9989999999999996E-4</v>
      </c>
      <c r="I316" s="23">
        <v>3.2759999999999998</v>
      </c>
      <c r="J316" s="23">
        <v>0.33500000000000002</v>
      </c>
      <c r="K316" s="23">
        <v>9.9989999999999996E-4</v>
      </c>
    </row>
    <row r="317" spans="1:11">
      <c r="A317" s="15">
        <v>14</v>
      </c>
      <c r="B317" s="22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0.20100000000000001</v>
      </c>
      <c r="H317" s="23">
        <v>9.9989999999999996E-4</v>
      </c>
      <c r="I317" s="23">
        <v>2.0099999999999998</v>
      </c>
      <c r="J317" s="23">
        <v>0.252</v>
      </c>
      <c r="K317" s="23">
        <v>9.9989999999999996E-4</v>
      </c>
    </row>
    <row r="318" spans="1:11">
      <c r="A318" s="15">
        <v>5</v>
      </c>
      <c r="B318" s="22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0.26600000000000001</v>
      </c>
      <c r="H318" s="23">
        <v>9.9989999999999996E-4</v>
      </c>
      <c r="I318" s="23">
        <v>3.2149999999999999</v>
      </c>
      <c r="J318" s="23">
        <v>1.526</v>
      </c>
      <c r="K318" s="23">
        <v>9.9989999999999996E-4</v>
      </c>
    </row>
    <row r="319" spans="1:11">
      <c r="A319" s="15">
        <v>7</v>
      </c>
      <c r="B319" s="22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1.986</v>
      </c>
      <c r="H319" s="23">
        <v>9.9989999999999996E-4</v>
      </c>
      <c r="I319" s="23">
        <v>8.0440000000000005</v>
      </c>
      <c r="J319" s="23">
        <v>0.66200000000000003</v>
      </c>
      <c r="K319" s="23">
        <v>9.9989999999999996E-4</v>
      </c>
    </row>
    <row r="320" spans="1:11">
      <c r="A320" s="15">
        <v>14</v>
      </c>
      <c r="B320" s="22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3.0590000000000002</v>
      </c>
      <c r="H320" s="23">
        <v>9.9989999999999996E-4</v>
      </c>
      <c r="I320" s="23">
        <v>1.2170000000000001</v>
      </c>
      <c r="J320" s="23">
        <v>0.151</v>
      </c>
      <c r="K320" s="23">
        <v>9.9989999999999996E-4</v>
      </c>
    </row>
    <row r="321" spans="1:11">
      <c r="A321" s="15">
        <v>5</v>
      </c>
      <c r="B321" s="22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0.28100000000000003</v>
      </c>
      <c r="H321" s="23">
        <v>9.9989999999999996E-4</v>
      </c>
      <c r="I321" s="23">
        <v>3.2309999999999999</v>
      </c>
      <c r="J321" s="23">
        <v>1.61</v>
      </c>
      <c r="K321" s="23">
        <v>9.9989999999999996E-4</v>
      </c>
    </row>
    <row r="322" spans="1:11">
      <c r="A322" s="15">
        <v>7</v>
      </c>
      <c r="B322" s="22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2.6930000000000001</v>
      </c>
      <c r="H322" s="23">
        <v>9.9989999999999996E-4</v>
      </c>
      <c r="I322" s="23">
        <v>7.7930000000000001</v>
      </c>
      <c r="J322" s="23">
        <v>0.30499999999999999</v>
      </c>
      <c r="K322" s="23">
        <v>9.9989999999999996E-4</v>
      </c>
    </row>
    <row r="323" spans="1:11">
      <c r="A323" s="15">
        <v>14</v>
      </c>
      <c r="B323" s="22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2.3660000000000001</v>
      </c>
      <c r="H323" s="23">
        <v>9.9989999999999996E-4</v>
      </c>
      <c r="I323" s="23">
        <v>4.681</v>
      </c>
      <c r="J323" s="23">
        <v>0.106</v>
      </c>
      <c r="K323" s="23">
        <v>9.9989999999999996E-4</v>
      </c>
    </row>
    <row r="324" spans="1:11">
      <c r="A324" s="15">
        <v>5</v>
      </c>
      <c r="B324" s="22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0.16700000000000001</v>
      </c>
      <c r="H324" s="23">
        <v>2.8650000000000002</v>
      </c>
      <c r="I324" s="23">
        <v>12.397</v>
      </c>
      <c r="J324" s="23">
        <v>1.0469999999999999</v>
      </c>
      <c r="K324" s="23">
        <v>9.9989999999999996E-4</v>
      </c>
    </row>
    <row r="325" spans="1:11">
      <c r="A325" s="15">
        <v>7</v>
      </c>
      <c r="B325" s="22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0.54900000000000004</v>
      </c>
      <c r="H325" s="23">
        <v>9.9989999999999996E-4</v>
      </c>
      <c r="I325" s="23">
        <v>3.0579999999999998</v>
      </c>
      <c r="J325" s="23">
        <v>0.33800000000000002</v>
      </c>
      <c r="K325" s="23">
        <v>9.9989999999999996E-4</v>
      </c>
    </row>
    <row r="326" spans="1:11">
      <c r="A326" s="15">
        <v>14</v>
      </c>
      <c r="B326" s="22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0.16300000000000001</v>
      </c>
      <c r="H326" s="23">
        <v>9.9989999999999996E-4</v>
      </c>
      <c r="I326" s="23">
        <v>0.4</v>
      </c>
      <c r="J326" s="23">
        <v>0.03</v>
      </c>
      <c r="K326" s="23">
        <v>9.9989999999999996E-4</v>
      </c>
    </row>
    <row r="327" spans="1:11">
      <c r="A327" s="15">
        <v>5</v>
      </c>
      <c r="B327" s="22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1.9E-2</v>
      </c>
      <c r="H327" s="23">
        <v>1.41</v>
      </c>
      <c r="I327" s="23">
        <v>4.08</v>
      </c>
      <c r="J327" s="23">
        <v>0.77300000000000002</v>
      </c>
      <c r="K327" s="23">
        <v>9.9989999999999996E-4</v>
      </c>
    </row>
    <row r="328" spans="1:11">
      <c r="A328" s="15">
        <v>7</v>
      </c>
      <c r="B328" s="22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0.13100000000000001</v>
      </c>
      <c r="H328" s="23">
        <v>1.3660000000000001</v>
      </c>
      <c r="I328" s="23">
        <v>7.2329999999999997</v>
      </c>
      <c r="J328" s="23">
        <v>1.002</v>
      </c>
      <c r="K328" s="23">
        <v>9.9989999999999996E-4</v>
      </c>
    </row>
    <row r="329" spans="1:11">
      <c r="A329" s="15">
        <v>14</v>
      </c>
      <c r="B329" s="22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2.1000000000000001E-2</v>
      </c>
      <c r="H329" s="23">
        <v>5.0999999999999997E-2</v>
      </c>
      <c r="I329" s="23">
        <v>0.622</v>
      </c>
      <c r="J329" s="23">
        <v>7.2999999999999995E-2</v>
      </c>
      <c r="K329" s="23">
        <v>9.9989999999999996E-4</v>
      </c>
    </row>
    <row r="330" spans="1:11">
      <c r="A330" s="15">
        <v>5</v>
      </c>
      <c r="B330" s="22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1.2E-2</v>
      </c>
      <c r="H330" s="23">
        <v>9.9989999999999996E-4</v>
      </c>
      <c r="I330" s="23">
        <v>0.29399999999999998</v>
      </c>
      <c r="J330" s="23">
        <v>2.8000000000000001E-2</v>
      </c>
      <c r="K330" s="23">
        <v>9.9989999999999996E-4</v>
      </c>
    </row>
    <row r="331" spans="1:11">
      <c r="A331" s="15">
        <v>7</v>
      </c>
      <c r="B331" s="22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0.113</v>
      </c>
      <c r="H331" s="23">
        <v>9.9989999999999996E-4</v>
      </c>
      <c r="I331" s="23">
        <v>1.121</v>
      </c>
      <c r="J331" s="23">
        <v>1.2999999999999999E-2</v>
      </c>
      <c r="K331" s="23">
        <v>9.9989999999999996E-4</v>
      </c>
    </row>
    <row r="332" spans="1:11">
      <c r="A332" s="15">
        <v>14</v>
      </c>
      <c r="B332" s="22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2.1000000000000001E-2</v>
      </c>
      <c r="H332" s="23">
        <v>9.9989999999999996E-4</v>
      </c>
      <c r="I332" s="23">
        <v>0.17299999999999999</v>
      </c>
      <c r="J332" s="23">
        <v>6.0000000000000001E-3</v>
      </c>
      <c r="K332" s="23">
        <v>9.9989999999999996E-4</v>
      </c>
    </row>
    <row r="333" spans="1:11">
      <c r="A333" s="15">
        <v>5</v>
      </c>
      <c r="B333" s="22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0.13200000000000001</v>
      </c>
      <c r="H333" s="23">
        <v>9.9989999999999996E-4</v>
      </c>
      <c r="I333" s="23">
        <v>1.044</v>
      </c>
      <c r="J333" s="23">
        <v>2.7E-2</v>
      </c>
      <c r="K333" s="23">
        <v>9.9989999999999996E-4</v>
      </c>
    </row>
    <row r="334" spans="1:11">
      <c r="A334" s="15">
        <v>7</v>
      </c>
      <c r="B334" s="22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0.39</v>
      </c>
      <c r="H334" s="23">
        <v>9.9989999999999996E-4</v>
      </c>
      <c r="I334" s="23">
        <v>0.55700000000000005</v>
      </c>
      <c r="J334" s="23">
        <v>6.0000000000000001E-3</v>
      </c>
      <c r="K334" s="23">
        <v>9.9989999999999996E-4</v>
      </c>
    </row>
    <row r="335" spans="1:11">
      <c r="A335" s="15">
        <v>14</v>
      </c>
      <c r="B335" s="22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0.221</v>
      </c>
      <c r="H335" s="23">
        <v>9.9989999999999996E-4</v>
      </c>
      <c r="I335" s="23">
        <v>0.60099999999999998</v>
      </c>
      <c r="J335" s="23">
        <v>6.0000000000000001E-3</v>
      </c>
      <c r="K335" s="23">
        <v>9.9989999999999996E-4</v>
      </c>
    </row>
    <row r="336" spans="1:11">
      <c r="A336" s="15">
        <v>5</v>
      </c>
      <c r="B336" s="22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0.11899999999999999</v>
      </c>
      <c r="H336" s="23">
        <v>0.03</v>
      </c>
      <c r="I336" s="23">
        <v>1.1100000000000001</v>
      </c>
      <c r="J336" s="23">
        <v>4.2999999999999997E-2</v>
      </c>
      <c r="K336" s="23">
        <v>9.9989999999999996E-4</v>
      </c>
    </row>
    <row r="337" spans="1:11">
      <c r="A337" s="15">
        <v>7</v>
      </c>
      <c r="B337" s="22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0.20899999999999999</v>
      </c>
      <c r="H337" s="23">
        <v>9.9989999999999996E-4</v>
      </c>
      <c r="I337" s="23">
        <v>0.45600000000000002</v>
      </c>
      <c r="J337" s="23">
        <v>1.2999999999999999E-2</v>
      </c>
      <c r="K337" s="23">
        <v>9.9989999999999996E-4</v>
      </c>
    </row>
    <row r="338" spans="1:11">
      <c r="A338" s="15">
        <v>14</v>
      </c>
      <c r="B338" s="22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0.107</v>
      </c>
      <c r="H338" s="23">
        <v>9.9989999999999996E-4</v>
      </c>
      <c r="I338" s="23">
        <v>0.41899999999999998</v>
      </c>
      <c r="J338" s="23">
        <v>8.9999999999999993E-3</v>
      </c>
      <c r="K338" s="23">
        <v>9.9989999999999996E-4</v>
      </c>
    </row>
    <row r="339" spans="1:11">
      <c r="A339" s="12">
        <v>5</v>
      </c>
      <c r="B339" s="22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2.9000000000000001E-2</v>
      </c>
      <c r="H339" s="23">
        <v>1E-3</v>
      </c>
      <c r="I339" s="23">
        <v>1.0589999999999999</v>
      </c>
      <c r="J339" s="23">
        <v>0.02</v>
      </c>
      <c r="K339" s="23">
        <v>9.9989999999999996E-4</v>
      </c>
    </row>
    <row r="340" spans="1:11">
      <c r="A340" s="12">
        <v>7</v>
      </c>
      <c r="B340" s="22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0.112</v>
      </c>
      <c r="H340" s="23">
        <v>9.9989999999999996E-4</v>
      </c>
      <c r="I340" s="23">
        <v>1.1919999999999999</v>
      </c>
      <c r="J340" s="23">
        <v>1.9E-2</v>
      </c>
      <c r="K340" s="23">
        <v>9.9989999999999996E-4</v>
      </c>
    </row>
    <row r="341" spans="1:11">
      <c r="A341" s="12">
        <v>14</v>
      </c>
      <c r="B341" s="22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1.6E-2</v>
      </c>
      <c r="H341" s="23">
        <v>9.9989999999999996E-4</v>
      </c>
      <c r="I341" s="23">
        <v>1.127</v>
      </c>
      <c r="J341" s="23">
        <v>1.0999999999999999E-2</v>
      </c>
      <c r="K341" s="23">
        <v>9.9989999999999996E-4</v>
      </c>
    </row>
    <row r="342" spans="1:11">
      <c r="A342" s="12">
        <v>5</v>
      </c>
      <c r="B342" s="22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3.6999999999999998E-2</v>
      </c>
      <c r="H342" s="25">
        <v>2.5999999999999999E-2</v>
      </c>
      <c r="I342" s="25">
        <v>2.871</v>
      </c>
      <c r="J342" s="25">
        <v>4.7E-2</v>
      </c>
      <c r="K342" s="25">
        <v>9.9989999999999996E-4</v>
      </c>
    </row>
    <row r="343" spans="1:11">
      <c r="A343" s="12">
        <v>7</v>
      </c>
      <c r="B343" s="22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0.14599999999999999</v>
      </c>
      <c r="H343" s="25">
        <v>1E-3</v>
      </c>
      <c r="I343" s="25">
        <v>0.60499999999999998</v>
      </c>
      <c r="J343" s="25">
        <v>3.9E-2</v>
      </c>
      <c r="K343" s="25">
        <v>9.9989999999999996E-4</v>
      </c>
    </row>
    <row r="344" spans="1:11">
      <c r="A344" s="12">
        <v>14</v>
      </c>
      <c r="B344" s="22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0.08</v>
      </c>
      <c r="H344" s="25">
        <v>9.9989999999999996E-4</v>
      </c>
      <c r="I344" s="25">
        <v>0.498</v>
      </c>
      <c r="J344" s="25">
        <v>0.01</v>
      </c>
      <c r="K344" s="25">
        <v>9.9989999999999996E-4</v>
      </c>
    </row>
    <row r="345" spans="1:11">
      <c r="A345" s="12">
        <v>5</v>
      </c>
      <c r="B345" s="22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1.9E-2</v>
      </c>
      <c r="H345" s="25">
        <v>1E-3</v>
      </c>
      <c r="I345" s="25">
        <v>0.44500000000000001</v>
      </c>
      <c r="J345" s="25">
        <v>0.02</v>
      </c>
      <c r="K345" s="25">
        <v>9.9989999999999996E-4</v>
      </c>
    </row>
    <row r="346" spans="1:11">
      <c r="A346" s="12">
        <v>7</v>
      </c>
      <c r="B346" s="22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0.126</v>
      </c>
      <c r="H346" s="25">
        <v>9.9989999999999996E-4</v>
      </c>
      <c r="I346" s="25">
        <v>0.123</v>
      </c>
      <c r="J346" s="25">
        <v>1.0999999999999999E-2</v>
      </c>
      <c r="K346" s="25">
        <v>9.9989999999999996E-4</v>
      </c>
    </row>
    <row r="347" spans="1:11">
      <c r="A347" s="12">
        <v>14</v>
      </c>
      <c r="B347" s="22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1.4E-2</v>
      </c>
      <c r="H347" s="25">
        <v>9.9989999999999996E-4</v>
      </c>
      <c r="I347" s="25">
        <v>0.126</v>
      </c>
      <c r="J347" s="25">
        <v>1.4E-2</v>
      </c>
      <c r="K347" s="25">
        <v>9.9989999999999996E-4</v>
      </c>
    </row>
    <row r="348" spans="1:11">
      <c r="A348" s="12">
        <v>5</v>
      </c>
      <c r="B348" s="22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0.17699999999999999</v>
      </c>
      <c r="H348" s="25">
        <v>7.5999999999999998E-2</v>
      </c>
      <c r="I348" s="25">
        <v>0.65800000000000003</v>
      </c>
      <c r="J348" s="25">
        <v>2.8000000000000001E-2</v>
      </c>
      <c r="K348" s="25">
        <v>9.9989999999999996E-4</v>
      </c>
    </row>
    <row r="349" spans="1:11">
      <c r="A349" s="12">
        <v>7</v>
      </c>
      <c r="B349" s="22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6.7000000000000004E-2</v>
      </c>
      <c r="H349" s="25">
        <v>9.9989999999999996E-4</v>
      </c>
      <c r="I349" s="25">
        <v>0.35499999999999998</v>
      </c>
      <c r="J349" s="25">
        <v>5.0000000000000001E-3</v>
      </c>
      <c r="K349" s="25">
        <v>9.9989999999999996E-4</v>
      </c>
    </row>
    <row r="350" spans="1:11">
      <c r="A350" s="12">
        <v>14</v>
      </c>
      <c r="B350" s="22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1.2E-2</v>
      </c>
      <c r="H350" s="25">
        <v>9.9989999999999996E-4</v>
      </c>
      <c r="I350" s="25">
        <v>0.16900000000000001</v>
      </c>
      <c r="J350" s="25">
        <v>9.9989999999999996E-4</v>
      </c>
      <c r="K350" s="25">
        <v>9.9989999999999996E-4</v>
      </c>
    </row>
    <row r="351" spans="1:11">
      <c r="A351" s="15">
        <v>5</v>
      </c>
      <c r="B351" s="22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2.5999999999999999E-2</v>
      </c>
      <c r="H351" s="25">
        <v>2.5270000000000001</v>
      </c>
      <c r="I351" s="25">
        <v>9.5510000000000002</v>
      </c>
      <c r="J351" s="25">
        <v>0.42499999999999999</v>
      </c>
      <c r="K351" s="25">
        <v>8.9999999999999993E-3</v>
      </c>
    </row>
    <row r="352" spans="1:11">
      <c r="A352" s="15">
        <v>7</v>
      </c>
      <c r="B352" s="22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0.24099999999999999</v>
      </c>
      <c r="H352" s="25">
        <v>1E-3</v>
      </c>
      <c r="I352" s="25">
        <v>0.98899999999999999</v>
      </c>
      <c r="J352" s="25">
        <v>7.6999999999999999E-2</v>
      </c>
      <c r="K352" s="25">
        <v>9.9989999999999996E-4</v>
      </c>
    </row>
    <row r="353" spans="1:11">
      <c r="A353" s="15">
        <v>14</v>
      </c>
      <c r="B353" s="22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0.17399999999999999</v>
      </c>
      <c r="H353" s="25">
        <v>1E-3</v>
      </c>
      <c r="I353" s="25">
        <v>1.0549999999999999</v>
      </c>
      <c r="J353" s="25">
        <v>7.0999999999999994E-2</v>
      </c>
      <c r="K353" s="25">
        <v>9.9989999999999996E-4</v>
      </c>
    </row>
    <row r="354" spans="1:11">
      <c r="A354" s="15">
        <v>5</v>
      </c>
      <c r="B354" s="22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0.24299999999999999</v>
      </c>
      <c r="H354" s="25">
        <v>6.5000000000000002E-2</v>
      </c>
      <c r="I354" s="25">
        <v>1.788</v>
      </c>
      <c r="J354" s="25">
        <v>2.4020000000000001</v>
      </c>
      <c r="K354" s="25">
        <v>1E-3</v>
      </c>
    </row>
    <row r="355" spans="1:11">
      <c r="A355" s="15">
        <v>7</v>
      </c>
      <c r="B355" s="22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1.512</v>
      </c>
      <c r="H355" s="25">
        <v>1E-3</v>
      </c>
      <c r="I355" s="25">
        <v>1.2230000000000001</v>
      </c>
      <c r="J355" s="25">
        <v>0.114</v>
      </c>
      <c r="K355" s="25">
        <v>1E-3</v>
      </c>
    </row>
    <row r="356" spans="1:11">
      <c r="A356" s="15">
        <v>14</v>
      </c>
      <c r="B356" s="22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0.39900000000000002</v>
      </c>
      <c r="H356" s="25">
        <v>1E-3</v>
      </c>
      <c r="I356" s="25">
        <v>0.75800000000000001</v>
      </c>
      <c r="J356" s="25">
        <v>8.4000000000000005E-2</v>
      </c>
      <c r="K356" s="25">
        <v>6.0000000000000001E-3</v>
      </c>
    </row>
    <row r="357" spans="1:11">
      <c r="A357" s="15">
        <v>5</v>
      </c>
      <c r="B357" s="22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0.17100000000000001</v>
      </c>
      <c r="H357" s="25">
        <v>9.9989999999999996E-4</v>
      </c>
      <c r="I357" s="25">
        <v>3.2080000000000002</v>
      </c>
      <c r="J357" s="25">
        <v>1.3779999999999999</v>
      </c>
      <c r="K357" s="25">
        <v>1E-3</v>
      </c>
    </row>
    <row r="358" spans="1:11">
      <c r="A358" s="15">
        <v>7</v>
      </c>
      <c r="B358" s="22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21.587</v>
      </c>
      <c r="H358" s="25">
        <v>9.9989999999999996E-4</v>
      </c>
      <c r="I358" s="25">
        <v>2.2090000000000001</v>
      </c>
      <c r="J358" s="25">
        <v>0.64800000000000002</v>
      </c>
      <c r="K358" s="25">
        <v>9.9989999999999996E-4</v>
      </c>
    </row>
    <row r="359" spans="1:11">
      <c r="A359" s="15">
        <v>14</v>
      </c>
      <c r="B359" s="22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2.3130000000000002</v>
      </c>
      <c r="H359" s="25">
        <v>1E-3</v>
      </c>
      <c r="I359" s="25">
        <v>0.86599999999999999</v>
      </c>
      <c r="J359" s="25">
        <v>0.68</v>
      </c>
      <c r="K359" s="25">
        <v>9.9989999999999996E-4</v>
      </c>
    </row>
    <row r="360" spans="1:11">
      <c r="A360" s="15">
        <v>5</v>
      </c>
      <c r="B360" s="22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7.2999999999999995E-2</v>
      </c>
      <c r="H360" s="25">
        <v>1E-3</v>
      </c>
      <c r="I360" s="25">
        <v>1.6020000000000001</v>
      </c>
      <c r="J360" s="25">
        <v>0.17499999999999999</v>
      </c>
      <c r="K360" s="25">
        <v>9.9989999999999996E-4</v>
      </c>
    </row>
    <row r="361" spans="1:11">
      <c r="A361" s="15">
        <v>7</v>
      </c>
      <c r="B361" s="22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0.627</v>
      </c>
      <c r="H361" s="25">
        <v>1E-3</v>
      </c>
      <c r="I361" s="25">
        <v>3.0049999999999999</v>
      </c>
      <c r="J361" s="25">
        <v>0.16800000000000001</v>
      </c>
      <c r="K361" s="25">
        <v>9.9989999999999996E-4</v>
      </c>
    </row>
    <row r="362" spans="1:11">
      <c r="A362" s="15">
        <v>14</v>
      </c>
      <c r="B362" s="22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0.157</v>
      </c>
      <c r="H362" s="25">
        <v>9.9989999999999996E-4</v>
      </c>
      <c r="I362" s="25">
        <v>2.7149999999999999</v>
      </c>
      <c r="J362" s="25">
        <v>0.121</v>
      </c>
      <c r="K362" s="25">
        <v>9.9989999999999996E-4</v>
      </c>
    </row>
    <row r="363" spans="1:11">
      <c r="A363" s="15">
        <v>5</v>
      </c>
      <c r="B363" s="22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0.23499999999999999</v>
      </c>
      <c r="H363" s="25">
        <v>1E-3</v>
      </c>
      <c r="I363" s="25">
        <v>0.90900000000000003</v>
      </c>
      <c r="J363" s="25">
        <v>0.106</v>
      </c>
      <c r="K363" s="25">
        <v>9.9989999999999996E-4</v>
      </c>
    </row>
    <row r="364" spans="1:11">
      <c r="A364" s="15">
        <v>7</v>
      </c>
      <c r="B364" s="22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0.53200000000000003</v>
      </c>
      <c r="H364" s="25">
        <v>9.9989999999999996E-4</v>
      </c>
      <c r="I364" s="25">
        <v>0.36499999999999999</v>
      </c>
      <c r="J364" s="25">
        <v>1.2999999999999999E-2</v>
      </c>
      <c r="K364" s="25">
        <v>9.9989999999999996E-4</v>
      </c>
    </row>
    <row r="365" spans="1:11">
      <c r="A365" s="15">
        <v>14</v>
      </c>
      <c r="B365" s="22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2.8000000000000001E-2</v>
      </c>
      <c r="H365" s="25">
        <v>9.9989999999999996E-4</v>
      </c>
      <c r="I365" s="25">
        <v>0.115</v>
      </c>
      <c r="J365" s="25">
        <v>4.0000000000000001E-3</v>
      </c>
      <c r="K365" s="25">
        <v>9.9989999999999996E-4</v>
      </c>
    </row>
    <row r="366" spans="1:11">
      <c r="A366" s="15">
        <v>5</v>
      </c>
      <c r="B366" s="22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0.153</v>
      </c>
      <c r="H366" s="25">
        <v>9.9989999999999996E-4</v>
      </c>
      <c r="I366" s="25">
        <v>0.90100000000000002</v>
      </c>
      <c r="J366" s="25">
        <v>3.2000000000000001E-2</v>
      </c>
      <c r="K366" s="25">
        <v>9.9989999999999996E-4</v>
      </c>
    </row>
    <row r="367" spans="1:11">
      <c r="A367" s="15">
        <v>7</v>
      </c>
      <c r="B367" s="22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5.2999999999999999E-2</v>
      </c>
      <c r="H367" s="25">
        <v>9.9989999999999996E-4</v>
      </c>
      <c r="I367" s="25">
        <v>0.46500000000000002</v>
      </c>
      <c r="J367" s="25">
        <v>1.6E-2</v>
      </c>
      <c r="K367" s="25">
        <v>9.9989999999999996E-4</v>
      </c>
    </row>
    <row r="368" spans="1:11">
      <c r="A368" s="15">
        <v>14</v>
      </c>
      <c r="B368" s="22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0.24299999999999999</v>
      </c>
      <c r="H368" s="25">
        <v>9.9989999999999996E-4</v>
      </c>
      <c r="I368" s="25">
        <v>0.49199999999999999</v>
      </c>
      <c r="J368" s="25">
        <v>1.6E-2</v>
      </c>
      <c r="K368" s="25">
        <v>9.9989999999999996E-4</v>
      </c>
    </row>
    <row r="369" spans="1:12">
      <c r="A369" s="15">
        <v>5</v>
      </c>
      <c r="B369" s="22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0.14199999999999999</v>
      </c>
      <c r="H369" s="25">
        <v>9.9989999999999996E-4</v>
      </c>
      <c r="I369" s="25">
        <v>0.33500000000000002</v>
      </c>
      <c r="J369" s="25">
        <v>1.0999999999999999E-2</v>
      </c>
      <c r="K369" s="25">
        <v>9.9989999999999996E-4</v>
      </c>
    </row>
    <row r="370" spans="1:12">
      <c r="A370" s="15">
        <v>7</v>
      </c>
      <c r="B370" s="22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0.91400000000000003</v>
      </c>
      <c r="H370" s="25">
        <v>9.9989999999999996E-4</v>
      </c>
      <c r="I370" s="25">
        <v>0.182</v>
      </c>
      <c r="J370" s="25">
        <v>9.9989999999999996E-4</v>
      </c>
      <c r="K370" s="25">
        <v>9.9989999999999996E-4</v>
      </c>
    </row>
    <row r="371" spans="1:12">
      <c r="A371" s="15">
        <v>14</v>
      </c>
      <c r="B371" s="22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0.122</v>
      </c>
      <c r="H371" s="25">
        <v>9.9989999999999996E-4</v>
      </c>
      <c r="I371" s="25">
        <v>0.29199999999999998</v>
      </c>
      <c r="J371" s="25">
        <v>1.0999999999999999E-2</v>
      </c>
      <c r="K371" s="25">
        <v>9.9989999999999996E-4</v>
      </c>
    </row>
    <row r="372" spans="1:12">
      <c r="A372" s="15">
        <v>5</v>
      </c>
      <c r="B372" s="18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0.10845374999999999</v>
      </c>
      <c r="H372" s="27">
        <v>0</v>
      </c>
      <c r="I372" s="27">
        <v>2.1161322500000002</v>
      </c>
      <c r="J372" s="27">
        <v>1.8650875000000001E-2</v>
      </c>
      <c r="K372" s="27">
        <v>0</v>
      </c>
    </row>
    <row r="373" spans="1:12">
      <c r="A373" s="15">
        <v>7</v>
      </c>
      <c r="B373" s="18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0.93845649999999992</v>
      </c>
      <c r="H373" s="27">
        <v>0</v>
      </c>
      <c r="I373" s="27">
        <v>1.9298513749999997</v>
      </c>
      <c r="J373" s="27">
        <v>3.131925E-2</v>
      </c>
      <c r="K373" s="27">
        <v>0</v>
      </c>
    </row>
    <row r="374" spans="1:12">
      <c r="A374" s="15">
        <v>14</v>
      </c>
      <c r="B374" s="18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0.40216225</v>
      </c>
      <c r="H374" s="27">
        <v>0</v>
      </c>
      <c r="I374" s="27">
        <v>2.0735423750000002</v>
      </c>
      <c r="J374" s="27">
        <v>2.5784874999999995E-2</v>
      </c>
      <c r="K374" s="27">
        <v>0</v>
      </c>
    </row>
    <row r="375" spans="1:12">
      <c r="A375" s="15">
        <v>5</v>
      </c>
      <c r="B375" s="18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0</v>
      </c>
      <c r="H375" s="27">
        <v>0</v>
      </c>
      <c r="I375" s="27">
        <v>0.24730362499999997</v>
      </c>
      <c r="J375" s="27">
        <v>1.0569124999999999E-2</v>
      </c>
      <c r="K375" s="27">
        <v>0</v>
      </c>
    </row>
    <row r="376" spans="1:12">
      <c r="A376" s="15">
        <v>7</v>
      </c>
      <c r="B376" s="18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2.8400125000000002E-2</v>
      </c>
      <c r="H376" s="27">
        <v>0</v>
      </c>
      <c r="I376" s="27">
        <v>0.57884674999999997</v>
      </c>
      <c r="J376" s="27">
        <v>1.987125E-2</v>
      </c>
      <c r="K376" s="27">
        <v>0</v>
      </c>
    </row>
    <row r="377" spans="1:12">
      <c r="A377" s="15">
        <v>14</v>
      </c>
      <c r="B377" s="18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6.1096624999999995E-2</v>
      </c>
      <c r="H377" s="27">
        <v>0</v>
      </c>
      <c r="I377" s="27">
        <v>0.81133712499999999</v>
      </c>
      <c r="J377" s="27">
        <v>0.12589762500000001</v>
      </c>
      <c r="K377" s="27">
        <v>0</v>
      </c>
    </row>
    <row r="378" spans="1:12">
      <c r="A378" s="15">
        <v>14</v>
      </c>
      <c r="B378" s="18">
        <v>40225</v>
      </c>
      <c r="C378" s="15">
        <v>2010</v>
      </c>
      <c r="D378" s="11" t="s">
        <v>29</v>
      </c>
      <c r="E378" s="15">
        <v>2</v>
      </c>
      <c r="F378" s="26">
        <v>5.359</v>
      </c>
      <c r="G378" s="27">
        <v>0</v>
      </c>
      <c r="H378" s="27">
        <v>0</v>
      </c>
      <c r="I378" s="27">
        <v>3.8063236250000001</v>
      </c>
      <c r="J378" s="27">
        <v>0.15213299999999999</v>
      </c>
      <c r="K378" s="27">
        <v>0</v>
      </c>
      <c r="L378" t="s">
        <v>42</v>
      </c>
    </row>
    <row r="379" spans="1:12">
      <c r="A379" s="15">
        <v>5</v>
      </c>
      <c r="B379" s="18">
        <v>40254</v>
      </c>
      <c r="C379" s="15">
        <v>2010</v>
      </c>
      <c r="D379" s="11" t="s">
        <v>30</v>
      </c>
      <c r="E379" s="15">
        <v>3</v>
      </c>
      <c r="F379" s="26">
        <v>8.8989999999999991</v>
      </c>
      <c r="G379" s="27">
        <v>0</v>
      </c>
      <c r="H379" s="27">
        <v>0</v>
      </c>
      <c r="I379" s="27">
        <v>4.0875958749999999</v>
      </c>
      <c r="J379" s="27">
        <v>7.2606500000000004E-2</v>
      </c>
      <c r="K379" s="27">
        <v>0</v>
      </c>
    </row>
    <row r="380" spans="1:12">
      <c r="A380" s="15">
        <v>7</v>
      </c>
      <c r="B380" s="18">
        <v>40255</v>
      </c>
      <c r="C380" s="15">
        <v>2010</v>
      </c>
      <c r="D380" s="11" t="s">
        <v>30</v>
      </c>
      <c r="E380" s="15">
        <v>3</v>
      </c>
      <c r="F380" s="26">
        <v>6.4260000000000002</v>
      </c>
      <c r="G380" s="27">
        <v>0.24068562499999996</v>
      </c>
      <c r="H380" s="27">
        <v>0</v>
      </c>
      <c r="I380" s="27">
        <v>2.8043326249999994</v>
      </c>
      <c r="J380" s="27">
        <v>4.5634124999999991E-2</v>
      </c>
      <c r="K380" s="27">
        <v>0</v>
      </c>
    </row>
    <row r="381" spans="1:12">
      <c r="A381" s="15">
        <v>14</v>
      </c>
      <c r="B381" s="18">
        <v>40255</v>
      </c>
      <c r="C381" s="15">
        <v>2010</v>
      </c>
      <c r="D381" s="11" t="s">
        <v>30</v>
      </c>
      <c r="E381" s="15">
        <v>3</v>
      </c>
      <c r="F381" s="26">
        <v>6.8689999999999998</v>
      </c>
      <c r="G381" s="27">
        <v>5.786100000000001E-2</v>
      </c>
      <c r="H381" s="27">
        <v>0</v>
      </c>
      <c r="I381" s="27">
        <v>3.1748804999999996</v>
      </c>
      <c r="J381" s="27">
        <v>5.1597124999999987E-2</v>
      </c>
      <c r="K381" s="27">
        <v>0</v>
      </c>
    </row>
    <row r="382" spans="1:12">
      <c r="A382" s="15">
        <v>5</v>
      </c>
      <c r="B382" s="18">
        <v>40280</v>
      </c>
      <c r="C382" s="15">
        <v>2010</v>
      </c>
      <c r="D382" s="11" t="s">
        <v>31</v>
      </c>
      <c r="E382" s="15">
        <v>4</v>
      </c>
      <c r="F382" s="26">
        <v>4.75</v>
      </c>
      <c r="G382" s="27">
        <v>0</v>
      </c>
      <c r="H382" s="27">
        <v>0</v>
      </c>
      <c r="I382" s="27">
        <v>1.8462666249999997</v>
      </c>
      <c r="J382" s="27">
        <v>3.9953000000000002E-2</v>
      </c>
      <c r="K382" s="27">
        <v>0</v>
      </c>
    </row>
    <row r="383" spans="1:12">
      <c r="A383" s="15">
        <v>7</v>
      </c>
      <c r="B383" s="18">
        <v>40281</v>
      </c>
      <c r="C383" s="15">
        <v>2010</v>
      </c>
      <c r="D383" s="11" t="s">
        <v>31</v>
      </c>
      <c r="E383" s="15">
        <v>4</v>
      </c>
      <c r="F383" s="26">
        <v>3.3580000000000001</v>
      </c>
      <c r="G383" s="27">
        <v>0</v>
      </c>
      <c r="H383" s="27">
        <v>0</v>
      </c>
      <c r="I383" s="27">
        <v>1.0767918749999998</v>
      </c>
      <c r="J383" s="27">
        <v>1.4734250000000001E-2</v>
      </c>
      <c r="K383" s="27">
        <v>0</v>
      </c>
    </row>
    <row r="384" spans="1:12">
      <c r="A384" s="15">
        <v>14</v>
      </c>
      <c r="B384" s="18">
        <v>40281</v>
      </c>
      <c r="C384" s="15">
        <v>2010</v>
      </c>
      <c r="D384" s="11" t="s">
        <v>31</v>
      </c>
      <c r="E384" s="15">
        <v>4</v>
      </c>
      <c r="F384" s="26">
        <v>1.8879999999999999</v>
      </c>
      <c r="G384" s="27">
        <v>0</v>
      </c>
      <c r="H384" s="27">
        <v>0</v>
      </c>
      <c r="I384" s="27">
        <v>0.73453087500000003</v>
      </c>
      <c r="J384" s="27">
        <v>9.2835000000000001E-3</v>
      </c>
      <c r="K384" s="27">
        <v>0</v>
      </c>
    </row>
    <row r="385" spans="1:12">
      <c r="A385" s="15">
        <v>5</v>
      </c>
      <c r="B385" s="22">
        <v>40315</v>
      </c>
      <c r="C385" s="15">
        <v>2010</v>
      </c>
      <c r="D385" s="11" t="s">
        <v>32</v>
      </c>
      <c r="E385" s="15">
        <v>5</v>
      </c>
      <c r="F385" s="28">
        <v>10.981999999999999</v>
      </c>
      <c r="G385" s="27">
        <v>0.11020962499999999</v>
      </c>
      <c r="H385" s="27">
        <v>0.78130937499999997</v>
      </c>
      <c r="I385" s="27">
        <v>5.9627123749999988</v>
      </c>
      <c r="J385" s="27">
        <v>0.30643087499999999</v>
      </c>
      <c r="K385" s="27">
        <v>4.6456499999999991E-2</v>
      </c>
    </row>
    <row r="386" spans="1:12">
      <c r="A386" s="15">
        <v>7</v>
      </c>
      <c r="B386" s="22">
        <v>40317</v>
      </c>
      <c r="C386" s="15">
        <v>2010</v>
      </c>
      <c r="D386" s="11" t="s">
        <v>32</v>
      </c>
      <c r="E386" s="15">
        <v>5</v>
      </c>
      <c r="F386" s="28">
        <v>5.1840000000000002</v>
      </c>
      <c r="G386" s="27">
        <v>2.2408749999999998E-2</v>
      </c>
      <c r="H386" s="27">
        <v>0</v>
      </c>
      <c r="I386" s="27">
        <v>1.84562575</v>
      </c>
      <c r="J386" s="27">
        <v>6.9797999999999999E-2</v>
      </c>
      <c r="K386" s="27">
        <v>0</v>
      </c>
    </row>
    <row r="387" spans="1:12">
      <c r="A387" s="15">
        <v>14</v>
      </c>
      <c r="B387" s="22">
        <v>40317</v>
      </c>
      <c r="C387" s="15">
        <v>2010</v>
      </c>
      <c r="D387" s="11" t="s">
        <v>32</v>
      </c>
      <c r="E387" s="15">
        <v>5</v>
      </c>
      <c r="F387" s="28">
        <v>5.593</v>
      </c>
      <c r="G387" s="27">
        <v>0</v>
      </c>
      <c r="H387" s="27">
        <v>0.41625099999999998</v>
      </c>
      <c r="I387" s="27">
        <v>3.6885853750000002</v>
      </c>
      <c r="J387" s="27">
        <v>0.104687</v>
      </c>
      <c r="K387" s="27">
        <v>0</v>
      </c>
    </row>
    <row r="388" spans="1:12">
      <c r="A388" s="15">
        <v>5</v>
      </c>
      <c r="B388" s="22">
        <v>40344</v>
      </c>
      <c r="C388" s="15">
        <v>2010</v>
      </c>
      <c r="D388" s="11" t="s">
        <v>33</v>
      </c>
      <c r="E388" s="15">
        <v>6</v>
      </c>
      <c r="F388" s="28">
        <v>12.042999999999999</v>
      </c>
      <c r="G388" s="27">
        <v>0.217636625</v>
      </c>
      <c r="H388" s="27">
        <v>7.7362874999999998E-2</v>
      </c>
      <c r="I388" s="27">
        <v>2.8146417499999994</v>
      </c>
      <c r="J388" s="27">
        <v>1.8276483750000001</v>
      </c>
      <c r="K388" s="27">
        <v>0</v>
      </c>
    </row>
    <row r="389" spans="1:12">
      <c r="A389" s="15">
        <v>7</v>
      </c>
      <c r="B389" s="22">
        <v>40345</v>
      </c>
      <c r="C389" s="15">
        <v>2010</v>
      </c>
      <c r="D389" s="11" t="s">
        <v>33</v>
      </c>
      <c r="E389" s="15">
        <v>6</v>
      </c>
      <c r="F389" s="28">
        <v>20.408999999999999</v>
      </c>
      <c r="G389" s="27">
        <v>1.351972</v>
      </c>
      <c r="H389" s="27">
        <v>0</v>
      </c>
      <c r="I389" s="27">
        <v>5.1326553749999997</v>
      </c>
      <c r="J389" s="27">
        <v>1.016601375</v>
      </c>
      <c r="K389" s="27">
        <v>0</v>
      </c>
    </row>
    <row r="390" spans="1:12">
      <c r="A390" s="15">
        <v>14</v>
      </c>
      <c r="B390" s="22">
        <v>40345</v>
      </c>
      <c r="C390" s="15">
        <v>2010</v>
      </c>
      <c r="D390" s="11" t="s">
        <v>33</v>
      </c>
      <c r="E390" s="15">
        <v>6</v>
      </c>
      <c r="F390" s="28">
        <v>9.24</v>
      </c>
      <c r="G390" s="27">
        <v>0.29088724999999993</v>
      </c>
      <c r="H390" s="27">
        <v>4.1124750000000002E-2</v>
      </c>
      <c r="I390" s="27">
        <v>3.2435036249999993</v>
      </c>
      <c r="J390" s="27">
        <v>0.6658504999999999</v>
      </c>
      <c r="K390" s="27">
        <v>0</v>
      </c>
    </row>
    <row r="391" spans="1:12">
      <c r="A391" s="15">
        <v>5</v>
      </c>
      <c r="B391" s="22">
        <v>40373</v>
      </c>
      <c r="C391" s="15">
        <v>2010</v>
      </c>
      <c r="D391" s="11" t="s">
        <v>34</v>
      </c>
      <c r="E391" s="15">
        <v>7</v>
      </c>
      <c r="F391" s="28">
        <v>19.992000000000001</v>
      </c>
      <c r="G391" s="27">
        <v>0.46416337499999988</v>
      </c>
      <c r="H391" s="27">
        <v>0</v>
      </c>
      <c r="I391" s="27">
        <v>6.6997863749999995</v>
      </c>
      <c r="J391" s="27">
        <v>1.815882625</v>
      </c>
      <c r="K391" s="27">
        <v>0</v>
      </c>
    </row>
    <row r="392" spans="1:12">
      <c r="A392" s="15">
        <v>7</v>
      </c>
      <c r="B392" s="22">
        <v>40373</v>
      </c>
      <c r="C392" s="15">
        <v>2010</v>
      </c>
      <c r="D392" s="11" t="s">
        <v>34</v>
      </c>
      <c r="E392" s="15">
        <v>7</v>
      </c>
      <c r="F392" s="28">
        <v>18.753</v>
      </c>
      <c r="G392" s="27">
        <v>2.5273604999999999</v>
      </c>
      <c r="H392" s="27">
        <v>0</v>
      </c>
      <c r="I392" s="27">
        <v>3.9464158750000005</v>
      </c>
      <c r="J392" s="27">
        <v>0.95053212499999984</v>
      </c>
      <c r="K392" s="27">
        <v>0</v>
      </c>
    </row>
    <row r="393" spans="1:12">
      <c r="A393" s="15">
        <v>7</v>
      </c>
      <c r="B393" s="22">
        <v>40373</v>
      </c>
      <c r="C393" s="15">
        <v>2010</v>
      </c>
      <c r="D393" s="11" t="s">
        <v>34</v>
      </c>
      <c r="E393" s="15">
        <v>7</v>
      </c>
      <c r="F393" s="28">
        <v>18.753</v>
      </c>
      <c r="G393" s="27">
        <v>2.414512625</v>
      </c>
      <c r="H393" s="27">
        <v>0.111479125</v>
      </c>
      <c r="I393" s="27">
        <v>3.88646175</v>
      </c>
      <c r="J393" s="27">
        <v>0.92714687499999981</v>
      </c>
      <c r="K393" s="27">
        <v>0</v>
      </c>
      <c r="L393" t="s">
        <v>42</v>
      </c>
    </row>
    <row r="394" spans="1:12">
      <c r="A394" s="15">
        <v>14</v>
      </c>
      <c r="B394" s="22">
        <v>40373</v>
      </c>
      <c r="C394" s="15">
        <v>2010</v>
      </c>
      <c r="D394" s="11" t="s">
        <v>34</v>
      </c>
      <c r="E394" s="15">
        <v>7</v>
      </c>
      <c r="F394" s="28">
        <v>11.59</v>
      </c>
      <c r="G394" s="27">
        <v>1.7816926250000003</v>
      </c>
      <c r="H394" s="27">
        <v>6.2762249999999992E-2</v>
      </c>
      <c r="I394" s="27">
        <v>2.7829877499999998</v>
      </c>
      <c r="J394" s="27">
        <v>0.47947275000000006</v>
      </c>
      <c r="K394" s="27">
        <v>0</v>
      </c>
    </row>
    <row r="395" spans="1:12">
      <c r="A395" s="15">
        <v>5</v>
      </c>
      <c r="B395" s="22">
        <v>40407</v>
      </c>
      <c r="C395" s="15">
        <v>2010</v>
      </c>
      <c r="D395" s="11" t="s">
        <v>35</v>
      </c>
      <c r="E395" s="15">
        <v>8</v>
      </c>
      <c r="F395" s="28">
        <v>22.228999999999999</v>
      </c>
      <c r="G395" s="27">
        <v>0.22649762500000001</v>
      </c>
      <c r="H395" s="27">
        <v>0</v>
      </c>
      <c r="I395" s="27">
        <v>10.618617499999999</v>
      </c>
      <c r="J395" s="27">
        <v>0.78608512500000005</v>
      </c>
      <c r="K395" s="27">
        <v>0</v>
      </c>
    </row>
    <row r="396" spans="1:12">
      <c r="A396" s="15">
        <v>7</v>
      </c>
      <c r="B396" s="22">
        <v>40409</v>
      </c>
      <c r="C396" s="15">
        <v>2010</v>
      </c>
      <c r="D396" s="11" t="s">
        <v>35</v>
      </c>
      <c r="E396" s="15">
        <v>8</v>
      </c>
      <c r="F396" s="28">
        <v>27.542000000000002</v>
      </c>
      <c r="G396" s="27">
        <v>0.80496900000000005</v>
      </c>
      <c r="H396" s="27">
        <v>0.10209412499999999</v>
      </c>
      <c r="I396" s="27">
        <v>9.4689682500000014</v>
      </c>
      <c r="J396" s="27">
        <v>1.1436459999999999</v>
      </c>
      <c r="K396" s="27">
        <v>0</v>
      </c>
    </row>
    <row r="397" spans="1:12">
      <c r="A397" s="15">
        <v>14</v>
      </c>
      <c r="B397" s="22">
        <v>40409</v>
      </c>
      <c r="C397" s="15">
        <v>2010</v>
      </c>
      <c r="D397" s="11" t="s">
        <v>35</v>
      </c>
      <c r="E397" s="15">
        <v>8</v>
      </c>
      <c r="F397" s="28">
        <v>10.205</v>
      </c>
      <c r="G397" s="27">
        <v>0.14675425</v>
      </c>
      <c r="H397" s="27">
        <v>3.8677375E-2</v>
      </c>
      <c r="I397" s="27">
        <v>4.5684318749999999</v>
      </c>
      <c r="J397" s="27">
        <v>0.45202224999999996</v>
      </c>
      <c r="K397" s="27">
        <v>0</v>
      </c>
    </row>
    <row r="398" spans="1:12">
      <c r="A398" s="15">
        <v>5</v>
      </c>
      <c r="B398" s="22">
        <v>40436</v>
      </c>
      <c r="C398" s="15">
        <v>2010</v>
      </c>
      <c r="D398" s="11" t="s">
        <v>41</v>
      </c>
      <c r="E398" s="15">
        <v>9</v>
      </c>
      <c r="F398" s="28">
        <v>12.015000000000001</v>
      </c>
      <c r="G398" s="27">
        <v>3.435125E-2</v>
      </c>
      <c r="H398" s="27">
        <v>0</v>
      </c>
      <c r="I398" s="27">
        <v>5.568946875</v>
      </c>
      <c r="J398" s="27">
        <v>0.61067950000000004</v>
      </c>
      <c r="K398" s="27">
        <v>0</v>
      </c>
    </row>
    <row r="399" spans="1:12">
      <c r="A399" s="15">
        <v>7</v>
      </c>
      <c r="B399" s="22">
        <v>40434</v>
      </c>
      <c r="C399" s="15">
        <v>2010</v>
      </c>
      <c r="D399" s="11" t="s">
        <v>41</v>
      </c>
      <c r="E399" s="15">
        <v>9</v>
      </c>
      <c r="F399" s="28">
        <v>13.039</v>
      </c>
      <c r="G399" s="27">
        <v>0.116666625</v>
      </c>
      <c r="H399" s="27">
        <v>0</v>
      </c>
      <c r="I399" s="27">
        <v>4.1098281249999991</v>
      </c>
      <c r="J399" s="27">
        <v>1.0853846249999999</v>
      </c>
      <c r="K399" s="27">
        <v>0</v>
      </c>
    </row>
    <row r="400" spans="1:12">
      <c r="A400" s="15">
        <v>14</v>
      </c>
      <c r="B400" s="22">
        <v>40434</v>
      </c>
      <c r="C400" s="15">
        <v>2010</v>
      </c>
      <c r="D400" s="11" t="s">
        <v>41</v>
      </c>
      <c r="E400" s="15">
        <v>9</v>
      </c>
      <c r="F400" s="28">
        <v>9.4990000000000006</v>
      </c>
      <c r="G400" s="27">
        <v>0.108947875</v>
      </c>
      <c r="H400" s="27">
        <v>0</v>
      </c>
      <c r="I400" s="27">
        <v>3.8653642499999994</v>
      </c>
      <c r="J400" s="27">
        <v>0.40666924999999998</v>
      </c>
      <c r="K400" s="27">
        <v>0</v>
      </c>
    </row>
    <row r="401" spans="1:12">
      <c r="A401" s="15">
        <v>5</v>
      </c>
      <c r="B401" s="22">
        <v>40464</v>
      </c>
      <c r="C401" s="15">
        <v>2010</v>
      </c>
      <c r="D401" s="11" t="s">
        <v>37</v>
      </c>
      <c r="E401" s="15">
        <v>10</v>
      </c>
      <c r="F401" s="26">
        <v>9.34</v>
      </c>
      <c r="G401" s="27">
        <v>0</v>
      </c>
      <c r="H401" s="27">
        <v>0</v>
      </c>
      <c r="I401" s="27">
        <v>4.9518684999999998</v>
      </c>
      <c r="J401" s="27">
        <v>0.134397875</v>
      </c>
      <c r="K401" s="27">
        <v>0</v>
      </c>
    </row>
    <row r="402" spans="1:12">
      <c r="A402" s="15">
        <v>7</v>
      </c>
      <c r="B402" s="22">
        <v>40463</v>
      </c>
      <c r="C402" s="15">
        <v>2010</v>
      </c>
      <c r="D402" s="11" t="s">
        <v>37</v>
      </c>
      <c r="E402" s="15">
        <v>10</v>
      </c>
      <c r="F402" s="26">
        <v>6.4480000000000004</v>
      </c>
      <c r="G402" s="27">
        <v>0.10507362499999999</v>
      </c>
      <c r="H402" s="27">
        <v>0</v>
      </c>
      <c r="I402" s="27">
        <v>0.8413402499999999</v>
      </c>
      <c r="J402" s="27">
        <v>7.4481749999999985E-2</v>
      </c>
      <c r="K402" s="27">
        <v>0</v>
      </c>
    </row>
    <row r="403" spans="1:12">
      <c r="A403" s="15">
        <v>14</v>
      </c>
      <c r="B403" s="22">
        <v>40463</v>
      </c>
      <c r="C403" s="15">
        <v>2010</v>
      </c>
      <c r="D403" s="11" t="s">
        <v>37</v>
      </c>
      <c r="E403" s="15">
        <v>10</v>
      </c>
      <c r="F403" s="26">
        <v>4.7690000000000001</v>
      </c>
      <c r="G403" s="27">
        <v>0.18988974999999997</v>
      </c>
      <c r="H403" s="27">
        <v>0</v>
      </c>
      <c r="I403" s="27">
        <v>0.49372649999999996</v>
      </c>
      <c r="J403" s="27">
        <v>3.1894749999999993E-2</v>
      </c>
      <c r="K403" s="27">
        <v>0</v>
      </c>
    </row>
    <row r="404" spans="1:12">
      <c r="A404" s="15">
        <v>5</v>
      </c>
      <c r="B404" s="22">
        <v>40498</v>
      </c>
      <c r="C404" s="15">
        <v>2010</v>
      </c>
      <c r="D404" s="11" t="s">
        <v>38</v>
      </c>
      <c r="E404" s="15">
        <v>11</v>
      </c>
      <c r="F404" s="26">
        <v>2.137</v>
      </c>
      <c r="G404" s="27">
        <v>5.6293500000000003E-2</v>
      </c>
      <c r="H404" s="27">
        <v>0</v>
      </c>
      <c r="I404" s="27">
        <v>0.68102937500000005</v>
      </c>
      <c r="J404" s="27">
        <v>4.5823375E-2</v>
      </c>
      <c r="K404" s="27">
        <v>0</v>
      </c>
    </row>
    <row r="405" spans="1:12">
      <c r="A405" s="15">
        <v>7</v>
      </c>
      <c r="B405" s="22">
        <v>40500</v>
      </c>
      <c r="C405" s="15">
        <v>2010</v>
      </c>
      <c r="D405" s="11" t="s">
        <v>38</v>
      </c>
      <c r="E405" s="15">
        <v>11</v>
      </c>
      <c r="F405" s="26">
        <v>3.3730000000000002</v>
      </c>
      <c r="G405" s="27">
        <v>0</v>
      </c>
      <c r="H405" s="27">
        <v>0</v>
      </c>
      <c r="I405" s="27">
        <v>0.62349675000000016</v>
      </c>
      <c r="J405" s="27">
        <v>1.4340124999999999E-2</v>
      </c>
      <c r="K405" s="27">
        <v>0</v>
      </c>
    </row>
    <row r="406" spans="1:12">
      <c r="A406" s="15">
        <v>14</v>
      </c>
      <c r="B406" s="22">
        <v>40500</v>
      </c>
      <c r="C406" s="15">
        <v>2010</v>
      </c>
      <c r="D406" s="11" t="s">
        <v>38</v>
      </c>
      <c r="E406" s="15">
        <v>11</v>
      </c>
      <c r="F406" s="26">
        <v>2.2999999999999998</v>
      </c>
      <c r="G406" s="27">
        <v>2.1414374999999999E-2</v>
      </c>
      <c r="H406" s="27">
        <v>0</v>
      </c>
      <c r="I406" s="27">
        <v>0.24862725000000005</v>
      </c>
      <c r="J406" s="27">
        <v>0</v>
      </c>
      <c r="K406" s="27">
        <v>0</v>
      </c>
    </row>
    <row r="407" spans="1:12">
      <c r="A407" s="15">
        <v>5</v>
      </c>
      <c r="B407" s="22">
        <v>40520</v>
      </c>
      <c r="C407" s="15">
        <v>2010</v>
      </c>
      <c r="D407" s="11" t="s">
        <v>39</v>
      </c>
      <c r="E407" s="15">
        <v>12</v>
      </c>
      <c r="F407" s="26">
        <v>1.663</v>
      </c>
      <c r="G407" s="27">
        <v>3.9588999999999999E-2</v>
      </c>
      <c r="H407" s="27">
        <v>1.5008374999999999E-2</v>
      </c>
      <c r="I407" s="27">
        <v>0.40279074999999992</v>
      </c>
      <c r="J407" s="27">
        <v>1.5297624999999999E-2</v>
      </c>
      <c r="K407" s="27">
        <v>0</v>
      </c>
    </row>
    <row r="408" spans="1:12">
      <c r="A408" s="15">
        <v>7</v>
      </c>
      <c r="B408" s="22">
        <v>40521</v>
      </c>
      <c r="C408" s="15">
        <v>2010</v>
      </c>
      <c r="D408" s="11" t="s">
        <v>39</v>
      </c>
      <c r="E408" s="15">
        <v>12</v>
      </c>
      <c r="F408" s="26">
        <v>0.93799999999999994</v>
      </c>
      <c r="G408" s="27">
        <v>7.1696250000000003E-2</v>
      </c>
      <c r="H408" s="27">
        <v>0</v>
      </c>
      <c r="I408" s="27">
        <v>9.4418125000000006E-2</v>
      </c>
      <c r="J408" s="27">
        <v>0</v>
      </c>
      <c r="K408" s="27">
        <v>0</v>
      </c>
    </row>
    <row r="409" spans="1:12">
      <c r="A409" s="15">
        <v>14</v>
      </c>
      <c r="B409" s="22">
        <v>40521</v>
      </c>
      <c r="C409" s="15">
        <v>2010</v>
      </c>
      <c r="D409" s="11" t="s">
        <v>39</v>
      </c>
      <c r="E409" s="15">
        <v>12</v>
      </c>
      <c r="F409" s="26">
        <v>0.92800000000000005</v>
      </c>
      <c r="G409" s="27">
        <v>5.0569874999999993E-2</v>
      </c>
      <c r="H409" s="27">
        <v>0</v>
      </c>
      <c r="I409" s="27">
        <v>0.13119925000000002</v>
      </c>
      <c r="J409" s="27">
        <v>0</v>
      </c>
      <c r="K409" s="27">
        <v>0</v>
      </c>
    </row>
    <row r="410" spans="1:12">
      <c r="A410" s="15">
        <v>5</v>
      </c>
      <c r="B410" s="22">
        <v>40562</v>
      </c>
      <c r="C410" s="15">
        <v>2011</v>
      </c>
      <c r="D410" s="11" t="s">
        <v>40</v>
      </c>
      <c r="E410" s="15">
        <v>1</v>
      </c>
      <c r="F410" s="26">
        <v>4.2149999999999999</v>
      </c>
      <c r="G410" s="27">
        <v>7.4409875E-2</v>
      </c>
      <c r="H410" s="27">
        <v>0</v>
      </c>
      <c r="I410" s="27">
        <v>1.3021268749999997</v>
      </c>
      <c r="J410" s="27">
        <v>1.6983874999999996E-2</v>
      </c>
      <c r="K410" s="27">
        <v>0</v>
      </c>
    </row>
    <row r="411" spans="1:12">
      <c r="A411" s="15">
        <v>7</v>
      </c>
      <c r="B411" s="22">
        <v>40563</v>
      </c>
      <c r="C411" s="15">
        <v>2011</v>
      </c>
      <c r="D411" s="11" t="s">
        <v>40</v>
      </c>
      <c r="E411" s="15">
        <v>1</v>
      </c>
      <c r="F411" s="26">
        <v>3.4990000000000001</v>
      </c>
      <c r="G411" s="27">
        <v>0.20002887499999999</v>
      </c>
      <c r="H411" s="27">
        <v>0</v>
      </c>
      <c r="I411" s="27">
        <v>0.92987399999999998</v>
      </c>
      <c r="J411" s="27">
        <v>3.193062499999999E-2</v>
      </c>
      <c r="K411" s="27">
        <v>0</v>
      </c>
    </row>
    <row r="412" spans="1:12">
      <c r="A412" s="15">
        <v>14</v>
      </c>
      <c r="B412" s="22">
        <v>40563</v>
      </c>
      <c r="C412" s="15">
        <v>2011</v>
      </c>
      <c r="D412" s="11" t="s">
        <v>40</v>
      </c>
      <c r="E412" s="15">
        <v>1</v>
      </c>
      <c r="F412" s="26">
        <v>2.98</v>
      </c>
      <c r="G412" s="27">
        <v>9.2050000000000007E-2</v>
      </c>
      <c r="H412" s="27">
        <v>0</v>
      </c>
      <c r="I412" s="27">
        <v>0.82746724999999977</v>
      </c>
      <c r="J412" s="27">
        <v>2.3532374999999998E-2</v>
      </c>
      <c r="K412" s="27">
        <v>0</v>
      </c>
    </row>
    <row r="413" spans="1:12">
      <c r="A413" s="15">
        <v>5</v>
      </c>
      <c r="B413" s="22">
        <v>40591</v>
      </c>
      <c r="C413" s="15">
        <v>2011</v>
      </c>
      <c r="D413" s="11" t="s">
        <v>29</v>
      </c>
      <c r="E413" s="15">
        <v>2</v>
      </c>
      <c r="F413" s="26">
        <v>1.84</v>
      </c>
      <c r="G413" s="27">
        <v>7.9073874999999988E-2</v>
      </c>
      <c r="H413" s="27">
        <v>0</v>
      </c>
      <c r="I413" s="27">
        <v>0.65480324999999995</v>
      </c>
      <c r="J413" s="27">
        <v>1.2859874999999998E-2</v>
      </c>
      <c r="K413" s="27">
        <v>0</v>
      </c>
    </row>
    <row r="414" spans="1:12">
      <c r="A414" s="15">
        <v>7</v>
      </c>
      <c r="B414" s="22">
        <v>40598</v>
      </c>
      <c r="C414" s="15">
        <v>2011</v>
      </c>
      <c r="D414" s="11" t="s">
        <v>29</v>
      </c>
      <c r="E414" s="15">
        <v>2</v>
      </c>
      <c r="F414" s="26">
        <v>2.8570000000000002</v>
      </c>
      <c r="G414" s="27">
        <v>3.8677125000000007E-2</v>
      </c>
      <c r="H414" s="27">
        <v>3.0378374999999999E-2</v>
      </c>
      <c r="I414" s="27">
        <v>1.085356875</v>
      </c>
      <c r="J414" s="27">
        <v>1.3365125E-2</v>
      </c>
      <c r="K414" s="27">
        <v>0</v>
      </c>
    </row>
    <row r="415" spans="1:12">
      <c r="A415" s="15">
        <v>14</v>
      </c>
      <c r="B415" s="22">
        <v>40598</v>
      </c>
      <c r="C415" s="15">
        <v>2011</v>
      </c>
      <c r="D415" s="11" t="s">
        <v>29</v>
      </c>
      <c r="E415" s="15">
        <v>2</v>
      </c>
      <c r="F415" s="26">
        <v>3.6110000000000002</v>
      </c>
      <c r="G415" s="27">
        <v>6.9131749999999992E-2</v>
      </c>
      <c r="H415" s="27">
        <v>0</v>
      </c>
      <c r="I415" s="27">
        <v>1.102605125</v>
      </c>
      <c r="J415" s="27">
        <v>2.4675875E-2</v>
      </c>
      <c r="K415" s="27">
        <v>0</v>
      </c>
      <c r="L415" t="s">
        <v>82</v>
      </c>
    </row>
    <row r="416" spans="1:12">
      <c r="A416" s="15">
        <v>14</v>
      </c>
      <c r="B416" s="22">
        <v>40598</v>
      </c>
      <c r="C416" s="15">
        <v>2011</v>
      </c>
      <c r="D416" s="11" t="s">
        <v>29</v>
      </c>
      <c r="E416" s="15">
        <v>2</v>
      </c>
      <c r="F416" s="26">
        <v>3.6110000000000002</v>
      </c>
      <c r="G416" s="27">
        <v>5.7119374999999993E-2</v>
      </c>
      <c r="H416" s="27">
        <v>1.8909875E-2</v>
      </c>
      <c r="I416" s="27">
        <v>1.2840345</v>
      </c>
      <c r="J416" s="27">
        <v>8.3487500000000003E-3</v>
      </c>
      <c r="K416" s="27">
        <v>0</v>
      </c>
    </row>
    <row r="417" spans="1:11">
      <c r="A417" s="15">
        <v>5</v>
      </c>
      <c r="B417" s="22">
        <v>40619</v>
      </c>
      <c r="C417" s="15">
        <v>2011</v>
      </c>
      <c r="D417" s="11" t="s">
        <v>30</v>
      </c>
      <c r="E417" s="15">
        <v>3</v>
      </c>
      <c r="F417" s="26">
        <v>1.3129999999999999</v>
      </c>
      <c r="G417" s="27">
        <v>0</v>
      </c>
      <c r="H417" s="27">
        <v>0</v>
      </c>
      <c r="I417" s="27">
        <v>0.39138362500000001</v>
      </c>
      <c r="J417" s="27">
        <v>1.0134000000000001E-2</v>
      </c>
      <c r="K417" s="27">
        <v>0</v>
      </c>
    </row>
    <row r="418" spans="1:11">
      <c r="A418" s="15">
        <v>7</v>
      </c>
      <c r="B418" s="22">
        <v>40617</v>
      </c>
      <c r="C418" s="15">
        <v>2011</v>
      </c>
      <c r="D418" s="11" t="s">
        <v>30</v>
      </c>
      <c r="E418" s="15">
        <v>3</v>
      </c>
      <c r="F418" s="26">
        <v>1.3180000000000001</v>
      </c>
      <c r="G418" s="27">
        <v>2.9983125000000003E-2</v>
      </c>
      <c r="H418" s="27">
        <v>1.6179625E-2</v>
      </c>
      <c r="I418" s="27">
        <v>0.24441049999999997</v>
      </c>
      <c r="J418" s="27">
        <v>3.4206750000000001E-2</v>
      </c>
      <c r="K418" s="27">
        <v>0</v>
      </c>
    </row>
    <row r="419" spans="1:11">
      <c r="A419" s="15">
        <v>14</v>
      </c>
      <c r="B419" s="22">
        <v>40617</v>
      </c>
      <c r="C419" s="15">
        <v>2011</v>
      </c>
      <c r="D419" s="11" t="s">
        <v>30</v>
      </c>
      <c r="E419" s="15">
        <v>3</v>
      </c>
      <c r="F419" s="26">
        <v>0.77200000000000002</v>
      </c>
      <c r="G419" s="27">
        <v>0</v>
      </c>
      <c r="H419" s="27">
        <v>0</v>
      </c>
      <c r="I419" s="27">
        <v>0.24237774999999998</v>
      </c>
      <c r="J419" s="27">
        <v>1.113725E-2</v>
      </c>
      <c r="K419" s="27">
        <v>0</v>
      </c>
    </row>
    <row r="420" spans="1:11">
      <c r="A420" s="15">
        <v>5</v>
      </c>
      <c r="B420" s="22">
        <v>40646</v>
      </c>
      <c r="C420" s="15">
        <v>2011</v>
      </c>
      <c r="D420" s="11" t="s">
        <v>31</v>
      </c>
      <c r="E420" s="15">
        <v>4</v>
      </c>
      <c r="F420" s="26">
        <v>1.1399999999999999</v>
      </c>
      <c r="G420" s="27">
        <v>3.5857999999999994E-2</v>
      </c>
      <c r="H420" s="27">
        <v>0</v>
      </c>
      <c r="I420" s="27">
        <v>0.10170625</v>
      </c>
      <c r="J420" s="27">
        <v>9.4196249999999992E-3</v>
      </c>
      <c r="K420" s="27">
        <v>0</v>
      </c>
    </row>
    <row r="421" spans="1:11">
      <c r="A421" s="15">
        <v>7</v>
      </c>
      <c r="B421" s="22">
        <v>40647</v>
      </c>
      <c r="C421" s="15">
        <v>2011</v>
      </c>
      <c r="D421" s="11" t="s">
        <v>31</v>
      </c>
      <c r="E421" s="15">
        <v>4</v>
      </c>
      <c r="F421" s="26">
        <v>4.4039999999999999</v>
      </c>
      <c r="G421" s="27">
        <v>3.5615124999999991E-2</v>
      </c>
      <c r="H421" s="27">
        <v>0</v>
      </c>
      <c r="I421" s="27">
        <v>0.20879862499999993</v>
      </c>
      <c r="J421" s="27">
        <v>7.7988750000000011E-3</v>
      </c>
      <c r="K421" s="27">
        <v>0</v>
      </c>
    </row>
    <row r="422" spans="1:11">
      <c r="A422" s="15">
        <v>14</v>
      </c>
      <c r="B422" s="22">
        <v>40647</v>
      </c>
      <c r="C422" s="15">
        <v>2011</v>
      </c>
      <c r="D422" s="11" t="s">
        <v>31</v>
      </c>
      <c r="E422" s="15">
        <v>4</v>
      </c>
      <c r="F422" s="26">
        <v>0.46700000000000003</v>
      </c>
      <c r="G422" s="27">
        <v>0</v>
      </c>
      <c r="H422" s="27">
        <v>0</v>
      </c>
      <c r="I422" s="27">
        <v>6.7282124999999984E-2</v>
      </c>
      <c r="J422" s="27">
        <v>0</v>
      </c>
      <c r="K422" s="27">
        <v>0</v>
      </c>
    </row>
    <row r="423" spans="1:11">
      <c r="A423" s="15">
        <v>5</v>
      </c>
      <c r="B423" s="22">
        <v>40681</v>
      </c>
      <c r="C423" s="15">
        <v>2011</v>
      </c>
      <c r="D423" s="11" t="s">
        <v>32</v>
      </c>
      <c r="E423" s="15">
        <v>5</v>
      </c>
      <c r="F423" s="26">
        <v>6.0640000000000001</v>
      </c>
      <c r="G423" s="27">
        <v>0.11639962500000001</v>
      </c>
      <c r="H423" s="27">
        <v>0.13433100000000001</v>
      </c>
      <c r="I423" s="27">
        <v>2.1115977499999996</v>
      </c>
      <c r="J423" s="27">
        <v>0.35142562500000002</v>
      </c>
      <c r="K423" s="27">
        <v>0</v>
      </c>
    </row>
    <row r="424" spans="1:11">
      <c r="A424" s="15">
        <v>7</v>
      </c>
      <c r="B424" s="22">
        <v>40682</v>
      </c>
      <c r="C424" s="15">
        <v>2011</v>
      </c>
      <c r="D424" s="11" t="s">
        <v>32</v>
      </c>
      <c r="E424" s="15">
        <v>5</v>
      </c>
      <c r="F424" s="26">
        <v>5.2119999999999997</v>
      </c>
      <c r="G424" s="27">
        <v>0.11606925</v>
      </c>
      <c r="H424" s="27">
        <v>0.11586974999999999</v>
      </c>
      <c r="I424" s="27">
        <v>1.5996012500000001</v>
      </c>
      <c r="J424" s="27">
        <v>7.0847375000000004E-2</v>
      </c>
      <c r="K424" s="27">
        <v>0</v>
      </c>
    </row>
    <row r="425" spans="1:11">
      <c r="A425" s="15">
        <v>14</v>
      </c>
      <c r="B425" s="22">
        <v>40682</v>
      </c>
      <c r="C425" s="15">
        <v>2011</v>
      </c>
      <c r="D425" s="11" t="s">
        <v>32</v>
      </c>
      <c r="E425" s="15">
        <v>5</v>
      </c>
      <c r="F425" s="26">
        <v>4.5979999999999999</v>
      </c>
      <c r="G425" s="27">
        <v>5.0060499999999987E-2</v>
      </c>
      <c r="H425" s="27">
        <v>8.8623750000000001E-2</v>
      </c>
      <c r="I425" s="27">
        <v>1.6984227499999995</v>
      </c>
      <c r="J425" s="27">
        <v>3.0281499999999999E-2</v>
      </c>
      <c r="K425" s="27">
        <v>0</v>
      </c>
    </row>
    <row r="426" spans="1:11">
      <c r="A426" s="15">
        <v>5</v>
      </c>
      <c r="B426" s="22">
        <v>40709</v>
      </c>
      <c r="C426" s="15">
        <v>2011</v>
      </c>
      <c r="D426" s="11" t="s">
        <v>33</v>
      </c>
      <c r="E426" s="15">
        <v>6</v>
      </c>
      <c r="F426" s="26">
        <v>10.51</v>
      </c>
      <c r="G426" s="27">
        <v>8.5586374999999978E-2</v>
      </c>
      <c r="H426" s="27">
        <v>0</v>
      </c>
      <c r="I426" s="27">
        <v>0.97327362499999981</v>
      </c>
      <c r="J426" s="27">
        <v>2.8323291249999993</v>
      </c>
      <c r="K426" s="27">
        <v>5.8813875000000002E-2</v>
      </c>
    </row>
    <row r="427" spans="1:11">
      <c r="A427" s="15">
        <v>7</v>
      </c>
      <c r="B427" s="22">
        <v>40709</v>
      </c>
      <c r="C427" s="15">
        <v>2011</v>
      </c>
      <c r="D427" s="11" t="s">
        <v>33</v>
      </c>
      <c r="E427" s="15">
        <v>6</v>
      </c>
      <c r="F427" s="26">
        <v>7.7389999999999999</v>
      </c>
      <c r="G427" s="27">
        <v>0.3033865</v>
      </c>
      <c r="H427" s="27">
        <v>0</v>
      </c>
      <c r="I427" s="27">
        <v>1.3557718749999998</v>
      </c>
      <c r="J427" s="27">
        <v>0.35439312499999998</v>
      </c>
      <c r="K427" s="27">
        <v>0</v>
      </c>
    </row>
    <row r="428" spans="1:11">
      <c r="A428" s="15">
        <v>14</v>
      </c>
      <c r="B428" s="22">
        <v>40709</v>
      </c>
      <c r="C428" s="15">
        <v>2011</v>
      </c>
      <c r="D428" s="11" t="s">
        <v>33</v>
      </c>
      <c r="E428" s="15">
        <v>6</v>
      </c>
      <c r="F428" s="26">
        <v>6.5990000000000002</v>
      </c>
      <c r="G428" s="27">
        <v>0.17669174999999998</v>
      </c>
      <c r="H428" s="27">
        <v>1.0962624999999998E-2</v>
      </c>
      <c r="I428" s="27">
        <v>1.1783085</v>
      </c>
      <c r="J428" s="27">
        <v>0.37461437499999989</v>
      </c>
      <c r="K428" s="27">
        <v>0</v>
      </c>
    </row>
    <row r="429" spans="1:11">
      <c r="A429" s="15">
        <v>5</v>
      </c>
      <c r="B429" s="22">
        <v>40735</v>
      </c>
      <c r="C429" s="15">
        <v>2011</v>
      </c>
      <c r="D429" s="11" t="s">
        <v>34</v>
      </c>
      <c r="E429" s="15">
        <v>7</v>
      </c>
      <c r="F429" s="26">
        <v>7.0949999999999998</v>
      </c>
      <c r="G429" s="27">
        <v>0.14367487500000001</v>
      </c>
      <c r="H429" s="27">
        <v>0</v>
      </c>
      <c r="I429" s="27">
        <v>1.00546</v>
      </c>
      <c r="J429" s="27">
        <v>1.5545154999999999</v>
      </c>
      <c r="K429" s="27">
        <v>0</v>
      </c>
    </row>
    <row r="430" spans="1:11">
      <c r="A430" s="15">
        <v>7</v>
      </c>
      <c r="B430" s="22">
        <v>40736</v>
      </c>
      <c r="C430" s="15">
        <v>2011</v>
      </c>
      <c r="D430" s="11" t="s">
        <v>34</v>
      </c>
      <c r="E430" s="15">
        <v>7</v>
      </c>
      <c r="F430" s="26">
        <v>9.6560000000000006</v>
      </c>
      <c r="G430" s="27">
        <v>1.1057623750000001</v>
      </c>
      <c r="H430" s="27">
        <v>0</v>
      </c>
      <c r="I430" s="27">
        <v>1.6836973749999999</v>
      </c>
      <c r="J430" s="27">
        <v>0.92286924999999975</v>
      </c>
      <c r="K430" s="27">
        <v>0</v>
      </c>
    </row>
    <row r="431" spans="1:11">
      <c r="A431" s="15">
        <v>14</v>
      </c>
      <c r="B431" s="22">
        <v>40736</v>
      </c>
      <c r="C431" s="15">
        <v>2011</v>
      </c>
      <c r="D431" s="11" t="s">
        <v>34</v>
      </c>
      <c r="E431" s="15">
        <v>7</v>
      </c>
      <c r="F431" s="26">
        <v>5.9269999999999996</v>
      </c>
      <c r="G431" s="27">
        <v>0.41227350000000001</v>
      </c>
      <c r="H431" s="27">
        <v>0</v>
      </c>
      <c r="I431" s="27">
        <v>1.1711912499999997</v>
      </c>
      <c r="J431" s="27">
        <v>0.53225025000000004</v>
      </c>
      <c r="K431" s="27">
        <v>0</v>
      </c>
    </row>
    <row r="432" spans="1:11">
      <c r="A432" s="15">
        <v>5</v>
      </c>
      <c r="B432" s="22">
        <v>40771</v>
      </c>
      <c r="C432" s="15">
        <v>2011</v>
      </c>
      <c r="D432" s="11" t="s">
        <v>35</v>
      </c>
      <c r="E432" s="15">
        <v>8</v>
      </c>
      <c r="F432" s="26">
        <v>9.5779999999999994</v>
      </c>
      <c r="G432" s="27">
        <v>0.12113662499999998</v>
      </c>
      <c r="H432" s="27">
        <v>0</v>
      </c>
      <c r="I432" s="27">
        <v>3.5536088750000006</v>
      </c>
      <c r="J432" s="27">
        <v>0.80415762499999999</v>
      </c>
      <c r="K432" s="27">
        <v>0</v>
      </c>
    </row>
    <row r="433" spans="1:12">
      <c r="A433" s="15">
        <v>7</v>
      </c>
      <c r="B433" s="22">
        <v>40772</v>
      </c>
      <c r="C433" s="15">
        <v>2011</v>
      </c>
      <c r="D433" s="11" t="s">
        <v>35</v>
      </c>
      <c r="E433" s="15">
        <v>8</v>
      </c>
      <c r="F433" s="26">
        <v>11.446999999999999</v>
      </c>
      <c r="G433" s="27">
        <v>0.28692699999999999</v>
      </c>
      <c r="H433" s="27">
        <v>0</v>
      </c>
      <c r="I433" s="27">
        <v>2.9083570000000001</v>
      </c>
      <c r="J433" s="27">
        <v>1.081718</v>
      </c>
      <c r="K433" s="27">
        <v>0</v>
      </c>
    </row>
    <row r="434" spans="1:12">
      <c r="A434" s="15">
        <v>7</v>
      </c>
      <c r="B434" s="22">
        <v>40772</v>
      </c>
      <c r="C434" s="15">
        <v>2011</v>
      </c>
      <c r="D434" s="11" t="s">
        <v>35</v>
      </c>
      <c r="E434" s="15">
        <v>8</v>
      </c>
      <c r="F434" s="26">
        <v>11.446999999999999</v>
      </c>
      <c r="G434" s="27">
        <v>0.30860624999999997</v>
      </c>
      <c r="H434" s="27">
        <v>0</v>
      </c>
      <c r="I434" s="27">
        <v>2.9423973750000001</v>
      </c>
      <c r="J434" s="27">
        <v>0.90617349999999985</v>
      </c>
      <c r="K434" s="27">
        <v>0</v>
      </c>
      <c r="L434" t="s">
        <v>42</v>
      </c>
    </row>
    <row r="435" spans="1:12">
      <c r="A435" s="15">
        <v>14</v>
      </c>
      <c r="B435" s="22">
        <v>40772</v>
      </c>
      <c r="C435" s="15">
        <v>2011</v>
      </c>
      <c r="D435" s="11" t="s">
        <v>35</v>
      </c>
      <c r="E435" s="15">
        <v>8</v>
      </c>
      <c r="F435" s="26">
        <v>14.853</v>
      </c>
      <c r="G435" s="27">
        <v>0.12725450000000002</v>
      </c>
      <c r="H435" s="27">
        <v>0</v>
      </c>
      <c r="I435" s="27">
        <v>5.8706284999999987</v>
      </c>
      <c r="J435" s="27">
        <v>0.67638149999999986</v>
      </c>
      <c r="K435" s="27">
        <v>0</v>
      </c>
    </row>
    <row r="436" spans="1:12">
      <c r="A436" s="15">
        <v>5</v>
      </c>
      <c r="B436" s="22">
        <v>40799</v>
      </c>
      <c r="C436" s="15">
        <v>2011</v>
      </c>
      <c r="D436" s="11" t="s">
        <v>41</v>
      </c>
      <c r="E436" s="15">
        <v>9</v>
      </c>
      <c r="F436" s="26">
        <v>7.4850000000000003</v>
      </c>
      <c r="G436" s="27">
        <v>0.170316625</v>
      </c>
      <c r="H436" s="27">
        <v>0</v>
      </c>
      <c r="I436" s="27">
        <v>2.9675815000000001</v>
      </c>
      <c r="J436" s="27">
        <v>0.60072249999999994</v>
      </c>
      <c r="K436" s="27">
        <v>0</v>
      </c>
    </row>
    <row r="437" spans="1:12">
      <c r="A437" s="15">
        <v>7</v>
      </c>
      <c r="B437" s="22">
        <v>40798</v>
      </c>
      <c r="C437" s="15">
        <v>2011</v>
      </c>
      <c r="D437" s="11" t="s">
        <v>41</v>
      </c>
      <c r="E437" s="15">
        <v>9</v>
      </c>
      <c r="F437" s="26">
        <v>3.5179999999999998</v>
      </c>
      <c r="G437" s="27">
        <v>0.45642362500000005</v>
      </c>
      <c r="H437" s="27">
        <v>0</v>
      </c>
      <c r="I437" s="27">
        <v>0.35080862499999999</v>
      </c>
      <c r="J437" s="27">
        <v>0.16611975000000001</v>
      </c>
      <c r="K437" s="27">
        <v>0</v>
      </c>
    </row>
    <row r="438" spans="1:12">
      <c r="A438" s="15">
        <v>14</v>
      </c>
      <c r="B438" s="22">
        <v>40798</v>
      </c>
      <c r="C438" s="15">
        <v>2011</v>
      </c>
      <c r="D438" s="11" t="s">
        <v>41</v>
      </c>
      <c r="E438" s="15">
        <v>9</v>
      </c>
      <c r="F438" s="26">
        <v>5.4429999999999996</v>
      </c>
      <c r="G438" s="27">
        <v>8.4384874999999998E-2</v>
      </c>
      <c r="H438" s="27">
        <v>0</v>
      </c>
      <c r="I438" s="27">
        <v>2.1281093750000002</v>
      </c>
      <c r="J438" s="27">
        <v>0.40626849999999998</v>
      </c>
      <c r="K438" s="27">
        <v>0</v>
      </c>
    </row>
    <row r="439" spans="1:12">
      <c r="A439" s="15">
        <v>5</v>
      </c>
      <c r="B439" s="22">
        <v>40827</v>
      </c>
      <c r="C439" s="15">
        <v>2011</v>
      </c>
      <c r="D439" s="11" t="s">
        <v>37</v>
      </c>
      <c r="E439" s="15">
        <v>10</v>
      </c>
      <c r="F439" s="28">
        <v>2.77</v>
      </c>
      <c r="G439" s="27">
        <v>0.207520125</v>
      </c>
      <c r="H439" s="27">
        <v>0</v>
      </c>
      <c r="I439" s="27">
        <v>0.58932599999999991</v>
      </c>
      <c r="J439" s="27">
        <v>8.1500749999999997E-2</v>
      </c>
      <c r="K439" s="27">
        <v>0</v>
      </c>
    </row>
    <row r="440" spans="1:12">
      <c r="A440" s="15">
        <v>7</v>
      </c>
      <c r="B440" s="22">
        <v>40829</v>
      </c>
      <c r="C440" s="15">
        <v>2011</v>
      </c>
      <c r="D440" s="11" t="s">
        <v>37</v>
      </c>
      <c r="E440" s="15">
        <v>10</v>
      </c>
      <c r="F440" s="28">
        <v>2.016</v>
      </c>
      <c r="G440" s="27">
        <v>0.47737537499999994</v>
      </c>
      <c r="H440" s="27">
        <v>0</v>
      </c>
      <c r="I440" s="27">
        <v>0.20834037499999997</v>
      </c>
      <c r="J440" s="27">
        <v>7.5169999999999994E-3</v>
      </c>
      <c r="K440" s="27">
        <v>0</v>
      </c>
    </row>
    <row r="441" spans="1:12">
      <c r="A441" s="15">
        <v>14</v>
      </c>
      <c r="B441" s="22">
        <v>40829</v>
      </c>
      <c r="C441" s="15">
        <v>2011</v>
      </c>
      <c r="D441" s="11" t="s">
        <v>37</v>
      </c>
      <c r="E441" s="15">
        <v>10</v>
      </c>
      <c r="F441" s="28">
        <v>1.399</v>
      </c>
      <c r="G441" s="27">
        <v>8.7415499999999979E-2</v>
      </c>
      <c r="H441" s="27">
        <v>0</v>
      </c>
      <c r="I441" s="27">
        <v>0.21547149999999995</v>
      </c>
      <c r="J441" s="27">
        <v>0</v>
      </c>
      <c r="K441" s="27">
        <v>0</v>
      </c>
    </row>
    <row r="442" spans="1:12">
      <c r="A442" s="15">
        <v>5</v>
      </c>
      <c r="B442" s="29">
        <v>40862</v>
      </c>
      <c r="C442" s="15">
        <v>2011</v>
      </c>
      <c r="D442" s="11" t="s">
        <v>38</v>
      </c>
      <c r="E442" s="15">
        <v>11</v>
      </c>
      <c r="F442" s="28">
        <v>4.5650000000000004</v>
      </c>
      <c r="G442" s="27">
        <v>9.3002749999999981E-2</v>
      </c>
      <c r="H442" s="27">
        <v>3.2385125000000001E-2</v>
      </c>
      <c r="I442" s="27">
        <v>1.8921403749999999</v>
      </c>
      <c r="J442" s="27">
        <v>5.5803999999999992E-2</v>
      </c>
      <c r="K442" s="27">
        <v>0</v>
      </c>
    </row>
    <row r="443" spans="1:12">
      <c r="A443" s="15">
        <v>7</v>
      </c>
      <c r="B443" s="29">
        <v>40865</v>
      </c>
      <c r="C443" s="15">
        <v>2011</v>
      </c>
      <c r="D443" s="11" t="s">
        <v>38</v>
      </c>
      <c r="E443" s="15">
        <v>11</v>
      </c>
      <c r="F443" s="28">
        <v>1.5209999999999999</v>
      </c>
      <c r="G443" s="27">
        <v>0.26376949999999999</v>
      </c>
      <c r="H443" s="27">
        <v>0</v>
      </c>
      <c r="I443" s="27">
        <v>0.25354775000000002</v>
      </c>
      <c r="J443" s="27">
        <v>0</v>
      </c>
      <c r="K443" s="27">
        <v>0</v>
      </c>
    </row>
    <row r="444" spans="1:12">
      <c r="A444" s="15">
        <v>14</v>
      </c>
      <c r="B444" s="29">
        <v>40877</v>
      </c>
      <c r="C444" s="15">
        <v>2011</v>
      </c>
      <c r="D444" s="11" t="s">
        <v>38</v>
      </c>
      <c r="E444" s="15">
        <v>11</v>
      </c>
      <c r="F444" s="28">
        <v>1.0429999999999999</v>
      </c>
      <c r="G444" s="27">
        <v>0.22616649999999996</v>
      </c>
      <c r="H444" s="27">
        <v>0</v>
      </c>
      <c r="I444" s="27">
        <v>0.20526999999999998</v>
      </c>
      <c r="J444" s="27">
        <v>0</v>
      </c>
      <c r="K444" s="27">
        <v>0</v>
      </c>
    </row>
    <row r="445" spans="1:12">
      <c r="A445" s="15">
        <v>5</v>
      </c>
      <c r="B445" s="29">
        <v>40891</v>
      </c>
      <c r="C445" s="15">
        <v>2011</v>
      </c>
      <c r="D445" s="11" t="s">
        <v>39</v>
      </c>
      <c r="E445" s="15">
        <v>12</v>
      </c>
      <c r="F445" s="28">
        <v>2.3290000000000002</v>
      </c>
      <c r="G445" s="27">
        <v>0.19859737499999996</v>
      </c>
      <c r="H445" s="27">
        <v>0</v>
      </c>
      <c r="I445" s="27">
        <v>0.38591249999999994</v>
      </c>
      <c r="J445" s="27">
        <v>1.4347999999999998E-2</v>
      </c>
      <c r="K445" s="27">
        <v>0</v>
      </c>
    </row>
    <row r="446" spans="1:12">
      <c r="A446" s="15">
        <v>7</v>
      </c>
      <c r="B446" s="29">
        <v>40891</v>
      </c>
      <c r="C446" s="15">
        <v>2011</v>
      </c>
      <c r="D446" s="11" t="s">
        <v>39</v>
      </c>
      <c r="E446" s="15">
        <v>12</v>
      </c>
      <c r="F446" s="28">
        <v>1.361</v>
      </c>
      <c r="G446" s="27">
        <v>0.27198250000000002</v>
      </c>
      <c r="H446" s="27">
        <v>0</v>
      </c>
      <c r="I446" s="27">
        <v>0.126180875</v>
      </c>
      <c r="J446" s="27">
        <v>0</v>
      </c>
      <c r="K446" s="27">
        <v>0</v>
      </c>
    </row>
    <row r="447" spans="1:12">
      <c r="A447" s="15">
        <v>14</v>
      </c>
      <c r="B447" s="29">
        <v>40891</v>
      </c>
      <c r="C447" s="15">
        <v>2011</v>
      </c>
      <c r="D447" s="11" t="s">
        <v>39</v>
      </c>
      <c r="E447" s="15">
        <v>12</v>
      </c>
      <c r="F447" s="28">
        <v>0.53100000000000003</v>
      </c>
      <c r="G447" s="27">
        <v>4.1847250000000003E-2</v>
      </c>
      <c r="H447" s="27">
        <v>0</v>
      </c>
      <c r="I447" s="27">
        <v>6.6235500000000003E-2</v>
      </c>
      <c r="J447" s="27">
        <v>0</v>
      </c>
      <c r="K447" s="27">
        <v>0</v>
      </c>
    </row>
    <row r="448" spans="1:12">
      <c r="A448" s="15">
        <v>5</v>
      </c>
      <c r="B448" s="22">
        <v>40919</v>
      </c>
      <c r="C448" s="15">
        <v>2012</v>
      </c>
      <c r="D448" s="11" t="s">
        <v>40</v>
      </c>
      <c r="E448" s="15">
        <v>1</v>
      </c>
      <c r="F448" s="30">
        <v>11.461</v>
      </c>
      <c r="G448" s="27">
        <v>0.15698149999999997</v>
      </c>
      <c r="H448" s="27">
        <v>0</v>
      </c>
      <c r="I448" s="27">
        <v>3.576790125</v>
      </c>
      <c r="J448" s="27">
        <v>5.3899749999999996E-2</v>
      </c>
      <c r="K448" s="27">
        <v>0</v>
      </c>
    </row>
    <row r="449" spans="1:12">
      <c r="A449" s="15">
        <v>7</v>
      </c>
      <c r="B449" s="22">
        <v>40919</v>
      </c>
      <c r="C449" s="15">
        <v>2012</v>
      </c>
      <c r="D449" s="11" t="s">
        <v>40</v>
      </c>
      <c r="E449" s="15">
        <v>1</v>
      </c>
      <c r="F449" s="30">
        <v>2.4740000000000002</v>
      </c>
      <c r="G449" s="27">
        <v>0.37227999999999994</v>
      </c>
      <c r="H449" s="27">
        <v>0</v>
      </c>
      <c r="I449" s="27">
        <v>0.67706849999999985</v>
      </c>
      <c r="J449" s="27">
        <v>1.6233499999999998E-2</v>
      </c>
      <c r="K449" s="27">
        <v>0</v>
      </c>
    </row>
    <row r="450" spans="1:12">
      <c r="A450" s="15">
        <v>7</v>
      </c>
      <c r="B450" s="22">
        <v>40919</v>
      </c>
      <c r="C450" s="15">
        <v>2012</v>
      </c>
      <c r="D450" s="11" t="s">
        <v>40</v>
      </c>
      <c r="E450" s="15">
        <v>1</v>
      </c>
      <c r="F450" s="30">
        <v>2.4740000000000002</v>
      </c>
      <c r="G450" s="27">
        <v>0.35858125000000007</v>
      </c>
      <c r="H450" s="27">
        <v>0</v>
      </c>
      <c r="I450" s="27">
        <v>0.69351687499999992</v>
      </c>
      <c r="J450" s="27">
        <v>1.5305249999999998E-2</v>
      </c>
      <c r="K450" s="27">
        <v>0</v>
      </c>
      <c r="L450" t="s">
        <v>42</v>
      </c>
    </row>
    <row r="451" spans="1:12">
      <c r="A451" s="15">
        <v>14</v>
      </c>
      <c r="B451" s="22">
        <v>40919</v>
      </c>
      <c r="C451" s="15">
        <v>2012</v>
      </c>
      <c r="D451" s="11" t="s">
        <v>40</v>
      </c>
      <c r="E451" s="15">
        <v>1</v>
      </c>
      <c r="F451" s="30">
        <v>1.694</v>
      </c>
      <c r="G451" s="27">
        <v>0.21017612499999996</v>
      </c>
      <c r="H451" s="27">
        <v>0</v>
      </c>
      <c r="I451" s="27">
        <v>0.42595349999999998</v>
      </c>
      <c r="J451" s="27">
        <v>8.1355000000000021E-3</v>
      </c>
      <c r="K451" s="27">
        <v>0</v>
      </c>
    </row>
    <row r="452" spans="1:12">
      <c r="A452" s="15">
        <v>5</v>
      </c>
      <c r="B452" s="22">
        <v>40962</v>
      </c>
      <c r="C452" s="15">
        <v>2012</v>
      </c>
      <c r="D452" s="11" t="s">
        <v>29</v>
      </c>
      <c r="E452" s="15">
        <v>2</v>
      </c>
      <c r="F452" s="30">
        <v>3.3820000000000001</v>
      </c>
      <c r="G452" s="27">
        <v>4.4984375E-2</v>
      </c>
      <c r="H452" s="27">
        <v>9.6094624999999989E-2</v>
      </c>
      <c r="I452" s="27">
        <v>1.793972125</v>
      </c>
      <c r="J452" s="27">
        <v>2.8702125000000002E-2</v>
      </c>
      <c r="K452" s="27">
        <v>0</v>
      </c>
    </row>
    <row r="453" spans="1:12">
      <c r="A453" s="15">
        <v>7</v>
      </c>
      <c r="B453" s="22">
        <v>40960</v>
      </c>
      <c r="C453" s="15">
        <v>2012</v>
      </c>
      <c r="D453" s="11" t="s">
        <v>29</v>
      </c>
      <c r="E453" s="15">
        <v>2</v>
      </c>
      <c r="F453" s="30">
        <v>1.637</v>
      </c>
      <c r="G453" s="27">
        <v>0.39141387499999997</v>
      </c>
      <c r="H453" s="27">
        <v>0</v>
      </c>
      <c r="I453" s="27">
        <v>0.23364374999999998</v>
      </c>
      <c r="J453" s="27">
        <v>1.4260874999999999E-2</v>
      </c>
      <c r="K453" s="27">
        <v>0</v>
      </c>
    </row>
    <row r="454" spans="1:12">
      <c r="A454" s="15">
        <v>14</v>
      </c>
      <c r="B454" s="22">
        <v>40960</v>
      </c>
      <c r="C454" s="15">
        <v>2012</v>
      </c>
      <c r="D454" s="11" t="s">
        <v>29</v>
      </c>
      <c r="E454" s="15">
        <v>2</v>
      </c>
      <c r="F454" s="30">
        <v>1.046</v>
      </c>
      <c r="G454" s="27">
        <v>5.5810749999999992E-2</v>
      </c>
      <c r="H454" s="27">
        <v>0</v>
      </c>
      <c r="I454" s="27">
        <v>0.28879437499999994</v>
      </c>
      <c r="J454" s="27">
        <v>1.0724625E-2</v>
      </c>
      <c r="K454" s="27">
        <v>0</v>
      </c>
    </row>
    <row r="455" spans="1:12">
      <c r="A455" s="15">
        <v>14</v>
      </c>
      <c r="B455" s="22">
        <v>40960</v>
      </c>
      <c r="C455" s="15">
        <v>2012</v>
      </c>
      <c r="D455" s="11" t="s">
        <v>29</v>
      </c>
      <c r="E455" s="15">
        <v>2</v>
      </c>
      <c r="F455" s="30">
        <v>1.046</v>
      </c>
      <c r="G455" s="27">
        <v>5.3256999999999992E-2</v>
      </c>
      <c r="H455" s="27">
        <v>0</v>
      </c>
      <c r="I455" s="27">
        <v>0.28359675000000001</v>
      </c>
      <c r="J455" s="27">
        <v>1.0570625E-2</v>
      </c>
      <c r="K455" s="27">
        <v>0</v>
      </c>
      <c r="L455" t="s">
        <v>42</v>
      </c>
    </row>
    <row r="456" spans="1:12">
      <c r="A456" s="15">
        <v>5</v>
      </c>
      <c r="B456" s="22">
        <v>40980</v>
      </c>
      <c r="C456" s="15">
        <v>2012</v>
      </c>
      <c r="D456" s="11" t="s">
        <v>30</v>
      </c>
      <c r="E456" s="15">
        <v>3</v>
      </c>
      <c r="F456" s="30">
        <v>3.1850000000000001</v>
      </c>
      <c r="G456" s="27">
        <v>0.10675899999999999</v>
      </c>
      <c r="H456" s="27">
        <v>0</v>
      </c>
      <c r="I456" s="27">
        <v>1.065917625</v>
      </c>
      <c r="J456" s="27">
        <v>3.0171875000000004E-2</v>
      </c>
      <c r="K456" s="27">
        <v>0</v>
      </c>
    </row>
    <row r="457" spans="1:12">
      <c r="A457" s="15">
        <v>7</v>
      </c>
      <c r="B457" s="22">
        <v>40982</v>
      </c>
      <c r="C457" s="15">
        <v>2012</v>
      </c>
      <c r="D457" s="11" t="s">
        <v>30</v>
      </c>
      <c r="E457" s="15">
        <v>3</v>
      </c>
      <c r="F457" s="30">
        <v>2.8159999999999998</v>
      </c>
      <c r="G457" s="27">
        <v>1.27299875</v>
      </c>
      <c r="H457" s="27">
        <v>0</v>
      </c>
      <c r="I457" s="27">
        <v>0.18160362499999999</v>
      </c>
      <c r="J457" s="27">
        <v>1.6994499999999999E-2</v>
      </c>
      <c r="K457" s="27">
        <v>0</v>
      </c>
    </row>
    <row r="458" spans="1:12">
      <c r="A458" s="15">
        <v>14</v>
      </c>
      <c r="B458" s="22">
        <v>40982</v>
      </c>
      <c r="C458" s="15">
        <v>2012</v>
      </c>
      <c r="D458" s="11" t="s">
        <v>30</v>
      </c>
      <c r="E458" s="15">
        <v>3</v>
      </c>
      <c r="F458" s="30">
        <v>1.1919999999999999</v>
      </c>
      <c r="G458" s="27">
        <v>0.10796475000000001</v>
      </c>
      <c r="H458" s="27">
        <v>0</v>
      </c>
      <c r="I458" s="27">
        <v>0.25109237499999998</v>
      </c>
      <c r="J458" s="27">
        <v>0</v>
      </c>
      <c r="K458" s="27">
        <v>0</v>
      </c>
    </row>
    <row r="459" spans="1:12">
      <c r="A459" s="15">
        <v>5</v>
      </c>
      <c r="B459" s="22">
        <v>41015</v>
      </c>
      <c r="C459" s="15">
        <v>2012</v>
      </c>
      <c r="D459" s="11" t="s">
        <v>31</v>
      </c>
      <c r="E459" s="15">
        <v>4</v>
      </c>
      <c r="F459" s="26">
        <v>1.6759999999999999</v>
      </c>
      <c r="G459" s="27">
        <v>0</v>
      </c>
      <c r="H459" s="27">
        <v>0</v>
      </c>
      <c r="I459" s="27">
        <v>0.71836437500000005</v>
      </c>
      <c r="J459" s="27">
        <v>1.7430250000000001E-2</v>
      </c>
      <c r="K459" s="27">
        <v>0</v>
      </c>
    </row>
    <row r="460" spans="1:12">
      <c r="A460" s="15">
        <v>7</v>
      </c>
      <c r="B460" s="22">
        <v>41016</v>
      </c>
      <c r="C460" s="15">
        <v>2012</v>
      </c>
      <c r="D460" s="11" t="s">
        <v>31</v>
      </c>
      <c r="E460" s="15">
        <v>4</v>
      </c>
      <c r="F460" s="26">
        <v>1.776</v>
      </c>
      <c r="G460" s="27">
        <v>4.2599875000000002E-2</v>
      </c>
      <c r="H460" s="27">
        <v>0</v>
      </c>
      <c r="I460" s="27">
        <v>0.10100875000000001</v>
      </c>
      <c r="J460" s="27">
        <v>2.0931624999999995E-2</v>
      </c>
      <c r="K460" s="27">
        <v>0</v>
      </c>
    </row>
    <row r="461" spans="1:12">
      <c r="A461" s="15">
        <v>14</v>
      </c>
      <c r="B461" s="22">
        <v>41016</v>
      </c>
      <c r="C461" s="15">
        <v>2012</v>
      </c>
      <c r="D461" s="11" t="s">
        <v>31</v>
      </c>
      <c r="E461" s="15">
        <v>4</v>
      </c>
      <c r="F461" s="26">
        <v>1.0149999999999999</v>
      </c>
      <c r="G461" s="27">
        <v>1.7628999999999999E-2</v>
      </c>
      <c r="H461" s="27">
        <v>0</v>
      </c>
      <c r="I461" s="27">
        <v>0.15699424999999997</v>
      </c>
      <c r="J461" s="27">
        <v>2.0936499999999997E-2</v>
      </c>
      <c r="K461" s="27">
        <v>0</v>
      </c>
    </row>
    <row r="462" spans="1:12">
      <c r="A462" s="15">
        <v>5</v>
      </c>
      <c r="B462" s="22">
        <v>41045</v>
      </c>
      <c r="C462" s="15">
        <v>2012</v>
      </c>
      <c r="D462" s="11" t="s">
        <v>32</v>
      </c>
      <c r="E462" s="15">
        <v>5</v>
      </c>
      <c r="F462" s="26">
        <v>3.4529999999999998</v>
      </c>
      <c r="G462" s="27">
        <v>5.8535875000000001E-2</v>
      </c>
      <c r="H462" s="27">
        <v>0</v>
      </c>
      <c r="I462" s="27">
        <v>1.74811775</v>
      </c>
      <c r="J462" s="27">
        <v>2.0098375000000002E-2</v>
      </c>
      <c r="K462" s="27">
        <v>0</v>
      </c>
    </row>
    <row r="463" spans="1:12">
      <c r="A463" s="15">
        <v>7</v>
      </c>
      <c r="B463" s="22">
        <v>41046</v>
      </c>
      <c r="C463" s="15">
        <v>2012</v>
      </c>
      <c r="D463" s="11" t="s">
        <v>32</v>
      </c>
      <c r="E463" s="15">
        <v>5</v>
      </c>
      <c r="F463" s="26">
        <v>6.641</v>
      </c>
      <c r="G463" s="27">
        <v>0.25983749999999994</v>
      </c>
      <c r="H463" s="27">
        <v>0</v>
      </c>
      <c r="I463" s="27">
        <v>2.0847282499999995</v>
      </c>
      <c r="J463" s="27">
        <v>0.10121724999999998</v>
      </c>
      <c r="K463" s="27">
        <v>0</v>
      </c>
    </row>
    <row r="464" spans="1:12">
      <c r="A464" s="15">
        <v>14</v>
      </c>
      <c r="B464" s="22">
        <v>41046</v>
      </c>
      <c r="C464" s="15">
        <v>2012</v>
      </c>
      <c r="D464" s="11" t="s">
        <v>32</v>
      </c>
      <c r="E464" s="15">
        <v>5</v>
      </c>
      <c r="F464" s="26">
        <v>4.2300000000000004</v>
      </c>
      <c r="G464" s="27">
        <v>0</v>
      </c>
      <c r="H464" s="27">
        <v>0</v>
      </c>
      <c r="I464" s="27">
        <v>0.99423299999999992</v>
      </c>
      <c r="J464" s="27">
        <v>1.5044999999999999E-2</v>
      </c>
      <c r="K464" s="27">
        <v>0</v>
      </c>
    </row>
    <row r="465" spans="1:12">
      <c r="A465" s="15">
        <v>5</v>
      </c>
      <c r="B465" s="22">
        <v>41073</v>
      </c>
      <c r="C465" s="15">
        <v>2012</v>
      </c>
      <c r="D465" s="11" t="s">
        <v>33</v>
      </c>
      <c r="E465" s="15">
        <v>6</v>
      </c>
      <c r="F465" s="26">
        <v>8.7240000000000002</v>
      </c>
      <c r="G465" s="27">
        <v>2.1453124999999997E-2</v>
      </c>
      <c r="H465" s="27">
        <v>0</v>
      </c>
      <c r="I465" s="27">
        <v>3.9196608749999995</v>
      </c>
      <c r="J465" s="27">
        <v>0.12665750000000001</v>
      </c>
      <c r="K465" s="27">
        <v>0</v>
      </c>
    </row>
    <row r="466" spans="1:12">
      <c r="A466" s="15">
        <v>7</v>
      </c>
      <c r="B466" s="22">
        <v>41080</v>
      </c>
      <c r="C466" s="15">
        <v>2012</v>
      </c>
      <c r="D466" s="11" t="s">
        <v>33</v>
      </c>
      <c r="E466" s="15">
        <v>6</v>
      </c>
      <c r="F466" s="26">
        <v>6.5609999999999999</v>
      </c>
      <c r="G466" s="27">
        <v>0.18889137499999997</v>
      </c>
      <c r="H466" s="27">
        <v>0</v>
      </c>
      <c r="I466" s="27">
        <v>1.0849872499999997</v>
      </c>
      <c r="J466" s="27">
        <v>0.46401162499999993</v>
      </c>
      <c r="K466" s="27">
        <v>0</v>
      </c>
    </row>
    <row r="467" spans="1:12">
      <c r="A467" s="15">
        <v>7</v>
      </c>
      <c r="B467" s="22">
        <v>41080</v>
      </c>
      <c r="C467" s="15">
        <v>2012</v>
      </c>
      <c r="D467" s="11" t="s">
        <v>33</v>
      </c>
      <c r="E467" s="15">
        <v>6</v>
      </c>
      <c r="F467" s="26">
        <v>6.5609999999999999</v>
      </c>
      <c r="G467" s="27">
        <v>0.16536487499999997</v>
      </c>
      <c r="H467" s="27">
        <v>0</v>
      </c>
      <c r="I467" s="27">
        <v>1.027740375</v>
      </c>
      <c r="J467" s="27">
        <v>0.48233562500000005</v>
      </c>
      <c r="K467" s="27">
        <v>0</v>
      </c>
      <c r="L467" t="s">
        <v>42</v>
      </c>
    </row>
    <row r="468" spans="1:12">
      <c r="A468" s="15">
        <v>14</v>
      </c>
      <c r="B468" s="22">
        <v>41080</v>
      </c>
      <c r="C468" s="15">
        <v>2012</v>
      </c>
      <c r="D468" s="11" t="s">
        <v>33</v>
      </c>
      <c r="E468" s="15">
        <v>6</v>
      </c>
      <c r="F468" s="26">
        <v>1.976</v>
      </c>
      <c r="G468" s="27">
        <v>5.6003124999999994E-2</v>
      </c>
      <c r="H468" s="27">
        <v>7.5689875000000018E-2</v>
      </c>
      <c r="I468" s="27">
        <v>0.54121524999999993</v>
      </c>
      <c r="J468" s="27">
        <v>0.11574399999999999</v>
      </c>
      <c r="K468" s="27">
        <v>0</v>
      </c>
    </row>
    <row r="469" spans="1:12">
      <c r="A469" s="15">
        <v>5</v>
      </c>
      <c r="B469" s="22">
        <v>41107</v>
      </c>
      <c r="C469" s="15">
        <v>2012</v>
      </c>
      <c r="D469" s="11" t="s">
        <v>34</v>
      </c>
      <c r="E469" s="15">
        <v>7</v>
      </c>
      <c r="F469" s="26">
        <v>13.635999999999999</v>
      </c>
      <c r="G469" s="27">
        <v>0.24522775000000002</v>
      </c>
      <c r="H469" s="27">
        <v>0</v>
      </c>
      <c r="I469" s="27">
        <v>2.3662208749999998</v>
      </c>
      <c r="J469" s="27">
        <v>1.2550624999999996E-2</v>
      </c>
      <c r="K469" s="27">
        <v>0</v>
      </c>
    </row>
    <row r="470" spans="1:12">
      <c r="A470" s="15">
        <v>7</v>
      </c>
      <c r="B470" s="22">
        <v>41106</v>
      </c>
      <c r="C470" s="15">
        <v>2012</v>
      </c>
      <c r="D470" s="11" t="s">
        <v>34</v>
      </c>
      <c r="E470" s="15">
        <v>7</v>
      </c>
      <c r="F470" s="26">
        <v>10.025</v>
      </c>
      <c r="G470" s="27">
        <v>1.5582315</v>
      </c>
      <c r="H470" s="27">
        <v>0</v>
      </c>
      <c r="I470" s="27">
        <v>2.4759099999999994</v>
      </c>
      <c r="J470" s="27">
        <v>0.26002174999999994</v>
      </c>
      <c r="K470" s="27">
        <v>0</v>
      </c>
    </row>
    <row r="471" spans="1:12">
      <c r="A471" s="15">
        <v>14</v>
      </c>
      <c r="B471" s="22">
        <v>41106</v>
      </c>
      <c r="C471" s="15">
        <v>2012</v>
      </c>
      <c r="D471" s="11" t="s">
        <v>34</v>
      </c>
      <c r="E471" s="15">
        <v>7</v>
      </c>
      <c r="F471" s="26">
        <v>7.0940000000000003</v>
      </c>
      <c r="G471" s="27">
        <v>1.4122453749999997</v>
      </c>
      <c r="H471" s="27">
        <v>0</v>
      </c>
      <c r="I471" s="27">
        <v>1.8578566249999999</v>
      </c>
      <c r="J471" s="27">
        <v>0.11426099999999999</v>
      </c>
      <c r="K471" s="27">
        <v>0</v>
      </c>
    </row>
    <row r="472" spans="1:12">
      <c r="A472" s="15">
        <v>5</v>
      </c>
      <c r="B472" s="22">
        <v>41135</v>
      </c>
      <c r="C472" s="15">
        <v>2012</v>
      </c>
      <c r="D472" s="11" t="s">
        <v>35</v>
      </c>
      <c r="E472" s="15">
        <v>8</v>
      </c>
      <c r="F472" s="26">
        <v>57.398000000000003</v>
      </c>
      <c r="G472" s="27">
        <v>15.261165999999999</v>
      </c>
      <c r="H472" s="27">
        <v>0</v>
      </c>
      <c r="I472" s="27">
        <v>0.54515399999999992</v>
      </c>
      <c r="J472" s="27">
        <v>0.10055837500000001</v>
      </c>
      <c r="K472" s="27">
        <v>0</v>
      </c>
    </row>
    <row r="473" spans="1:12">
      <c r="A473" s="15">
        <v>7</v>
      </c>
      <c r="B473" s="22">
        <v>41137</v>
      </c>
      <c r="C473" s="15">
        <v>2012</v>
      </c>
      <c r="D473" s="11" t="s">
        <v>35</v>
      </c>
      <c r="E473" s="15">
        <v>8</v>
      </c>
      <c r="F473" s="26">
        <v>21.312999999999999</v>
      </c>
      <c r="G473" s="27">
        <v>9.8906587500000001</v>
      </c>
      <c r="H473" s="27">
        <v>0</v>
      </c>
      <c r="I473" s="27">
        <v>1.2212027499999998</v>
      </c>
      <c r="J473" s="27">
        <v>0.27001974999999995</v>
      </c>
      <c r="K473" s="27">
        <v>0</v>
      </c>
    </row>
    <row r="474" spans="1:12">
      <c r="A474" s="15">
        <v>14</v>
      </c>
      <c r="B474" s="22">
        <v>41137</v>
      </c>
      <c r="C474" s="15">
        <v>2012</v>
      </c>
      <c r="D474" s="11" t="s">
        <v>35</v>
      </c>
      <c r="E474" s="15">
        <v>8</v>
      </c>
      <c r="F474" s="26">
        <v>3.71</v>
      </c>
      <c r="G474" s="27">
        <v>1.1223240000000001</v>
      </c>
      <c r="H474" s="27">
        <v>0</v>
      </c>
      <c r="I474" s="27">
        <v>0.58436699999999997</v>
      </c>
      <c r="J474" s="27">
        <v>8.2683500000000007E-2</v>
      </c>
      <c r="K474" s="27">
        <v>0</v>
      </c>
    </row>
    <row r="475" spans="1:12">
      <c r="A475" s="15">
        <v>5</v>
      </c>
      <c r="B475" s="22">
        <v>41164</v>
      </c>
      <c r="C475" s="15">
        <v>2012</v>
      </c>
      <c r="D475" s="11" t="s">
        <v>41</v>
      </c>
      <c r="E475" s="15">
        <v>9</v>
      </c>
      <c r="F475" s="26">
        <v>13.07</v>
      </c>
      <c r="G475" s="27">
        <v>5.4359612499999983</v>
      </c>
      <c r="H475" s="27">
        <v>0</v>
      </c>
      <c r="I475" s="27">
        <v>2.3533545</v>
      </c>
      <c r="J475" s="27">
        <v>0.28563712499999999</v>
      </c>
      <c r="K475" s="27">
        <v>0</v>
      </c>
    </row>
    <row r="476" spans="1:12">
      <c r="A476" s="15">
        <v>7</v>
      </c>
      <c r="B476" s="22">
        <v>41163</v>
      </c>
      <c r="C476" s="15">
        <v>2012</v>
      </c>
      <c r="D476" s="11" t="s">
        <v>41</v>
      </c>
      <c r="E476" s="15">
        <v>9</v>
      </c>
      <c r="F476" s="26">
        <v>20.484999999999999</v>
      </c>
      <c r="G476" s="27">
        <v>5.4859546249999989</v>
      </c>
      <c r="H476" s="27">
        <v>0</v>
      </c>
      <c r="I476" s="27">
        <v>4.0982248749999997</v>
      </c>
      <c r="J476" s="27">
        <v>0.34916787499999996</v>
      </c>
      <c r="K476" s="27">
        <v>0</v>
      </c>
    </row>
    <row r="477" spans="1:12">
      <c r="A477" s="15">
        <v>14</v>
      </c>
      <c r="B477" s="22">
        <v>41163</v>
      </c>
      <c r="C477" s="15">
        <v>2012</v>
      </c>
      <c r="D477" s="11" t="s">
        <v>41</v>
      </c>
      <c r="E477" s="15">
        <v>9</v>
      </c>
      <c r="F477" s="26">
        <v>2.7469999999999999</v>
      </c>
      <c r="G477" s="27">
        <v>0.34613925000000006</v>
      </c>
      <c r="H477" s="27">
        <v>0</v>
      </c>
      <c r="I477" s="27">
        <v>0.55204874999999987</v>
      </c>
      <c r="J477" s="27">
        <v>0.156534125</v>
      </c>
      <c r="K477" s="27">
        <v>0</v>
      </c>
    </row>
    <row r="478" spans="1:12">
      <c r="A478" s="15">
        <v>5</v>
      </c>
      <c r="B478" s="22">
        <v>41199</v>
      </c>
      <c r="C478" s="15">
        <v>2012</v>
      </c>
      <c r="D478" s="11" t="s">
        <v>37</v>
      </c>
      <c r="E478" s="15">
        <v>10</v>
      </c>
      <c r="F478" s="26">
        <v>3.6970000000000001</v>
      </c>
      <c r="G478" s="27">
        <v>0.243508</v>
      </c>
      <c r="H478" s="27">
        <v>0</v>
      </c>
      <c r="I478" s="27">
        <v>0.78586574999999992</v>
      </c>
      <c r="J478" s="27">
        <v>7.5140999999999999E-2</v>
      </c>
      <c r="K478" s="27">
        <v>0</v>
      </c>
    </row>
    <row r="479" spans="1:12">
      <c r="A479" s="15">
        <v>7</v>
      </c>
      <c r="B479" s="22">
        <v>41199</v>
      </c>
      <c r="C479" s="15">
        <v>2012</v>
      </c>
      <c r="D479" s="11" t="s">
        <v>37</v>
      </c>
      <c r="E479" s="15">
        <v>10</v>
      </c>
      <c r="F479" s="26">
        <v>1.903</v>
      </c>
      <c r="G479" s="27">
        <v>7.3273624999999995E-2</v>
      </c>
      <c r="H479" s="27">
        <v>0</v>
      </c>
      <c r="I479" s="27">
        <v>7.2224625000000001E-2</v>
      </c>
      <c r="J479" s="27">
        <v>9.5239999999999995E-3</v>
      </c>
      <c r="K479" s="27">
        <v>0</v>
      </c>
    </row>
    <row r="480" spans="1:12">
      <c r="A480" s="15">
        <v>14</v>
      </c>
      <c r="B480" s="22">
        <v>41199</v>
      </c>
      <c r="C480" s="15">
        <v>2012</v>
      </c>
      <c r="D480" s="11" t="s">
        <v>37</v>
      </c>
      <c r="E480" s="15">
        <v>10</v>
      </c>
      <c r="F480" s="26">
        <v>1.704</v>
      </c>
      <c r="G480" s="27">
        <v>0.11216862499999999</v>
      </c>
      <c r="H480" s="27">
        <v>0</v>
      </c>
      <c r="I480" s="27">
        <v>0.11745587500000002</v>
      </c>
      <c r="J480" s="27">
        <v>0</v>
      </c>
      <c r="K480" s="27">
        <v>0</v>
      </c>
    </row>
    <row r="481" spans="1:12">
      <c r="A481" s="15">
        <v>5</v>
      </c>
      <c r="B481" s="22">
        <v>41225</v>
      </c>
      <c r="C481" s="15">
        <v>2012</v>
      </c>
      <c r="D481" s="11" t="s">
        <v>38</v>
      </c>
      <c r="E481" s="15">
        <v>11</v>
      </c>
      <c r="F481" s="26">
        <v>4.7450000000000001</v>
      </c>
      <c r="G481" s="27">
        <v>4.525524999999999E-2</v>
      </c>
      <c r="H481" s="27">
        <v>0</v>
      </c>
      <c r="I481" s="27">
        <v>1.504715875</v>
      </c>
      <c r="J481" s="27">
        <v>5.1626249999999992E-2</v>
      </c>
      <c r="K481" s="27">
        <v>0</v>
      </c>
    </row>
    <row r="482" spans="1:12">
      <c r="A482" s="15">
        <v>7</v>
      </c>
      <c r="B482" s="22">
        <v>41225</v>
      </c>
      <c r="C482" s="15">
        <v>2012</v>
      </c>
      <c r="D482" s="11" t="s">
        <v>38</v>
      </c>
      <c r="E482" s="15">
        <v>11</v>
      </c>
      <c r="F482" s="26">
        <v>4.2389999999999999</v>
      </c>
      <c r="G482" s="27">
        <v>0</v>
      </c>
      <c r="H482" s="27">
        <v>0</v>
      </c>
      <c r="I482" s="27">
        <v>0.60974062500000004</v>
      </c>
      <c r="J482" s="27">
        <v>3.4691124999999996E-2</v>
      </c>
      <c r="K482" s="27">
        <v>0</v>
      </c>
    </row>
    <row r="483" spans="1:12">
      <c r="A483" s="15">
        <v>14</v>
      </c>
      <c r="B483" s="22">
        <v>41225</v>
      </c>
      <c r="C483" s="15">
        <v>2012</v>
      </c>
      <c r="D483" s="11" t="s">
        <v>38</v>
      </c>
      <c r="E483" s="15">
        <v>11</v>
      </c>
      <c r="F483" s="26">
        <v>1.831</v>
      </c>
      <c r="G483" s="27">
        <v>0</v>
      </c>
      <c r="H483" s="27">
        <v>0</v>
      </c>
      <c r="I483" s="27">
        <v>0.27767249999999999</v>
      </c>
      <c r="J483" s="27">
        <v>1.0420499999999999E-2</v>
      </c>
      <c r="K483" s="27">
        <v>0</v>
      </c>
    </row>
    <row r="484" spans="1:12">
      <c r="A484" s="15">
        <v>14</v>
      </c>
      <c r="B484" s="22">
        <v>41225</v>
      </c>
      <c r="C484" s="15">
        <v>2012</v>
      </c>
      <c r="D484" s="11" t="s">
        <v>38</v>
      </c>
      <c r="E484" s="15">
        <v>11</v>
      </c>
      <c r="F484" s="26">
        <v>1.831</v>
      </c>
      <c r="G484" s="27">
        <v>0</v>
      </c>
      <c r="H484" s="27">
        <v>0</v>
      </c>
      <c r="I484" s="27">
        <v>0.30436324999999997</v>
      </c>
      <c r="J484" s="27">
        <v>1.7376874999999996E-2</v>
      </c>
      <c r="K484" s="27">
        <v>0</v>
      </c>
      <c r="L484" t="s">
        <v>42</v>
      </c>
    </row>
    <row r="485" spans="1:12">
      <c r="A485" s="15">
        <v>5</v>
      </c>
      <c r="B485" s="22">
        <v>41254</v>
      </c>
      <c r="C485" s="15">
        <v>2012</v>
      </c>
      <c r="D485" s="11" t="s">
        <v>39</v>
      </c>
      <c r="E485" s="15">
        <v>12</v>
      </c>
      <c r="F485" s="26">
        <v>2.2109999999999999</v>
      </c>
      <c r="G485" s="27">
        <v>9.9273499999999987E-2</v>
      </c>
      <c r="H485" s="27">
        <v>0</v>
      </c>
      <c r="I485" s="27">
        <v>1.0618233749999997</v>
      </c>
      <c r="J485" s="27">
        <v>0</v>
      </c>
      <c r="K485" s="27">
        <v>0</v>
      </c>
    </row>
    <row r="486" spans="1:12">
      <c r="A486" s="15">
        <v>7</v>
      </c>
      <c r="B486" s="22">
        <v>41255</v>
      </c>
      <c r="C486" s="15">
        <v>2012</v>
      </c>
      <c r="D486" s="11" t="s">
        <v>39</v>
      </c>
      <c r="E486" s="15">
        <v>12</v>
      </c>
      <c r="F486" s="26">
        <v>3.383</v>
      </c>
      <c r="G486" s="27">
        <v>0.50575687499999999</v>
      </c>
      <c r="H486" s="27">
        <v>0</v>
      </c>
      <c r="I486" s="27">
        <v>1.6386555000000003</v>
      </c>
      <c r="J486" s="27">
        <v>7.5126250000000011E-3</v>
      </c>
      <c r="K486" s="27">
        <v>0</v>
      </c>
    </row>
    <row r="487" spans="1:12">
      <c r="A487" s="15">
        <v>14</v>
      </c>
      <c r="B487" s="22">
        <v>41255</v>
      </c>
      <c r="C487" s="15">
        <v>2012</v>
      </c>
      <c r="D487" s="11" t="s">
        <v>39</v>
      </c>
      <c r="E487" s="15">
        <v>12</v>
      </c>
      <c r="F487" s="26">
        <v>1.1919999999999999</v>
      </c>
      <c r="G487" s="27">
        <v>0.12254112499999997</v>
      </c>
      <c r="H487" s="27">
        <v>0</v>
      </c>
      <c r="I487" s="27">
        <v>0.60476775000000005</v>
      </c>
      <c r="J487" s="27">
        <v>0</v>
      </c>
      <c r="K487" s="27">
        <v>0</v>
      </c>
    </row>
    <row r="488" spans="1:12">
      <c r="A488" s="15">
        <v>5</v>
      </c>
      <c r="B488" s="22">
        <v>41288</v>
      </c>
      <c r="C488" s="15">
        <v>2013</v>
      </c>
      <c r="D488" s="11" t="s">
        <v>40</v>
      </c>
      <c r="E488" s="15">
        <v>1</v>
      </c>
      <c r="F488" s="26">
        <v>2.3490000000000002</v>
      </c>
      <c r="G488" s="27">
        <v>0</v>
      </c>
      <c r="H488" s="27">
        <v>0</v>
      </c>
      <c r="I488" s="27">
        <v>0.9808332500000001</v>
      </c>
      <c r="J488" s="27">
        <v>0</v>
      </c>
      <c r="K488" s="27">
        <v>0</v>
      </c>
    </row>
    <row r="489" spans="1:12">
      <c r="A489" s="15">
        <v>7</v>
      </c>
      <c r="B489" s="22">
        <v>41297</v>
      </c>
      <c r="C489" s="15">
        <v>2013</v>
      </c>
      <c r="D489" s="11" t="s">
        <v>40</v>
      </c>
      <c r="E489" s="15">
        <v>1</v>
      </c>
      <c r="F489" s="26">
        <v>2.6680000000000001</v>
      </c>
      <c r="G489" s="27">
        <v>0.17473962499999998</v>
      </c>
      <c r="H489" s="27">
        <v>0</v>
      </c>
      <c r="I489" s="27">
        <v>0.37740112499999989</v>
      </c>
      <c r="J489" s="27">
        <v>1.1120875000000001E-2</v>
      </c>
      <c r="K489" s="27">
        <v>0</v>
      </c>
    </row>
    <row r="490" spans="1:12">
      <c r="A490" s="15">
        <v>7</v>
      </c>
      <c r="B490" s="22">
        <v>41297</v>
      </c>
      <c r="C490" s="15">
        <v>2013</v>
      </c>
      <c r="D490" s="11" t="s">
        <v>40</v>
      </c>
      <c r="E490" s="15">
        <v>1</v>
      </c>
      <c r="F490" s="26">
        <v>2.6680000000000001</v>
      </c>
      <c r="G490" s="27">
        <v>0.18654137500000001</v>
      </c>
      <c r="H490" s="27">
        <v>0</v>
      </c>
      <c r="I490" s="27">
        <v>0.37537199999999998</v>
      </c>
      <c r="J490" s="27">
        <v>1.3276874999999999E-2</v>
      </c>
      <c r="K490" s="27">
        <v>0</v>
      </c>
      <c r="L490" t="s">
        <v>42</v>
      </c>
    </row>
    <row r="491" spans="1:12">
      <c r="A491" s="15">
        <v>14</v>
      </c>
      <c r="B491" s="22">
        <v>41297</v>
      </c>
      <c r="C491" s="15">
        <v>2013</v>
      </c>
      <c r="D491" s="11" t="s">
        <v>40</v>
      </c>
      <c r="E491" s="15">
        <v>1</v>
      </c>
      <c r="F491" s="26">
        <v>1.38</v>
      </c>
      <c r="G491" s="27">
        <v>2.6025874999999997E-2</v>
      </c>
      <c r="H491" s="27">
        <v>0</v>
      </c>
      <c r="I491" s="27">
        <v>0.33170300000000008</v>
      </c>
      <c r="J491" s="27">
        <v>1.1739874999999999E-2</v>
      </c>
      <c r="K491" s="27">
        <v>0</v>
      </c>
    </row>
    <row r="492" spans="1:12">
      <c r="A492" s="15">
        <v>5</v>
      </c>
      <c r="B492" s="22">
        <v>41318</v>
      </c>
      <c r="C492" s="15">
        <v>2013</v>
      </c>
      <c r="D492" s="11" t="s">
        <v>29</v>
      </c>
      <c r="E492" s="15">
        <v>2</v>
      </c>
      <c r="F492" s="31">
        <v>8.3369999999999997</v>
      </c>
      <c r="G492" s="27">
        <v>0</v>
      </c>
      <c r="H492" s="27">
        <v>0</v>
      </c>
      <c r="I492" s="27">
        <v>4.9778297499999988</v>
      </c>
      <c r="J492" s="27">
        <v>2.5176125000000001E-2</v>
      </c>
      <c r="K492" s="27">
        <v>0</v>
      </c>
    </row>
    <row r="493" spans="1:12">
      <c r="A493" s="15">
        <v>7</v>
      </c>
      <c r="B493" s="22">
        <v>41319</v>
      </c>
      <c r="C493" s="15">
        <v>2013</v>
      </c>
      <c r="D493" s="11" t="s">
        <v>29</v>
      </c>
      <c r="E493" s="15">
        <v>2</v>
      </c>
      <c r="F493" s="31">
        <v>5.2880000000000003</v>
      </c>
      <c r="G493" s="27">
        <v>0.11775949999999999</v>
      </c>
      <c r="H493" s="27">
        <v>0</v>
      </c>
      <c r="I493" s="27">
        <v>2.3394633749999998</v>
      </c>
      <c r="J493" s="27">
        <v>1.0161E-2</v>
      </c>
      <c r="K493" s="27">
        <v>0</v>
      </c>
    </row>
    <row r="494" spans="1:12">
      <c r="A494" s="15">
        <v>14</v>
      </c>
      <c r="B494" s="22">
        <v>41319</v>
      </c>
      <c r="C494" s="15">
        <v>2013</v>
      </c>
      <c r="D494" s="11" t="s">
        <v>29</v>
      </c>
      <c r="E494" s="15">
        <v>2</v>
      </c>
      <c r="F494" s="31">
        <v>6.0389999999999997</v>
      </c>
      <c r="G494" s="27">
        <v>3.8291249999999999E-2</v>
      </c>
      <c r="H494" s="27">
        <v>1.3569375E-2</v>
      </c>
      <c r="I494" s="27">
        <v>3.1278204999999994</v>
      </c>
      <c r="J494" s="27">
        <v>0</v>
      </c>
      <c r="K494" s="27">
        <v>0</v>
      </c>
    </row>
    <row r="495" spans="1:12">
      <c r="A495" s="15">
        <v>14</v>
      </c>
      <c r="B495" s="22">
        <v>41319</v>
      </c>
      <c r="C495" s="15">
        <v>2013</v>
      </c>
      <c r="D495" s="11" t="s">
        <v>29</v>
      </c>
      <c r="E495" s="15">
        <v>2</v>
      </c>
      <c r="F495" s="31">
        <v>6.0389999999999997</v>
      </c>
      <c r="G495" s="27">
        <v>4.2549249999999983E-2</v>
      </c>
      <c r="H495" s="27">
        <v>0</v>
      </c>
      <c r="I495" s="27">
        <v>3.6103182500000002</v>
      </c>
      <c r="J495" s="27">
        <v>1.7468125000000001E-2</v>
      </c>
      <c r="K495" s="27">
        <v>0</v>
      </c>
      <c r="L495" t="s">
        <v>42</v>
      </c>
    </row>
    <row r="496" spans="1:12">
      <c r="A496" s="15">
        <v>5</v>
      </c>
      <c r="B496" s="22">
        <v>41344</v>
      </c>
      <c r="C496" s="15">
        <v>2013</v>
      </c>
      <c r="D496" s="11" t="s">
        <v>30</v>
      </c>
      <c r="E496" s="15">
        <v>3</v>
      </c>
      <c r="F496" s="31">
        <v>6.8650000000000002</v>
      </c>
      <c r="G496" s="27">
        <v>5.5329749999999997E-2</v>
      </c>
      <c r="H496" s="27">
        <v>0</v>
      </c>
      <c r="I496" s="27">
        <v>4.1329747499999998</v>
      </c>
      <c r="J496" s="27">
        <v>4.4098999999999999E-2</v>
      </c>
      <c r="K496" s="27">
        <v>0</v>
      </c>
    </row>
    <row r="497" spans="1:12">
      <c r="A497" s="15">
        <v>7</v>
      </c>
      <c r="B497" s="22">
        <v>41346</v>
      </c>
      <c r="C497" s="15">
        <v>2013</v>
      </c>
      <c r="D497" s="11" t="s">
        <v>30</v>
      </c>
      <c r="E497" s="15">
        <v>3</v>
      </c>
      <c r="F497" s="31">
        <v>10.744</v>
      </c>
      <c r="G497" s="27">
        <v>0.15812812499999998</v>
      </c>
      <c r="H497" s="27">
        <v>0</v>
      </c>
      <c r="I497" s="27">
        <v>6.8205334999999989</v>
      </c>
      <c r="J497" s="27">
        <v>4.7323625000000001E-2</v>
      </c>
      <c r="K497" s="27">
        <v>0</v>
      </c>
    </row>
    <row r="498" spans="1:12">
      <c r="A498" s="15">
        <v>14</v>
      </c>
      <c r="B498" s="22">
        <v>41346</v>
      </c>
      <c r="C498" s="15">
        <v>2013</v>
      </c>
      <c r="D498" s="11" t="s">
        <v>30</v>
      </c>
      <c r="E498" s="15">
        <v>3</v>
      </c>
      <c r="F498" s="31">
        <v>8.9760000000000009</v>
      </c>
      <c r="G498" s="27">
        <v>0</v>
      </c>
      <c r="H498" s="27">
        <v>0</v>
      </c>
      <c r="I498" s="27">
        <v>6.0120923749999999</v>
      </c>
      <c r="J498" s="27">
        <v>5.1243625000000001E-2</v>
      </c>
      <c r="K498" s="27">
        <v>0</v>
      </c>
    </row>
    <row r="499" spans="1:12">
      <c r="A499" s="15">
        <v>5</v>
      </c>
      <c r="B499" s="22">
        <v>41379</v>
      </c>
      <c r="C499" s="15">
        <v>2013</v>
      </c>
      <c r="D499" s="11" t="s">
        <v>31</v>
      </c>
      <c r="E499" s="15">
        <v>4</v>
      </c>
      <c r="F499" s="32">
        <v>2.5430000000000001</v>
      </c>
      <c r="G499" s="27">
        <v>0</v>
      </c>
      <c r="H499" s="27">
        <v>0</v>
      </c>
      <c r="I499" s="27">
        <v>1.3378622499999999</v>
      </c>
      <c r="J499" s="27">
        <v>7.2653750000000003E-2</v>
      </c>
      <c r="K499" s="27">
        <v>0</v>
      </c>
    </row>
    <row r="500" spans="1:12">
      <c r="A500" s="15">
        <v>7</v>
      </c>
      <c r="B500" s="22">
        <v>41380</v>
      </c>
      <c r="C500" s="15">
        <v>2013</v>
      </c>
      <c r="D500" s="11" t="s">
        <v>31</v>
      </c>
      <c r="E500" s="15">
        <v>4</v>
      </c>
      <c r="F500" s="32">
        <v>5.2409999999999997</v>
      </c>
      <c r="G500" s="27">
        <v>7.3791999999999983E-2</v>
      </c>
      <c r="H500" s="27">
        <v>0</v>
      </c>
      <c r="I500" s="27">
        <v>1.13628825</v>
      </c>
      <c r="J500" s="27">
        <v>2.3915374999999996E-2</v>
      </c>
      <c r="K500" s="27">
        <v>0</v>
      </c>
    </row>
    <row r="501" spans="1:12">
      <c r="A501" s="15">
        <v>14</v>
      </c>
      <c r="B501" s="22">
        <v>41380</v>
      </c>
      <c r="C501" s="15">
        <v>2013</v>
      </c>
      <c r="D501" s="11" t="s">
        <v>31</v>
      </c>
      <c r="E501" s="15">
        <v>4</v>
      </c>
      <c r="F501" s="32">
        <v>0.433</v>
      </c>
      <c r="G501" s="27">
        <v>0</v>
      </c>
      <c r="H501" s="27">
        <v>0</v>
      </c>
      <c r="I501" s="27">
        <v>8.6425500000000002E-2</v>
      </c>
      <c r="J501" s="27">
        <v>0</v>
      </c>
      <c r="K501" s="27">
        <v>0</v>
      </c>
    </row>
    <row r="502" spans="1:12">
      <c r="A502" s="15">
        <v>5</v>
      </c>
      <c r="B502" s="22">
        <v>41407</v>
      </c>
      <c r="C502" s="15">
        <v>2013</v>
      </c>
      <c r="D502" s="11" t="s">
        <v>32</v>
      </c>
      <c r="E502" s="15">
        <v>5</v>
      </c>
      <c r="F502" s="32">
        <v>1.2370000000000001</v>
      </c>
      <c r="G502" s="27">
        <v>5.5783999999999993E-2</v>
      </c>
      <c r="H502" s="27">
        <v>0</v>
      </c>
      <c r="I502" s="27">
        <v>5.142562500000001E-2</v>
      </c>
      <c r="J502" s="27">
        <v>1.4489374999999999E-2</v>
      </c>
      <c r="K502" s="27">
        <v>0</v>
      </c>
    </row>
    <row r="503" spans="1:12">
      <c r="A503" s="15">
        <v>7</v>
      </c>
      <c r="B503" s="22">
        <v>41407</v>
      </c>
      <c r="C503" s="15">
        <v>2013</v>
      </c>
      <c r="D503" s="11" t="s">
        <v>32</v>
      </c>
      <c r="E503" s="15">
        <v>5</v>
      </c>
      <c r="F503" s="32">
        <v>1.2390000000000001</v>
      </c>
      <c r="G503" s="27">
        <v>0</v>
      </c>
      <c r="H503" s="27">
        <v>0</v>
      </c>
      <c r="I503" s="27">
        <v>0.55525512499999985</v>
      </c>
      <c r="J503" s="27">
        <v>0</v>
      </c>
      <c r="K503" s="27">
        <v>0</v>
      </c>
    </row>
    <row r="504" spans="1:12">
      <c r="A504" s="15">
        <v>14</v>
      </c>
      <c r="B504" s="22">
        <v>41407</v>
      </c>
      <c r="C504" s="15">
        <v>2013</v>
      </c>
      <c r="D504" s="11" t="s">
        <v>32</v>
      </c>
      <c r="E504" s="15">
        <v>5</v>
      </c>
      <c r="F504" s="32">
        <v>0.63600000000000001</v>
      </c>
      <c r="G504" s="27">
        <v>0</v>
      </c>
      <c r="H504" s="27">
        <v>0</v>
      </c>
      <c r="I504" s="27">
        <v>0.2498658749999999</v>
      </c>
      <c r="J504" s="27">
        <v>0</v>
      </c>
      <c r="K504" s="27">
        <v>0</v>
      </c>
    </row>
    <row r="505" spans="1:12">
      <c r="A505" s="15">
        <v>5</v>
      </c>
      <c r="B505" s="22">
        <v>41436</v>
      </c>
      <c r="C505" s="15">
        <v>2013</v>
      </c>
      <c r="D505" s="11" t="s">
        <v>33</v>
      </c>
      <c r="E505" s="15">
        <v>6</v>
      </c>
      <c r="F505" s="32">
        <v>6.915</v>
      </c>
      <c r="G505" s="27">
        <v>6.516812499999998E-2</v>
      </c>
      <c r="H505" s="27">
        <v>0</v>
      </c>
      <c r="I505" s="27">
        <v>3.4232782500000001</v>
      </c>
      <c r="J505" s="27">
        <v>4.9302124999999995E-2</v>
      </c>
      <c r="K505" s="27">
        <v>0</v>
      </c>
    </row>
    <row r="506" spans="1:12">
      <c r="A506" s="15">
        <v>5</v>
      </c>
      <c r="B506" s="22">
        <v>41436</v>
      </c>
      <c r="C506" s="15">
        <v>2013</v>
      </c>
      <c r="D506" s="11" t="s">
        <v>33</v>
      </c>
      <c r="E506" s="15">
        <v>6</v>
      </c>
      <c r="F506" s="32">
        <v>6.915</v>
      </c>
      <c r="G506" s="27">
        <v>4.9605125E-2</v>
      </c>
      <c r="H506" s="27">
        <v>0</v>
      </c>
      <c r="I506" s="27">
        <v>3.4041421249999999</v>
      </c>
      <c r="J506" s="27">
        <v>4.6367874999999996E-2</v>
      </c>
      <c r="K506" s="27">
        <v>0</v>
      </c>
      <c r="L506" t="s">
        <v>42</v>
      </c>
    </row>
    <row r="507" spans="1:12">
      <c r="A507" s="15">
        <v>7</v>
      </c>
      <c r="B507" s="22">
        <v>41437</v>
      </c>
      <c r="C507" s="15">
        <v>2013</v>
      </c>
      <c r="D507" s="11" t="s">
        <v>33</v>
      </c>
      <c r="E507" s="15">
        <v>6</v>
      </c>
      <c r="F507" s="32">
        <v>7.1859999999999999</v>
      </c>
      <c r="G507" s="27">
        <v>0.36853812499999999</v>
      </c>
      <c r="H507" s="27">
        <v>0</v>
      </c>
      <c r="I507" s="27">
        <v>2.0410166250000001</v>
      </c>
      <c r="J507" s="27">
        <v>8.9196374999999994E-2</v>
      </c>
      <c r="K507" s="27">
        <v>0</v>
      </c>
    </row>
    <row r="508" spans="1:12">
      <c r="A508" s="15">
        <v>14</v>
      </c>
      <c r="B508" s="22">
        <v>41437</v>
      </c>
      <c r="C508" s="15">
        <v>2013</v>
      </c>
      <c r="D508" s="11" t="s">
        <v>33</v>
      </c>
      <c r="E508" s="15">
        <v>6</v>
      </c>
      <c r="F508" s="32">
        <v>5.2770000000000001</v>
      </c>
      <c r="G508" s="27">
        <v>0.19935900000000001</v>
      </c>
      <c r="H508" s="27">
        <v>0</v>
      </c>
      <c r="I508" s="27">
        <v>2.1256057500000001</v>
      </c>
      <c r="J508" s="27">
        <v>3.4667125E-2</v>
      </c>
      <c r="K508" s="27">
        <v>0</v>
      </c>
    </row>
    <row r="509" spans="1:12">
      <c r="A509" s="15">
        <v>5</v>
      </c>
      <c r="B509" s="22">
        <v>41470</v>
      </c>
      <c r="C509" s="15">
        <v>2013</v>
      </c>
      <c r="D509" s="11" t="s">
        <v>34</v>
      </c>
      <c r="E509" s="15">
        <v>7</v>
      </c>
      <c r="F509" s="32">
        <v>6.6029999999999998</v>
      </c>
      <c r="G509" s="27">
        <v>0.34459912500000001</v>
      </c>
      <c r="H509" s="27">
        <v>0</v>
      </c>
      <c r="I509" s="27">
        <v>1.5036761249999997</v>
      </c>
      <c r="J509" s="27">
        <v>1.593345375</v>
      </c>
      <c r="K509" s="27">
        <v>0</v>
      </c>
    </row>
    <row r="510" spans="1:12">
      <c r="A510" s="15">
        <v>7</v>
      </c>
      <c r="B510" s="22">
        <v>41470</v>
      </c>
      <c r="C510" s="15">
        <v>2013</v>
      </c>
      <c r="D510" s="11" t="s">
        <v>34</v>
      </c>
      <c r="E510" s="15">
        <v>7</v>
      </c>
      <c r="F510" s="32">
        <v>9.8219999999999992</v>
      </c>
      <c r="G510" s="27">
        <v>0.71107524999999994</v>
      </c>
      <c r="H510" s="27">
        <v>7.5122375000000005E-2</v>
      </c>
      <c r="I510" s="27">
        <v>2.3433163750000001</v>
      </c>
      <c r="J510" s="27">
        <v>0.37281312499999997</v>
      </c>
      <c r="K510" s="27">
        <v>0</v>
      </c>
    </row>
    <row r="511" spans="1:12">
      <c r="A511" s="15">
        <v>14</v>
      </c>
      <c r="B511" s="22">
        <v>41470</v>
      </c>
      <c r="C511" s="15">
        <v>2013</v>
      </c>
      <c r="D511" s="11" t="s">
        <v>34</v>
      </c>
      <c r="E511" s="15">
        <v>7</v>
      </c>
      <c r="F511" s="32">
        <v>4.4320000000000004</v>
      </c>
      <c r="G511" s="27">
        <v>0.18958487499999999</v>
      </c>
      <c r="H511" s="27">
        <v>0</v>
      </c>
      <c r="I511" s="27">
        <v>1.1304464999999997</v>
      </c>
      <c r="J511" s="27">
        <v>0.17482662499999999</v>
      </c>
      <c r="K511" s="27">
        <v>0</v>
      </c>
    </row>
    <row r="512" spans="1:12">
      <c r="A512" s="15">
        <v>5</v>
      </c>
      <c r="B512" s="22">
        <v>41498</v>
      </c>
      <c r="C512" s="15">
        <v>2013</v>
      </c>
      <c r="D512" s="11" t="s">
        <v>35</v>
      </c>
      <c r="E512" s="15">
        <v>8</v>
      </c>
      <c r="F512" s="32">
        <v>6.9290000000000003</v>
      </c>
      <c r="G512" s="27">
        <v>0.28015137499999998</v>
      </c>
      <c r="H512" s="27">
        <v>0</v>
      </c>
      <c r="I512" s="27">
        <v>1.9129505</v>
      </c>
      <c r="J512" s="27">
        <v>1.2639043750000001</v>
      </c>
      <c r="K512" s="27">
        <v>0</v>
      </c>
    </row>
    <row r="513" spans="1:12">
      <c r="A513" s="15">
        <v>7</v>
      </c>
      <c r="B513" s="22">
        <v>41498</v>
      </c>
      <c r="C513" s="15">
        <v>2013</v>
      </c>
      <c r="D513" s="11" t="s">
        <v>35</v>
      </c>
      <c r="E513" s="15">
        <v>8</v>
      </c>
      <c r="F513" s="32">
        <v>5.9130000000000003</v>
      </c>
      <c r="G513" s="27">
        <v>1.7123891250000001</v>
      </c>
      <c r="H513" s="27">
        <v>0</v>
      </c>
      <c r="I513" s="27">
        <v>0.42570212499999993</v>
      </c>
      <c r="J513" s="27">
        <v>0.21506762500000001</v>
      </c>
      <c r="K513" s="27">
        <v>0</v>
      </c>
    </row>
    <row r="514" spans="1:12">
      <c r="A514" s="15">
        <v>14</v>
      </c>
      <c r="B514" s="22">
        <v>41498</v>
      </c>
      <c r="C514" s="15">
        <v>2013</v>
      </c>
      <c r="D514" s="11" t="s">
        <v>35</v>
      </c>
      <c r="E514" s="15">
        <v>8</v>
      </c>
      <c r="F514" s="32">
        <v>4.3970000000000002</v>
      </c>
      <c r="G514" s="27">
        <v>1.6612114999999996</v>
      </c>
      <c r="H514" s="27">
        <v>0</v>
      </c>
      <c r="I514" s="27">
        <v>0.24674874999999996</v>
      </c>
      <c r="J514" s="27">
        <v>2.7241499999999995E-2</v>
      </c>
      <c r="K514" s="27">
        <v>0</v>
      </c>
    </row>
    <row r="515" spans="1:12">
      <c r="A515" s="15">
        <v>5</v>
      </c>
      <c r="B515" s="22">
        <v>41533</v>
      </c>
      <c r="C515" s="15">
        <v>2013</v>
      </c>
      <c r="D515" s="11" t="s">
        <v>41</v>
      </c>
      <c r="E515" s="15">
        <v>9</v>
      </c>
      <c r="F515" s="32">
        <v>3.4</v>
      </c>
      <c r="G515" s="27">
        <v>4.6190249999999995E-2</v>
      </c>
      <c r="H515" s="27">
        <v>0</v>
      </c>
      <c r="I515" s="27">
        <v>1.1208383749999999</v>
      </c>
      <c r="J515" s="27">
        <v>6.9370874999999999E-2</v>
      </c>
      <c r="K515" s="27">
        <v>0</v>
      </c>
    </row>
    <row r="516" spans="1:12">
      <c r="A516" s="15">
        <v>7</v>
      </c>
      <c r="B516" s="22">
        <v>41535</v>
      </c>
      <c r="C516" s="15">
        <v>2013</v>
      </c>
      <c r="D516" s="11" t="s">
        <v>41</v>
      </c>
      <c r="E516" s="15">
        <v>9</v>
      </c>
      <c r="F516" s="32">
        <v>7.87</v>
      </c>
      <c r="G516" s="27">
        <v>3.7157478749999995</v>
      </c>
      <c r="H516" s="27">
        <v>0</v>
      </c>
      <c r="I516" s="27">
        <v>0.166927875</v>
      </c>
      <c r="J516" s="27">
        <v>6.3457E-2</v>
      </c>
      <c r="K516" s="27">
        <v>0</v>
      </c>
    </row>
    <row r="517" spans="1:12">
      <c r="A517" s="15">
        <v>14</v>
      </c>
      <c r="B517" s="22">
        <v>41535</v>
      </c>
      <c r="C517" s="15">
        <v>2013</v>
      </c>
      <c r="D517" s="11" t="s">
        <v>41</v>
      </c>
      <c r="E517" s="15">
        <v>9</v>
      </c>
      <c r="F517" s="32">
        <v>0.88300000000000001</v>
      </c>
      <c r="G517" s="27">
        <v>0.14354525000000001</v>
      </c>
      <c r="H517" s="27">
        <v>0</v>
      </c>
      <c r="I517" s="27">
        <v>0.156142</v>
      </c>
      <c r="J517" s="27">
        <v>0</v>
      </c>
      <c r="K517" s="27">
        <v>0</v>
      </c>
    </row>
    <row r="518" spans="1:12">
      <c r="A518" s="15">
        <v>5</v>
      </c>
      <c r="B518" s="22">
        <v>41569</v>
      </c>
      <c r="C518" s="15">
        <v>2013</v>
      </c>
      <c r="D518" s="11" t="s">
        <v>37</v>
      </c>
      <c r="E518" s="15">
        <v>10</v>
      </c>
      <c r="F518" s="26">
        <v>2.6429999999999998</v>
      </c>
      <c r="G518" s="27">
        <v>4.0691375000000002E-2</v>
      </c>
      <c r="H518" s="27">
        <v>0</v>
      </c>
      <c r="I518" s="27">
        <v>6.7841374999999982E-2</v>
      </c>
      <c r="J518" s="27">
        <v>0</v>
      </c>
      <c r="K518" s="27">
        <v>0</v>
      </c>
    </row>
    <row r="519" spans="1:12">
      <c r="A519" s="15">
        <v>7</v>
      </c>
      <c r="B519" s="22">
        <v>406810</v>
      </c>
      <c r="C519" s="15">
        <v>2013</v>
      </c>
      <c r="D519" s="11" t="s">
        <v>37</v>
      </c>
      <c r="E519" s="15">
        <v>10</v>
      </c>
      <c r="F519" s="26">
        <v>3.2120000000000002</v>
      </c>
      <c r="G519" s="27">
        <v>0.133235625</v>
      </c>
      <c r="H519" s="27">
        <v>0</v>
      </c>
      <c r="I519" s="27">
        <v>0.50090887499999992</v>
      </c>
      <c r="J519" s="27">
        <v>2.6587999999999997E-2</v>
      </c>
      <c r="K519" s="27">
        <v>0</v>
      </c>
    </row>
    <row r="520" spans="1:12">
      <c r="A520" s="15">
        <v>14</v>
      </c>
      <c r="B520" s="22">
        <v>406810</v>
      </c>
      <c r="C520" s="15">
        <v>2013</v>
      </c>
      <c r="D520" s="11" t="s">
        <v>37</v>
      </c>
      <c r="E520" s="15">
        <v>10</v>
      </c>
      <c r="F520" s="26">
        <v>1.133</v>
      </c>
      <c r="G520" s="27">
        <v>6.076875000000001E-2</v>
      </c>
      <c r="H520" s="27">
        <v>0</v>
      </c>
      <c r="I520" s="27">
        <v>6.6877375000000003E-2</v>
      </c>
      <c r="J520" s="27">
        <v>8.1957499999999982E-3</v>
      </c>
      <c r="K520" s="27">
        <v>0</v>
      </c>
    </row>
    <row r="521" spans="1:12">
      <c r="A521" s="15">
        <v>5</v>
      </c>
      <c r="B521" s="22">
        <v>41597</v>
      </c>
      <c r="C521" s="15">
        <v>2013</v>
      </c>
      <c r="D521" s="11" t="s">
        <v>38</v>
      </c>
      <c r="E521" s="15">
        <v>11</v>
      </c>
      <c r="F521" s="26">
        <v>0.70799999999999996</v>
      </c>
      <c r="G521" s="27">
        <v>0</v>
      </c>
      <c r="H521" s="27">
        <v>0</v>
      </c>
      <c r="I521" s="27">
        <v>0.16126675000000001</v>
      </c>
      <c r="J521" s="27">
        <v>0</v>
      </c>
      <c r="K521" s="27">
        <v>0</v>
      </c>
    </row>
    <row r="522" spans="1:12">
      <c r="A522" s="15">
        <v>7</v>
      </c>
      <c r="B522" s="22">
        <v>41599</v>
      </c>
      <c r="C522" s="15">
        <v>2013</v>
      </c>
      <c r="D522" s="11" t="s">
        <v>38</v>
      </c>
      <c r="E522" s="15">
        <v>11</v>
      </c>
      <c r="F522" s="26">
        <v>0.64800000000000002</v>
      </c>
      <c r="G522" s="27">
        <v>3.8234749999999991E-2</v>
      </c>
      <c r="H522" s="27">
        <v>0</v>
      </c>
      <c r="I522" s="27">
        <v>0.11387787499999998</v>
      </c>
      <c r="J522" s="27">
        <v>0</v>
      </c>
      <c r="K522" s="27">
        <v>0</v>
      </c>
    </row>
    <row r="523" spans="1:12">
      <c r="A523" s="15">
        <v>14</v>
      </c>
      <c r="B523" s="22">
        <v>41599</v>
      </c>
      <c r="C523" s="15">
        <v>2013</v>
      </c>
      <c r="D523" s="11" t="s">
        <v>38</v>
      </c>
      <c r="E523" s="15">
        <v>11</v>
      </c>
      <c r="F523" s="26">
        <v>0.48199999999999998</v>
      </c>
      <c r="G523" s="27">
        <v>1.3696E-2</v>
      </c>
      <c r="H523" s="27">
        <v>0</v>
      </c>
      <c r="I523" s="27">
        <v>0.11209749999999999</v>
      </c>
      <c r="J523" s="27">
        <v>5.8508749999999993E-3</v>
      </c>
      <c r="K523" s="27">
        <v>0</v>
      </c>
    </row>
    <row r="524" spans="1:12">
      <c r="A524" s="15">
        <v>14</v>
      </c>
      <c r="B524" s="22">
        <v>41599</v>
      </c>
      <c r="C524" s="15">
        <v>2013</v>
      </c>
      <c r="D524" s="11" t="s">
        <v>38</v>
      </c>
      <c r="E524" s="15">
        <v>11</v>
      </c>
      <c r="F524" s="26">
        <v>0.48199999999999998</v>
      </c>
      <c r="G524" s="27">
        <v>0</v>
      </c>
      <c r="H524" s="27">
        <v>0</v>
      </c>
      <c r="I524" s="27">
        <v>0.11948925000000001</v>
      </c>
      <c r="J524" s="27">
        <v>0</v>
      </c>
      <c r="K524" s="27">
        <v>0</v>
      </c>
      <c r="L524" t="s">
        <v>42</v>
      </c>
    </row>
    <row r="525" spans="1:12">
      <c r="A525" s="15">
        <v>5</v>
      </c>
      <c r="B525" s="22">
        <v>41624</v>
      </c>
      <c r="C525" s="15">
        <v>2013</v>
      </c>
      <c r="D525" s="11" t="s">
        <v>39</v>
      </c>
      <c r="E525" s="15">
        <v>12</v>
      </c>
      <c r="F525" s="26">
        <v>3.2549999999999999</v>
      </c>
      <c r="G525" s="27">
        <v>7.7903750000000008E-2</v>
      </c>
      <c r="H525" s="27">
        <v>0</v>
      </c>
      <c r="I525" s="27">
        <v>1.2169337499999999</v>
      </c>
      <c r="J525" s="27">
        <v>0</v>
      </c>
      <c r="K525" s="27">
        <v>0</v>
      </c>
    </row>
    <row r="526" spans="1:12">
      <c r="A526" s="15">
        <v>7</v>
      </c>
      <c r="B526" s="22">
        <v>41627</v>
      </c>
      <c r="C526" s="15">
        <v>2013</v>
      </c>
      <c r="D526" s="11" t="s">
        <v>39</v>
      </c>
      <c r="E526" s="15">
        <v>12</v>
      </c>
      <c r="F526" s="26">
        <v>6.6989999999999998</v>
      </c>
      <c r="G526" s="27">
        <v>2.6235210000000002</v>
      </c>
      <c r="H526" s="27">
        <v>0</v>
      </c>
      <c r="I526" s="27">
        <v>0.76138462499999993</v>
      </c>
      <c r="J526" s="27">
        <v>3.7646249999999992E-2</v>
      </c>
      <c r="K526" s="27">
        <v>0</v>
      </c>
    </row>
    <row r="527" spans="1:12">
      <c r="A527" s="15">
        <v>14</v>
      </c>
      <c r="B527" s="22">
        <v>41627</v>
      </c>
      <c r="C527" s="15">
        <v>2013</v>
      </c>
      <c r="D527" s="11" t="s">
        <v>39</v>
      </c>
      <c r="E527" s="15">
        <v>12</v>
      </c>
      <c r="F527" s="26">
        <v>2.052</v>
      </c>
      <c r="G527" s="27">
        <v>0.29339100000000001</v>
      </c>
      <c r="H527" s="27">
        <v>0</v>
      </c>
      <c r="I527" s="27">
        <v>0.49781812500000006</v>
      </c>
      <c r="J527" s="27">
        <v>9.3231249999999998E-3</v>
      </c>
      <c r="K527" s="27">
        <v>0</v>
      </c>
    </row>
    <row r="528" spans="1:12">
      <c r="A528" s="15">
        <v>14</v>
      </c>
      <c r="B528" s="22">
        <v>41627</v>
      </c>
      <c r="C528" s="15">
        <v>2013</v>
      </c>
      <c r="D528" s="11" t="s">
        <v>39</v>
      </c>
      <c r="E528" s="15">
        <v>12</v>
      </c>
      <c r="F528" s="26">
        <v>2.052</v>
      </c>
      <c r="G528" s="27">
        <v>0.27372249999999998</v>
      </c>
      <c r="H528" s="27">
        <v>0</v>
      </c>
      <c r="I528" s="27">
        <v>0.41767175000000001</v>
      </c>
      <c r="J528" s="27">
        <v>1.1582624999999996E-2</v>
      </c>
      <c r="K528" s="27">
        <v>0</v>
      </c>
      <c r="L528" t="s">
        <v>42</v>
      </c>
    </row>
    <row r="529" spans="1:12">
      <c r="A529" s="15">
        <v>5</v>
      </c>
      <c r="B529" s="22">
        <v>41654</v>
      </c>
      <c r="C529" s="15">
        <v>2014</v>
      </c>
      <c r="D529" s="11" t="s">
        <v>40</v>
      </c>
      <c r="E529" s="15">
        <v>1</v>
      </c>
      <c r="F529" s="26">
        <v>2.7160000000000002</v>
      </c>
      <c r="G529" s="27">
        <v>0</v>
      </c>
      <c r="H529" s="27">
        <v>0</v>
      </c>
      <c r="I529" s="27">
        <v>1.0902731249999997</v>
      </c>
      <c r="J529" s="27">
        <v>0</v>
      </c>
      <c r="K529" s="27">
        <v>0</v>
      </c>
    </row>
    <row r="530" spans="1:12">
      <c r="A530" s="15">
        <v>7</v>
      </c>
      <c r="B530" s="22">
        <v>41655</v>
      </c>
      <c r="C530" s="15">
        <v>2014</v>
      </c>
      <c r="D530" s="11" t="s">
        <v>40</v>
      </c>
      <c r="E530" s="15">
        <v>1</v>
      </c>
      <c r="F530" s="26">
        <v>4.1989999999999998</v>
      </c>
      <c r="G530" s="27">
        <v>0.40375324999999995</v>
      </c>
      <c r="H530" s="27">
        <v>0</v>
      </c>
      <c r="I530" s="27">
        <v>0.99440300000000004</v>
      </c>
      <c r="J530" s="27">
        <v>1.6791749999999998E-2</v>
      </c>
      <c r="K530" s="27">
        <v>0</v>
      </c>
    </row>
    <row r="531" spans="1:12">
      <c r="A531" s="15">
        <v>14</v>
      </c>
      <c r="B531" s="22">
        <v>41655</v>
      </c>
      <c r="C531" s="15">
        <v>2014</v>
      </c>
      <c r="D531" s="11" t="s">
        <v>40</v>
      </c>
      <c r="E531" s="15">
        <v>1</v>
      </c>
      <c r="F531" s="26">
        <v>2.839</v>
      </c>
      <c r="G531" s="27">
        <v>0.14082174999999997</v>
      </c>
      <c r="H531" s="27">
        <v>0</v>
      </c>
      <c r="I531" s="27">
        <v>0.86851774999999987</v>
      </c>
      <c r="J531" s="27">
        <v>1.8850749999999996E-2</v>
      </c>
      <c r="K531" s="27">
        <v>0</v>
      </c>
    </row>
    <row r="532" spans="1:12">
      <c r="A532" s="15">
        <v>5</v>
      </c>
      <c r="B532" s="22">
        <v>41688</v>
      </c>
      <c r="C532" s="15">
        <v>2014</v>
      </c>
      <c r="D532" s="11" t="s">
        <v>29</v>
      </c>
      <c r="E532" s="15">
        <v>2</v>
      </c>
      <c r="F532" s="26">
        <v>2.9209999999999998</v>
      </c>
      <c r="G532" s="27">
        <v>3.2449499999999999E-2</v>
      </c>
      <c r="H532" s="27">
        <v>0</v>
      </c>
      <c r="I532" s="27">
        <v>1.080244875</v>
      </c>
      <c r="J532" s="27">
        <v>2.0174374999999994E-2</v>
      </c>
      <c r="K532" s="27">
        <v>0</v>
      </c>
    </row>
    <row r="533" spans="1:12">
      <c r="A533" s="15">
        <v>7</v>
      </c>
      <c r="B533" s="22">
        <v>41690</v>
      </c>
      <c r="C533" s="15">
        <v>2014</v>
      </c>
      <c r="D533" s="11" t="s">
        <v>29</v>
      </c>
      <c r="E533" s="15">
        <v>2</v>
      </c>
      <c r="F533" s="26">
        <v>3.8149999999999999</v>
      </c>
      <c r="G533" s="27">
        <v>0.138683</v>
      </c>
      <c r="H533" s="27">
        <v>0</v>
      </c>
      <c r="I533" s="27">
        <v>1.4297617499999999</v>
      </c>
      <c r="J533" s="27">
        <v>1.9064874999999995E-2</v>
      </c>
      <c r="K533" s="27">
        <v>0</v>
      </c>
    </row>
    <row r="534" spans="1:12">
      <c r="A534" s="15">
        <v>7</v>
      </c>
      <c r="B534" s="22">
        <v>41690</v>
      </c>
      <c r="C534" s="15">
        <v>2014</v>
      </c>
      <c r="D534" s="11" t="s">
        <v>29</v>
      </c>
      <c r="E534" s="15">
        <v>2</v>
      </c>
      <c r="F534" s="26">
        <v>3.8149999999999999</v>
      </c>
      <c r="G534" s="27">
        <v>0.15760874999999999</v>
      </c>
      <c r="H534" s="27">
        <v>0</v>
      </c>
      <c r="I534" s="27">
        <v>1.5665447499999998</v>
      </c>
      <c r="J534" s="27">
        <v>1.9231374999999995E-2</v>
      </c>
      <c r="K534" s="27">
        <v>0</v>
      </c>
      <c r="L534" t="s">
        <v>42</v>
      </c>
    </row>
    <row r="535" spans="1:12">
      <c r="A535" s="15">
        <v>14</v>
      </c>
      <c r="B535" s="22">
        <v>41690</v>
      </c>
      <c r="C535" s="15">
        <v>2014</v>
      </c>
      <c r="D535" s="11" t="s">
        <v>29</v>
      </c>
      <c r="E535" s="15">
        <v>2</v>
      </c>
      <c r="F535" s="26">
        <v>4.59</v>
      </c>
      <c r="G535" s="27">
        <v>6.8962124999999999E-2</v>
      </c>
      <c r="H535" s="27">
        <v>0</v>
      </c>
      <c r="I535" s="27">
        <v>1.6685007500000002</v>
      </c>
      <c r="J535" s="27">
        <v>1.9884249999999999E-2</v>
      </c>
      <c r="K535" s="27">
        <v>0</v>
      </c>
    </row>
    <row r="536" spans="1:12">
      <c r="A536" s="15">
        <v>5</v>
      </c>
      <c r="B536" s="22">
        <v>41718</v>
      </c>
      <c r="C536" s="15">
        <v>2014</v>
      </c>
      <c r="D536" s="11" t="s">
        <v>30</v>
      </c>
      <c r="E536" s="15">
        <v>3</v>
      </c>
      <c r="F536" s="26">
        <v>5.923</v>
      </c>
      <c r="G536" s="27">
        <v>0.15427262499999997</v>
      </c>
      <c r="H536" s="27">
        <v>0</v>
      </c>
      <c r="I536" s="27">
        <v>2.6624426249999997</v>
      </c>
      <c r="J536" s="27">
        <v>2.3510625E-2</v>
      </c>
      <c r="K536" s="27">
        <v>0</v>
      </c>
    </row>
    <row r="537" spans="1:12">
      <c r="A537" s="15">
        <v>7</v>
      </c>
      <c r="B537" s="22">
        <v>41718</v>
      </c>
      <c r="C537" s="15">
        <v>2014</v>
      </c>
      <c r="D537" s="11" t="s">
        <v>30</v>
      </c>
      <c r="E537" s="15">
        <v>3</v>
      </c>
      <c r="F537" s="26">
        <v>3.7069999999999999</v>
      </c>
      <c r="G537" s="27">
        <v>0.17214475000000001</v>
      </c>
      <c r="H537" s="27">
        <v>0</v>
      </c>
      <c r="I537" s="27">
        <v>1.3201890000000001</v>
      </c>
      <c r="J537" s="27">
        <v>2.1393624999999999E-2</v>
      </c>
      <c r="K537" s="27">
        <v>0</v>
      </c>
    </row>
    <row r="538" spans="1:12">
      <c r="A538" s="15">
        <v>14</v>
      </c>
      <c r="B538" s="22">
        <v>41718</v>
      </c>
      <c r="C538" s="15">
        <v>2014</v>
      </c>
      <c r="D538" s="11" t="s">
        <v>30</v>
      </c>
      <c r="E538" s="15">
        <v>3</v>
      </c>
      <c r="F538" s="26">
        <v>5.3289999999999997</v>
      </c>
      <c r="G538" s="27">
        <v>0.16295824999999997</v>
      </c>
      <c r="H538" s="27">
        <v>0</v>
      </c>
      <c r="I538" s="27">
        <v>2.259413125</v>
      </c>
      <c r="J538" s="27">
        <v>1.9279749999999998E-2</v>
      </c>
      <c r="K538" s="27">
        <v>0</v>
      </c>
    </row>
    <row r="539" spans="1:12">
      <c r="A539" s="15">
        <v>5</v>
      </c>
      <c r="B539" s="22">
        <v>41747</v>
      </c>
      <c r="C539" s="15">
        <v>2014</v>
      </c>
      <c r="D539" s="11" t="s">
        <v>31</v>
      </c>
      <c r="E539" s="15">
        <v>4</v>
      </c>
      <c r="F539" s="33">
        <v>5.7229999999999999</v>
      </c>
      <c r="G539" s="27">
        <v>0.13722800000000002</v>
      </c>
      <c r="H539" s="27">
        <v>0</v>
      </c>
      <c r="I539" s="27">
        <v>2.3290970000000004</v>
      </c>
      <c r="J539" s="27">
        <v>5.7789E-2</v>
      </c>
      <c r="K539" s="27">
        <v>0</v>
      </c>
    </row>
    <row r="540" spans="1:12">
      <c r="A540" s="15">
        <v>7</v>
      </c>
      <c r="B540" s="22">
        <v>41750</v>
      </c>
      <c r="C540" s="15">
        <v>2014</v>
      </c>
      <c r="D540" s="11" t="s">
        <v>31</v>
      </c>
      <c r="E540" s="15">
        <v>4</v>
      </c>
      <c r="F540" s="33">
        <v>2.2210000000000001</v>
      </c>
      <c r="G540" s="27">
        <v>1.8017249999999999E-2</v>
      </c>
      <c r="H540" s="27">
        <v>0</v>
      </c>
      <c r="I540" s="27">
        <v>0.70522625000000005</v>
      </c>
      <c r="J540" s="27">
        <v>1.4537749999999999E-2</v>
      </c>
      <c r="K540" s="27">
        <v>0</v>
      </c>
    </row>
    <row r="541" spans="1:12">
      <c r="A541" s="15">
        <v>7</v>
      </c>
      <c r="B541" s="22">
        <v>41750</v>
      </c>
      <c r="C541" s="15">
        <v>2014</v>
      </c>
      <c r="D541" s="11" t="s">
        <v>31</v>
      </c>
      <c r="E541" s="15">
        <v>4</v>
      </c>
      <c r="F541" s="33">
        <v>2.2210000000000001</v>
      </c>
      <c r="G541" s="27">
        <v>2.3177374999999993E-2</v>
      </c>
      <c r="H541" s="27">
        <v>0</v>
      </c>
      <c r="I541" s="27">
        <v>0.79830912499999984</v>
      </c>
      <c r="J541" s="27">
        <v>2.0955624999999999E-2</v>
      </c>
      <c r="K541" s="27">
        <v>0</v>
      </c>
      <c r="L541" t="s">
        <v>42</v>
      </c>
    </row>
    <row r="542" spans="1:12">
      <c r="A542" s="15">
        <v>14</v>
      </c>
      <c r="B542" s="22">
        <v>41750</v>
      </c>
      <c r="C542" s="15">
        <v>2014</v>
      </c>
      <c r="D542" s="11" t="s">
        <v>31</v>
      </c>
      <c r="E542" s="15">
        <v>4</v>
      </c>
      <c r="F542" s="34">
        <v>2.3580000000000001</v>
      </c>
      <c r="G542" s="27">
        <v>6.2692833333333337E-2</v>
      </c>
      <c r="H542" s="27">
        <v>0</v>
      </c>
      <c r="I542" s="27">
        <v>0.69970699999999997</v>
      </c>
      <c r="J542" s="27">
        <v>0</v>
      </c>
      <c r="K542" s="27">
        <v>0</v>
      </c>
    </row>
    <row r="543" spans="1:12">
      <c r="A543" s="15">
        <v>5</v>
      </c>
      <c r="B543" s="22">
        <v>41772</v>
      </c>
      <c r="C543" s="15">
        <v>2014</v>
      </c>
      <c r="D543" s="11" t="s">
        <v>32</v>
      </c>
      <c r="E543" s="15">
        <v>5</v>
      </c>
      <c r="F543" s="33">
        <v>1.1399999999999999</v>
      </c>
      <c r="G543" s="27">
        <v>0</v>
      </c>
      <c r="H543" s="27">
        <v>0</v>
      </c>
      <c r="I543" s="27">
        <v>0.32215225000000003</v>
      </c>
      <c r="J543" s="27">
        <v>1.1648374999999999E-2</v>
      </c>
      <c r="K543" s="27">
        <v>0</v>
      </c>
    </row>
    <row r="544" spans="1:12">
      <c r="A544" s="15">
        <v>7</v>
      </c>
      <c r="B544" s="22">
        <v>41406</v>
      </c>
      <c r="C544" s="15">
        <v>2014</v>
      </c>
      <c r="D544" s="11" t="s">
        <v>32</v>
      </c>
      <c r="E544" s="15">
        <v>5</v>
      </c>
      <c r="F544" s="33">
        <v>2.476</v>
      </c>
      <c r="G544" s="27">
        <v>0</v>
      </c>
      <c r="H544" s="27">
        <v>0</v>
      </c>
      <c r="I544" s="27">
        <v>0.13357137499999999</v>
      </c>
      <c r="J544" s="27">
        <v>1.4841750000000001E-2</v>
      </c>
      <c r="K544" s="27">
        <v>0</v>
      </c>
    </row>
    <row r="545" spans="1:12">
      <c r="A545" s="15">
        <v>14</v>
      </c>
      <c r="B545" s="22">
        <v>41406</v>
      </c>
      <c r="C545" s="15">
        <v>2014</v>
      </c>
      <c r="D545" s="11" t="s">
        <v>32</v>
      </c>
      <c r="E545" s="15">
        <v>5</v>
      </c>
      <c r="F545" s="33">
        <v>1.5740000000000001</v>
      </c>
      <c r="G545" s="27">
        <v>2.6669624999999995E-2</v>
      </c>
      <c r="H545" s="27">
        <v>0</v>
      </c>
      <c r="I545" s="27">
        <v>0.32052774999999994</v>
      </c>
      <c r="J545" s="27">
        <v>2.8773499999999997E-2</v>
      </c>
      <c r="K545" s="27">
        <v>0</v>
      </c>
    </row>
    <row r="546" spans="1:12">
      <c r="A546" s="15">
        <v>5</v>
      </c>
      <c r="B546" s="22">
        <v>41808</v>
      </c>
      <c r="C546" s="15">
        <v>2014</v>
      </c>
      <c r="D546" s="11" t="s">
        <v>33</v>
      </c>
      <c r="E546" s="15">
        <v>6</v>
      </c>
      <c r="F546" s="33">
        <v>4.274</v>
      </c>
      <c r="G546" s="27">
        <v>9.1353874999999987E-2</v>
      </c>
      <c r="H546" s="27">
        <v>0</v>
      </c>
      <c r="I546" s="27">
        <v>1.2837940000000001</v>
      </c>
      <c r="J546" s="27">
        <v>0.19684787500000001</v>
      </c>
      <c r="K546" s="27">
        <v>0</v>
      </c>
    </row>
    <row r="547" spans="1:12">
      <c r="A547" s="15">
        <v>7</v>
      </c>
      <c r="B547" s="22">
        <v>41807</v>
      </c>
      <c r="C547" s="15">
        <v>2014</v>
      </c>
      <c r="D547" s="11" t="s">
        <v>33</v>
      </c>
      <c r="E547" s="15">
        <v>6</v>
      </c>
      <c r="F547" s="33">
        <v>1.589</v>
      </c>
      <c r="G547" s="27">
        <v>0.237976875</v>
      </c>
      <c r="H547" s="27">
        <v>0</v>
      </c>
      <c r="I547" s="27">
        <v>8.2232124999999989E-2</v>
      </c>
      <c r="J547" s="27">
        <v>6.28605E-2</v>
      </c>
      <c r="K547" s="27">
        <v>0</v>
      </c>
    </row>
    <row r="548" spans="1:12">
      <c r="A548" s="15">
        <v>14</v>
      </c>
      <c r="B548" s="22">
        <v>41807</v>
      </c>
      <c r="C548" s="15">
        <v>2014</v>
      </c>
      <c r="D548" s="11" t="s">
        <v>33</v>
      </c>
      <c r="E548" s="15">
        <v>6</v>
      </c>
      <c r="F548" s="33">
        <v>1.0229999999999999</v>
      </c>
      <c r="G548" s="27">
        <v>4.6392124999999999E-2</v>
      </c>
      <c r="H548" s="27">
        <v>0</v>
      </c>
      <c r="I548" s="27">
        <v>0.16038850000000002</v>
      </c>
      <c r="J548" s="27">
        <v>4.9441375000000003E-2</v>
      </c>
      <c r="K548" s="27">
        <v>0</v>
      </c>
    </row>
    <row r="549" spans="1:12">
      <c r="A549" s="15">
        <v>5</v>
      </c>
      <c r="B549" s="22">
        <v>41834</v>
      </c>
      <c r="C549" s="15">
        <v>2014</v>
      </c>
      <c r="D549" s="11" t="s">
        <v>34</v>
      </c>
      <c r="E549" s="15">
        <v>7</v>
      </c>
      <c r="F549" s="33">
        <v>10.997999999999999</v>
      </c>
      <c r="G549" s="27">
        <v>0.43608549999999996</v>
      </c>
      <c r="H549" s="27">
        <v>0</v>
      </c>
      <c r="I549" s="27">
        <v>3.172333375</v>
      </c>
      <c r="J549" s="27">
        <v>0.75023187499999999</v>
      </c>
      <c r="K549" s="27">
        <v>0</v>
      </c>
    </row>
    <row r="550" spans="1:12">
      <c r="A550" s="15">
        <v>5</v>
      </c>
      <c r="B550" s="22">
        <v>41834</v>
      </c>
      <c r="C550" s="15">
        <v>2014</v>
      </c>
      <c r="D550" s="11" t="s">
        <v>34</v>
      </c>
      <c r="E550" s="15">
        <v>7</v>
      </c>
      <c r="F550" s="33">
        <v>10.997999999999999</v>
      </c>
      <c r="G550" s="27">
        <v>0.46657962499999994</v>
      </c>
      <c r="H550" s="27">
        <v>0</v>
      </c>
      <c r="I550" s="27">
        <v>3.2113233749999996</v>
      </c>
      <c r="J550" s="27">
        <v>0.75386787499999997</v>
      </c>
      <c r="K550" s="27">
        <v>0</v>
      </c>
      <c r="L550" t="s">
        <v>42</v>
      </c>
    </row>
    <row r="551" spans="1:12">
      <c r="A551" s="15">
        <v>7</v>
      </c>
      <c r="B551" s="22">
        <v>41837</v>
      </c>
      <c r="C551" s="15">
        <v>2014</v>
      </c>
      <c r="D551" s="11" t="s">
        <v>34</v>
      </c>
      <c r="E551" s="15">
        <v>7</v>
      </c>
      <c r="F551" s="33">
        <v>5.3529999999999998</v>
      </c>
      <c r="G551" s="27">
        <v>0.80758562499999975</v>
      </c>
      <c r="H551" s="27">
        <v>0</v>
      </c>
      <c r="I551" s="27">
        <v>0.3300324999999999</v>
      </c>
      <c r="J551" s="27">
        <v>5.0934249999999993E-2</v>
      </c>
      <c r="K551" s="27">
        <v>0</v>
      </c>
    </row>
    <row r="552" spans="1:12">
      <c r="A552" s="15">
        <v>14</v>
      </c>
      <c r="B552" s="22">
        <v>41837</v>
      </c>
      <c r="C552" s="15">
        <v>2014</v>
      </c>
      <c r="D552" s="11" t="s">
        <v>34</v>
      </c>
      <c r="E552" s="15">
        <v>7</v>
      </c>
      <c r="F552" s="33">
        <v>3.3460000000000001</v>
      </c>
      <c r="G552" s="27">
        <v>0.24616237499999993</v>
      </c>
      <c r="H552" s="27">
        <v>0</v>
      </c>
      <c r="I552" s="27">
        <v>0.59621950000000001</v>
      </c>
      <c r="J552" s="27">
        <v>1.8154625000000004E-2</v>
      </c>
      <c r="K552" s="27">
        <v>0</v>
      </c>
    </row>
    <row r="553" spans="1:12">
      <c r="A553" s="15">
        <v>5</v>
      </c>
      <c r="B553" s="22">
        <v>41864</v>
      </c>
      <c r="C553" s="15">
        <v>2014</v>
      </c>
      <c r="D553" s="11" t="s">
        <v>35</v>
      </c>
      <c r="E553" s="15">
        <v>8</v>
      </c>
      <c r="F553" s="33">
        <v>3.7149999999999999</v>
      </c>
      <c r="G553" s="27">
        <v>0.22170287499999997</v>
      </c>
      <c r="H553" s="27">
        <v>0</v>
      </c>
      <c r="I553" s="27">
        <v>1.234309125</v>
      </c>
      <c r="J553" s="27">
        <v>0.24712112500000002</v>
      </c>
      <c r="K553" s="27">
        <v>0</v>
      </c>
    </row>
    <row r="554" spans="1:12">
      <c r="A554" s="15">
        <v>7</v>
      </c>
      <c r="B554" s="22">
        <v>41862</v>
      </c>
      <c r="C554" s="15">
        <v>2014</v>
      </c>
      <c r="D554" s="11" t="s">
        <v>35</v>
      </c>
      <c r="E554" s="15">
        <v>8</v>
      </c>
      <c r="F554" s="33">
        <v>9.3279999999999994</v>
      </c>
      <c r="G554" s="27">
        <v>2.2704987499999998</v>
      </c>
      <c r="H554" s="27">
        <v>0</v>
      </c>
      <c r="I554" s="27">
        <v>0.7375641249999999</v>
      </c>
      <c r="J554" s="27">
        <v>0.11665475000000002</v>
      </c>
      <c r="K554" s="27">
        <v>0</v>
      </c>
    </row>
    <row r="555" spans="1:12">
      <c r="A555" s="15">
        <v>14</v>
      </c>
      <c r="B555" s="22">
        <v>41862</v>
      </c>
      <c r="C555" s="15">
        <v>2014</v>
      </c>
      <c r="D555" s="11" t="s">
        <v>35</v>
      </c>
      <c r="E555" s="15">
        <v>8</v>
      </c>
      <c r="F555" s="33">
        <v>2.9540000000000002</v>
      </c>
      <c r="G555" s="27">
        <v>0.228185625</v>
      </c>
      <c r="H555" s="27">
        <v>0</v>
      </c>
      <c r="I555" s="27">
        <v>0.65681100000000014</v>
      </c>
      <c r="J555" s="27">
        <v>3.5728499999999996E-2</v>
      </c>
      <c r="K555" s="27">
        <v>0</v>
      </c>
    </row>
    <row r="556" spans="1:12">
      <c r="A556" s="15">
        <v>14</v>
      </c>
      <c r="B556" s="22">
        <v>41862</v>
      </c>
      <c r="C556" s="15">
        <v>2014</v>
      </c>
      <c r="D556" s="11" t="s">
        <v>35</v>
      </c>
      <c r="E556" s="15">
        <v>8</v>
      </c>
      <c r="F556" s="33">
        <v>2.9540000000000002</v>
      </c>
      <c r="G556" s="27">
        <v>0.28442237500000001</v>
      </c>
      <c r="H556" s="27">
        <v>0</v>
      </c>
      <c r="I556" s="27">
        <v>0.82272712499999978</v>
      </c>
      <c r="J556" s="27">
        <v>3.5531124999999997E-2</v>
      </c>
      <c r="K556" s="27">
        <v>0</v>
      </c>
      <c r="L556" t="s">
        <v>42</v>
      </c>
    </row>
    <row r="557" spans="1:12">
      <c r="A557" s="15">
        <v>5</v>
      </c>
      <c r="B557" s="22">
        <v>41898</v>
      </c>
      <c r="C557" s="15">
        <v>2014</v>
      </c>
      <c r="D557" s="11" t="s">
        <v>41</v>
      </c>
      <c r="E557" s="15">
        <v>9</v>
      </c>
      <c r="F557" s="33">
        <v>4.335</v>
      </c>
      <c r="G557" s="27">
        <v>9.3033624999999981E-2</v>
      </c>
      <c r="H557" s="27">
        <v>0</v>
      </c>
      <c r="I557" s="27">
        <v>0.67707262499999998</v>
      </c>
      <c r="J557" s="27">
        <v>5.4866875000000002E-2</v>
      </c>
      <c r="K557" s="27">
        <v>0</v>
      </c>
    </row>
    <row r="558" spans="1:12">
      <c r="A558" s="15">
        <v>7</v>
      </c>
      <c r="B558" s="22">
        <v>41897</v>
      </c>
      <c r="C558" s="15">
        <v>2014</v>
      </c>
      <c r="D558" s="11" t="s">
        <v>41</v>
      </c>
      <c r="E558" s="15">
        <v>9</v>
      </c>
      <c r="F558" s="33">
        <v>1.879</v>
      </c>
      <c r="G558" s="27">
        <v>0.29378512499999998</v>
      </c>
      <c r="H558" s="27">
        <v>0</v>
      </c>
      <c r="I558" s="27">
        <v>0.18161424999999998</v>
      </c>
      <c r="J558" s="27">
        <v>3.0365500000000004E-2</v>
      </c>
      <c r="K558" s="27">
        <v>0</v>
      </c>
    </row>
    <row r="559" spans="1:12">
      <c r="A559" s="15">
        <v>14</v>
      </c>
      <c r="B559" s="22">
        <v>41897</v>
      </c>
      <c r="C559" s="15">
        <v>2014</v>
      </c>
      <c r="D559" s="11" t="s">
        <v>41</v>
      </c>
      <c r="E559" s="15">
        <v>9</v>
      </c>
      <c r="F559" s="33">
        <v>1.1180000000000001</v>
      </c>
      <c r="G559" s="27">
        <v>4.734374999999999E-2</v>
      </c>
      <c r="H559" s="27">
        <v>0</v>
      </c>
      <c r="I559" s="27">
        <v>0.20224887499999997</v>
      </c>
      <c r="J559" s="27">
        <v>0</v>
      </c>
      <c r="K559" s="27">
        <v>0</v>
      </c>
    </row>
    <row r="560" spans="1:12">
      <c r="A560" s="15">
        <v>5</v>
      </c>
      <c r="B560" s="22">
        <v>41929</v>
      </c>
      <c r="C560" s="15">
        <v>2014</v>
      </c>
      <c r="D560" s="11" t="s">
        <v>37</v>
      </c>
      <c r="E560" s="15">
        <v>10</v>
      </c>
      <c r="F560" s="26">
        <v>1.516</v>
      </c>
      <c r="G560" s="27">
        <v>4.6567875000000002E-2</v>
      </c>
      <c r="H560" s="27">
        <v>0</v>
      </c>
      <c r="I560" s="27">
        <v>0.48158412499999997</v>
      </c>
      <c r="J560" s="27">
        <v>1.3757625000000001E-2</v>
      </c>
      <c r="K560" s="27">
        <v>0</v>
      </c>
    </row>
    <row r="561" spans="1:11">
      <c r="A561" s="15">
        <v>7</v>
      </c>
      <c r="B561" s="22">
        <v>41928</v>
      </c>
      <c r="C561" s="15">
        <v>2014</v>
      </c>
      <c r="D561" s="11" t="s">
        <v>37</v>
      </c>
      <c r="E561" s="15">
        <v>10</v>
      </c>
      <c r="F561" s="26">
        <v>1.3819999999999999</v>
      </c>
      <c r="G561" s="27">
        <v>6.1296625E-2</v>
      </c>
      <c r="H561" s="27">
        <v>0</v>
      </c>
      <c r="I561" s="27">
        <v>0.18020962500000001</v>
      </c>
      <c r="J561" s="27">
        <v>1.3314124999999998E-2</v>
      </c>
      <c r="K561" s="27">
        <v>0</v>
      </c>
    </row>
    <row r="562" spans="1:11">
      <c r="A562" s="15">
        <v>14</v>
      </c>
      <c r="B562" s="22">
        <v>41928</v>
      </c>
      <c r="C562" s="15">
        <v>2014</v>
      </c>
      <c r="D562" s="11" t="s">
        <v>37</v>
      </c>
      <c r="E562" s="15">
        <v>10</v>
      </c>
      <c r="F562" s="26">
        <v>1.58</v>
      </c>
      <c r="G562" s="27">
        <v>4.2894124999999998E-2</v>
      </c>
      <c r="H562" s="27">
        <v>0</v>
      </c>
      <c r="I562" s="27">
        <v>0.2418505</v>
      </c>
      <c r="J562" s="27">
        <v>1.3265749999999998E-2</v>
      </c>
      <c r="K562" s="27">
        <v>0</v>
      </c>
    </row>
    <row r="563" spans="1:11">
      <c r="A563" s="15">
        <v>5</v>
      </c>
      <c r="B563" s="22">
        <v>41953</v>
      </c>
      <c r="C563" s="15">
        <v>2014</v>
      </c>
      <c r="D563" s="11" t="s">
        <v>38</v>
      </c>
      <c r="E563" s="15">
        <v>11</v>
      </c>
      <c r="F563" s="26">
        <v>1.988</v>
      </c>
      <c r="G563" s="27">
        <v>4.4916874999999988E-2</v>
      </c>
      <c r="H563" s="27">
        <v>0</v>
      </c>
      <c r="I563" s="27">
        <v>0.15184712499999997</v>
      </c>
      <c r="J563" s="27">
        <v>9.7029999999999998E-3</v>
      </c>
      <c r="K563" s="27">
        <v>0</v>
      </c>
    </row>
    <row r="564" spans="1:11">
      <c r="A564" s="15">
        <v>7</v>
      </c>
      <c r="B564" s="22">
        <v>41955</v>
      </c>
      <c r="C564" s="15">
        <v>2014</v>
      </c>
      <c r="D564" s="11" t="s">
        <v>38</v>
      </c>
      <c r="E564" s="15">
        <v>11</v>
      </c>
      <c r="F564" s="26">
        <v>1.7809999999999999</v>
      </c>
      <c r="G564" s="27">
        <v>0.15034562500000001</v>
      </c>
      <c r="H564" s="27">
        <v>0</v>
      </c>
      <c r="I564" s="27">
        <v>0.42885262500000004</v>
      </c>
      <c r="J564" s="27">
        <v>9.1649999999999995E-3</v>
      </c>
      <c r="K564" s="27">
        <v>0</v>
      </c>
    </row>
    <row r="565" spans="1:11">
      <c r="A565" s="15">
        <v>14</v>
      </c>
      <c r="B565" s="22">
        <v>41955</v>
      </c>
      <c r="C565" s="15">
        <v>2014</v>
      </c>
      <c r="D565" s="11" t="s">
        <v>38</v>
      </c>
      <c r="E565" s="15">
        <v>11</v>
      </c>
      <c r="F565" s="26">
        <v>1.137</v>
      </c>
      <c r="G565" s="27">
        <v>0.13461075</v>
      </c>
      <c r="H565" s="27">
        <v>0</v>
      </c>
      <c r="I565" s="27">
        <v>0.18599474999999996</v>
      </c>
      <c r="J565" s="27">
        <v>0</v>
      </c>
      <c r="K565" s="27">
        <v>0</v>
      </c>
    </row>
    <row r="566" spans="1:11">
      <c r="A566" s="15">
        <v>5</v>
      </c>
      <c r="B566" s="22">
        <v>41988</v>
      </c>
      <c r="C566" s="15">
        <v>2014</v>
      </c>
      <c r="D566" s="11" t="s">
        <v>39</v>
      </c>
      <c r="E566" s="15">
        <v>12</v>
      </c>
      <c r="F566" s="26">
        <v>3.3159999999999998</v>
      </c>
      <c r="G566" s="27">
        <v>0.11864650000000002</v>
      </c>
      <c r="H566" s="27">
        <v>0</v>
      </c>
      <c r="I566" s="27">
        <v>1.17470275</v>
      </c>
      <c r="J566" s="27">
        <v>0</v>
      </c>
      <c r="K566" s="27">
        <v>0</v>
      </c>
    </row>
    <row r="567" spans="1:11">
      <c r="A567" s="15">
        <v>7</v>
      </c>
      <c r="B567" s="22">
        <v>41992</v>
      </c>
      <c r="C567" s="15">
        <v>2014</v>
      </c>
      <c r="D567" s="11" t="s">
        <v>39</v>
      </c>
      <c r="E567" s="15">
        <v>12</v>
      </c>
      <c r="F567" s="26">
        <v>1.2729999999999999</v>
      </c>
      <c r="G567" s="27">
        <v>9.857912499999999E-2</v>
      </c>
      <c r="H567" s="27">
        <v>0</v>
      </c>
      <c r="I567" s="27">
        <v>0.14250425</v>
      </c>
      <c r="J567" s="27">
        <v>0</v>
      </c>
      <c r="K567" s="27">
        <v>0</v>
      </c>
    </row>
    <row r="568" spans="1:11">
      <c r="A568" s="15">
        <v>14</v>
      </c>
      <c r="B568" s="22">
        <v>41992</v>
      </c>
      <c r="C568" s="15">
        <v>2014</v>
      </c>
      <c r="D568" s="11" t="s">
        <v>39</v>
      </c>
      <c r="E568" s="15">
        <v>12</v>
      </c>
      <c r="F568" s="26">
        <v>1.286</v>
      </c>
      <c r="G568" s="27">
        <v>9.9849874999999991E-2</v>
      </c>
      <c r="H568" s="27">
        <v>0</v>
      </c>
      <c r="I568" s="27">
        <v>0.20857387499999999</v>
      </c>
      <c r="J568" s="27">
        <v>0</v>
      </c>
      <c r="K568" s="2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1"/>
  <sheetViews>
    <sheetView workbookViewId="0">
      <selection activeCell="L570" sqref="L570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5</v>
      </c>
      <c r="B3" s="9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0.14854642216666666</v>
      </c>
      <c r="H3" s="13">
        <v>0</v>
      </c>
      <c r="I3" s="13">
        <v>0.61767045200000004</v>
      </c>
      <c r="J3" s="13">
        <v>3.2527267333333332E-2</v>
      </c>
      <c r="K3" s="14" t="s">
        <v>15</v>
      </c>
    </row>
    <row r="4" spans="1:12">
      <c r="A4" s="8">
        <v>7</v>
      </c>
      <c r="B4" s="9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0.16553434933333333</v>
      </c>
      <c r="H4" s="13">
        <v>0</v>
      </c>
      <c r="I4" s="13">
        <v>0.38768184366666669</v>
      </c>
      <c r="J4" s="13">
        <v>1.4024393666666666E-2</v>
      </c>
      <c r="K4" s="14" t="s">
        <v>15</v>
      </c>
    </row>
    <row r="5" spans="1:12">
      <c r="A5" s="8">
        <v>14</v>
      </c>
      <c r="B5" s="9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7.1061170166666673E-2</v>
      </c>
      <c r="H5" s="13">
        <v>0</v>
      </c>
      <c r="I5" s="13">
        <v>0.20175154033333331</v>
      </c>
      <c r="J5" s="13">
        <v>0</v>
      </c>
      <c r="K5" s="14" t="s">
        <v>15</v>
      </c>
    </row>
    <row r="6" spans="1:12">
      <c r="A6" s="8">
        <v>5</v>
      </c>
      <c r="B6" s="9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8.8613520000000012E-3</v>
      </c>
      <c r="H6" s="13">
        <v>0</v>
      </c>
      <c r="I6" s="13">
        <v>4.0543138500000006E-2</v>
      </c>
      <c r="J6" s="13">
        <v>6.6823911666666668E-3</v>
      </c>
      <c r="K6" s="14" t="s">
        <v>15</v>
      </c>
    </row>
    <row r="7" spans="1:12">
      <c r="A7" s="8">
        <v>7</v>
      </c>
      <c r="B7" s="9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0</v>
      </c>
      <c r="H7" s="13">
        <v>0</v>
      </c>
      <c r="I7" s="13">
        <v>3.5184477833333332E-2</v>
      </c>
      <c r="J7" s="13">
        <v>0</v>
      </c>
      <c r="K7" s="14" t="s">
        <v>15</v>
      </c>
    </row>
    <row r="8" spans="1:12">
      <c r="A8" s="8">
        <v>14</v>
      </c>
      <c r="B8" s="9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0</v>
      </c>
      <c r="H8" s="13">
        <v>0</v>
      </c>
      <c r="I8" s="13">
        <v>4.4647677999999996E-2</v>
      </c>
      <c r="J8" s="13">
        <v>0</v>
      </c>
      <c r="K8" s="14" t="s">
        <v>15</v>
      </c>
    </row>
    <row r="9" spans="1:12">
      <c r="A9" s="8">
        <v>5</v>
      </c>
      <c r="B9" s="9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6.8806938999999998E-2</v>
      </c>
      <c r="H9" s="13">
        <v>0</v>
      </c>
      <c r="I9" s="13">
        <v>7.4320228833333349E-2</v>
      </c>
      <c r="J9" s="13">
        <v>0</v>
      </c>
      <c r="K9" s="14" t="s">
        <v>15</v>
      </c>
    </row>
    <row r="10" spans="1:12">
      <c r="A10" s="8">
        <v>7</v>
      </c>
      <c r="B10" s="9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9.6929424166666667E-2</v>
      </c>
      <c r="H10" s="13">
        <v>0</v>
      </c>
      <c r="I10" s="13">
        <v>0.11124053699999999</v>
      </c>
      <c r="J10" s="13">
        <v>0</v>
      </c>
      <c r="K10" s="14" t="s">
        <v>15</v>
      </c>
    </row>
    <row r="11" spans="1:12">
      <c r="A11" s="8">
        <v>14</v>
      </c>
      <c r="B11" s="9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0.11645793933333333</v>
      </c>
      <c r="H11" s="13">
        <v>1.8829226000000001E-2</v>
      </c>
      <c r="I11" s="13">
        <v>0.31870416133333335</v>
      </c>
      <c r="J11" s="13">
        <v>1.3039497333333334E-2</v>
      </c>
      <c r="K11" s="14" t="s">
        <v>15</v>
      </c>
    </row>
    <row r="12" spans="1:12">
      <c r="A12" s="8">
        <v>5</v>
      </c>
      <c r="B12" s="9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5.2456503333333335E-2</v>
      </c>
      <c r="H12" s="13">
        <v>0</v>
      </c>
      <c r="I12" s="13">
        <v>0.65526588683333331</v>
      </c>
      <c r="J12" s="13">
        <v>1.3203758333333336E-2</v>
      </c>
      <c r="K12" s="14" t="s">
        <v>15</v>
      </c>
    </row>
    <row r="13" spans="1:12">
      <c r="A13" s="8">
        <v>7</v>
      </c>
      <c r="B13" s="9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0.23095831666666666</v>
      </c>
      <c r="H13" s="13">
        <v>0</v>
      </c>
      <c r="I13" s="13">
        <v>0.40100553133333328</v>
      </c>
      <c r="J13" s="13">
        <v>1.5057106833333334E-2</v>
      </c>
      <c r="K13" s="14" t="s">
        <v>15</v>
      </c>
    </row>
    <row r="14" spans="1:12">
      <c r="A14" s="8">
        <v>14</v>
      </c>
      <c r="B14" s="9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0.12680470966666665</v>
      </c>
      <c r="H14" s="13">
        <v>0</v>
      </c>
      <c r="I14" s="13">
        <v>0.60627986616666674</v>
      </c>
      <c r="J14" s="13">
        <v>3.1546008166666667E-2</v>
      </c>
      <c r="K14" s="14" t="s">
        <v>15</v>
      </c>
    </row>
    <row r="15" spans="1:12">
      <c r="A15" s="8">
        <v>5</v>
      </c>
      <c r="B15" s="9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0.27614882166666666</v>
      </c>
      <c r="H15" s="13">
        <v>0</v>
      </c>
      <c r="I15" s="13">
        <v>1.4868349175</v>
      </c>
      <c r="J15" s="13">
        <v>2.9241056833333331E-2</v>
      </c>
      <c r="K15" s="14" t="s">
        <v>15</v>
      </c>
    </row>
    <row r="16" spans="1:12">
      <c r="A16" s="8">
        <v>7</v>
      </c>
      <c r="B16" s="9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0.10133514983333333</v>
      </c>
      <c r="H16" s="13">
        <v>0</v>
      </c>
      <c r="I16" s="13">
        <v>0.63362377900000011</v>
      </c>
      <c r="J16" s="13">
        <v>3.8387870000000004E-2</v>
      </c>
      <c r="K16" s="14" t="s">
        <v>15</v>
      </c>
    </row>
    <row r="17" spans="1:11">
      <c r="A17" s="8">
        <v>14</v>
      </c>
      <c r="B17" s="9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4.4017524833333335E-2</v>
      </c>
      <c r="H17" s="13">
        <v>0</v>
      </c>
      <c r="I17" s="13">
        <v>1.2114384846666666</v>
      </c>
      <c r="J17" s="13">
        <v>1.9160073833333336E-2</v>
      </c>
      <c r="K17" s="14" t="s">
        <v>15</v>
      </c>
    </row>
    <row r="18" spans="1:11">
      <c r="A18" s="8">
        <v>5</v>
      </c>
      <c r="B18" s="9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4.6444311666666661E-2</v>
      </c>
      <c r="H18" s="13">
        <v>4.7302477333333329E-2</v>
      </c>
      <c r="I18" s="13">
        <v>1.3414158833333334</v>
      </c>
      <c r="J18" s="13">
        <v>5.4305448833333332E-2</v>
      </c>
      <c r="K18" s="14" t="s">
        <v>15</v>
      </c>
    </row>
    <row r="19" spans="1:11">
      <c r="A19" s="8">
        <v>7</v>
      </c>
      <c r="B19" s="9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0</v>
      </c>
      <c r="H19" s="13">
        <v>0</v>
      </c>
      <c r="I19" s="13">
        <v>0.46975512650000006</v>
      </c>
      <c r="J19" s="13">
        <v>3.6092858666666665E-2</v>
      </c>
      <c r="K19" s="14" t="s">
        <v>15</v>
      </c>
    </row>
    <row r="20" spans="1:11">
      <c r="A20" s="8">
        <v>14</v>
      </c>
      <c r="B20" s="9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4.30515905E-2</v>
      </c>
      <c r="H20" s="13">
        <v>0</v>
      </c>
      <c r="I20" s="13">
        <v>0.60951599116666666</v>
      </c>
      <c r="J20" s="13">
        <v>3.2971865499999996E-2</v>
      </c>
      <c r="K20" s="14" t="s">
        <v>15</v>
      </c>
    </row>
    <row r="21" spans="1:11">
      <c r="A21" s="8">
        <v>5</v>
      </c>
      <c r="B21" s="9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7.3832205999999997E-2</v>
      </c>
      <c r="H21" s="13">
        <v>1.7670699666666664E-2</v>
      </c>
      <c r="I21" s="13">
        <v>1.0981972843333332</v>
      </c>
      <c r="J21" s="13">
        <v>1.9788472666666664E-2</v>
      </c>
      <c r="K21" s="14" t="s">
        <v>15</v>
      </c>
    </row>
    <row r="22" spans="1:11">
      <c r="A22" s="8">
        <v>7</v>
      </c>
      <c r="B22" s="9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0.10348161233333335</v>
      </c>
      <c r="H22" s="13">
        <v>0</v>
      </c>
      <c r="I22" s="13">
        <v>1.6612509565000002</v>
      </c>
      <c r="J22" s="13">
        <v>2.5330354166666669E-2</v>
      </c>
      <c r="K22" s="14" t="s">
        <v>15</v>
      </c>
    </row>
    <row r="23" spans="1:11">
      <c r="A23" s="8">
        <v>14</v>
      </c>
      <c r="B23" s="9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3.052107183333333E-2</v>
      </c>
      <c r="H23" s="13">
        <v>0</v>
      </c>
      <c r="I23" s="13">
        <v>0.19911519166666669</v>
      </c>
      <c r="J23" s="13">
        <v>0</v>
      </c>
      <c r="K23" s="14" t="s">
        <v>15</v>
      </c>
    </row>
    <row r="24" spans="1:11">
      <c r="A24" s="8">
        <v>5</v>
      </c>
      <c r="B24" s="9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0</v>
      </c>
      <c r="H24" s="13">
        <v>0.89007840099999991</v>
      </c>
      <c r="I24" s="13">
        <v>3.680431951833333</v>
      </c>
      <c r="J24" s="13">
        <v>7.2124284999999996E-2</v>
      </c>
      <c r="K24" s="14" t="s">
        <v>15</v>
      </c>
    </row>
    <row r="25" spans="1:11">
      <c r="A25" s="8">
        <v>7</v>
      </c>
      <c r="B25" s="9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3.3572770166666668E-2</v>
      </c>
      <c r="H25" s="13">
        <v>0</v>
      </c>
      <c r="I25" s="13">
        <v>0.18482494066666669</v>
      </c>
      <c r="J25" s="13">
        <v>3.4789885166666673E-2</v>
      </c>
      <c r="K25" s="14" t="s">
        <v>15</v>
      </c>
    </row>
    <row r="26" spans="1:11">
      <c r="A26" s="8">
        <v>14</v>
      </c>
      <c r="B26" s="9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0</v>
      </c>
      <c r="H26" s="13">
        <v>0</v>
      </c>
      <c r="I26" s="13">
        <v>8.1282315333333327E-2</v>
      </c>
      <c r="J26" s="13">
        <v>0</v>
      </c>
      <c r="K26" s="14" t="s">
        <v>15</v>
      </c>
    </row>
    <row r="27" spans="1:11">
      <c r="A27" s="8">
        <v>5</v>
      </c>
      <c r="B27" s="9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0.23083937733333332</v>
      </c>
      <c r="H27" s="13">
        <v>3.1005776213333331</v>
      </c>
      <c r="I27" s="13">
        <v>10.088649282666667</v>
      </c>
      <c r="J27" s="13">
        <v>0.40641289033333339</v>
      </c>
      <c r="K27" s="14" t="s">
        <v>15</v>
      </c>
    </row>
    <row r="28" spans="1:11">
      <c r="A28" s="8">
        <v>7</v>
      </c>
      <c r="B28" s="9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0.14338315766666668</v>
      </c>
      <c r="H28" s="13">
        <v>5.9331934666666662E-2</v>
      </c>
      <c r="I28" s="13">
        <v>9.0537022210000018</v>
      </c>
      <c r="J28" s="13">
        <v>0.21376748933333331</v>
      </c>
      <c r="K28" s="14" t="s">
        <v>15</v>
      </c>
    </row>
    <row r="29" spans="1:11">
      <c r="A29" s="8">
        <v>14</v>
      </c>
      <c r="B29" s="9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4.7996699000000004E-2</v>
      </c>
      <c r="H29" s="13">
        <v>0.25668190899999999</v>
      </c>
      <c r="I29" s="13">
        <v>4.5481529706666661</v>
      </c>
      <c r="J29" s="13">
        <v>0.13775459766666667</v>
      </c>
      <c r="K29" s="14" t="s">
        <v>15</v>
      </c>
    </row>
    <row r="30" spans="1:11">
      <c r="A30" s="8">
        <v>5</v>
      </c>
      <c r="B30" s="9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0.46264665416666662</v>
      </c>
      <c r="H30" s="13">
        <v>9.5690609583333336E-2</v>
      </c>
      <c r="I30" s="13">
        <v>2.8404941541666662</v>
      </c>
      <c r="J30" s="13">
        <v>0.33123802250000006</v>
      </c>
      <c r="K30" s="14" t="s">
        <v>15</v>
      </c>
    </row>
    <row r="31" spans="1:11">
      <c r="A31" s="8">
        <v>7</v>
      </c>
      <c r="B31" s="9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5.0669256003333336</v>
      </c>
      <c r="H31" s="13">
        <v>2.1917322000000003E-2</v>
      </c>
      <c r="I31" s="13">
        <v>1.7385050899999999</v>
      </c>
      <c r="J31" s="13">
        <v>0.29868528200000005</v>
      </c>
      <c r="K31" s="14" t="s">
        <v>15</v>
      </c>
    </row>
    <row r="32" spans="1:11">
      <c r="A32" s="8">
        <v>14</v>
      </c>
      <c r="B32" s="9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0.27285642600000004</v>
      </c>
      <c r="H32" s="13">
        <v>1.41024945E-2</v>
      </c>
      <c r="I32" s="13">
        <v>1.172564188</v>
      </c>
      <c r="J32" s="13">
        <v>7.7646905000000002E-2</v>
      </c>
      <c r="K32" s="14" t="s">
        <v>15</v>
      </c>
    </row>
    <row r="33" spans="1:11">
      <c r="A33" s="8">
        <v>5</v>
      </c>
      <c r="B33" s="9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0.23991622016666667</v>
      </c>
      <c r="H33" s="13">
        <v>1.3696055666666668E-2</v>
      </c>
      <c r="I33" s="13">
        <v>2.8204126221666668</v>
      </c>
      <c r="J33" s="13">
        <v>0.62871653066666677</v>
      </c>
      <c r="K33" s="14" t="s">
        <v>15</v>
      </c>
    </row>
    <row r="34" spans="1:11">
      <c r="A34" s="8">
        <v>7</v>
      </c>
      <c r="B34" s="9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1.7155985483333336</v>
      </c>
      <c r="H34" s="13">
        <v>0</v>
      </c>
      <c r="I34" s="13">
        <v>5.390792817166667</v>
      </c>
      <c r="J34" s="13">
        <v>0.60630316400000006</v>
      </c>
      <c r="K34" s="14" t="s">
        <v>15</v>
      </c>
    </row>
    <row r="35" spans="1:11">
      <c r="A35" s="8">
        <v>14</v>
      </c>
      <c r="B35" s="9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4.7262535833333334E-2</v>
      </c>
      <c r="H35" s="13">
        <v>0</v>
      </c>
      <c r="I35" s="13">
        <v>1.1982441613333334</v>
      </c>
      <c r="J35" s="13">
        <v>0.16750626433333335</v>
      </c>
      <c r="K35" s="14" t="s">
        <v>15</v>
      </c>
    </row>
    <row r="36" spans="1:11">
      <c r="A36" s="8">
        <v>5</v>
      </c>
      <c r="B36" s="9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0.23122868183333334</v>
      </c>
      <c r="H36" s="13">
        <v>2.190324766666667E-2</v>
      </c>
      <c r="I36" s="13">
        <v>2.4231018368333337</v>
      </c>
      <c r="J36" s="13">
        <v>0.2036702</v>
      </c>
      <c r="K36" s="14" t="s">
        <v>15</v>
      </c>
    </row>
    <row r="37" spans="1:11">
      <c r="A37" s="8">
        <v>7</v>
      </c>
      <c r="B37" s="9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0.67242036399999994</v>
      </c>
      <c r="H37" s="13">
        <v>0</v>
      </c>
      <c r="I37" s="13">
        <v>5.3998350356666673</v>
      </c>
      <c r="J37" s="13">
        <v>0.50746458633333336</v>
      </c>
      <c r="K37" s="14" t="s">
        <v>15</v>
      </c>
    </row>
    <row r="38" spans="1:11">
      <c r="A38" s="8">
        <v>14</v>
      </c>
      <c r="B38" s="9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0.25598947650000003</v>
      </c>
      <c r="H38" s="13">
        <v>0</v>
      </c>
      <c r="I38" s="13">
        <v>0.63070951716666668</v>
      </c>
      <c r="J38" s="13">
        <v>4.997321133333333E-2</v>
      </c>
      <c r="K38" s="14" t="s">
        <v>15</v>
      </c>
    </row>
    <row r="39" spans="1:11">
      <c r="A39" s="8">
        <v>5</v>
      </c>
      <c r="B39" s="9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0.39871628583333335</v>
      </c>
      <c r="H39" s="14">
        <v>0</v>
      </c>
      <c r="I39" s="14">
        <v>0.48715599216666661</v>
      </c>
      <c r="J39" s="14">
        <v>1.5461344166666668E-2</v>
      </c>
      <c r="K39" s="14" t="s">
        <v>15</v>
      </c>
    </row>
    <row r="40" spans="1:11">
      <c r="A40" s="8">
        <v>7</v>
      </c>
      <c r="B40" s="9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0.16287483249999998</v>
      </c>
      <c r="H40" s="14">
        <v>2.6477335666666667E-2</v>
      </c>
      <c r="I40" s="14">
        <v>4.5633285356666669</v>
      </c>
      <c r="J40" s="14">
        <v>0.24104705733333331</v>
      </c>
      <c r="K40" s="14" t="s">
        <v>15</v>
      </c>
    </row>
    <row r="41" spans="1:11">
      <c r="A41" s="8">
        <v>14</v>
      </c>
      <c r="B41" s="9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1.7730776166666667E-2</v>
      </c>
      <c r="H41" s="14">
        <v>0</v>
      </c>
      <c r="I41" s="14">
        <v>0.22293898599999998</v>
      </c>
      <c r="J41" s="14">
        <v>0</v>
      </c>
      <c r="K41" s="14" t="s">
        <v>15</v>
      </c>
    </row>
    <row r="42" spans="1:11">
      <c r="A42" s="8">
        <v>5</v>
      </c>
      <c r="B42" s="9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8.8048258666666671E-2</v>
      </c>
      <c r="H42" s="14">
        <v>0</v>
      </c>
      <c r="I42" s="14">
        <v>0</v>
      </c>
      <c r="J42" s="14">
        <v>0</v>
      </c>
      <c r="K42" s="14" t="s">
        <v>15</v>
      </c>
    </row>
    <row r="43" spans="1:11">
      <c r="A43" s="8">
        <v>7</v>
      </c>
      <c r="B43" s="9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5.1936530000000002E-2</v>
      </c>
      <c r="H43" s="14">
        <v>0</v>
      </c>
      <c r="I43" s="14">
        <v>0.32511793933333338</v>
      </c>
      <c r="J43" s="14">
        <v>1.0636494833333333E-2</v>
      </c>
      <c r="K43" s="14" t="s">
        <v>15</v>
      </c>
    </row>
    <row r="44" spans="1:11">
      <c r="A44" s="8">
        <v>14</v>
      </c>
      <c r="B44" s="9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0.1665853035</v>
      </c>
      <c r="H44" s="14">
        <v>0</v>
      </c>
      <c r="I44" s="14">
        <v>7.6417000333333332E-2</v>
      </c>
      <c r="J44" s="14">
        <v>0</v>
      </c>
      <c r="K44" s="14" t="s">
        <v>15</v>
      </c>
    </row>
    <row r="45" spans="1:11">
      <c r="A45" s="8">
        <v>5</v>
      </c>
      <c r="B45" s="9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0.13476555633333334</v>
      </c>
      <c r="H45" s="14">
        <v>0</v>
      </c>
      <c r="I45" s="14">
        <v>0.13617158100000001</v>
      </c>
      <c r="J45" s="14">
        <v>1.1902462166666666E-2</v>
      </c>
      <c r="K45" s="14" t="s">
        <v>15</v>
      </c>
    </row>
    <row r="46" spans="1:11">
      <c r="A46" s="8">
        <v>7</v>
      </c>
      <c r="B46" s="9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0.52885366016666668</v>
      </c>
      <c r="H46" s="14">
        <v>0</v>
      </c>
      <c r="I46" s="14">
        <v>0.147356459</v>
      </c>
      <c r="J46" s="14">
        <v>0</v>
      </c>
      <c r="K46" s="14" t="s">
        <v>15</v>
      </c>
    </row>
    <row r="47" spans="1:11">
      <c r="A47" s="8">
        <v>14</v>
      </c>
      <c r="B47" s="9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0.16283090733333336</v>
      </c>
      <c r="H47" s="14">
        <v>0</v>
      </c>
      <c r="I47" s="14">
        <v>0.15314577499999998</v>
      </c>
      <c r="J47" s="14">
        <v>8.2205058333333341E-3</v>
      </c>
      <c r="K47" s="14" t="s">
        <v>15</v>
      </c>
    </row>
    <row r="48" spans="1:11">
      <c r="A48" s="8">
        <v>5</v>
      </c>
      <c r="B48" s="9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0.20628610616666665</v>
      </c>
      <c r="H48" s="14">
        <v>0</v>
      </c>
      <c r="I48" s="14">
        <v>0.36231458816666662</v>
      </c>
      <c r="J48" s="14">
        <v>3.1920177500000001E-2</v>
      </c>
      <c r="K48" s="14" t="s">
        <v>15</v>
      </c>
    </row>
    <row r="49" spans="1:11">
      <c r="A49" s="8">
        <v>7</v>
      </c>
      <c r="B49" s="9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0.83915864949999985</v>
      </c>
      <c r="H49" s="14">
        <v>0</v>
      </c>
      <c r="I49" s="14">
        <v>0.71640384816666669</v>
      </c>
      <c r="J49" s="14">
        <v>4.6131803500000006E-2</v>
      </c>
      <c r="K49" s="14" t="s">
        <v>15</v>
      </c>
    </row>
    <row r="50" spans="1:11">
      <c r="A50" s="8">
        <v>14</v>
      </c>
      <c r="B50" s="9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0.44035398916666663</v>
      </c>
      <c r="H50" s="14">
        <v>0</v>
      </c>
      <c r="I50" s="14">
        <v>0.72236299416666672</v>
      </c>
      <c r="J50" s="14">
        <v>3.8046218166666666E-2</v>
      </c>
      <c r="K50" s="14" t="s">
        <v>15</v>
      </c>
    </row>
    <row r="51" spans="1:11">
      <c r="A51" s="12">
        <v>5</v>
      </c>
      <c r="B51" s="9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0.22659578233333336</v>
      </c>
      <c r="H51" s="14">
        <v>0</v>
      </c>
      <c r="I51" s="14">
        <v>0.26857566166666663</v>
      </c>
      <c r="J51" s="14">
        <v>2.1796317666666665E-2</v>
      </c>
      <c r="K51" s="14" t="s">
        <v>15</v>
      </c>
    </row>
    <row r="52" spans="1:11">
      <c r="A52" s="12">
        <v>7</v>
      </c>
      <c r="B52" s="9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0.32032852366666664</v>
      </c>
      <c r="H52" s="14">
        <v>1.2141691833333334E-2</v>
      </c>
      <c r="I52" s="14">
        <v>0.57551288016666668</v>
      </c>
      <c r="J52" s="14">
        <v>3.0454607500000001E-2</v>
      </c>
      <c r="K52" s="14" t="s">
        <v>15</v>
      </c>
    </row>
    <row r="53" spans="1:11">
      <c r="A53" s="12">
        <v>14</v>
      </c>
      <c r="B53" s="9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0.50737739866666665</v>
      </c>
      <c r="H53" s="14">
        <v>3.1155103833333329E-2</v>
      </c>
      <c r="I53" s="14">
        <v>1.2267358694999999</v>
      </c>
      <c r="J53" s="14">
        <v>3.8289221833333331E-2</v>
      </c>
      <c r="K53" s="14" t="s">
        <v>15</v>
      </c>
    </row>
    <row r="54" spans="1:11">
      <c r="A54" s="8">
        <v>5</v>
      </c>
      <c r="B54" s="9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0</v>
      </c>
      <c r="H54" s="14">
        <v>0.10580183786666668</v>
      </c>
      <c r="I54" s="14">
        <v>1.5262234549333331</v>
      </c>
      <c r="J54" s="14">
        <v>5.5605562133333335E-2</v>
      </c>
      <c r="K54" s="14" t="s">
        <v>15</v>
      </c>
    </row>
    <row r="55" spans="1:11">
      <c r="A55" s="8">
        <v>7</v>
      </c>
      <c r="B55" s="9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0</v>
      </c>
      <c r="H55" s="14">
        <v>5.7272651499999994E-2</v>
      </c>
      <c r="I55" s="14">
        <v>1.4004971194999998</v>
      </c>
      <c r="J55" s="14">
        <v>7.1937996166666671E-2</v>
      </c>
      <c r="K55" s="14" t="s">
        <v>15</v>
      </c>
    </row>
    <row r="56" spans="1:11">
      <c r="A56" s="8">
        <v>14</v>
      </c>
      <c r="B56" s="9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0</v>
      </c>
      <c r="H56" s="14">
        <v>8.4992017599999997E-2</v>
      </c>
      <c r="I56" s="14">
        <v>2.3649093776000001</v>
      </c>
      <c r="J56" s="14">
        <v>4.9220154666666668E-2</v>
      </c>
      <c r="K56" s="14" t="s">
        <v>15</v>
      </c>
    </row>
    <row r="57" spans="1:11">
      <c r="A57" s="8">
        <v>5</v>
      </c>
      <c r="B57" s="9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0</v>
      </c>
      <c r="H57" s="14">
        <v>0</v>
      </c>
      <c r="I57" s="14">
        <v>0.42401707700000002</v>
      </c>
      <c r="J57" s="14">
        <v>1.8483269833333333E-2</v>
      </c>
      <c r="K57" s="14" t="s">
        <v>15</v>
      </c>
    </row>
    <row r="58" spans="1:11">
      <c r="A58" s="8">
        <v>7</v>
      </c>
      <c r="B58" s="9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3.4440894999999999E-2</v>
      </c>
      <c r="H58" s="14">
        <v>0</v>
      </c>
      <c r="I58" s="14">
        <v>0.45002423516666668</v>
      </c>
      <c r="J58" s="14">
        <v>2.5415688499999999E-2</v>
      </c>
      <c r="K58" s="14" t="s">
        <v>15</v>
      </c>
    </row>
    <row r="59" spans="1:11">
      <c r="A59" s="8">
        <v>14</v>
      </c>
      <c r="B59" s="9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0</v>
      </c>
      <c r="H59" s="14">
        <v>0</v>
      </c>
      <c r="I59" s="14">
        <v>0.7245479305000001</v>
      </c>
      <c r="J59" s="14">
        <v>1.5806769999999998E-2</v>
      </c>
      <c r="K59" s="14" t="s">
        <v>15</v>
      </c>
    </row>
    <row r="60" spans="1:11">
      <c r="A60" s="8">
        <v>5</v>
      </c>
      <c r="B60" s="9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3.961955683333334E-2</v>
      </c>
      <c r="H60" s="14">
        <v>0.7577818793333333</v>
      </c>
      <c r="I60" s="14">
        <v>1.7679434041666666</v>
      </c>
      <c r="J60" s="14">
        <v>8.1913411999999977E-2</v>
      </c>
      <c r="K60" s="14" t="s">
        <v>15</v>
      </c>
    </row>
    <row r="61" spans="1:11">
      <c r="A61" s="8">
        <v>7</v>
      </c>
      <c r="B61" s="9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1.4955208833333336E-2</v>
      </c>
      <c r="H61" s="14">
        <v>0.40954535949999998</v>
      </c>
      <c r="I61" s="14">
        <v>0.86186607366666679</v>
      </c>
      <c r="J61" s="14">
        <v>8.2971285166666672E-2</v>
      </c>
      <c r="K61" s="14" t="s">
        <v>15</v>
      </c>
    </row>
    <row r="62" spans="1:11">
      <c r="A62" s="8">
        <v>14</v>
      </c>
      <c r="B62" s="9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3.1943031166666663E-2</v>
      </c>
      <c r="H62" s="14">
        <v>0.40239321016666663</v>
      </c>
      <c r="I62" s="14">
        <v>0.76788833683333335</v>
      </c>
      <c r="J62" s="14">
        <v>4.32597895E-2</v>
      </c>
      <c r="K62" s="14" t="s">
        <v>15</v>
      </c>
    </row>
    <row r="63" spans="1:11">
      <c r="A63" s="8">
        <v>5</v>
      </c>
      <c r="B63" s="9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9.9762754666666675E-2</v>
      </c>
      <c r="H63" s="14">
        <v>6.7075853423333331</v>
      </c>
      <c r="I63" s="14">
        <v>9.0941062165000002</v>
      </c>
      <c r="J63" s="14">
        <v>1.0425682338333333</v>
      </c>
      <c r="K63" s="14" t="s">
        <v>15</v>
      </c>
    </row>
    <row r="64" spans="1:11">
      <c r="A64" s="8">
        <v>7</v>
      </c>
      <c r="B64" s="9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7.4304818333333328E-2</v>
      </c>
      <c r="H64" s="14">
        <v>0</v>
      </c>
      <c r="I64" s="14">
        <v>0.71319112583333333</v>
      </c>
      <c r="J64" s="14">
        <v>0.21493066283333331</v>
      </c>
      <c r="K64" s="14" t="s">
        <v>15</v>
      </c>
    </row>
    <row r="65" spans="1:11">
      <c r="A65" s="8">
        <v>14</v>
      </c>
      <c r="B65" s="9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2.1496599166666668E-2</v>
      </c>
      <c r="H65" s="14">
        <v>0</v>
      </c>
      <c r="I65" s="14">
        <v>0.35925188233333338</v>
      </c>
      <c r="J65" s="14">
        <v>0.10611743683333331</v>
      </c>
      <c r="K65" s="14" t="s">
        <v>15</v>
      </c>
    </row>
    <row r="66" spans="1:11">
      <c r="A66" s="8">
        <v>5</v>
      </c>
      <c r="B66" s="9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0.14748163422222221</v>
      </c>
      <c r="H66" s="14">
        <v>9.1410968444444449E-2</v>
      </c>
      <c r="I66" s="14">
        <v>1.9048858733333334</v>
      </c>
      <c r="J66" s="14">
        <v>1.2921786453333333</v>
      </c>
      <c r="K66" s="14" t="s">
        <v>15</v>
      </c>
    </row>
    <row r="67" spans="1:11">
      <c r="A67" s="8">
        <v>7</v>
      </c>
      <c r="B67" s="9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2.4434892993333328</v>
      </c>
      <c r="H67" s="14">
        <v>4.0755845333333332E-2</v>
      </c>
      <c r="I67" s="14">
        <v>1.4145519148333332</v>
      </c>
      <c r="J67" s="14">
        <v>0.33025005516666667</v>
      </c>
      <c r="K67" s="14" t="s">
        <v>15</v>
      </c>
    </row>
    <row r="68" spans="1:11">
      <c r="A68" s="8">
        <v>14</v>
      </c>
      <c r="B68" s="9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1.6068359999999999</v>
      </c>
      <c r="H68" s="14">
        <v>2.8033541666666665E-2</v>
      </c>
      <c r="I68" s="14">
        <v>0.67115034933333328</v>
      </c>
      <c r="J68" s="14">
        <v>0.22513239699999998</v>
      </c>
      <c r="K68" s="14" t="s">
        <v>15</v>
      </c>
    </row>
    <row r="69" spans="1:11">
      <c r="A69" s="8">
        <v>5</v>
      </c>
      <c r="B69" s="9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0.13342814333333333</v>
      </c>
      <c r="H69" s="14">
        <v>0.12124571199999998</v>
      </c>
      <c r="I69" s="14">
        <v>2.9183182816666662</v>
      </c>
      <c r="J69" s="14">
        <v>2.5594050533333332</v>
      </c>
      <c r="K69" s="14" t="s">
        <v>15</v>
      </c>
    </row>
    <row r="70" spans="1:11">
      <c r="A70" s="8">
        <v>7</v>
      </c>
      <c r="B70" s="9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0.50199796033333333</v>
      </c>
      <c r="H70" s="14">
        <v>0</v>
      </c>
      <c r="I70" s="14">
        <v>0.88912326766666672</v>
      </c>
      <c r="J70" s="14">
        <v>0.79101360333333337</v>
      </c>
      <c r="K70" s="14" t="s">
        <v>15</v>
      </c>
    </row>
    <row r="71" spans="1:11">
      <c r="A71" s="8">
        <v>14</v>
      </c>
      <c r="B71" s="9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0.22136931649999997</v>
      </c>
      <c r="H71" s="14">
        <v>0</v>
      </c>
      <c r="I71" s="14">
        <v>0.24185720933333335</v>
      </c>
      <c r="J71" s="14">
        <v>7.7533789833333339E-2</v>
      </c>
      <c r="K71" s="14" t="s">
        <v>15</v>
      </c>
    </row>
    <row r="72" spans="1:11">
      <c r="A72" s="8">
        <v>5</v>
      </c>
      <c r="B72" s="9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3.7298442000000001E-2</v>
      </c>
      <c r="H72" s="14">
        <v>0</v>
      </c>
      <c r="I72" s="14">
        <v>0.61712406066666659</v>
      </c>
      <c r="J72" s="14">
        <v>4.123577233333333E-2</v>
      </c>
      <c r="K72" s="14" t="s">
        <v>15</v>
      </c>
    </row>
    <row r="73" spans="1:11">
      <c r="A73" s="8">
        <v>7</v>
      </c>
      <c r="B73" s="9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4.7005784323333337</v>
      </c>
      <c r="H73" s="14">
        <v>0.15914653983333335</v>
      </c>
      <c r="I73" s="14">
        <v>3.0990747181666665</v>
      </c>
      <c r="J73" s="14">
        <v>0.69888798033333333</v>
      </c>
      <c r="K73" s="14" t="s">
        <v>15</v>
      </c>
    </row>
    <row r="74" spans="1:11">
      <c r="A74" s="8">
        <v>14</v>
      </c>
      <c r="B74" s="9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1.4301082379999999</v>
      </c>
      <c r="H74" s="14">
        <v>0</v>
      </c>
      <c r="I74" s="14">
        <v>0.59229197933333333</v>
      </c>
      <c r="J74" s="14">
        <v>0.12627604816666668</v>
      </c>
      <c r="K74" s="14" t="s">
        <v>15</v>
      </c>
    </row>
    <row r="75" spans="1:11">
      <c r="A75" s="8">
        <v>5</v>
      </c>
      <c r="B75" s="9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3">
        <v>0</v>
      </c>
      <c r="H75" s="17">
        <v>5.2162035954882384E-2</v>
      </c>
      <c r="I75" s="13">
        <v>0.61972519240877189</v>
      </c>
      <c r="J75" s="13">
        <v>3.9418072647319828E-2</v>
      </c>
      <c r="K75" s="14" t="s">
        <v>27</v>
      </c>
    </row>
    <row r="76" spans="1:11">
      <c r="A76" s="8">
        <v>7</v>
      </c>
      <c r="B76" s="9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3">
        <v>0.37687994907169559</v>
      </c>
      <c r="H76" s="17">
        <v>1.0841694102448514E-2</v>
      </c>
      <c r="I76" s="13">
        <v>0.57252673817096078</v>
      </c>
      <c r="J76" s="13">
        <v>3.3983901968444696E-2</v>
      </c>
      <c r="K76" s="14" t="s">
        <v>27</v>
      </c>
    </row>
    <row r="77" spans="1:11">
      <c r="A77" s="8">
        <v>14</v>
      </c>
      <c r="B77" s="9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3">
        <v>3.0222566683733857E-2</v>
      </c>
      <c r="H77" s="17">
        <v>0</v>
      </c>
      <c r="I77" s="13">
        <v>0.17073806332285021</v>
      </c>
      <c r="J77" s="13">
        <v>1.3626716086538104E-2</v>
      </c>
      <c r="K77" s="14" t="s">
        <v>27</v>
      </c>
    </row>
    <row r="78" spans="1:11">
      <c r="A78" s="8">
        <v>5</v>
      </c>
      <c r="B78" s="9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3">
        <v>0</v>
      </c>
      <c r="H78" s="17">
        <v>0</v>
      </c>
      <c r="I78" s="13">
        <v>4.2579197981704245E-2</v>
      </c>
      <c r="J78" s="13">
        <v>0</v>
      </c>
      <c r="K78" s="14" t="s">
        <v>27</v>
      </c>
    </row>
    <row r="79" spans="1:11">
      <c r="A79" s="8">
        <v>7</v>
      </c>
      <c r="B79" s="9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3">
        <v>2.8979049214946366E-2</v>
      </c>
      <c r="H79" s="17">
        <v>0</v>
      </c>
      <c r="I79" s="13">
        <v>0.1244959305012765</v>
      </c>
      <c r="J79" s="13">
        <v>1.6376767386090889E-2</v>
      </c>
      <c r="K79" s="14" t="s">
        <v>27</v>
      </c>
    </row>
    <row r="80" spans="1:11">
      <c r="A80" s="8">
        <v>14</v>
      </c>
      <c r="B80" s="9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3">
        <v>2.2773747592106656E-2</v>
      </c>
      <c r="H80" s="17">
        <v>3.1414089644994023E-2</v>
      </c>
      <c r="I80" s="13">
        <v>0.44699137236604936</v>
      </c>
      <c r="J80" s="13">
        <v>2.0516983256928203E-2</v>
      </c>
      <c r="K80" s="14" t="s">
        <v>27</v>
      </c>
    </row>
    <row r="81" spans="1:11">
      <c r="A81" s="8">
        <v>5</v>
      </c>
      <c r="B81" s="9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3">
        <v>9.1410905291424843E-2</v>
      </c>
      <c r="H81" s="17">
        <v>0</v>
      </c>
      <c r="I81" s="13">
        <v>0.15805740557678352</v>
      </c>
      <c r="J81" s="13">
        <v>6.7843087320572128E-3</v>
      </c>
      <c r="K81" s="14" t="s">
        <v>27</v>
      </c>
    </row>
    <row r="82" spans="1:11">
      <c r="A82" s="8">
        <v>7</v>
      </c>
      <c r="B82" s="9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3">
        <v>9.1110658383313489E-2</v>
      </c>
      <c r="H82" s="17">
        <v>0</v>
      </c>
      <c r="I82" s="13">
        <v>9.2872536438773565E-2</v>
      </c>
      <c r="J82" s="13">
        <v>1.042666029523823E-2</v>
      </c>
      <c r="K82" s="14" t="s">
        <v>27</v>
      </c>
    </row>
    <row r="83" spans="1:11">
      <c r="A83" s="8">
        <v>14</v>
      </c>
      <c r="B83" s="9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3">
        <v>0</v>
      </c>
      <c r="H83" s="17">
        <v>0</v>
      </c>
      <c r="I83" s="13">
        <v>7.0691964937843174E-2</v>
      </c>
      <c r="J83" s="13">
        <v>9.4637034664093195E-3</v>
      </c>
      <c r="K83" s="14" t="s">
        <v>27</v>
      </c>
    </row>
    <row r="84" spans="1:11">
      <c r="A84" s="8">
        <v>5</v>
      </c>
      <c r="B84" s="9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3">
        <v>7.0339293261909339E-2</v>
      </c>
      <c r="H84" s="17">
        <v>0</v>
      </c>
      <c r="I84" s="13">
        <v>0.68024399821271286</v>
      </c>
      <c r="J84" s="13">
        <v>1.2396181825899586E-2</v>
      </c>
      <c r="K84" s="14" t="s">
        <v>27</v>
      </c>
    </row>
    <row r="85" spans="1:11">
      <c r="A85" s="8">
        <v>7</v>
      </c>
      <c r="B85" s="9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3">
        <v>0.3080815283178005</v>
      </c>
      <c r="H85" s="17">
        <v>0</v>
      </c>
      <c r="I85" s="13">
        <v>1.0162337947508526</v>
      </c>
      <c r="J85" s="13">
        <v>1.5866461111538305E-2</v>
      </c>
      <c r="K85" s="14" t="s">
        <v>27</v>
      </c>
    </row>
    <row r="86" spans="1:11">
      <c r="A86" s="8">
        <v>14</v>
      </c>
      <c r="B86" s="9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3">
        <v>7.4344902168521992E-2</v>
      </c>
      <c r="H86" s="17">
        <v>0</v>
      </c>
      <c r="I86" s="13">
        <v>1.1766496882336346</v>
      </c>
      <c r="J86" s="13">
        <v>7.668391813987591E-3</v>
      </c>
      <c r="K86" s="14" t="s">
        <v>27</v>
      </c>
    </row>
    <row r="87" spans="1:11">
      <c r="A87" s="8">
        <v>5</v>
      </c>
      <c r="B87" s="9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3">
        <v>4.1286874698036199E-2</v>
      </c>
      <c r="H87" s="17">
        <v>7.0347981373627327E-2</v>
      </c>
      <c r="I87" s="13">
        <v>0.74431597907869329</v>
      </c>
      <c r="J87" s="13">
        <v>4.4380691315709681E-2</v>
      </c>
      <c r="K87" s="14" t="s">
        <v>27</v>
      </c>
    </row>
    <row r="88" spans="1:11">
      <c r="A88" s="8">
        <v>7</v>
      </c>
      <c r="B88" s="9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3">
        <v>4.6888190323033659E-2</v>
      </c>
      <c r="H88" s="17">
        <v>0</v>
      </c>
      <c r="I88" s="13">
        <v>0.15683745027956378</v>
      </c>
      <c r="J88" s="13">
        <v>2.9985026943748591E-2</v>
      </c>
      <c r="K88" s="14" t="s">
        <v>27</v>
      </c>
    </row>
    <row r="89" spans="1:11">
      <c r="A89" s="8">
        <v>14</v>
      </c>
      <c r="B89" s="9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3">
        <v>6.8178833612144205E-2</v>
      </c>
      <c r="H89" s="17">
        <v>3.1080649864447717E-2</v>
      </c>
      <c r="I89" s="13">
        <v>0.44539199815995645</v>
      </c>
      <c r="J89" s="13">
        <v>5.3875469748401301E-2</v>
      </c>
      <c r="K89" s="14" t="s">
        <v>27</v>
      </c>
    </row>
    <row r="90" spans="1:11">
      <c r="A90" s="8">
        <v>5</v>
      </c>
      <c r="B90" s="18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3">
        <v>4.5499180051188554E-2</v>
      </c>
      <c r="H90" s="17">
        <v>6.833126298152771E-2</v>
      </c>
      <c r="I90" s="13">
        <v>1.2087634448791753</v>
      </c>
      <c r="J90" s="13">
        <v>3.0292525366181686E-2</v>
      </c>
      <c r="K90" s="14" t="s">
        <v>27</v>
      </c>
    </row>
    <row r="91" spans="1:11">
      <c r="A91" s="8">
        <v>7</v>
      </c>
      <c r="B91" s="18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3">
        <v>0.29483343226158615</v>
      </c>
      <c r="H91" s="17">
        <v>0</v>
      </c>
      <c r="I91" s="13">
        <v>0.24972283257507472</v>
      </c>
      <c r="J91" s="13">
        <v>1.7217965085621359E-2</v>
      </c>
      <c r="K91" s="14" t="s">
        <v>27</v>
      </c>
    </row>
    <row r="92" spans="1:11">
      <c r="A92" s="8">
        <v>14</v>
      </c>
      <c r="B92" s="18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3">
        <v>2.6767546310393818E-2</v>
      </c>
      <c r="H92" s="17">
        <v>1.6903266309695301E-2</v>
      </c>
      <c r="I92" s="13">
        <v>0.5307479311759381</v>
      </c>
      <c r="J92" s="13">
        <v>8.0065399745271951E-3</v>
      </c>
      <c r="K92" s="14" t="s">
        <v>27</v>
      </c>
    </row>
    <row r="93" spans="1:11">
      <c r="A93" s="8">
        <v>5</v>
      </c>
      <c r="B93" s="18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3">
        <v>3.4789774552445731E-2</v>
      </c>
      <c r="H93" s="17">
        <v>0</v>
      </c>
      <c r="I93" s="13">
        <v>0.28658022184470872</v>
      </c>
      <c r="J93" s="13">
        <v>0</v>
      </c>
      <c r="K93" s="14" t="s">
        <v>27</v>
      </c>
    </row>
    <row r="94" spans="1:11">
      <c r="A94" s="8">
        <v>7</v>
      </c>
      <c r="B94" s="18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3">
        <v>0.2730604614842333</v>
      </c>
      <c r="H94" s="17">
        <v>0</v>
      </c>
      <c r="I94" s="13">
        <v>0.23749267560524343</v>
      </c>
      <c r="J94" s="13">
        <v>0</v>
      </c>
      <c r="K94" s="14" t="s">
        <v>27</v>
      </c>
    </row>
    <row r="95" spans="1:11">
      <c r="A95" s="8">
        <v>14</v>
      </c>
      <c r="B95" s="18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3">
        <v>0</v>
      </c>
      <c r="H95" s="17">
        <v>0</v>
      </c>
      <c r="I95" s="13">
        <v>0.28270287748387207</v>
      </c>
      <c r="J95" s="13">
        <v>1.0771338373559036E-2</v>
      </c>
      <c r="K95" s="14" t="s">
        <v>27</v>
      </c>
    </row>
    <row r="96" spans="1:11">
      <c r="A96" s="8">
        <v>5</v>
      </c>
      <c r="B96" s="18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9"/>
      <c r="H96" s="13">
        <v>0</v>
      </c>
      <c r="I96" s="19"/>
      <c r="J96" s="19"/>
      <c r="K96" s="14" t="s">
        <v>27</v>
      </c>
    </row>
    <row r="97" spans="1:11">
      <c r="A97" s="8">
        <v>7</v>
      </c>
      <c r="B97" s="18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9"/>
      <c r="H97" s="13">
        <v>2.7956321528156181E-2</v>
      </c>
      <c r="I97" s="19"/>
      <c r="J97" s="19"/>
      <c r="K97" s="14" t="s">
        <v>27</v>
      </c>
    </row>
    <row r="98" spans="1:11">
      <c r="A98" s="8">
        <v>14</v>
      </c>
      <c r="B98" s="18">
        <v>37392</v>
      </c>
      <c r="C98" s="12">
        <v>2002</v>
      </c>
      <c r="D98" s="15" t="s">
        <v>22</v>
      </c>
      <c r="E98" s="12">
        <v>5</v>
      </c>
      <c r="F98" s="20" t="s">
        <v>28</v>
      </c>
    </row>
    <row r="99" spans="1:11">
      <c r="A99" s="8">
        <v>5</v>
      </c>
      <c r="B99" s="18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9"/>
      <c r="H99" s="13">
        <v>6.845844967785621</v>
      </c>
      <c r="I99" s="19"/>
      <c r="J99" s="19"/>
      <c r="K99" s="14" t="s">
        <v>27</v>
      </c>
    </row>
    <row r="100" spans="1:11">
      <c r="A100" s="8">
        <v>7</v>
      </c>
      <c r="B100" s="18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9"/>
      <c r="H100" s="13">
        <v>4.5095003723220443E-2</v>
      </c>
      <c r="I100" s="19"/>
      <c r="J100" s="19"/>
      <c r="K100" s="14" t="s">
        <v>27</v>
      </c>
    </row>
    <row r="101" spans="1:11">
      <c r="A101" s="8">
        <v>14</v>
      </c>
      <c r="B101" s="18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9"/>
      <c r="H101" s="13">
        <v>4.0361815528345807E-2</v>
      </c>
      <c r="I101" s="19"/>
      <c r="J101" s="19"/>
      <c r="K101" s="14" t="s">
        <v>27</v>
      </c>
    </row>
    <row r="102" spans="1:11">
      <c r="A102" s="8">
        <v>5</v>
      </c>
      <c r="B102" s="18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9"/>
      <c r="H102" s="13">
        <v>5.8342901489878862E-2</v>
      </c>
      <c r="I102" s="19"/>
      <c r="J102" s="19"/>
      <c r="K102" s="14" t="s">
        <v>27</v>
      </c>
    </row>
    <row r="103" spans="1:11">
      <c r="A103" s="8">
        <v>7</v>
      </c>
      <c r="B103" s="18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9"/>
      <c r="H103" s="13">
        <v>3.7194636779788973E-2</v>
      </c>
      <c r="I103" s="19"/>
      <c r="J103" s="19"/>
      <c r="K103" s="14" t="s">
        <v>27</v>
      </c>
    </row>
    <row r="104" spans="1:11">
      <c r="A104" s="8">
        <v>14</v>
      </c>
      <c r="B104" s="18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9"/>
      <c r="H104" s="13">
        <v>0</v>
      </c>
      <c r="I104" s="19"/>
      <c r="J104" s="19"/>
      <c r="K104" s="14" t="s">
        <v>27</v>
      </c>
    </row>
    <row r="105" spans="1:11">
      <c r="A105" s="8">
        <v>5</v>
      </c>
      <c r="B105" s="18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9"/>
      <c r="H105" s="13">
        <v>0</v>
      </c>
      <c r="I105" s="19"/>
      <c r="J105" s="19"/>
      <c r="K105" s="14" t="s">
        <v>27</v>
      </c>
    </row>
    <row r="106" spans="1:11">
      <c r="A106" s="8">
        <v>7</v>
      </c>
      <c r="B106" s="18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9"/>
      <c r="H106" s="13">
        <v>7.39608194679576E-2</v>
      </c>
      <c r="I106" s="19"/>
      <c r="J106" s="19"/>
      <c r="K106" s="14" t="s">
        <v>27</v>
      </c>
    </row>
    <row r="107" spans="1:11">
      <c r="A107" s="8">
        <v>14</v>
      </c>
      <c r="B107" s="18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9"/>
      <c r="H107" s="13">
        <v>0</v>
      </c>
      <c r="I107" s="19"/>
      <c r="J107" s="19"/>
      <c r="K107" s="14" t="s">
        <v>27</v>
      </c>
    </row>
    <row r="108" spans="1:11">
      <c r="A108" s="8">
        <v>5</v>
      </c>
      <c r="B108" s="18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9"/>
      <c r="H108" s="13">
        <v>0</v>
      </c>
      <c r="I108" s="19"/>
      <c r="J108" s="19"/>
      <c r="K108" s="14" t="s">
        <v>27</v>
      </c>
    </row>
    <row r="109" spans="1:11">
      <c r="A109" s="8">
        <v>7</v>
      </c>
      <c r="B109" s="18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9"/>
      <c r="H109" s="13">
        <v>2.8175768405430145E-2</v>
      </c>
      <c r="I109" s="19"/>
      <c r="J109" s="19"/>
      <c r="K109" s="14" t="s">
        <v>27</v>
      </c>
    </row>
    <row r="110" spans="1:11">
      <c r="A110" s="8">
        <v>14</v>
      </c>
      <c r="B110" s="18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9"/>
      <c r="H110" s="13">
        <v>0</v>
      </c>
      <c r="I110" s="19"/>
      <c r="J110" s="19"/>
      <c r="K110" s="14" t="s">
        <v>27</v>
      </c>
    </row>
    <row r="111" spans="1:11">
      <c r="A111" s="8">
        <v>5</v>
      </c>
      <c r="B111" s="18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0.81386460427356899</v>
      </c>
      <c r="H111" s="14">
        <v>0</v>
      </c>
      <c r="I111" s="14">
        <v>2.1205076497610729</v>
      </c>
      <c r="J111" s="14">
        <v>5.6820706518696369E-2</v>
      </c>
      <c r="K111" s="14">
        <v>0</v>
      </c>
    </row>
    <row r="112" spans="1:11">
      <c r="A112" s="8">
        <v>7</v>
      </c>
      <c r="B112" s="18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0.4749209723276156</v>
      </c>
      <c r="H112" s="14">
        <v>0</v>
      </c>
      <c r="I112" s="14">
        <v>1.3211793263764937</v>
      </c>
      <c r="J112" s="14">
        <v>4.5214084782749513E-2</v>
      </c>
      <c r="K112" s="14">
        <v>0</v>
      </c>
    </row>
    <row r="113" spans="1:11">
      <c r="A113" s="8">
        <v>14</v>
      </c>
      <c r="B113" s="18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0.138376226468822</v>
      </c>
      <c r="H113" s="14">
        <v>0</v>
      </c>
      <c r="I113" s="14">
        <v>0.30396266664470595</v>
      </c>
      <c r="J113" s="14">
        <v>1.4094094911628077E-2</v>
      </c>
      <c r="K113" s="14">
        <v>0</v>
      </c>
    </row>
    <row r="114" spans="1:11">
      <c r="A114" s="8">
        <v>5</v>
      </c>
      <c r="B114" s="18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0.15692429022909976</v>
      </c>
      <c r="H114" s="14">
        <v>0</v>
      </c>
      <c r="I114" s="14">
        <v>0.10999846014412767</v>
      </c>
      <c r="J114" s="14">
        <v>0</v>
      </c>
      <c r="K114" s="14">
        <v>0</v>
      </c>
    </row>
    <row r="115" spans="1:11">
      <c r="A115" s="8">
        <v>7</v>
      </c>
      <c r="B115" s="18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0.11454447940775923</v>
      </c>
      <c r="H115" s="14">
        <v>0</v>
      </c>
      <c r="I115" s="14">
        <v>0.33593046702716356</v>
      </c>
      <c r="J115" s="14">
        <v>1.4972813518314459E-2</v>
      </c>
      <c r="K115" s="14">
        <v>0</v>
      </c>
    </row>
    <row r="116" spans="1:11">
      <c r="A116" s="8">
        <v>14</v>
      </c>
      <c r="B116" s="18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2.5436066721756235E-2</v>
      </c>
      <c r="H116" s="14">
        <v>0</v>
      </c>
      <c r="I116" s="14">
        <v>9.4533786525651517E-2</v>
      </c>
      <c r="J116" s="14">
        <v>1.0136576891791054E-2</v>
      </c>
      <c r="K116" s="14">
        <v>0</v>
      </c>
    </row>
    <row r="117" spans="1:11">
      <c r="A117" s="8">
        <v>5</v>
      </c>
      <c r="B117" s="18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0.2347381230894397</v>
      </c>
      <c r="H117" s="14">
        <v>0</v>
      </c>
      <c r="I117" s="14">
        <v>0.77568623448413576</v>
      </c>
      <c r="J117" s="14">
        <v>2.0649246861529458E-2</v>
      </c>
      <c r="K117" s="14">
        <v>0</v>
      </c>
    </row>
    <row r="118" spans="1:11">
      <c r="A118" s="8">
        <v>7</v>
      </c>
      <c r="B118" s="18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0.51887761888216932</v>
      </c>
      <c r="H118" s="14">
        <v>0</v>
      </c>
      <c r="I118" s="14">
        <v>1.3366032360412157</v>
      </c>
      <c r="J118" s="14">
        <v>2.9856877287001735E-2</v>
      </c>
      <c r="K118" s="14">
        <v>0</v>
      </c>
    </row>
    <row r="119" spans="1:11">
      <c r="A119" s="8">
        <v>14</v>
      </c>
      <c r="B119" s="18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0.31581246382554284</v>
      </c>
      <c r="H119" s="14">
        <v>0</v>
      </c>
      <c r="I119" s="14">
        <v>1.2651023065976412</v>
      </c>
      <c r="J119" s="14">
        <v>3.9409581119330392E-2</v>
      </c>
      <c r="K119" s="14">
        <v>0</v>
      </c>
    </row>
    <row r="120" spans="1:11">
      <c r="A120" s="8">
        <v>5</v>
      </c>
      <c r="B120" s="18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0.18910446813080115</v>
      </c>
      <c r="H120" s="14">
        <v>0</v>
      </c>
      <c r="I120" s="14">
        <v>1.5919580401604667</v>
      </c>
      <c r="J120" s="14">
        <v>4.0800297448330039E-2</v>
      </c>
      <c r="K120" s="14">
        <v>0</v>
      </c>
    </row>
    <row r="121" spans="1:11">
      <c r="A121" s="8">
        <v>7</v>
      </c>
      <c r="B121" s="18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0.58343263704463633</v>
      </c>
      <c r="H121" s="14">
        <v>0</v>
      </c>
      <c r="I121" s="14">
        <v>0.2621794808062205</v>
      </c>
      <c r="J121" s="14">
        <v>3.643716346720919E-2</v>
      </c>
      <c r="K121" s="14">
        <v>0</v>
      </c>
    </row>
    <row r="122" spans="1:11">
      <c r="A122" s="8">
        <v>14</v>
      </c>
      <c r="B122" s="18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0.44982011531414368</v>
      </c>
      <c r="H122" s="14">
        <v>0</v>
      </c>
      <c r="I122" s="14">
        <v>0.86955959114978154</v>
      </c>
      <c r="J122" s="14">
        <v>2.4964701153593061E-2</v>
      </c>
      <c r="K122" s="14">
        <v>0</v>
      </c>
    </row>
    <row r="123" spans="1:11">
      <c r="A123" s="8">
        <v>5</v>
      </c>
      <c r="B123" s="18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0.38746510896053499</v>
      </c>
      <c r="H123" s="14">
        <v>0</v>
      </c>
      <c r="I123" s="14">
        <v>2.3901324552714924</v>
      </c>
      <c r="J123" s="14">
        <v>8.3701168997901337E-2</v>
      </c>
      <c r="K123" s="14">
        <v>0</v>
      </c>
    </row>
    <row r="124" spans="1:11">
      <c r="A124" s="8">
        <v>7</v>
      </c>
      <c r="B124" s="18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0.36162083263853767</v>
      </c>
      <c r="H124" s="14">
        <v>0</v>
      </c>
      <c r="I124" s="14">
        <v>1.0646347717009059</v>
      </c>
      <c r="J124" s="14">
        <v>3.905504992496206E-2</v>
      </c>
      <c r="K124" s="14">
        <v>0</v>
      </c>
    </row>
    <row r="125" spans="1:11">
      <c r="A125" s="8">
        <v>14</v>
      </c>
      <c r="B125" s="18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0.18842406011308657</v>
      </c>
      <c r="H125" s="14">
        <v>0</v>
      </c>
      <c r="I125" s="14">
        <v>1.350751076935558</v>
      </c>
      <c r="J125" s="14">
        <v>3.0673327792956465E-2</v>
      </c>
      <c r="K125" s="14">
        <v>0</v>
      </c>
    </row>
    <row r="126" spans="1:11">
      <c r="A126" s="8">
        <v>5</v>
      </c>
      <c r="B126" s="18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0.50242739416757332</v>
      </c>
      <c r="H126" s="14">
        <v>0</v>
      </c>
      <c r="I126" s="14">
        <v>1.419883836219521</v>
      </c>
      <c r="J126" s="14">
        <v>4.9667759099901003E-2</v>
      </c>
      <c r="K126" s="14">
        <v>0</v>
      </c>
    </row>
    <row r="127" spans="1:11">
      <c r="A127" s="8">
        <v>7</v>
      </c>
      <c r="B127" s="18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0.31991342106696763</v>
      </c>
      <c r="H127" s="14">
        <v>0</v>
      </c>
      <c r="I127" s="14">
        <v>1.061458173975222</v>
      </c>
      <c r="J127" s="14">
        <v>0.11080498172082603</v>
      </c>
      <c r="K127" s="14">
        <v>0</v>
      </c>
    </row>
    <row r="128" spans="1:11">
      <c r="A128" s="8">
        <v>14</v>
      </c>
      <c r="B128" s="18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0.14165809842099822</v>
      </c>
      <c r="H128" s="14">
        <v>2.9170831444885352E-2</v>
      </c>
      <c r="I128" s="14">
        <v>1.6594301425910389</v>
      </c>
      <c r="J128" s="14">
        <v>8.2938511801734144E-2</v>
      </c>
      <c r="K128" s="14">
        <v>0</v>
      </c>
    </row>
    <row r="129" spans="1:11">
      <c r="A129" s="8">
        <v>5</v>
      </c>
      <c r="B129" s="18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8.3353541371396944E-2</v>
      </c>
      <c r="H129" s="14">
        <v>7.6099118214118744E-2</v>
      </c>
      <c r="I129" s="14">
        <v>2.0748581176166025</v>
      </c>
      <c r="J129" s="14">
        <v>4.3532548450121361E-2</v>
      </c>
      <c r="K129" s="14">
        <v>0</v>
      </c>
    </row>
    <row r="130" spans="1:11">
      <c r="A130" s="8">
        <v>7</v>
      </c>
      <c r="B130" s="18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0.16568656701431028</v>
      </c>
      <c r="H130" s="14">
        <v>0</v>
      </c>
      <c r="I130" s="14">
        <v>3.0581521738201052</v>
      </c>
      <c r="J130" s="14">
        <v>3.9453256648297706E-2</v>
      </c>
      <c r="K130" s="14">
        <v>0</v>
      </c>
    </row>
    <row r="131" spans="1:11">
      <c r="A131" s="8">
        <v>14</v>
      </c>
      <c r="B131" s="18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5.126245297303593E-2</v>
      </c>
      <c r="H131" s="14">
        <v>5.5433323391815413E-2</v>
      </c>
      <c r="I131" s="14">
        <v>2.6284061667991234</v>
      </c>
      <c r="J131" s="14">
        <v>3.902659372390798E-2</v>
      </c>
      <c r="K131" s="14">
        <v>0</v>
      </c>
    </row>
    <row r="132" spans="1:11">
      <c r="A132" s="8">
        <v>5</v>
      </c>
      <c r="B132" s="18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9.6980753592142616E-2</v>
      </c>
      <c r="H132" s="14">
        <v>0.74880994819766411</v>
      </c>
      <c r="I132" s="14">
        <v>2.4392850292795303</v>
      </c>
      <c r="J132" s="14">
        <v>9.7211215370956908E-2</v>
      </c>
      <c r="K132" s="14">
        <v>3.6589595436697327E-2</v>
      </c>
    </row>
    <row r="133" spans="1:11">
      <c r="A133" s="8">
        <v>7</v>
      </c>
      <c r="B133" s="18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0.24395651643368768</v>
      </c>
      <c r="H133" s="14">
        <v>0.81767243750311125</v>
      </c>
      <c r="I133" s="14">
        <v>2.3250030916225226</v>
      </c>
      <c r="J133" s="14">
        <v>0.17992236342963885</v>
      </c>
      <c r="K133" s="14">
        <v>2.8587458991022944E-2</v>
      </c>
    </row>
    <row r="134" spans="1:11">
      <c r="A134" s="8">
        <v>14</v>
      </c>
      <c r="B134" s="18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4.8137830692275958E-2</v>
      </c>
      <c r="H134" s="14">
        <v>0.25623796758308287</v>
      </c>
      <c r="I134" s="14">
        <v>1.1097388475232872</v>
      </c>
      <c r="J134" s="14">
        <v>6.6261799857848927E-2</v>
      </c>
      <c r="K134" s="14">
        <v>0</v>
      </c>
    </row>
    <row r="135" spans="1:11">
      <c r="A135" s="8">
        <v>5</v>
      </c>
      <c r="B135" s="18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0</v>
      </c>
      <c r="H135" s="14">
        <v>5.1255917759256571</v>
      </c>
      <c r="I135" s="14">
        <v>10.425029136393857</v>
      </c>
      <c r="J135" s="14">
        <v>0.7014873581621538</v>
      </c>
      <c r="K135" s="14">
        <v>0</v>
      </c>
    </row>
    <row r="136" spans="1:11">
      <c r="A136" s="8">
        <v>7</v>
      </c>
      <c r="B136" s="18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0.19224508467445214</v>
      </c>
      <c r="H136" s="14">
        <v>0</v>
      </c>
      <c r="I136" s="14">
        <v>7.8741695382141579</v>
      </c>
      <c r="J136" s="14">
        <v>0.38392031772426227</v>
      </c>
      <c r="K136" s="14">
        <v>0</v>
      </c>
    </row>
    <row r="137" spans="1:11">
      <c r="A137" s="8">
        <v>14</v>
      </c>
      <c r="B137" s="18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8.390508991628598E-2</v>
      </c>
      <c r="H137" s="14">
        <v>0.30314748652062457</v>
      </c>
      <c r="I137" s="14">
        <v>6.4291447772063668</v>
      </c>
      <c r="J137" s="14">
        <v>0.49104942153484876</v>
      </c>
      <c r="K137" s="14">
        <v>0</v>
      </c>
    </row>
    <row r="138" spans="1:11">
      <c r="A138" s="8">
        <v>5</v>
      </c>
      <c r="B138" s="18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0.12764234397128355</v>
      </c>
      <c r="H138" s="14">
        <v>0</v>
      </c>
      <c r="I138" s="14">
        <v>3.9107748162162999</v>
      </c>
      <c r="J138" s="14">
        <v>2.2281129503129486</v>
      </c>
      <c r="K138" s="14">
        <v>0</v>
      </c>
    </row>
    <row r="139" spans="1:11">
      <c r="A139" s="8">
        <v>7</v>
      </c>
      <c r="B139" s="18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7.7431054756380749E-2</v>
      </c>
      <c r="H139" s="14">
        <v>0</v>
      </c>
      <c r="I139" s="14">
        <v>1.5943647326937167</v>
      </c>
      <c r="J139" s="14">
        <v>2.0987210695673082</v>
      </c>
      <c r="K139" s="14">
        <v>0</v>
      </c>
    </row>
    <row r="140" spans="1:11">
      <c r="A140" s="8">
        <v>14</v>
      </c>
      <c r="B140" s="18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3.6914981481075734E-2</v>
      </c>
      <c r="H140" s="14">
        <v>0</v>
      </c>
      <c r="I140" s="14">
        <v>1.180784397029939</v>
      </c>
      <c r="J140" s="14">
        <v>1.5686011616822841</v>
      </c>
      <c r="K140" s="14">
        <v>0</v>
      </c>
    </row>
    <row r="141" spans="1:11">
      <c r="A141" s="8">
        <v>5</v>
      </c>
      <c r="B141" s="18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0.16096967440786819</v>
      </c>
      <c r="H141" s="14">
        <v>0</v>
      </c>
      <c r="I141" s="14">
        <v>1.3629153846783544</v>
      </c>
      <c r="J141" s="14">
        <v>0.70455768831393362</v>
      </c>
      <c r="K141" s="14">
        <v>0</v>
      </c>
    </row>
    <row r="142" spans="1:11">
      <c r="A142" s="8">
        <v>7</v>
      </c>
      <c r="B142" s="18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0.4492464585014419</v>
      </c>
      <c r="H142" s="14">
        <v>6.4802535626351701E-2</v>
      </c>
      <c r="I142" s="14">
        <v>1.7710922272034046</v>
      </c>
      <c r="J142" s="14">
        <v>0.7200836040316666</v>
      </c>
      <c r="K142" s="14">
        <v>0</v>
      </c>
    </row>
    <row r="143" spans="1:11">
      <c r="A143" s="8">
        <v>14</v>
      </c>
      <c r="B143" s="18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0.24486810498493716</v>
      </c>
      <c r="H143" s="14">
        <v>0</v>
      </c>
      <c r="I143" s="14">
        <v>1.5589303186110968</v>
      </c>
      <c r="J143" s="14">
        <v>0.55663848368145408</v>
      </c>
      <c r="K143" s="14">
        <v>0</v>
      </c>
    </row>
    <row r="144" spans="1:11">
      <c r="A144" s="8">
        <v>5</v>
      </c>
      <c r="B144" s="18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7.0766722838774665E-2</v>
      </c>
      <c r="H144" s="14">
        <v>0</v>
      </c>
      <c r="I144" s="14">
        <v>1.070424645138123</v>
      </c>
      <c r="J144" s="14">
        <v>0.26305301147311388</v>
      </c>
      <c r="K144" s="14">
        <v>0</v>
      </c>
    </row>
    <row r="145" spans="1:11">
      <c r="A145" s="8">
        <v>7</v>
      </c>
      <c r="B145" s="18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0.64005526774287957</v>
      </c>
      <c r="H145" s="14">
        <v>4.2509117471454798E-2</v>
      </c>
      <c r="I145" s="14">
        <v>2.0253642072984785</v>
      </c>
      <c r="J145" s="14">
        <v>0.2771719625502323</v>
      </c>
      <c r="K145" s="14">
        <v>0</v>
      </c>
    </row>
    <row r="146" spans="1:11">
      <c r="A146" s="8">
        <v>14</v>
      </c>
      <c r="B146" s="18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0.47327993114083333</v>
      </c>
      <c r="H146" s="14">
        <v>0</v>
      </c>
      <c r="I146" s="14">
        <v>1.2953165644904567</v>
      </c>
      <c r="J146" s="14">
        <v>0.15907149092940784</v>
      </c>
      <c r="K146" s="14">
        <v>0</v>
      </c>
    </row>
    <row r="147" spans="1:11">
      <c r="A147" s="8">
        <v>5</v>
      </c>
      <c r="B147" s="18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0.43098040197329623</v>
      </c>
      <c r="H147" s="14">
        <v>0</v>
      </c>
      <c r="I147" s="14">
        <v>0.41682497158360265</v>
      </c>
      <c r="J147" s="14">
        <v>6.4666599969464306E-2</v>
      </c>
      <c r="K147" s="14">
        <v>0</v>
      </c>
    </row>
    <row r="148" spans="1:11">
      <c r="A148" s="8">
        <v>7</v>
      </c>
      <c r="B148" s="18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0.23212981808065178</v>
      </c>
      <c r="H148" s="14">
        <v>0</v>
      </c>
      <c r="I148" s="14">
        <v>0.26436273851805059</v>
      </c>
      <c r="J148" s="14">
        <v>2.915463137862746E-2</v>
      </c>
      <c r="K148" s="14">
        <v>0</v>
      </c>
    </row>
    <row r="149" spans="1:11">
      <c r="A149" s="8">
        <v>14</v>
      </c>
      <c r="B149" s="18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0.15820013113672279</v>
      </c>
      <c r="H149" s="14">
        <v>0</v>
      </c>
      <c r="I149" s="14">
        <v>0.22068723733849907</v>
      </c>
      <c r="J149" s="14">
        <v>1.7228432691433065E-2</v>
      </c>
      <c r="K149" s="14">
        <v>0</v>
      </c>
    </row>
    <row r="150" spans="1:11">
      <c r="A150" s="8">
        <v>5</v>
      </c>
      <c r="B150" s="18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6.1145193281555661E-2</v>
      </c>
      <c r="H150" s="14">
        <v>0</v>
      </c>
      <c r="I150" s="14">
        <v>0.28369180483431444</v>
      </c>
      <c r="J150" s="14">
        <v>1.5812193719507043E-2</v>
      </c>
      <c r="K150" s="14">
        <v>0</v>
      </c>
    </row>
    <row r="151" spans="1:11">
      <c r="A151" s="8">
        <v>7</v>
      </c>
      <c r="B151" s="18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0.10215653787338916</v>
      </c>
      <c r="H151" s="14">
        <v>0</v>
      </c>
      <c r="I151" s="14">
        <v>0.15915644078325575</v>
      </c>
      <c r="J151" s="14">
        <v>1.6316834025480724E-2</v>
      </c>
      <c r="K151" s="14">
        <v>0</v>
      </c>
    </row>
    <row r="152" spans="1:11">
      <c r="A152" s="8">
        <v>14</v>
      </c>
      <c r="B152" s="18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2.0607427823498895E-2</v>
      </c>
      <c r="H152" s="14">
        <v>0</v>
      </c>
      <c r="I152" s="14">
        <v>0.15177113587273633</v>
      </c>
      <c r="J152" s="14">
        <v>1.5137262014766404E-2</v>
      </c>
      <c r="K152" s="14">
        <v>0</v>
      </c>
    </row>
    <row r="153" spans="1:11">
      <c r="A153" s="8">
        <v>5</v>
      </c>
      <c r="B153" s="18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0.16318884324111949</v>
      </c>
      <c r="H153" s="14">
        <v>0</v>
      </c>
      <c r="I153" s="14">
        <v>2.2440966922895869</v>
      </c>
      <c r="J153" s="14">
        <v>3.1168839450886766E-2</v>
      </c>
      <c r="K153" s="14">
        <v>0</v>
      </c>
    </row>
    <row r="154" spans="1:11">
      <c r="A154" s="8">
        <v>7</v>
      </c>
      <c r="B154" s="18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0.14400769077223163</v>
      </c>
      <c r="H154" s="14">
        <v>0</v>
      </c>
      <c r="I154" s="14">
        <v>0.19727980393471042</v>
      </c>
      <c r="J154" s="14">
        <v>1.2492783887103964E-2</v>
      </c>
      <c r="K154" s="14">
        <v>0</v>
      </c>
    </row>
    <row r="155" spans="1:11">
      <c r="A155" s="8">
        <v>14</v>
      </c>
      <c r="B155" s="18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7.6551714981481611E-2</v>
      </c>
      <c r="H155" s="14">
        <v>0</v>
      </c>
      <c r="I155" s="14">
        <v>0.10857548809705277</v>
      </c>
      <c r="J155" s="14">
        <v>1.7857830304729226E-2</v>
      </c>
      <c r="K155" s="14">
        <v>0</v>
      </c>
    </row>
    <row r="156" spans="1:11">
      <c r="A156" s="8">
        <v>5</v>
      </c>
      <c r="B156" s="18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2.6948203281060339E-2</v>
      </c>
      <c r="H156" s="13">
        <v>0</v>
      </c>
      <c r="I156" s="13">
        <v>2.4219660466238513</v>
      </c>
      <c r="J156" s="13">
        <v>4.5769118861683174E-2</v>
      </c>
      <c r="K156" s="13">
        <v>0</v>
      </c>
    </row>
    <row r="157" spans="1:11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11">
      <c r="A158" s="8">
        <v>14</v>
      </c>
      <c r="C158" s="12">
        <v>2004</v>
      </c>
      <c r="D158" s="15" t="s">
        <v>18</v>
      </c>
      <c r="E158" s="12">
        <v>1</v>
      </c>
      <c r="F158" s="13"/>
    </row>
    <row r="159" spans="1:11">
      <c r="A159" s="8">
        <v>5</v>
      </c>
      <c r="B159" s="18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3.2898402393573403E-2</v>
      </c>
      <c r="H159" s="13">
        <v>0</v>
      </c>
      <c r="I159" s="13">
        <v>1.990850915483422</v>
      </c>
      <c r="J159" s="13">
        <v>3.2515221899410814E-2</v>
      </c>
      <c r="K159" s="13">
        <v>0</v>
      </c>
    </row>
    <row r="160" spans="1:11">
      <c r="A160" s="8">
        <v>7</v>
      </c>
      <c r="B160" s="18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0.10370252087540481</v>
      </c>
      <c r="H160" s="13">
        <v>0</v>
      </c>
      <c r="I160" s="13">
        <v>0.97129687047492141</v>
      </c>
      <c r="J160" s="13">
        <v>3.4474804990044634E-2</v>
      </c>
      <c r="K160" s="13">
        <v>0</v>
      </c>
    </row>
    <row r="161" spans="1:11">
      <c r="A161" s="8">
        <v>14</v>
      </c>
      <c r="B161" s="18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2.0592488294386015E-2</v>
      </c>
      <c r="H161" s="13">
        <v>0</v>
      </c>
      <c r="I161" s="13">
        <v>1.7856782358934884</v>
      </c>
      <c r="J161" s="13">
        <v>2.8236364744651313E-2</v>
      </c>
      <c r="K161" s="13">
        <v>0</v>
      </c>
    </row>
    <row r="162" spans="1:11">
      <c r="A162" s="8">
        <v>5</v>
      </c>
      <c r="B162" s="18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2.9831276747966675E-2</v>
      </c>
      <c r="H162" s="13">
        <v>0</v>
      </c>
      <c r="I162" s="13">
        <v>2.1586805030066798</v>
      </c>
      <c r="J162" s="13">
        <v>2.814604044964656E-2</v>
      </c>
      <c r="K162" s="13">
        <v>0</v>
      </c>
    </row>
    <row r="163" spans="1:11">
      <c r="A163" s="8">
        <v>7</v>
      </c>
      <c r="B163" s="18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0.18748573693384049</v>
      </c>
      <c r="H163" s="13">
        <v>0</v>
      </c>
      <c r="I163" s="13">
        <v>2.606115055091796</v>
      </c>
      <c r="J163" s="13">
        <v>3.3596063426458794E-2</v>
      </c>
      <c r="K163" s="13">
        <v>0</v>
      </c>
    </row>
    <row r="164" spans="1:11">
      <c r="A164" s="8">
        <v>14</v>
      </c>
      <c r="B164" s="18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0</v>
      </c>
      <c r="H164" s="13">
        <v>0</v>
      </c>
      <c r="I164" s="13">
        <v>4.1413452689056758</v>
      </c>
      <c r="J164" s="13">
        <v>4.9539471399876966E-2</v>
      </c>
      <c r="K164" s="13">
        <v>0</v>
      </c>
    </row>
    <row r="165" spans="1:11">
      <c r="A165" s="8">
        <v>5</v>
      </c>
      <c r="B165" s="18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0.11065685100059267</v>
      </c>
      <c r="H165" s="21">
        <v>0</v>
      </c>
      <c r="I165" s="21">
        <v>0.34700953053040712</v>
      </c>
      <c r="J165" s="21">
        <v>3.1357739004796513E-2</v>
      </c>
      <c r="K165" s="21">
        <v>0</v>
      </c>
    </row>
    <row r="166" spans="1:11">
      <c r="A166" s="8">
        <v>7</v>
      </c>
      <c r="B166" s="18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0.1306045059398783</v>
      </c>
      <c r="H166" s="21">
        <v>0</v>
      </c>
      <c r="I166" s="21">
        <v>0.3458912719363979</v>
      </c>
      <c r="J166" s="21">
        <v>2.0807551118455517E-2</v>
      </c>
      <c r="K166" s="21">
        <v>0</v>
      </c>
    </row>
    <row r="167" spans="1:11">
      <c r="A167" s="8">
        <v>14</v>
      </c>
      <c r="B167" s="18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3.3045428991815069E-2</v>
      </c>
      <c r="H167" s="21">
        <v>0</v>
      </c>
      <c r="I167" s="21">
        <v>0.30505609445635995</v>
      </c>
      <c r="J167" s="21">
        <v>2.1049410185069551E-2</v>
      </c>
      <c r="K167" s="21">
        <v>0</v>
      </c>
    </row>
    <row r="168" spans="1:11">
      <c r="A168" s="8">
        <v>5</v>
      </c>
      <c r="B168" s="18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2.4402370941568288E-2</v>
      </c>
      <c r="H168" s="21">
        <v>0.21968112606794668</v>
      </c>
      <c r="I168" s="21">
        <v>1.6900995027836445</v>
      </c>
      <c r="J168" s="21">
        <v>0.20401613129406826</v>
      </c>
      <c r="K168" s="21">
        <v>0</v>
      </c>
    </row>
    <row r="169" spans="1:11">
      <c r="A169" s="8">
        <v>7</v>
      </c>
      <c r="B169" s="18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3.7148756642373944E-2</v>
      </c>
      <c r="H169" s="21">
        <v>0</v>
      </c>
      <c r="I169" s="21">
        <v>0.76328861812246429</v>
      </c>
      <c r="J169" s="21">
        <v>7.4471320565865279E-2</v>
      </c>
      <c r="K169" s="21">
        <v>0</v>
      </c>
    </row>
    <row r="170" spans="1:11">
      <c r="A170" s="8">
        <v>14</v>
      </c>
      <c r="B170" s="18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1.9722886659094614E-2</v>
      </c>
      <c r="H170" s="21">
        <v>0.15013009494741217</v>
      </c>
      <c r="I170" s="21">
        <v>0.84923021687159372</v>
      </c>
      <c r="J170" s="21">
        <v>0.11667869779577877</v>
      </c>
      <c r="K170" s="21">
        <v>0</v>
      </c>
    </row>
    <row r="171" spans="1:11">
      <c r="A171" s="8">
        <v>5</v>
      </c>
      <c r="B171" s="18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4.854605886253003E-2</v>
      </c>
      <c r="H171" s="21">
        <v>2.215528999315771</v>
      </c>
      <c r="I171" s="21">
        <v>6.1757416221212171</v>
      </c>
      <c r="J171" s="21">
        <v>1.1286450230940246</v>
      </c>
      <c r="K171" s="21">
        <v>0</v>
      </c>
    </row>
    <row r="172" spans="1:11">
      <c r="A172" s="8">
        <v>7</v>
      </c>
      <c r="B172" s="18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0.61073890429733335</v>
      </c>
      <c r="H172" s="21">
        <v>5.3197136681675382E-2</v>
      </c>
      <c r="I172" s="21">
        <v>1.012879395721791</v>
      </c>
      <c r="J172" s="21">
        <v>0.17697194453293308</v>
      </c>
      <c r="K172" s="21">
        <v>0</v>
      </c>
    </row>
    <row r="173" spans="1:11">
      <c r="A173" s="8">
        <v>14</v>
      </c>
      <c r="B173" s="18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0.11370167570737787</v>
      </c>
      <c r="H173" s="21">
        <v>0.74916018198416046</v>
      </c>
      <c r="I173" s="21">
        <v>3.9673254506366731</v>
      </c>
      <c r="J173" s="21">
        <v>0.48128625872051833</v>
      </c>
      <c r="K173" s="21">
        <v>0</v>
      </c>
    </row>
    <row r="174" spans="1:11">
      <c r="A174" s="8">
        <v>5</v>
      </c>
      <c r="B174" s="18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0.14457254129556907</v>
      </c>
      <c r="H174" s="21">
        <v>0</v>
      </c>
      <c r="I174" s="21">
        <v>1.7817920024558263</v>
      </c>
      <c r="J174" s="21">
        <v>1.9003463699171124</v>
      </c>
      <c r="K174" s="21">
        <v>0</v>
      </c>
    </row>
    <row r="175" spans="1:11">
      <c r="A175" s="8">
        <v>7</v>
      </c>
      <c r="B175" s="18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2.5743626604460128</v>
      </c>
      <c r="H175" s="21">
        <v>0</v>
      </c>
      <c r="I175" s="21">
        <v>1.7138864520593682</v>
      </c>
      <c r="J175" s="21">
        <v>0.27207381660998498</v>
      </c>
      <c r="K175" s="21">
        <v>0</v>
      </c>
    </row>
    <row r="176" spans="1:11">
      <c r="A176" s="8">
        <v>14</v>
      </c>
      <c r="B176" s="18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0.49656408712725081</v>
      </c>
      <c r="H176" s="21">
        <v>0</v>
      </c>
      <c r="I176" s="21">
        <v>1.217794569725491</v>
      </c>
      <c r="J176" s="21">
        <v>0.39353989700111774</v>
      </c>
      <c r="K176" s="21">
        <v>0</v>
      </c>
    </row>
    <row r="177" spans="1:11">
      <c r="A177" s="8">
        <v>5</v>
      </c>
      <c r="B177" s="18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0.25269298809472029</v>
      </c>
      <c r="H177" s="21">
        <v>0</v>
      </c>
      <c r="I177" s="21">
        <v>5.2095464941243783</v>
      </c>
      <c r="J177" s="21">
        <v>1.6050875586926512</v>
      </c>
      <c r="K177" s="21">
        <v>0</v>
      </c>
    </row>
    <row r="178" spans="1:11">
      <c r="A178" s="8">
        <v>7</v>
      </c>
      <c r="B178" s="18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7.556193880782109</v>
      </c>
      <c r="H178" s="21">
        <v>0</v>
      </c>
      <c r="I178" s="21">
        <v>1.1706346801969989</v>
      </c>
      <c r="J178" s="21">
        <v>0.45629057758087932</v>
      </c>
      <c r="K178" s="21">
        <v>0</v>
      </c>
    </row>
    <row r="179" spans="1:11">
      <c r="A179" s="8">
        <v>14</v>
      </c>
      <c r="B179" s="18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H179" s="19"/>
      <c r="I179" s="19"/>
      <c r="J179" s="19"/>
      <c r="K179" s="19"/>
    </row>
    <row r="180" spans="1:11">
      <c r="A180" s="8">
        <v>5</v>
      </c>
      <c r="B180" s="18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0.71963685005129674</v>
      </c>
      <c r="H180" s="21">
        <v>0</v>
      </c>
      <c r="I180" s="21">
        <v>2.9098726568057787</v>
      </c>
      <c r="J180" s="21">
        <v>0.80519103030104178</v>
      </c>
      <c r="K180" s="21">
        <v>0</v>
      </c>
    </row>
    <row r="181" spans="1:11">
      <c r="A181" s="8">
        <v>7</v>
      </c>
      <c r="B181" s="18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1.8060648103095729</v>
      </c>
      <c r="H181" s="21">
        <v>0</v>
      </c>
      <c r="I181" s="21">
        <v>2.8664190037934656</v>
      </c>
      <c r="J181" s="21">
        <v>0.24403145630055448</v>
      </c>
      <c r="K181" s="21">
        <v>0</v>
      </c>
    </row>
    <row r="182" spans="1:11">
      <c r="A182" s="8">
        <v>14</v>
      </c>
      <c r="B182" s="18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0.19941095527298944</v>
      </c>
      <c r="H182" s="21">
        <v>0</v>
      </c>
      <c r="I182" s="21">
        <v>0.91076026551730793</v>
      </c>
      <c r="J182" s="21">
        <v>5.8674132644699145E-2</v>
      </c>
      <c r="K182" s="21">
        <v>0</v>
      </c>
    </row>
    <row r="183" spans="1:11">
      <c r="A183" s="8">
        <v>5</v>
      </c>
      <c r="B183" s="18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5.6407532358487993E-2</v>
      </c>
      <c r="H183" s="14">
        <v>0</v>
      </c>
      <c r="I183" s="14">
        <v>0.50217534036755429</v>
      </c>
      <c r="J183" s="14">
        <v>0.15122303325000877</v>
      </c>
      <c r="K183" s="14">
        <v>0</v>
      </c>
    </row>
    <row r="184" spans="1:11">
      <c r="A184" s="8">
        <v>7</v>
      </c>
      <c r="B184" s="18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8.145702907354678E-2</v>
      </c>
      <c r="H184" s="14">
        <v>0</v>
      </c>
      <c r="I184" s="14">
        <v>0.22615791524446571</v>
      </c>
      <c r="J184" s="14">
        <v>4.3158223274665147E-2</v>
      </c>
      <c r="K184" s="14">
        <v>0</v>
      </c>
    </row>
    <row r="185" spans="1:11">
      <c r="A185" s="8">
        <v>14</v>
      </c>
      <c r="B185" s="18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5.5174317885318958E-2</v>
      </c>
      <c r="H185" s="14">
        <v>0</v>
      </c>
      <c r="I185" s="14">
        <v>4.6299102037104946E-2</v>
      </c>
      <c r="J185" s="14">
        <v>1.5791058248858399E-2</v>
      </c>
      <c r="K185" s="14">
        <v>0</v>
      </c>
    </row>
    <row r="186" spans="1:11">
      <c r="A186" s="8">
        <v>5</v>
      </c>
      <c r="B186" s="18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5.9141238929310266E-2</v>
      </c>
      <c r="H186" s="14">
        <v>0</v>
      </c>
      <c r="I186" s="14">
        <v>0.55371327263595449</v>
      </c>
      <c r="J186" s="14">
        <v>2.6944359399203463E-2</v>
      </c>
      <c r="K186" s="14">
        <v>0</v>
      </c>
    </row>
    <row r="187" spans="1:11">
      <c r="A187" s="8">
        <v>7</v>
      </c>
      <c r="B187" s="18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0.24189712968405927</v>
      </c>
      <c r="H187" s="14">
        <v>0</v>
      </c>
      <c r="I187" s="14">
        <v>0.23219365111833226</v>
      </c>
      <c r="J187" s="14">
        <v>1.9439833937961219E-2</v>
      </c>
      <c r="K187" s="14">
        <v>0</v>
      </c>
    </row>
    <row r="188" spans="1:11">
      <c r="A188" s="8">
        <v>14</v>
      </c>
      <c r="B188" s="18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0.11418679693608853</v>
      </c>
      <c r="H188" s="14">
        <v>0</v>
      </c>
      <c r="I188" s="14">
        <v>6.2881266380053952E-2</v>
      </c>
      <c r="J188" s="14">
        <v>7.9291488509604102E-3</v>
      </c>
      <c r="K188" s="14">
        <v>0</v>
      </c>
    </row>
    <row r="189" spans="1:11">
      <c r="A189" s="8">
        <v>5</v>
      </c>
      <c r="B189" s="18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0.19131963328544649</v>
      </c>
      <c r="H189" s="14">
        <v>0</v>
      </c>
      <c r="I189" s="14">
        <v>0.26127791626290892</v>
      </c>
      <c r="J189" s="14">
        <v>2.8504932103971946E-2</v>
      </c>
      <c r="K189" s="14">
        <v>0</v>
      </c>
    </row>
    <row r="190" spans="1:11">
      <c r="A190" s="8">
        <v>7</v>
      </c>
      <c r="B190" s="18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5.9220030163794644E-2</v>
      </c>
      <c r="H190" s="14">
        <v>0</v>
      </c>
      <c r="I190" s="14">
        <v>0.18064272248943589</v>
      </c>
      <c r="J190" s="14">
        <v>2.0655659114853942E-2</v>
      </c>
      <c r="K190" s="14">
        <v>0</v>
      </c>
    </row>
    <row r="191" spans="1:11">
      <c r="A191" s="8">
        <v>14</v>
      </c>
      <c r="B191" s="18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7.5003898599602631E-2</v>
      </c>
      <c r="H191" s="14">
        <v>0</v>
      </c>
      <c r="I191" s="14">
        <v>0.16174241764476968</v>
      </c>
      <c r="J191" s="14">
        <v>1.9558602994633332E-2</v>
      </c>
      <c r="K191" s="14">
        <v>0</v>
      </c>
    </row>
    <row r="192" spans="1:11">
      <c r="A192" s="8">
        <v>5</v>
      </c>
      <c r="B192" s="22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0.34683565562114793</v>
      </c>
      <c r="H192" s="14">
        <v>3.5255080617288201E-2</v>
      </c>
      <c r="I192" s="14">
        <v>0.95853728703125129</v>
      </c>
      <c r="J192" s="14">
        <v>1.732023487912325E-2</v>
      </c>
      <c r="K192" s="14">
        <v>0</v>
      </c>
    </row>
    <row r="193" spans="1:11">
      <c r="A193" s="8">
        <v>7</v>
      </c>
      <c r="B193" s="22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0.81447461663789</v>
      </c>
      <c r="H193" s="14">
        <v>0</v>
      </c>
      <c r="I193" s="14">
        <v>0.25165551347636206</v>
      </c>
      <c r="J193" s="14">
        <v>2.272946348919504E-2</v>
      </c>
      <c r="K193" s="14">
        <v>0</v>
      </c>
    </row>
    <row r="194" spans="1:11">
      <c r="A194" s="8">
        <v>14</v>
      </c>
      <c r="B194" s="22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0.39977458058524146</v>
      </c>
      <c r="H194" s="14">
        <v>0</v>
      </c>
      <c r="I194" s="14">
        <v>0.41636809005780429</v>
      </c>
      <c r="J194" s="14">
        <v>2.376842466816597E-2</v>
      </c>
      <c r="K194" s="14">
        <v>0</v>
      </c>
    </row>
    <row r="195" spans="1:11">
      <c r="A195" s="8">
        <v>5</v>
      </c>
      <c r="B195" s="22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0.19302482752036837</v>
      </c>
      <c r="H195" s="14">
        <v>0</v>
      </c>
      <c r="I195" s="14">
        <v>1.3464223608490331</v>
      </c>
      <c r="J195" s="14">
        <v>4.176471778499944E-2</v>
      </c>
      <c r="K195" s="14">
        <v>0</v>
      </c>
    </row>
    <row r="196" spans="1:11">
      <c r="A196" s="8">
        <v>7</v>
      </c>
      <c r="B196" s="22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0.1106997199477031</v>
      </c>
      <c r="H196" s="14">
        <v>0</v>
      </c>
      <c r="I196" s="14">
        <v>0.7398090928702582</v>
      </c>
      <c r="J196" s="14">
        <v>2.5375718700862322E-2</v>
      </c>
      <c r="K196" s="14">
        <v>0</v>
      </c>
    </row>
    <row r="197" spans="1:11">
      <c r="A197" s="8">
        <v>14</v>
      </c>
      <c r="B197" s="22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6.0416775309104415E-2</v>
      </c>
      <c r="H197" s="14">
        <v>0</v>
      </c>
      <c r="I197" s="14">
        <v>1.2138287095049045</v>
      </c>
      <c r="J197" s="14">
        <v>2.7357361886098244E-2</v>
      </c>
      <c r="K197" s="14">
        <v>0</v>
      </c>
    </row>
    <row r="198" spans="1:11">
      <c r="A198" s="8">
        <v>5</v>
      </c>
      <c r="B198" s="22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4.1085828891658356E-2</v>
      </c>
      <c r="H198" s="14">
        <v>0</v>
      </c>
      <c r="I198" s="14">
        <v>0.23499923182253316</v>
      </c>
      <c r="J198" s="14">
        <v>4.455117542085686E-3</v>
      </c>
      <c r="K198" s="14">
        <v>0</v>
      </c>
    </row>
    <row r="199" spans="1:11">
      <c r="A199" s="8">
        <v>7</v>
      </c>
      <c r="B199" s="22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3.9982792670052961E-2</v>
      </c>
      <c r="H199" s="14">
        <v>0</v>
      </c>
      <c r="I199" s="14">
        <v>0.36003393329932831</v>
      </c>
      <c r="J199" s="14">
        <v>2.5504104997462425E-2</v>
      </c>
      <c r="K199" s="14">
        <v>0</v>
      </c>
    </row>
    <row r="200" spans="1:11">
      <c r="A200" s="8">
        <v>14</v>
      </c>
      <c r="B200" s="22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4.7697256197194643E-2</v>
      </c>
      <c r="H200" s="14">
        <v>0</v>
      </c>
      <c r="I200" s="14">
        <v>0.37731668029580129</v>
      </c>
      <c r="J200" s="14">
        <v>2.6596063560465861E-2</v>
      </c>
      <c r="K200" s="14">
        <v>0</v>
      </c>
    </row>
    <row r="201" spans="1:11">
      <c r="A201" s="8">
        <v>5</v>
      </c>
      <c r="B201" s="22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2.6000531378009714E-2</v>
      </c>
      <c r="H201" s="14">
        <v>3.5810545584977753E-2</v>
      </c>
      <c r="I201" s="14">
        <v>1.4977720311607163</v>
      </c>
      <c r="J201" s="14">
        <v>4.4170336751129427E-2</v>
      </c>
      <c r="K201" s="14">
        <v>0</v>
      </c>
    </row>
    <row r="202" spans="1:11">
      <c r="A202" s="8">
        <v>7</v>
      </c>
      <c r="B202" s="22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5.9795082982249524E-2</v>
      </c>
      <c r="H202" s="14">
        <v>8.0829281226623223E-2</v>
      </c>
      <c r="I202" s="14">
        <v>1.1737163940683397</v>
      </c>
      <c r="J202" s="14">
        <v>4.1414714200311932E-2</v>
      </c>
      <c r="K202" s="14">
        <v>0</v>
      </c>
    </row>
    <row r="203" spans="1:11">
      <c r="A203" s="8">
        <v>14</v>
      </c>
      <c r="B203" s="22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0</v>
      </c>
      <c r="H203" s="14">
        <v>0.13277586248071774</v>
      </c>
      <c r="I203" s="14">
        <v>0.87348498350281301</v>
      </c>
      <c r="J203" s="14">
        <v>3.1729330768308993E-2</v>
      </c>
      <c r="K203" s="14">
        <v>0</v>
      </c>
    </row>
    <row r="204" spans="1:11">
      <c r="A204" s="8">
        <v>5</v>
      </c>
      <c r="B204" s="22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0</v>
      </c>
      <c r="H204" s="14">
        <v>0.99381743638759046</v>
      </c>
      <c r="I204" s="14">
        <v>2.2413377293907617</v>
      </c>
      <c r="J204" s="14">
        <v>9.9102377985554518E-2</v>
      </c>
      <c r="K204" s="14">
        <v>0</v>
      </c>
    </row>
    <row r="205" spans="1:11">
      <c r="A205" s="8">
        <v>7</v>
      </c>
      <c r="B205" s="22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2.8531986237078834E-2</v>
      </c>
      <c r="H205" s="14">
        <v>0</v>
      </c>
      <c r="I205" s="14">
        <v>0.50450894830217952</v>
      </c>
      <c r="J205" s="14">
        <v>4.5799852519879558E-2</v>
      </c>
      <c r="K205" s="14">
        <v>0</v>
      </c>
    </row>
    <row r="206" spans="1:11">
      <c r="A206" s="8">
        <v>14</v>
      </c>
      <c r="B206" s="22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0</v>
      </c>
      <c r="H206" s="14">
        <v>0</v>
      </c>
      <c r="I206" s="14">
        <v>0.60707082343794161</v>
      </c>
      <c r="J206" s="14">
        <v>3.7982783300614831E-2</v>
      </c>
      <c r="K206" s="14">
        <v>0</v>
      </c>
    </row>
    <row r="207" spans="1:11">
      <c r="A207" s="8">
        <v>5</v>
      </c>
      <c r="B207" s="22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5.3382738687281141E-2</v>
      </c>
      <c r="H207" s="14">
        <v>0.27179668834843757</v>
      </c>
      <c r="I207" s="14">
        <v>2.7379352550633707</v>
      </c>
      <c r="J207" s="14">
        <v>0.86112874585185251</v>
      </c>
      <c r="K207" s="14">
        <v>1.9172130988976955E-2</v>
      </c>
    </row>
    <row r="208" spans="1:11">
      <c r="A208" s="8">
        <v>7</v>
      </c>
      <c r="B208" s="22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0.83193879668365167</v>
      </c>
      <c r="H208" s="14">
        <v>0</v>
      </c>
      <c r="I208" s="14">
        <v>0.57144315685540836</v>
      </c>
      <c r="J208" s="14">
        <v>0.16553316588919934</v>
      </c>
      <c r="K208" s="14">
        <v>0</v>
      </c>
    </row>
    <row r="209" spans="1:11">
      <c r="A209" s="8">
        <v>14</v>
      </c>
      <c r="B209" s="22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3.6622694297359731E-2</v>
      </c>
      <c r="H209" s="14">
        <v>0</v>
      </c>
      <c r="I209" s="14">
        <v>1.1391693630284243</v>
      </c>
      <c r="J209" s="14">
        <v>0.39900221117560425</v>
      </c>
      <c r="K209" s="14">
        <v>0</v>
      </c>
    </row>
    <row r="210" spans="1:11">
      <c r="A210" s="8">
        <v>5</v>
      </c>
      <c r="B210" s="22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0.43128081454489275</v>
      </c>
      <c r="H210" s="14">
        <v>5.0667282399810928E-2</v>
      </c>
      <c r="I210" s="14">
        <v>2.2289488713578653</v>
      </c>
      <c r="J210" s="14">
        <v>0.97074257004985587</v>
      </c>
      <c r="K210" s="14">
        <v>3.1650047178928012E-2</v>
      </c>
    </row>
    <row r="211" spans="1:11">
      <c r="A211" s="8">
        <v>7</v>
      </c>
      <c r="B211" s="22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1.1610817897947143</v>
      </c>
      <c r="H211" s="14">
        <v>0.13855613727435218</v>
      </c>
      <c r="I211" s="14">
        <v>1.3376534098750503</v>
      </c>
      <c r="J211" s="14">
        <v>0.45707860418875446</v>
      </c>
      <c r="K211" s="14">
        <v>5.4205733667471979E-2</v>
      </c>
    </row>
    <row r="212" spans="1:11">
      <c r="A212" s="8">
        <v>14</v>
      </c>
      <c r="B212" s="22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0.31996345424832123</v>
      </c>
      <c r="H212" s="14">
        <v>0</v>
      </c>
      <c r="I212" s="14">
        <v>1.9620124346237617</v>
      </c>
      <c r="J212" s="14">
        <v>0.80573887272125522</v>
      </c>
      <c r="K212" s="14">
        <v>0</v>
      </c>
    </row>
    <row r="213" spans="1:11">
      <c r="A213" s="8">
        <v>5</v>
      </c>
      <c r="B213" s="22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0.39416663697571563</v>
      </c>
      <c r="H213" s="14">
        <v>0</v>
      </c>
      <c r="I213" s="14">
        <v>5.9958265335985219</v>
      </c>
      <c r="J213" s="14">
        <v>0.83758518565383255</v>
      </c>
      <c r="K213" s="14">
        <v>0</v>
      </c>
    </row>
    <row r="214" spans="1:11">
      <c r="A214" s="8">
        <v>7</v>
      </c>
      <c r="B214" s="22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0.39582628004041231</v>
      </c>
      <c r="H214" s="14">
        <v>0</v>
      </c>
      <c r="I214" s="14">
        <v>17.763611464333312</v>
      </c>
      <c r="J214" s="14">
        <v>1.5759792659198266</v>
      </c>
      <c r="K214" s="14">
        <v>0</v>
      </c>
    </row>
    <row r="215" spans="1:11">
      <c r="A215" s="8">
        <v>14</v>
      </c>
      <c r="B215" s="22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0.25287871968568376</v>
      </c>
      <c r="H215" s="14">
        <v>0</v>
      </c>
      <c r="I215" s="14">
        <v>5.4260015367507517</v>
      </c>
      <c r="J215" s="14">
        <v>1.1919818628276686</v>
      </c>
      <c r="K215" s="14">
        <v>0</v>
      </c>
    </row>
    <row r="216" spans="1:11">
      <c r="A216" s="8">
        <v>5</v>
      </c>
      <c r="B216" s="22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4.9811086518616883E-2</v>
      </c>
      <c r="H216" s="14">
        <v>0</v>
      </c>
      <c r="I216" s="14">
        <v>3.7330446164094919</v>
      </c>
      <c r="J216" s="14">
        <v>0.75331771409506121</v>
      </c>
      <c r="K216" s="14">
        <v>0</v>
      </c>
    </row>
    <row r="217" spans="1:11">
      <c r="A217" s="8">
        <v>7</v>
      </c>
      <c r="B217" s="22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0.29915893694467621</v>
      </c>
      <c r="H217" s="14">
        <v>0</v>
      </c>
      <c r="I217" s="14">
        <v>9.3517733074708556</v>
      </c>
      <c r="J217" s="14">
        <v>1.2298603281792595</v>
      </c>
      <c r="K217" s="14">
        <v>0</v>
      </c>
    </row>
    <row r="218" spans="1:11">
      <c r="A218" s="8">
        <v>14</v>
      </c>
      <c r="B218" s="22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0.12172038730482386</v>
      </c>
      <c r="H218" s="14">
        <v>0</v>
      </c>
      <c r="I218" s="14">
        <v>7.5228619403633301</v>
      </c>
      <c r="J218" s="14">
        <v>0.63507420819371441</v>
      </c>
      <c r="K218" s="14">
        <v>0</v>
      </c>
    </row>
    <row r="219" spans="1:11">
      <c r="A219" s="8">
        <v>5</v>
      </c>
      <c r="B219" s="22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3.6499999999999998E-2</v>
      </c>
      <c r="H219" s="14">
        <v>1E-4</v>
      </c>
      <c r="I219" s="14">
        <v>1.6903999999999999</v>
      </c>
      <c r="J219" s="14">
        <v>4.4499999999999998E-2</v>
      </c>
      <c r="K219" s="14">
        <v>1E-4</v>
      </c>
    </row>
    <row r="220" spans="1:11">
      <c r="A220" s="8">
        <v>7</v>
      </c>
      <c r="B220" s="22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0.10059999999999999</v>
      </c>
      <c r="H220" s="14">
        <v>1E-4</v>
      </c>
      <c r="I220" s="14">
        <v>2.3917999999999999</v>
      </c>
      <c r="J220" s="14">
        <v>0.15029999999999999</v>
      </c>
      <c r="K220" s="14">
        <v>1E-4</v>
      </c>
    </row>
    <row r="221" spans="1:11">
      <c r="A221" s="8">
        <v>14</v>
      </c>
      <c r="B221" s="22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2.7E-2</v>
      </c>
      <c r="H221" s="14">
        <v>1E-4</v>
      </c>
      <c r="I221" s="14">
        <v>2.2774000000000001</v>
      </c>
      <c r="J221" s="14">
        <v>9.2200000000000004E-2</v>
      </c>
      <c r="K221" s="14">
        <v>1E-4</v>
      </c>
    </row>
    <row r="222" spans="1:11">
      <c r="A222" s="8">
        <v>5</v>
      </c>
      <c r="B222" s="22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1E-4</v>
      </c>
      <c r="H222" s="14">
        <v>1E-4</v>
      </c>
      <c r="I222" s="14">
        <v>1.0018</v>
      </c>
      <c r="J222" s="14">
        <v>5.3E-3</v>
      </c>
      <c r="K222" s="14">
        <v>1E-4</v>
      </c>
    </row>
    <row r="223" spans="1:11">
      <c r="A223" s="8">
        <v>7</v>
      </c>
      <c r="B223" s="22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1E-4</v>
      </c>
      <c r="H223" s="14">
        <v>0.11409999999999999</v>
      </c>
      <c r="I223" s="14">
        <v>1.9603999999999999</v>
      </c>
      <c r="J223" s="14">
        <v>2.4799999999999999E-2</v>
      </c>
      <c r="K223" s="14">
        <v>1E-4</v>
      </c>
    </row>
    <row r="224" spans="1:11">
      <c r="A224" s="8">
        <v>14</v>
      </c>
      <c r="B224" s="22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1E-4</v>
      </c>
      <c r="H224" s="14">
        <v>7.8399999999999997E-2</v>
      </c>
      <c r="I224" s="14">
        <v>1.1626000000000001</v>
      </c>
      <c r="J224" s="14">
        <v>1.29E-2</v>
      </c>
      <c r="K224" s="14">
        <v>1E-4</v>
      </c>
    </row>
    <row r="225" spans="1:11">
      <c r="A225" s="8">
        <v>5</v>
      </c>
      <c r="B225" s="22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3.5700000000000003E-2</v>
      </c>
      <c r="H225" s="14">
        <v>1E-4</v>
      </c>
      <c r="I225" s="14">
        <v>1.1926000000000001</v>
      </c>
      <c r="J225" s="14">
        <v>1.04E-2</v>
      </c>
      <c r="K225" s="14">
        <v>1E-4</v>
      </c>
    </row>
    <row r="226" spans="1:11">
      <c r="A226" s="8">
        <v>7</v>
      </c>
      <c r="B226" s="22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0.1183</v>
      </c>
      <c r="H226" s="14">
        <v>1E-4</v>
      </c>
      <c r="I226" s="14">
        <v>0.41320000000000001</v>
      </c>
      <c r="J226" s="14">
        <v>5.3E-3</v>
      </c>
      <c r="K226" s="14">
        <v>1E-4</v>
      </c>
    </row>
    <row r="227" spans="1:11">
      <c r="A227" s="8">
        <v>14</v>
      </c>
      <c r="B227" s="22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2.18E-2</v>
      </c>
      <c r="H227" s="14">
        <v>1E-4</v>
      </c>
      <c r="I227" s="14">
        <v>0.38</v>
      </c>
      <c r="J227" s="14">
        <v>4.3E-3</v>
      </c>
      <c r="K227" s="14">
        <v>1E-4</v>
      </c>
    </row>
    <row r="228" spans="1:11">
      <c r="A228" s="12">
        <v>5</v>
      </c>
      <c r="B228" s="22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9.4399999999999998E-2</v>
      </c>
      <c r="H228" s="14">
        <v>1E-4</v>
      </c>
      <c r="I228" s="14">
        <v>1.8855</v>
      </c>
      <c r="J228" s="14">
        <v>3.6499999999999998E-2</v>
      </c>
      <c r="K228" s="14">
        <v>1E-4</v>
      </c>
    </row>
    <row r="229" spans="1:11">
      <c r="A229" s="12">
        <v>7</v>
      </c>
      <c r="B229" s="22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0.1101</v>
      </c>
      <c r="H229" s="14">
        <v>1E-4</v>
      </c>
      <c r="I229" s="14">
        <v>0.58250000000000002</v>
      </c>
      <c r="J229" s="14">
        <v>2.06E-2</v>
      </c>
      <c r="K229" s="14">
        <v>1E-4</v>
      </c>
    </row>
    <row r="230" spans="1:11">
      <c r="A230" s="12">
        <v>14</v>
      </c>
      <c r="B230" s="22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8.3699999999999997E-2</v>
      </c>
      <c r="H230" s="14">
        <v>1E-4</v>
      </c>
      <c r="I230" s="14">
        <v>0.57779999999999998</v>
      </c>
      <c r="J230" s="14">
        <v>1.4E-2</v>
      </c>
      <c r="K230" s="14">
        <v>1E-4</v>
      </c>
    </row>
    <row r="231" spans="1:11">
      <c r="A231" s="12">
        <v>5</v>
      </c>
      <c r="B231" s="22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6.7000000000000004E-2</v>
      </c>
      <c r="H231" s="14">
        <v>7.0699999999999999E-2</v>
      </c>
      <c r="I231" s="14">
        <v>2.7787999999999999</v>
      </c>
      <c r="J231" s="14">
        <v>7.2099999999999997E-2</v>
      </c>
      <c r="K231" s="14">
        <v>1E-4</v>
      </c>
    </row>
    <row r="232" spans="1:11">
      <c r="A232" s="12">
        <v>7</v>
      </c>
      <c r="B232" s="22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0.1928</v>
      </c>
      <c r="H232" s="14">
        <v>2.75E-2</v>
      </c>
      <c r="I232" s="14">
        <v>0.67820000000000003</v>
      </c>
      <c r="J232" s="14">
        <v>5.0099999999999999E-2</v>
      </c>
      <c r="K232" s="14">
        <v>1E-4</v>
      </c>
    </row>
    <row r="233" spans="1:11">
      <c r="A233" s="12">
        <v>14</v>
      </c>
      <c r="B233" s="22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8.1699999999999995E-2</v>
      </c>
      <c r="H233" s="14">
        <v>4.2999999999999997E-2</v>
      </c>
      <c r="I233" s="14">
        <v>0.84499999999999997</v>
      </c>
      <c r="J233" s="14">
        <v>6.25E-2</v>
      </c>
      <c r="K233" s="14">
        <v>1E-4</v>
      </c>
    </row>
    <row r="234" spans="1:11">
      <c r="A234" s="12">
        <v>5</v>
      </c>
      <c r="B234" s="22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3.4700000000000002E-2</v>
      </c>
      <c r="H234" s="14">
        <v>7.8299999999999995E-2</v>
      </c>
      <c r="I234" s="14">
        <v>1.4623999999999999</v>
      </c>
      <c r="J234" s="14">
        <v>3.4000000000000002E-2</v>
      </c>
      <c r="K234" s="14">
        <v>1E-4</v>
      </c>
    </row>
    <row r="235" spans="1:11">
      <c r="A235" s="12">
        <v>7</v>
      </c>
      <c r="B235" s="22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3.2199999999999999E-2</v>
      </c>
      <c r="H235" s="14">
        <v>2.0199999999999999E-2</v>
      </c>
      <c r="I235" s="14">
        <v>0.24199999999999999</v>
      </c>
      <c r="J235" s="14">
        <v>1.7500000000000002E-2</v>
      </c>
      <c r="K235" s="14">
        <v>1E-4</v>
      </c>
    </row>
    <row r="236" spans="1:11">
      <c r="A236" s="12">
        <v>14</v>
      </c>
      <c r="B236" s="22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1.6500000000000001E-2</v>
      </c>
      <c r="H236" s="14">
        <v>5.1299999999999998E-2</v>
      </c>
      <c r="I236" s="14">
        <v>0.35289999999999999</v>
      </c>
      <c r="J236" s="14">
        <v>2.01E-2</v>
      </c>
      <c r="K236" s="14">
        <v>1E-4</v>
      </c>
    </row>
    <row r="237" spans="1:11">
      <c r="A237" s="12">
        <v>5</v>
      </c>
      <c r="B237" s="9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0.64249999999999996</v>
      </c>
      <c r="H237" s="14">
        <v>0.34320000000000001</v>
      </c>
      <c r="I237" s="14">
        <v>2.5569000000000002</v>
      </c>
      <c r="J237" s="14">
        <v>0.1028</v>
      </c>
      <c r="K237" s="14">
        <v>1E-4</v>
      </c>
    </row>
    <row r="238" spans="1:11">
      <c r="A238" s="12">
        <v>7</v>
      </c>
      <c r="B238" s="9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1.2434000000000001</v>
      </c>
      <c r="H238" s="14">
        <v>2.81E-2</v>
      </c>
      <c r="I238" s="14">
        <v>0.1779</v>
      </c>
      <c r="J238" s="14">
        <v>1.9800000000000002E-2</v>
      </c>
      <c r="K238" s="14">
        <v>1E-4</v>
      </c>
    </row>
    <row r="239" spans="1:11">
      <c r="A239" s="12">
        <v>14</v>
      </c>
      <c r="B239" s="9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0.17150000000000001</v>
      </c>
      <c r="H239" s="14">
        <v>1E-4</v>
      </c>
      <c r="I239" s="14">
        <v>0.1201</v>
      </c>
      <c r="J239" s="14">
        <v>1.2800000000000001E-2</v>
      </c>
      <c r="K239" s="14">
        <v>1E-4</v>
      </c>
    </row>
    <row r="240" spans="1:11">
      <c r="A240" s="12">
        <v>5</v>
      </c>
      <c r="B240" s="9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0.1125</v>
      </c>
      <c r="H240" s="14">
        <v>0.71540000000000004</v>
      </c>
      <c r="I240" s="14">
        <v>4.0697000000000001</v>
      </c>
      <c r="J240" s="14">
        <v>0.185</v>
      </c>
      <c r="K240" s="14">
        <v>1E-4</v>
      </c>
    </row>
    <row r="241" spans="1:11">
      <c r="A241" s="12">
        <v>7</v>
      </c>
      <c r="B241" s="9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4.2900000000000001E-2</v>
      </c>
      <c r="H241" s="14">
        <v>0.65800000000000003</v>
      </c>
      <c r="I241" s="14">
        <v>4.6253000000000002</v>
      </c>
      <c r="J241" s="14">
        <v>0.21060000000000001</v>
      </c>
      <c r="K241" s="14">
        <v>1E-4</v>
      </c>
    </row>
    <row r="242" spans="1:11">
      <c r="A242" s="12">
        <v>14</v>
      </c>
      <c r="B242" s="9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2.6599999999999999E-2</v>
      </c>
      <c r="H242" s="14">
        <v>0.49399999999999999</v>
      </c>
      <c r="I242" s="14">
        <v>2.927</v>
      </c>
      <c r="J242" s="14">
        <v>0.17280000000000001</v>
      </c>
      <c r="K242" s="14">
        <v>1E-4</v>
      </c>
    </row>
    <row r="243" spans="1:11">
      <c r="A243" s="12">
        <v>5</v>
      </c>
      <c r="B243" s="9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2.4500000000000001E-2</v>
      </c>
      <c r="H243" s="14">
        <v>1.7673000000000001</v>
      </c>
      <c r="I243" s="14">
        <v>6.9710999999999999</v>
      </c>
      <c r="J243" s="14">
        <v>0.29759999999999998</v>
      </c>
      <c r="K243" s="14">
        <v>1E-4</v>
      </c>
    </row>
    <row r="244" spans="1:11">
      <c r="A244" s="12">
        <v>7</v>
      </c>
      <c r="B244" s="9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5.3699999999999998E-2</v>
      </c>
      <c r="H244" s="14">
        <v>2.0459999999999998</v>
      </c>
      <c r="I244" s="14">
        <v>8.1868999999999996</v>
      </c>
      <c r="J244" s="14">
        <v>0.8488</v>
      </c>
      <c r="K244" s="14">
        <v>4.8399999999999999E-2</v>
      </c>
    </row>
    <row r="245" spans="1:11">
      <c r="A245" s="12">
        <v>14</v>
      </c>
      <c r="B245" s="9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3.7400000000000003E-2</v>
      </c>
      <c r="H245" s="14">
        <v>1.6073</v>
      </c>
      <c r="I245" s="14">
        <v>5.0462999999999996</v>
      </c>
      <c r="J245" s="14">
        <v>0.58809999999999996</v>
      </c>
      <c r="K245" s="14">
        <v>1E-4</v>
      </c>
    </row>
    <row r="246" spans="1:11">
      <c r="A246" s="12">
        <v>5</v>
      </c>
      <c r="B246" s="9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6.7699999999999996E-2</v>
      </c>
      <c r="H246" s="14">
        <v>1E-4</v>
      </c>
      <c r="I246" s="14">
        <v>1.1283000000000001</v>
      </c>
      <c r="J246" s="14">
        <v>2.0190000000000001</v>
      </c>
      <c r="K246" s="14">
        <v>1E-4</v>
      </c>
    </row>
    <row r="247" spans="1:11">
      <c r="A247" s="12">
        <v>7</v>
      </c>
      <c r="B247" s="9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0.28820000000000001</v>
      </c>
      <c r="H247" s="14">
        <v>1E-4</v>
      </c>
      <c r="I247" s="14">
        <v>5.2392000000000003</v>
      </c>
      <c r="J247" s="14">
        <v>2.8065000000000002</v>
      </c>
      <c r="K247" s="14">
        <v>1E-4</v>
      </c>
    </row>
    <row r="248" spans="1:11">
      <c r="A248" s="12">
        <v>14</v>
      </c>
      <c r="B248" s="9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0.1016</v>
      </c>
      <c r="H248" s="14">
        <v>1E-4</v>
      </c>
      <c r="I248" s="14">
        <v>2.0116999999999998</v>
      </c>
      <c r="J248" s="14">
        <v>1.1636</v>
      </c>
      <c r="K248" s="14">
        <v>1E-4</v>
      </c>
    </row>
    <row r="249" spans="1:11">
      <c r="A249" s="12">
        <v>5</v>
      </c>
      <c r="B249" s="9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7.9799999999999996E-2</v>
      </c>
      <c r="H249" s="14">
        <v>1E-4</v>
      </c>
      <c r="I249" s="14">
        <v>7.1170999999999998</v>
      </c>
      <c r="J249" s="14">
        <v>0.60070000000000001</v>
      </c>
      <c r="K249" s="14">
        <v>1E-4</v>
      </c>
    </row>
    <row r="250" spans="1:11">
      <c r="A250" s="12">
        <v>7</v>
      </c>
      <c r="B250" s="9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0.16400000000000001</v>
      </c>
      <c r="H250" s="14">
        <v>1E-4</v>
      </c>
      <c r="I250" s="14">
        <v>9.1367999999999991</v>
      </c>
      <c r="J250" s="14">
        <v>2.2038000000000002</v>
      </c>
      <c r="K250" s="14">
        <v>1E-4</v>
      </c>
    </row>
    <row r="251" spans="1:11">
      <c r="A251" s="12">
        <v>14</v>
      </c>
      <c r="B251" s="9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8.1100000000000005E-2</v>
      </c>
      <c r="H251" s="14">
        <v>1E-4</v>
      </c>
      <c r="I251" s="14">
        <v>5.665</v>
      </c>
      <c r="J251" s="14">
        <v>1.0821000000000001</v>
      </c>
      <c r="K251" s="14">
        <v>1E-4</v>
      </c>
    </row>
    <row r="252" spans="1:11">
      <c r="A252" s="12">
        <v>5</v>
      </c>
      <c r="B252" s="9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5.6399999999999999E-2</v>
      </c>
      <c r="H252" s="14">
        <v>1E-4</v>
      </c>
      <c r="I252" s="14">
        <v>6.3269000000000002</v>
      </c>
      <c r="J252" s="14">
        <v>0.4158</v>
      </c>
      <c r="K252" s="14">
        <v>1E-4</v>
      </c>
    </row>
    <row r="253" spans="1:11">
      <c r="A253" s="12">
        <v>7</v>
      </c>
      <c r="B253" s="9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0.82620000000000005</v>
      </c>
      <c r="H253" s="14">
        <v>1E-4</v>
      </c>
      <c r="I253" s="14">
        <v>6.7244999999999999</v>
      </c>
      <c r="J253" s="14">
        <v>0.25269999999999998</v>
      </c>
      <c r="K253" s="14">
        <v>1E-4</v>
      </c>
    </row>
    <row r="254" spans="1:11">
      <c r="A254" s="12">
        <v>14</v>
      </c>
      <c r="B254" s="9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0.14249999999999999</v>
      </c>
      <c r="H254" s="14">
        <v>1E-4</v>
      </c>
      <c r="I254" s="14">
        <v>4.8068999999999997</v>
      </c>
      <c r="J254" s="14">
        <v>0.2291</v>
      </c>
      <c r="K254" s="14">
        <v>1E-4</v>
      </c>
    </row>
    <row r="255" spans="1:11">
      <c r="A255" s="12">
        <v>5</v>
      </c>
      <c r="B255" s="9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0.05</v>
      </c>
      <c r="H255" s="14">
        <v>9.9989999999999996E-4</v>
      </c>
      <c r="I255" s="14">
        <v>0.66</v>
      </c>
      <c r="J255" s="14">
        <v>6.4000000000000001E-2</v>
      </c>
      <c r="K255" s="14">
        <v>9.9989999999999996E-4</v>
      </c>
    </row>
    <row r="256" spans="1:11">
      <c r="A256" s="12">
        <v>7</v>
      </c>
      <c r="B256" s="9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0.24099999999999999</v>
      </c>
      <c r="H256" s="14">
        <v>9.9989999999999996E-4</v>
      </c>
      <c r="I256" s="14">
        <v>1.6879999999999999</v>
      </c>
      <c r="J256" s="14">
        <v>0.20899999999999999</v>
      </c>
      <c r="K256" s="14">
        <v>9.9989999999999996E-4</v>
      </c>
    </row>
    <row r="257" spans="1:11">
      <c r="A257" s="12">
        <v>14</v>
      </c>
      <c r="B257" s="9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0.377</v>
      </c>
      <c r="H257" s="14">
        <v>9.9989999999999996E-4</v>
      </c>
      <c r="I257" s="14">
        <v>0.38500000000000001</v>
      </c>
      <c r="J257" s="14">
        <v>0.10199999999999999</v>
      </c>
      <c r="K257" s="14">
        <v>9.9989999999999996E-4</v>
      </c>
    </row>
    <row r="258" spans="1:11">
      <c r="A258" s="12">
        <v>5</v>
      </c>
      <c r="B258" s="9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4.2999999999999997E-2</v>
      </c>
      <c r="H258" s="14">
        <v>0.40899999999999997</v>
      </c>
      <c r="I258" s="14">
        <v>4.8460000000000001</v>
      </c>
      <c r="J258" s="14">
        <v>0.13300000000000001</v>
      </c>
      <c r="K258" s="14">
        <v>9.9989999999999996E-4</v>
      </c>
    </row>
    <row r="259" spans="1:11">
      <c r="A259" s="12">
        <v>7</v>
      </c>
      <c r="B259" s="9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0.46600000000000003</v>
      </c>
      <c r="H259" s="14">
        <v>9.9989999999999996E-4</v>
      </c>
      <c r="I259" s="14">
        <v>0.23699999999999999</v>
      </c>
      <c r="J259" s="14">
        <v>1.6E-2</v>
      </c>
      <c r="K259" s="14">
        <v>9.9989999999999996E-4</v>
      </c>
    </row>
    <row r="260" spans="1:11">
      <c r="A260" s="12">
        <v>14</v>
      </c>
      <c r="B260" s="9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4.8000000000000001E-2</v>
      </c>
      <c r="H260" s="14">
        <v>9.9989999999999996E-4</v>
      </c>
      <c r="I260" s="14">
        <v>0.26</v>
      </c>
      <c r="J260" s="14">
        <v>2.1000000000000001E-2</v>
      </c>
      <c r="K260" s="14">
        <v>9.9989999999999996E-4</v>
      </c>
    </row>
    <row r="261" spans="1:11">
      <c r="A261" s="12">
        <v>5</v>
      </c>
      <c r="B261" s="22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0.20300000000000001</v>
      </c>
      <c r="H261" s="14">
        <v>0.61799999999999999</v>
      </c>
      <c r="I261" s="14">
        <v>2.859</v>
      </c>
      <c r="J261" s="14">
        <v>0.19900000000000001</v>
      </c>
      <c r="K261" s="14">
        <v>9.9989999999999996E-4</v>
      </c>
    </row>
    <row r="262" spans="1:11">
      <c r="A262" s="12">
        <v>7</v>
      </c>
      <c r="B262" s="22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0.60199999999999998</v>
      </c>
      <c r="H262" s="14">
        <v>9.9989999999999996E-4</v>
      </c>
      <c r="I262" s="14">
        <v>0.42499999999999999</v>
      </c>
      <c r="J262" s="14">
        <v>4.8000000000000001E-2</v>
      </c>
      <c r="K262" s="14">
        <v>9.9989999999999996E-4</v>
      </c>
    </row>
    <row r="263" spans="1:11">
      <c r="A263" s="12">
        <v>14</v>
      </c>
      <c r="B263" s="22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0.23400000000000001</v>
      </c>
      <c r="H263" s="14">
        <v>9.9989999999999996E-4</v>
      </c>
      <c r="I263" s="14">
        <v>0.32800000000000001</v>
      </c>
      <c r="J263" s="14">
        <v>4.8000000000000001E-2</v>
      </c>
      <c r="K263" s="14">
        <v>9.9989999999999996E-4</v>
      </c>
    </row>
    <row r="264" spans="1:11">
      <c r="A264" s="15">
        <v>5</v>
      </c>
      <c r="B264" s="22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7.1999999999999995E-2</v>
      </c>
      <c r="H264" s="14">
        <v>8.1000000000000003E-2</v>
      </c>
      <c r="I264" s="14">
        <v>3.1070000000000002</v>
      </c>
      <c r="J264" s="14">
        <v>0.106</v>
      </c>
      <c r="K264" s="14">
        <v>9.9989999999999996E-4</v>
      </c>
    </row>
    <row r="265" spans="1:11">
      <c r="A265" s="15">
        <v>7</v>
      </c>
      <c r="B265" s="22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0.34799999999999998</v>
      </c>
      <c r="H265" s="14">
        <v>9.9989999999999996E-4</v>
      </c>
      <c r="I265" s="14">
        <v>0.26700000000000002</v>
      </c>
      <c r="J265" s="14">
        <v>1.0999999999999999E-2</v>
      </c>
      <c r="K265" s="14">
        <v>9.9989999999999996E-4</v>
      </c>
    </row>
    <row r="266" spans="1:11">
      <c r="A266" s="15">
        <v>14</v>
      </c>
      <c r="B266" s="22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8.4000000000000005E-2</v>
      </c>
      <c r="H266" s="14">
        <v>9.9989999999999996E-4</v>
      </c>
      <c r="I266" s="14">
        <v>0.374</v>
      </c>
      <c r="J266" s="14">
        <v>1.2999999999999999E-2</v>
      </c>
      <c r="K266" s="14">
        <v>9.9989999999999996E-4</v>
      </c>
    </row>
    <row r="267" spans="1:11">
      <c r="A267" s="15">
        <v>5</v>
      </c>
      <c r="B267" s="22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9.9000000000000005E-2</v>
      </c>
      <c r="H267" s="14">
        <v>3.9E-2</v>
      </c>
      <c r="I267" s="14">
        <v>1.9039999999999999</v>
      </c>
      <c r="J267" s="14">
        <v>5.6000000000000001E-2</v>
      </c>
      <c r="K267" s="14">
        <v>9.9989999999999996E-4</v>
      </c>
    </row>
    <row r="268" spans="1:11">
      <c r="A268" s="15">
        <v>7</v>
      </c>
      <c r="B268" s="22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0.379</v>
      </c>
      <c r="H268" s="14">
        <v>9.9989999999999996E-4</v>
      </c>
      <c r="I268" s="14">
        <v>2.3839999999999999</v>
      </c>
      <c r="J268" s="14">
        <v>3.5999999999999997E-2</v>
      </c>
      <c r="K268" s="14">
        <v>9.9989999999999996E-4</v>
      </c>
    </row>
    <row r="269" spans="1:11">
      <c r="A269" s="15">
        <v>14</v>
      </c>
      <c r="B269" s="22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0.104</v>
      </c>
      <c r="H269" s="14">
        <v>3.5999999999999997E-2</v>
      </c>
      <c r="I269" s="14">
        <v>1.617</v>
      </c>
      <c r="J269" s="14">
        <v>2.4E-2</v>
      </c>
      <c r="K269" s="14">
        <v>9.9989999999999996E-4</v>
      </c>
    </row>
    <row r="270" spans="1:11">
      <c r="A270" s="15">
        <v>5</v>
      </c>
      <c r="B270" s="22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6.9000000000000006E-2</v>
      </c>
      <c r="H270" s="14">
        <v>5.8999999999999997E-2</v>
      </c>
      <c r="I270" s="14">
        <v>1.2689999999999999</v>
      </c>
      <c r="J270" s="14">
        <v>2.1999999999999999E-2</v>
      </c>
      <c r="K270" s="14">
        <v>9.9989999999999996E-4</v>
      </c>
    </row>
    <row r="271" spans="1:11">
      <c r="A271" s="15">
        <v>7</v>
      </c>
      <c r="B271" s="22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0.186</v>
      </c>
      <c r="H271" s="14">
        <v>3.7999999999999999E-2</v>
      </c>
      <c r="I271" s="14">
        <v>0.749</v>
      </c>
      <c r="J271" s="14">
        <v>4.7E-2</v>
      </c>
      <c r="K271" s="14">
        <v>9.9989999999999996E-4</v>
      </c>
    </row>
    <row r="272" spans="1:11">
      <c r="A272" s="15">
        <v>14</v>
      </c>
      <c r="B272" s="22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5.1999999999999998E-2</v>
      </c>
      <c r="H272" s="14">
        <v>6.9000000000000006E-2</v>
      </c>
      <c r="I272" s="14">
        <v>0.73399999999999999</v>
      </c>
      <c r="J272" s="14">
        <v>0.03</v>
      </c>
      <c r="K272" s="14">
        <v>9.9989999999999996E-4</v>
      </c>
    </row>
    <row r="273" spans="1:11">
      <c r="A273" s="15">
        <v>5</v>
      </c>
      <c r="B273" s="22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9.9000000000000005E-2</v>
      </c>
      <c r="H273" s="14">
        <v>3.7999999999999999E-2</v>
      </c>
      <c r="I273" s="14">
        <v>2.0339999999999998</v>
      </c>
      <c r="J273" s="14">
        <v>1.2999999999999999E-2</v>
      </c>
      <c r="K273" s="14">
        <v>9.9989999999999996E-4</v>
      </c>
    </row>
    <row r="274" spans="1:11">
      <c r="A274" s="15">
        <v>7</v>
      </c>
      <c r="B274" s="22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7.9000000000000001E-2</v>
      </c>
      <c r="H274" s="14">
        <v>9.9989999999999996E-4</v>
      </c>
      <c r="I274" s="14">
        <v>0.77500000000000002</v>
      </c>
      <c r="J274" s="14">
        <v>7.0000000000000001E-3</v>
      </c>
      <c r="K274" s="14">
        <v>9.9989999999999996E-4</v>
      </c>
    </row>
    <row r="275" spans="1:11">
      <c r="A275" s="15">
        <v>14</v>
      </c>
      <c r="B275" s="22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1.6E-2</v>
      </c>
      <c r="H275" s="14">
        <v>9.9989999999999996E-4</v>
      </c>
      <c r="I275" s="14">
        <v>0.76</v>
      </c>
      <c r="J275" s="14">
        <v>7.0000000000000001E-3</v>
      </c>
      <c r="K275" s="14">
        <v>9.9989999999999996E-4</v>
      </c>
    </row>
    <row r="276" spans="1:11">
      <c r="A276" s="15">
        <v>5</v>
      </c>
      <c r="B276" s="22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5.8999999999999997E-2</v>
      </c>
      <c r="H276" s="14">
        <v>2.1469999999999998</v>
      </c>
      <c r="I276" s="14">
        <v>5.2670000000000003</v>
      </c>
      <c r="J276" s="14">
        <v>0.113</v>
      </c>
      <c r="K276" s="14">
        <v>0.01</v>
      </c>
    </row>
    <row r="277" spans="1:11">
      <c r="A277" s="15">
        <v>7</v>
      </c>
      <c r="B277" s="22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0.185</v>
      </c>
      <c r="H277" s="14">
        <v>1.7090000000000001</v>
      </c>
      <c r="I277" s="14">
        <v>5.742</v>
      </c>
      <c r="J277" s="14">
        <v>0.14899999999999999</v>
      </c>
      <c r="K277" s="14">
        <v>1.2E-2</v>
      </c>
    </row>
    <row r="278" spans="1:11">
      <c r="A278" s="15">
        <v>14</v>
      </c>
      <c r="B278" s="22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0.104</v>
      </c>
      <c r="H278" s="14">
        <v>1.768</v>
      </c>
      <c r="I278" s="14">
        <v>4.125</v>
      </c>
      <c r="J278" s="14">
        <v>0.14000000000000001</v>
      </c>
      <c r="K278" s="14">
        <v>1.4999999999999999E-2</v>
      </c>
    </row>
    <row r="279" spans="1:11">
      <c r="A279" s="15">
        <v>5</v>
      </c>
      <c r="B279" s="22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3.5999999999999997E-2</v>
      </c>
      <c r="H279" s="14">
        <v>8.7569999999999997</v>
      </c>
      <c r="I279" s="14">
        <v>12.96</v>
      </c>
      <c r="J279" s="14">
        <v>0.51900000000000002</v>
      </c>
      <c r="K279" s="14">
        <v>1.0999999999999999E-2</v>
      </c>
    </row>
    <row r="280" spans="1:11">
      <c r="A280" s="15">
        <v>7</v>
      </c>
      <c r="B280" s="22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0.11700000000000001</v>
      </c>
      <c r="H280" s="14">
        <v>1.327</v>
      </c>
      <c r="I280" s="14">
        <v>6.5380000000000003</v>
      </c>
      <c r="J280" s="14">
        <v>1.1080000000000001</v>
      </c>
      <c r="K280" s="14">
        <v>0.06</v>
      </c>
    </row>
    <row r="281" spans="1:11">
      <c r="A281" s="15">
        <v>14</v>
      </c>
      <c r="B281" s="22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8.6999999999999994E-2</v>
      </c>
      <c r="H281" s="14">
        <v>5.7919999999999998</v>
      </c>
      <c r="I281" s="14">
        <v>10.273999999999999</v>
      </c>
      <c r="J281" s="14">
        <v>0.624</v>
      </c>
      <c r="K281" s="14">
        <v>1.9E-2</v>
      </c>
    </row>
    <row r="282" spans="1:11">
      <c r="A282" s="15">
        <v>5</v>
      </c>
      <c r="B282" s="22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0.127</v>
      </c>
      <c r="H282" s="14">
        <v>9.9989999999999996E-4</v>
      </c>
      <c r="I282" s="14">
        <v>1.6439999999999999</v>
      </c>
      <c r="J282" s="14">
        <v>2.4990000000000001</v>
      </c>
      <c r="K282" s="14">
        <v>9.9989999999999996E-4</v>
      </c>
    </row>
    <row r="283" spans="1:11">
      <c r="A283" s="15">
        <v>7</v>
      </c>
      <c r="B283" s="22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0.29699999999999999</v>
      </c>
      <c r="H283" s="14">
        <v>4.8000000000000001E-2</v>
      </c>
      <c r="I283" s="14">
        <v>3.3530000000000002</v>
      </c>
      <c r="J283" s="14">
        <v>1.536</v>
      </c>
      <c r="K283" s="14">
        <v>9.9989999999999996E-4</v>
      </c>
    </row>
    <row r="284" spans="1:11">
      <c r="A284" s="15">
        <v>14</v>
      </c>
      <c r="B284" s="22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0.10100000000000001</v>
      </c>
      <c r="H284" s="14">
        <v>9.9989999999999996E-4</v>
      </c>
      <c r="I284" s="14">
        <v>1.7450000000000001</v>
      </c>
      <c r="J284" s="14">
        <v>0.85599999999999998</v>
      </c>
      <c r="K284" s="14">
        <v>9.9989999999999996E-4</v>
      </c>
    </row>
    <row r="285" spans="1:11">
      <c r="A285" s="15">
        <v>5</v>
      </c>
      <c r="B285" s="22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0.20599999999999999</v>
      </c>
      <c r="H285" s="14">
        <v>9.9989999999999996E-4</v>
      </c>
      <c r="I285" s="14">
        <v>1.379</v>
      </c>
      <c r="J285" s="14">
        <v>2.9750000000000001</v>
      </c>
      <c r="K285" s="14">
        <v>9.9989999999999996E-4</v>
      </c>
    </row>
    <row r="286" spans="1:11">
      <c r="A286" s="15">
        <v>7</v>
      </c>
      <c r="B286" s="22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0.56200000000000006</v>
      </c>
      <c r="H286" s="14">
        <v>9.9989999999999996E-4</v>
      </c>
      <c r="I286" s="14">
        <v>5.37</v>
      </c>
      <c r="J286" s="14">
        <v>1.4239999999999999</v>
      </c>
      <c r="K286" s="14">
        <v>9.9989999999999996E-4</v>
      </c>
    </row>
    <row r="287" spans="1:11">
      <c r="A287" s="15">
        <v>14</v>
      </c>
      <c r="B287" s="22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0.73599999999999999</v>
      </c>
      <c r="H287" s="14">
        <v>9.9989999999999996E-4</v>
      </c>
      <c r="I287" s="14">
        <v>3.89</v>
      </c>
      <c r="J287" s="14">
        <v>0.52300000000000002</v>
      </c>
      <c r="K287" s="14">
        <v>9.9989999999999996E-4</v>
      </c>
    </row>
    <row r="288" spans="1:11">
      <c r="A288" s="15">
        <v>5</v>
      </c>
      <c r="B288" s="22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0.121</v>
      </c>
      <c r="H288" s="14">
        <v>4.5999999999999999E-2</v>
      </c>
      <c r="I288" s="14">
        <v>5.0839999999999996</v>
      </c>
      <c r="J288" s="14">
        <v>0.93899999999999995</v>
      </c>
      <c r="K288" s="14">
        <v>9.9989999999999996E-4</v>
      </c>
    </row>
    <row r="289" spans="1:11">
      <c r="A289" s="15">
        <v>7</v>
      </c>
      <c r="B289" s="22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9.9989999999999996E-4</v>
      </c>
      <c r="H289" s="14">
        <v>3.5999999999999997E-2</v>
      </c>
      <c r="I289" s="14">
        <v>9.4120000000000008</v>
      </c>
      <c r="J289" s="14">
        <v>0.66400000000000003</v>
      </c>
      <c r="K289" s="14">
        <v>9.9989999999999996E-4</v>
      </c>
    </row>
    <row r="290" spans="1:11">
      <c r="A290" s="15">
        <v>14</v>
      </c>
      <c r="B290" s="22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0.04</v>
      </c>
      <c r="H290" s="14">
        <v>9.9989999999999996E-4</v>
      </c>
      <c r="I290" s="14">
        <v>6.0259999999999998</v>
      </c>
      <c r="J290" s="14">
        <v>0.22800000000000001</v>
      </c>
      <c r="K290" s="14">
        <v>9.9989999999999996E-4</v>
      </c>
    </row>
    <row r="291" spans="1:11">
      <c r="A291" s="15">
        <v>5</v>
      </c>
      <c r="B291" s="22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9.9989999999999996E-4</v>
      </c>
      <c r="H291" s="14">
        <v>9.9989999999999996E-4</v>
      </c>
      <c r="I291" s="14">
        <v>1.879</v>
      </c>
      <c r="J291" s="14">
        <v>0.39</v>
      </c>
      <c r="K291" s="14">
        <v>9.9989999999999996E-4</v>
      </c>
    </row>
    <row r="292" spans="1:11">
      <c r="A292" s="15">
        <v>7</v>
      </c>
      <c r="B292" s="22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1.9E-2</v>
      </c>
      <c r="H292" s="14">
        <v>9.9989999999999996E-4</v>
      </c>
      <c r="I292" s="14">
        <v>1.0669999999999999</v>
      </c>
      <c r="J292" s="14">
        <v>3.7999999999999999E-2</v>
      </c>
      <c r="K292" s="14">
        <v>9.9989999999999996E-4</v>
      </c>
    </row>
    <row r="293" spans="1:11">
      <c r="A293" s="15">
        <v>14</v>
      </c>
      <c r="B293" s="22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9.9989999999999996E-4</v>
      </c>
      <c r="H293" s="14">
        <v>9.9989999999999996E-4</v>
      </c>
      <c r="I293" s="14">
        <v>0.57499999999999996</v>
      </c>
      <c r="J293" s="14">
        <v>2.1000000000000001E-2</v>
      </c>
      <c r="K293" s="14">
        <v>9.9989999999999996E-4</v>
      </c>
    </row>
    <row r="294" spans="1:11">
      <c r="A294" s="15">
        <v>5</v>
      </c>
      <c r="B294" s="22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0.04</v>
      </c>
      <c r="H294" s="14">
        <v>1.2E-2</v>
      </c>
      <c r="I294" s="14">
        <v>0.76900000000000002</v>
      </c>
      <c r="J294" s="14">
        <v>7.6999999999999999E-2</v>
      </c>
      <c r="K294" s="14">
        <v>9.9989999999999996E-4</v>
      </c>
    </row>
    <row r="295" spans="1:11">
      <c r="A295" s="15">
        <v>7</v>
      </c>
      <c r="B295" s="22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3.9E-2</v>
      </c>
      <c r="H295" s="14">
        <v>9.9989999999999996E-4</v>
      </c>
      <c r="I295" s="14">
        <v>0.32700000000000001</v>
      </c>
      <c r="J295" s="14">
        <v>0.01</v>
      </c>
      <c r="K295" s="14">
        <v>9.9989999999999996E-4</v>
      </c>
    </row>
    <row r="296" spans="1:11">
      <c r="A296" s="15">
        <v>14</v>
      </c>
      <c r="B296" s="22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9.9989999999999996E-4</v>
      </c>
      <c r="H296" s="14">
        <v>9.9989999999999996E-4</v>
      </c>
      <c r="I296" s="14">
        <v>0.17699999999999999</v>
      </c>
      <c r="J296" s="14">
        <v>8.0000000000000002E-3</v>
      </c>
      <c r="K296" s="14">
        <v>9.9989999999999996E-4</v>
      </c>
    </row>
    <row r="297" spans="1:11">
      <c r="A297" s="15">
        <v>5</v>
      </c>
      <c r="B297" s="22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0.10299999999999999</v>
      </c>
      <c r="H297" s="14">
        <v>9.9989999999999996E-4</v>
      </c>
      <c r="I297" s="14">
        <v>0.68899999999999995</v>
      </c>
      <c r="J297" s="14">
        <v>1.6E-2</v>
      </c>
      <c r="K297" s="14">
        <v>9.9989999999999996E-4</v>
      </c>
    </row>
    <row r="298" spans="1:11">
      <c r="A298" s="15">
        <v>7</v>
      </c>
      <c r="B298" s="22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0.46</v>
      </c>
      <c r="H298" s="14">
        <v>9.9989999999999996E-4</v>
      </c>
      <c r="I298" s="14">
        <v>0.20799999999999999</v>
      </c>
      <c r="J298" s="14">
        <v>1.2E-2</v>
      </c>
      <c r="K298" s="14">
        <v>9.9989999999999996E-4</v>
      </c>
    </row>
    <row r="299" spans="1:11">
      <c r="A299" s="15">
        <v>14</v>
      </c>
      <c r="B299" s="22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4.2999999999999997E-2</v>
      </c>
      <c r="H299" s="14">
        <v>9.9989999999999996E-4</v>
      </c>
      <c r="I299" s="14">
        <v>0.10100000000000001</v>
      </c>
      <c r="J299" s="14">
        <v>8.9999999999999993E-3</v>
      </c>
      <c r="K299" s="14">
        <v>9.9989999999999996E-4</v>
      </c>
    </row>
    <row r="300" spans="1:11">
      <c r="A300" s="15">
        <v>5</v>
      </c>
      <c r="B300" s="22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0.19</v>
      </c>
      <c r="H300" s="23">
        <v>1.7999999999999999E-2</v>
      </c>
      <c r="I300" s="23">
        <v>0.67200000000000004</v>
      </c>
      <c r="J300" s="23">
        <v>9.1999999999999998E-2</v>
      </c>
      <c r="K300" s="23">
        <v>9.9989999999999996E-4</v>
      </c>
    </row>
    <row r="301" spans="1:11">
      <c r="A301" s="15">
        <v>7</v>
      </c>
      <c r="B301" s="22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9.6000000000000002E-2</v>
      </c>
      <c r="H301" s="23">
        <v>9.9989999999999996E-4</v>
      </c>
      <c r="I301" s="23">
        <v>0.18099999999999999</v>
      </c>
      <c r="J301" s="23">
        <v>1.7999999999999999E-2</v>
      </c>
      <c r="K301" s="23">
        <v>9.9989999999999996E-4</v>
      </c>
    </row>
    <row r="302" spans="1:11">
      <c r="A302" s="15">
        <v>14</v>
      </c>
      <c r="B302" s="22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6.4000000000000001E-2</v>
      </c>
      <c r="H302" s="23">
        <v>9.9989999999999996E-4</v>
      </c>
      <c r="I302" s="23">
        <v>0.13600000000000001</v>
      </c>
      <c r="J302" s="23">
        <v>2.5999999999999999E-2</v>
      </c>
      <c r="K302" s="23">
        <v>9.9989999999999996E-4</v>
      </c>
    </row>
    <row r="303" spans="1:11">
      <c r="A303" s="15">
        <v>5</v>
      </c>
      <c r="B303" s="22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0.20100000000000001</v>
      </c>
      <c r="H303" s="23">
        <v>6.5000000000000002E-2</v>
      </c>
      <c r="I303" s="23">
        <v>0.98299999999999998</v>
      </c>
      <c r="J303" s="23">
        <v>6.8000000000000005E-2</v>
      </c>
      <c r="K303" s="23">
        <v>9.9989999999999996E-4</v>
      </c>
    </row>
    <row r="304" spans="1:11">
      <c r="A304" s="15">
        <v>7</v>
      </c>
      <c r="B304" s="22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0.20399999999999999</v>
      </c>
      <c r="H304" s="23">
        <v>9.9989999999999996E-4</v>
      </c>
      <c r="I304" s="23">
        <v>0.17799999999999999</v>
      </c>
      <c r="J304" s="23">
        <v>1.2999999999999999E-2</v>
      </c>
      <c r="K304" s="23">
        <v>9.9989999999999996E-4</v>
      </c>
    </row>
    <row r="305" spans="1:11">
      <c r="A305" s="15">
        <v>14</v>
      </c>
      <c r="B305" s="22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0.13900000000000001</v>
      </c>
      <c r="H305" s="23">
        <v>9.9989999999999996E-4</v>
      </c>
      <c r="I305" s="23">
        <v>0.48599999999999999</v>
      </c>
      <c r="J305" s="23">
        <v>1.4999999999999999E-2</v>
      </c>
      <c r="K305" s="23">
        <v>9.9989999999999996E-4</v>
      </c>
    </row>
    <row r="306" spans="1:11">
      <c r="A306" s="15">
        <v>5</v>
      </c>
      <c r="B306" s="22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4.1000000000000002E-2</v>
      </c>
      <c r="H306" s="23">
        <v>9.9989999999999996E-4</v>
      </c>
      <c r="I306" s="23">
        <v>0.60199999999999998</v>
      </c>
      <c r="J306" s="23">
        <v>2.9000000000000001E-2</v>
      </c>
      <c r="K306" s="23">
        <v>9.9989999999999996E-4</v>
      </c>
    </row>
    <row r="307" spans="1:11">
      <c r="A307" s="15">
        <v>7</v>
      </c>
      <c r="B307" s="22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3.5000000000000003E-2</v>
      </c>
      <c r="H307" s="23">
        <v>9.9989999999999996E-4</v>
      </c>
      <c r="I307" s="23">
        <v>0.32400000000000001</v>
      </c>
      <c r="J307" s="23">
        <v>2.7E-2</v>
      </c>
      <c r="K307" s="23">
        <v>9.9989999999999996E-4</v>
      </c>
    </row>
    <row r="308" spans="1:11">
      <c r="A308" s="15">
        <v>14</v>
      </c>
      <c r="B308" s="22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0.04</v>
      </c>
      <c r="H308" s="23">
        <v>9.9989999999999996E-4</v>
      </c>
      <c r="I308" s="23">
        <v>0.379</v>
      </c>
      <c r="J308" s="23">
        <v>0.01</v>
      </c>
      <c r="K308" s="23">
        <v>9.9989999999999996E-4</v>
      </c>
    </row>
    <row r="309" spans="1:11">
      <c r="A309" s="15">
        <v>5</v>
      </c>
      <c r="B309" s="22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0.111</v>
      </c>
      <c r="H309" s="23">
        <v>0.19700000000000001</v>
      </c>
      <c r="I309" s="23">
        <v>1.167</v>
      </c>
      <c r="J309" s="23">
        <v>5.0999999999999997E-2</v>
      </c>
      <c r="K309" s="23">
        <v>9.9989999999999996E-4</v>
      </c>
    </row>
    <row r="310" spans="1:11">
      <c r="A310" s="15">
        <v>7</v>
      </c>
      <c r="B310" s="22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0.73799999999999999</v>
      </c>
      <c r="H310" s="23">
        <v>9.9989999999999996E-4</v>
      </c>
      <c r="I310" s="23">
        <v>0.26400000000000001</v>
      </c>
      <c r="J310" s="23">
        <v>2.1999999999999999E-2</v>
      </c>
      <c r="K310" s="23">
        <v>9.9989999999999996E-4</v>
      </c>
    </row>
    <row r="311" spans="1:11">
      <c r="A311" s="15">
        <v>14</v>
      </c>
      <c r="B311" s="22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0.11700000000000001</v>
      </c>
      <c r="H311" s="23">
        <v>9.9989999999999996E-4</v>
      </c>
      <c r="I311" s="23">
        <v>0.107</v>
      </c>
      <c r="J311" s="23">
        <v>1.4E-2</v>
      </c>
      <c r="K311" s="23">
        <v>9.9989999999999996E-4</v>
      </c>
    </row>
    <row r="312" spans="1:11">
      <c r="A312" s="15">
        <v>5</v>
      </c>
      <c r="B312" s="22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8.1000000000000003E-2</v>
      </c>
      <c r="H312" s="23">
        <v>4.7E-2</v>
      </c>
      <c r="I312" s="23">
        <v>1.33</v>
      </c>
      <c r="J312" s="23">
        <v>4.3999999999999997E-2</v>
      </c>
      <c r="K312" s="23">
        <v>9.9989999999999996E-4</v>
      </c>
    </row>
    <row r="313" spans="1:11">
      <c r="A313" s="15">
        <v>7</v>
      </c>
      <c r="B313" s="22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0.75600000000000001</v>
      </c>
      <c r="H313" s="23">
        <v>9.9989999999999996E-4</v>
      </c>
      <c r="I313" s="23">
        <v>0.63100000000000001</v>
      </c>
      <c r="J313" s="23">
        <v>1.2999999999999999E-2</v>
      </c>
      <c r="K313" s="23">
        <v>9.9989999999999996E-4</v>
      </c>
    </row>
    <row r="314" spans="1:11">
      <c r="A314" s="15">
        <v>14</v>
      </c>
      <c r="B314" s="22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0.10199999999999999</v>
      </c>
      <c r="H314" s="23">
        <v>9.9989999999999996E-4</v>
      </c>
      <c r="I314" s="23">
        <v>0.57099999999999995</v>
      </c>
      <c r="J314" s="23">
        <v>1.2E-2</v>
      </c>
      <c r="K314" s="23">
        <v>9.9989999999999996E-4</v>
      </c>
    </row>
    <row r="315" spans="1:11">
      <c r="A315" s="15">
        <v>5</v>
      </c>
      <c r="B315" s="22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7.4999999999999997E-2</v>
      </c>
      <c r="H315" s="23">
        <v>9.9989999999999996E-4</v>
      </c>
      <c r="I315" s="23">
        <v>2.6659999999999999</v>
      </c>
      <c r="J315" s="23">
        <v>0.63400000000000001</v>
      </c>
      <c r="K315" s="23">
        <v>9.9989999999999996E-4</v>
      </c>
    </row>
    <row r="316" spans="1:11">
      <c r="A316" s="15">
        <v>7</v>
      </c>
      <c r="B316" s="22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3.242</v>
      </c>
      <c r="H316" s="23">
        <v>9.9989999999999996E-4</v>
      </c>
      <c r="I316" s="23">
        <v>3.2759999999999998</v>
      </c>
      <c r="J316" s="23">
        <v>0.33500000000000002</v>
      </c>
      <c r="K316" s="23">
        <v>9.9989999999999996E-4</v>
      </c>
    </row>
    <row r="317" spans="1:11">
      <c r="A317" s="15">
        <v>14</v>
      </c>
      <c r="B317" s="22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0.20100000000000001</v>
      </c>
      <c r="H317" s="23">
        <v>9.9989999999999996E-4</v>
      </c>
      <c r="I317" s="23">
        <v>2.0099999999999998</v>
      </c>
      <c r="J317" s="23">
        <v>0.252</v>
      </c>
      <c r="K317" s="23">
        <v>9.9989999999999996E-4</v>
      </c>
    </row>
    <row r="318" spans="1:11">
      <c r="A318" s="15">
        <v>5</v>
      </c>
      <c r="B318" s="22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0.26600000000000001</v>
      </c>
      <c r="H318" s="23">
        <v>9.9989999999999996E-4</v>
      </c>
      <c r="I318" s="23">
        <v>3.2149999999999999</v>
      </c>
      <c r="J318" s="23">
        <v>1.526</v>
      </c>
      <c r="K318" s="23">
        <v>9.9989999999999996E-4</v>
      </c>
    </row>
    <row r="319" spans="1:11">
      <c r="A319" s="15">
        <v>7</v>
      </c>
      <c r="B319" s="22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1.986</v>
      </c>
      <c r="H319" s="23">
        <v>9.9989999999999996E-4</v>
      </c>
      <c r="I319" s="23">
        <v>8.0440000000000005</v>
      </c>
      <c r="J319" s="23">
        <v>0.66200000000000003</v>
      </c>
      <c r="K319" s="23">
        <v>9.9989999999999996E-4</v>
      </c>
    </row>
    <row r="320" spans="1:11">
      <c r="A320" s="15">
        <v>14</v>
      </c>
      <c r="B320" s="22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3.0590000000000002</v>
      </c>
      <c r="H320" s="23">
        <v>9.9989999999999996E-4</v>
      </c>
      <c r="I320" s="23">
        <v>1.2170000000000001</v>
      </c>
      <c r="J320" s="23">
        <v>0.151</v>
      </c>
      <c r="K320" s="23">
        <v>9.9989999999999996E-4</v>
      </c>
    </row>
    <row r="321" spans="1:11">
      <c r="A321" s="15">
        <v>5</v>
      </c>
      <c r="B321" s="22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0.28100000000000003</v>
      </c>
      <c r="H321" s="23">
        <v>9.9989999999999996E-4</v>
      </c>
      <c r="I321" s="23">
        <v>3.2309999999999999</v>
      </c>
      <c r="J321" s="23">
        <v>1.61</v>
      </c>
      <c r="K321" s="23">
        <v>9.9989999999999996E-4</v>
      </c>
    </row>
    <row r="322" spans="1:11">
      <c r="A322" s="15">
        <v>7</v>
      </c>
      <c r="B322" s="22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2.6930000000000001</v>
      </c>
      <c r="H322" s="23">
        <v>9.9989999999999996E-4</v>
      </c>
      <c r="I322" s="23">
        <v>7.7930000000000001</v>
      </c>
      <c r="J322" s="23">
        <v>0.30499999999999999</v>
      </c>
      <c r="K322" s="23">
        <v>9.9989999999999996E-4</v>
      </c>
    </row>
    <row r="323" spans="1:11">
      <c r="A323" s="15">
        <v>14</v>
      </c>
      <c r="B323" s="22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2.3660000000000001</v>
      </c>
      <c r="H323" s="23">
        <v>9.9989999999999996E-4</v>
      </c>
      <c r="I323" s="23">
        <v>4.681</v>
      </c>
      <c r="J323" s="23">
        <v>0.106</v>
      </c>
      <c r="K323" s="23">
        <v>9.9989999999999996E-4</v>
      </c>
    </row>
    <row r="324" spans="1:11">
      <c r="A324" s="15">
        <v>5</v>
      </c>
      <c r="B324" s="22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0.16700000000000001</v>
      </c>
      <c r="H324" s="23">
        <v>2.8650000000000002</v>
      </c>
      <c r="I324" s="23">
        <v>12.397</v>
      </c>
      <c r="J324" s="23">
        <v>1.0469999999999999</v>
      </c>
      <c r="K324" s="23">
        <v>9.9989999999999996E-4</v>
      </c>
    </row>
    <row r="325" spans="1:11">
      <c r="A325" s="15">
        <v>7</v>
      </c>
      <c r="B325" s="22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0.54900000000000004</v>
      </c>
      <c r="H325" s="23">
        <v>9.9989999999999996E-4</v>
      </c>
      <c r="I325" s="23">
        <v>3.0579999999999998</v>
      </c>
      <c r="J325" s="23">
        <v>0.33800000000000002</v>
      </c>
      <c r="K325" s="23">
        <v>9.9989999999999996E-4</v>
      </c>
    </row>
    <row r="326" spans="1:11">
      <c r="A326" s="15">
        <v>14</v>
      </c>
      <c r="B326" s="22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0.16300000000000001</v>
      </c>
      <c r="H326" s="23">
        <v>9.9989999999999996E-4</v>
      </c>
      <c r="I326" s="23">
        <v>0.4</v>
      </c>
      <c r="J326" s="23">
        <v>0.03</v>
      </c>
      <c r="K326" s="23">
        <v>9.9989999999999996E-4</v>
      </c>
    </row>
    <row r="327" spans="1:11">
      <c r="A327" s="15">
        <v>5</v>
      </c>
      <c r="B327" s="22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1.9E-2</v>
      </c>
      <c r="H327" s="23">
        <v>1.41</v>
      </c>
      <c r="I327" s="23">
        <v>4.08</v>
      </c>
      <c r="J327" s="23">
        <v>0.77300000000000002</v>
      </c>
      <c r="K327" s="23">
        <v>9.9989999999999996E-4</v>
      </c>
    </row>
    <row r="328" spans="1:11">
      <c r="A328" s="15">
        <v>7</v>
      </c>
      <c r="B328" s="22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0.13100000000000001</v>
      </c>
      <c r="H328" s="23">
        <v>1.3660000000000001</v>
      </c>
      <c r="I328" s="23">
        <v>7.2329999999999997</v>
      </c>
      <c r="J328" s="23">
        <v>1.002</v>
      </c>
      <c r="K328" s="23">
        <v>9.9989999999999996E-4</v>
      </c>
    </row>
    <row r="329" spans="1:11">
      <c r="A329" s="15">
        <v>14</v>
      </c>
      <c r="B329" s="22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2.1000000000000001E-2</v>
      </c>
      <c r="H329" s="23">
        <v>5.0999999999999997E-2</v>
      </c>
      <c r="I329" s="23">
        <v>0.622</v>
      </c>
      <c r="J329" s="23">
        <v>7.2999999999999995E-2</v>
      </c>
      <c r="K329" s="23">
        <v>9.9989999999999996E-4</v>
      </c>
    </row>
    <row r="330" spans="1:11">
      <c r="A330" s="15">
        <v>5</v>
      </c>
      <c r="B330" s="22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1.2E-2</v>
      </c>
      <c r="H330" s="23">
        <v>9.9989999999999996E-4</v>
      </c>
      <c r="I330" s="23">
        <v>0.29399999999999998</v>
      </c>
      <c r="J330" s="23">
        <v>2.8000000000000001E-2</v>
      </c>
      <c r="K330" s="23">
        <v>9.9989999999999996E-4</v>
      </c>
    </row>
    <row r="331" spans="1:11">
      <c r="A331" s="15">
        <v>7</v>
      </c>
      <c r="B331" s="22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0.113</v>
      </c>
      <c r="H331" s="23">
        <v>9.9989999999999996E-4</v>
      </c>
      <c r="I331" s="23">
        <v>1.121</v>
      </c>
      <c r="J331" s="23">
        <v>1.2999999999999999E-2</v>
      </c>
      <c r="K331" s="23">
        <v>9.9989999999999996E-4</v>
      </c>
    </row>
    <row r="332" spans="1:11">
      <c r="A332" s="15">
        <v>14</v>
      </c>
      <c r="B332" s="22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2.1000000000000001E-2</v>
      </c>
      <c r="H332" s="23">
        <v>9.9989999999999996E-4</v>
      </c>
      <c r="I332" s="23">
        <v>0.17299999999999999</v>
      </c>
      <c r="J332" s="23">
        <v>6.0000000000000001E-3</v>
      </c>
      <c r="K332" s="23">
        <v>9.9989999999999996E-4</v>
      </c>
    </row>
    <row r="333" spans="1:11">
      <c r="A333" s="15">
        <v>5</v>
      </c>
      <c r="B333" s="22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0.13200000000000001</v>
      </c>
      <c r="H333" s="23">
        <v>9.9989999999999996E-4</v>
      </c>
      <c r="I333" s="23">
        <v>1.044</v>
      </c>
      <c r="J333" s="23">
        <v>2.7E-2</v>
      </c>
      <c r="K333" s="23">
        <v>9.9989999999999996E-4</v>
      </c>
    </row>
    <row r="334" spans="1:11">
      <c r="A334" s="15">
        <v>7</v>
      </c>
      <c r="B334" s="22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0.39</v>
      </c>
      <c r="H334" s="23">
        <v>9.9989999999999996E-4</v>
      </c>
      <c r="I334" s="23">
        <v>0.55700000000000005</v>
      </c>
      <c r="J334" s="23">
        <v>6.0000000000000001E-3</v>
      </c>
      <c r="K334" s="23">
        <v>9.9989999999999996E-4</v>
      </c>
    </row>
    <row r="335" spans="1:11">
      <c r="A335" s="15">
        <v>14</v>
      </c>
      <c r="B335" s="22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0.221</v>
      </c>
      <c r="H335" s="23">
        <v>9.9989999999999996E-4</v>
      </c>
      <c r="I335" s="23">
        <v>0.60099999999999998</v>
      </c>
      <c r="J335" s="23">
        <v>6.0000000000000001E-3</v>
      </c>
      <c r="K335" s="23">
        <v>9.9989999999999996E-4</v>
      </c>
    </row>
    <row r="336" spans="1:11">
      <c r="A336" s="15">
        <v>5</v>
      </c>
      <c r="B336" s="22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0.11899999999999999</v>
      </c>
      <c r="H336" s="23">
        <v>0.03</v>
      </c>
      <c r="I336" s="23">
        <v>1.1100000000000001</v>
      </c>
      <c r="J336" s="23">
        <v>4.2999999999999997E-2</v>
      </c>
      <c r="K336" s="23">
        <v>9.9989999999999996E-4</v>
      </c>
    </row>
    <row r="337" spans="1:11">
      <c r="A337" s="15">
        <v>7</v>
      </c>
      <c r="B337" s="22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0.20899999999999999</v>
      </c>
      <c r="H337" s="23">
        <v>9.9989999999999996E-4</v>
      </c>
      <c r="I337" s="23">
        <v>0.45600000000000002</v>
      </c>
      <c r="J337" s="23">
        <v>1.2999999999999999E-2</v>
      </c>
      <c r="K337" s="23">
        <v>9.9989999999999996E-4</v>
      </c>
    </row>
    <row r="338" spans="1:11">
      <c r="A338" s="15">
        <v>14</v>
      </c>
      <c r="B338" s="22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0.107</v>
      </c>
      <c r="H338" s="23">
        <v>9.9989999999999996E-4</v>
      </c>
      <c r="I338" s="23">
        <v>0.41899999999999998</v>
      </c>
      <c r="J338" s="23">
        <v>8.9999999999999993E-3</v>
      </c>
      <c r="K338" s="23">
        <v>9.9989999999999996E-4</v>
      </c>
    </row>
    <row r="339" spans="1:11">
      <c r="A339" s="12">
        <v>5</v>
      </c>
      <c r="B339" s="22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2.9000000000000001E-2</v>
      </c>
      <c r="H339" s="23">
        <v>1E-3</v>
      </c>
      <c r="I339" s="23">
        <v>1.0589999999999999</v>
      </c>
      <c r="J339" s="23">
        <v>0.02</v>
      </c>
      <c r="K339" s="23">
        <v>9.9989999999999996E-4</v>
      </c>
    </row>
    <row r="340" spans="1:11">
      <c r="A340" s="12">
        <v>7</v>
      </c>
      <c r="B340" s="22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0.112</v>
      </c>
      <c r="H340" s="23">
        <v>9.9989999999999996E-4</v>
      </c>
      <c r="I340" s="23">
        <v>1.1919999999999999</v>
      </c>
      <c r="J340" s="23">
        <v>1.9E-2</v>
      </c>
      <c r="K340" s="23">
        <v>9.9989999999999996E-4</v>
      </c>
    </row>
    <row r="341" spans="1:11">
      <c r="A341" s="12">
        <v>14</v>
      </c>
      <c r="B341" s="22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1.6E-2</v>
      </c>
      <c r="H341" s="23">
        <v>9.9989999999999996E-4</v>
      </c>
      <c r="I341" s="23">
        <v>1.127</v>
      </c>
      <c r="J341" s="23">
        <v>1.0999999999999999E-2</v>
      </c>
      <c r="K341" s="23">
        <v>9.9989999999999996E-4</v>
      </c>
    </row>
    <row r="342" spans="1:11">
      <c r="A342" s="12">
        <v>5</v>
      </c>
      <c r="B342" s="22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3.6999999999999998E-2</v>
      </c>
      <c r="H342" s="25">
        <v>2.5999999999999999E-2</v>
      </c>
      <c r="I342" s="25">
        <v>2.871</v>
      </c>
      <c r="J342" s="25">
        <v>4.7E-2</v>
      </c>
      <c r="K342" s="25">
        <v>9.9989999999999996E-4</v>
      </c>
    </row>
    <row r="343" spans="1:11">
      <c r="A343" s="12">
        <v>7</v>
      </c>
      <c r="B343" s="22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0.14599999999999999</v>
      </c>
      <c r="H343" s="25">
        <v>1E-3</v>
      </c>
      <c r="I343" s="25">
        <v>0.60499999999999998</v>
      </c>
      <c r="J343" s="25">
        <v>3.9E-2</v>
      </c>
      <c r="K343" s="25">
        <v>9.9989999999999996E-4</v>
      </c>
    </row>
    <row r="344" spans="1:11">
      <c r="A344" s="12">
        <v>14</v>
      </c>
      <c r="B344" s="22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0.08</v>
      </c>
      <c r="H344" s="25">
        <v>9.9989999999999996E-4</v>
      </c>
      <c r="I344" s="25">
        <v>0.498</v>
      </c>
      <c r="J344" s="25">
        <v>0.01</v>
      </c>
      <c r="K344" s="25">
        <v>9.9989999999999996E-4</v>
      </c>
    </row>
    <row r="345" spans="1:11">
      <c r="A345" s="12">
        <v>5</v>
      </c>
      <c r="B345" s="22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1.9E-2</v>
      </c>
      <c r="H345" s="25">
        <v>1E-3</v>
      </c>
      <c r="I345" s="25">
        <v>0.44500000000000001</v>
      </c>
      <c r="J345" s="25">
        <v>0.02</v>
      </c>
      <c r="K345" s="25">
        <v>9.9989999999999996E-4</v>
      </c>
    </row>
    <row r="346" spans="1:11">
      <c r="A346" s="12">
        <v>7</v>
      </c>
      <c r="B346" s="22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0.126</v>
      </c>
      <c r="H346" s="25">
        <v>9.9989999999999996E-4</v>
      </c>
      <c r="I346" s="25">
        <v>0.123</v>
      </c>
      <c r="J346" s="25">
        <v>1.0999999999999999E-2</v>
      </c>
      <c r="K346" s="25">
        <v>9.9989999999999996E-4</v>
      </c>
    </row>
    <row r="347" spans="1:11">
      <c r="A347" s="12">
        <v>14</v>
      </c>
      <c r="B347" s="22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1.4E-2</v>
      </c>
      <c r="H347" s="25">
        <v>9.9989999999999996E-4</v>
      </c>
      <c r="I347" s="25">
        <v>0.126</v>
      </c>
      <c r="J347" s="25">
        <v>1.4E-2</v>
      </c>
      <c r="K347" s="25">
        <v>9.9989999999999996E-4</v>
      </c>
    </row>
    <row r="348" spans="1:11">
      <c r="A348" s="12">
        <v>5</v>
      </c>
      <c r="B348" s="22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0.17699999999999999</v>
      </c>
      <c r="H348" s="25">
        <v>7.5999999999999998E-2</v>
      </c>
      <c r="I348" s="25">
        <v>0.65800000000000003</v>
      </c>
      <c r="J348" s="25">
        <v>2.8000000000000001E-2</v>
      </c>
      <c r="K348" s="25">
        <v>9.9989999999999996E-4</v>
      </c>
    </row>
    <row r="349" spans="1:11">
      <c r="A349" s="12">
        <v>7</v>
      </c>
      <c r="B349" s="22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6.7000000000000004E-2</v>
      </c>
      <c r="H349" s="25">
        <v>9.9989999999999996E-4</v>
      </c>
      <c r="I349" s="25">
        <v>0.35499999999999998</v>
      </c>
      <c r="J349" s="25">
        <v>5.0000000000000001E-3</v>
      </c>
      <c r="K349" s="25">
        <v>9.9989999999999996E-4</v>
      </c>
    </row>
    <row r="350" spans="1:11">
      <c r="A350" s="12">
        <v>14</v>
      </c>
      <c r="B350" s="22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1.2E-2</v>
      </c>
      <c r="H350" s="25">
        <v>9.9989999999999996E-4</v>
      </c>
      <c r="I350" s="25">
        <v>0.16900000000000001</v>
      </c>
      <c r="J350" s="25">
        <v>9.9989999999999996E-4</v>
      </c>
      <c r="K350" s="25">
        <v>9.9989999999999996E-4</v>
      </c>
    </row>
    <row r="351" spans="1:11">
      <c r="A351" s="15">
        <v>5</v>
      </c>
      <c r="B351" s="22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2.5999999999999999E-2</v>
      </c>
      <c r="H351" s="25">
        <v>2.5270000000000001</v>
      </c>
      <c r="I351" s="25">
        <v>9.5510000000000002</v>
      </c>
      <c r="J351" s="25">
        <v>0.42499999999999999</v>
      </c>
      <c r="K351" s="25">
        <v>8.9999999999999993E-3</v>
      </c>
    </row>
    <row r="352" spans="1:11">
      <c r="A352" s="15">
        <v>7</v>
      </c>
      <c r="B352" s="22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0.24099999999999999</v>
      </c>
      <c r="H352" s="25">
        <v>1E-3</v>
      </c>
      <c r="I352" s="25">
        <v>0.98899999999999999</v>
      </c>
      <c r="J352" s="25">
        <v>7.6999999999999999E-2</v>
      </c>
      <c r="K352" s="25">
        <v>9.9989999999999996E-4</v>
      </c>
    </row>
    <row r="353" spans="1:11">
      <c r="A353" s="15">
        <v>14</v>
      </c>
      <c r="B353" s="22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0.17399999999999999</v>
      </c>
      <c r="H353" s="25">
        <v>1E-3</v>
      </c>
      <c r="I353" s="25">
        <v>1.0549999999999999</v>
      </c>
      <c r="J353" s="25">
        <v>7.0999999999999994E-2</v>
      </c>
      <c r="K353" s="25">
        <v>9.9989999999999996E-4</v>
      </c>
    </row>
    <row r="354" spans="1:11">
      <c r="A354" s="15">
        <v>5</v>
      </c>
      <c r="B354" s="22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0.24299999999999999</v>
      </c>
      <c r="H354" s="25">
        <v>6.5000000000000002E-2</v>
      </c>
      <c r="I354" s="25">
        <v>1.788</v>
      </c>
      <c r="J354" s="25">
        <v>2.4020000000000001</v>
      </c>
      <c r="K354" s="25">
        <v>1E-3</v>
      </c>
    </row>
    <row r="355" spans="1:11">
      <c r="A355" s="15">
        <v>7</v>
      </c>
      <c r="B355" s="22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1.512</v>
      </c>
      <c r="H355" s="25">
        <v>1E-3</v>
      </c>
      <c r="I355" s="25">
        <v>1.2230000000000001</v>
      </c>
      <c r="J355" s="25">
        <v>0.114</v>
      </c>
      <c r="K355" s="25">
        <v>1E-3</v>
      </c>
    </row>
    <row r="356" spans="1:11">
      <c r="A356" s="15">
        <v>14</v>
      </c>
      <c r="B356" s="22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0.39900000000000002</v>
      </c>
      <c r="H356" s="25">
        <v>1E-3</v>
      </c>
      <c r="I356" s="25">
        <v>0.75800000000000001</v>
      </c>
      <c r="J356" s="25">
        <v>8.4000000000000005E-2</v>
      </c>
      <c r="K356" s="25">
        <v>6.0000000000000001E-3</v>
      </c>
    </row>
    <row r="357" spans="1:11">
      <c r="A357" s="15">
        <v>5</v>
      </c>
      <c r="B357" s="22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0.17100000000000001</v>
      </c>
      <c r="H357" s="25">
        <v>9.9989999999999996E-4</v>
      </c>
      <c r="I357" s="25">
        <v>3.2080000000000002</v>
      </c>
      <c r="J357" s="25">
        <v>1.3779999999999999</v>
      </c>
      <c r="K357" s="25">
        <v>1E-3</v>
      </c>
    </row>
    <row r="358" spans="1:11">
      <c r="A358" s="15">
        <v>7</v>
      </c>
      <c r="B358" s="22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21.587</v>
      </c>
      <c r="H358" s="25">
        <v>9.9989999999999996E-4</v>
      </c>
      <c r="I358" s="25">
        <v>2.2090000000000001</v>
      </c>
      <c r="J358" s="25">
        <v>0.64800000000000002</v>
      </c>
      <c r="K358" s="25">
        <v>9.9989999999999996E-4</v>
      </c>
    </row>
    <row r="359" spans="1:11">
      <c r="A359" s="15">
        <v>14</v>
      </c>
      <c r="B359" s="22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2.3130000000000002</v>
      </c>
      <c r="H359" s="25">
        <v>1E-3</v>
      </c>
      <c r="I359" s="25">
        <v>0.86599999999999999</v>
      </c>
      <c r="J359" s="25">
        <v>0.68</v>
      </c>
      <c r="K359" s="25">
        <v>9.9989999999999996E-4</v>
      </c>
    </row>
    <row r="360" spans="1:11">
      <c r="A360" s="15">
        <v>5</v>
      </c>
      <c r="B360" s="22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7.2999999999999995E-2</v>
      </c>
      <c r="H360" s="25">
        <v>1E-3</v>
      </c>
      <c r="I360" s="25">
        <v>1.6020000000000001</v>
      </c>
      <c r="J360" s="25">
        <v>0.17499999999999999</v>
      </c>
      <c r="K360" s="25">
        <v>9.9989999999999996E-4</v>
      </c>
    </row>
    <row r="361" spans="1:11">
      <c r="A361" s="15">
        <v>7</v>
      </c>
      <c r="B361" s="22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0.627</v>
      </c>
      <c r="H361" s="25">
        <v>1E-3</v>
      </c>
      <c r="I361" s="25">
        <v>3.0049999999999999</v>
      </c>
      <c r="J361" s="25">
        <v>0.16800000000000001</v>
      </c>
      <c r="K361" s="25">
        <v>9.9989999999999996E-4</v>
      </c>
    </row>
    <row r="362" spans="1:11">
      <c r="A362" s="15">
        <v>14</v>
      </c>
      <c r="B362" s="22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0.157</v>
      </c>
      <c r="H362" s="25">
        <v>9.9989999999999996E-4</v>
      </c>
      <c r="I362" s="25">
        <v>2.7149999999999999</v>
      </c>
      <c r="J362" s="25">
        <v>0.121</v>
      </c>
      <c r="K362" s="25">
        <v>9.9989999999999996E-4</v>
      </c>
    </row>
    <row r="363" spans="1:11">
      <c r="A363" s="15">
        <v>5</v>
      </c>
      <c r="B363" s="22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0.23499999999999999</v>
      </c>
      <c r="H363" s="25">
        <v>1E-3</v>
      </c>
      <c r="I363" s="25">
        <v>0.90900000000000003</v>
      </c>
      <c r="J363" s="25">
        <v>0.106</v>
      </c>
      <c r="K363" s="25">
        <v>9.9989999999999996E-4</v>
      </c>
    </row>
    <row r="364" spans="1:11">
      <c r="A364" s="15">
        <v>7</v>
      </c>
      <c r="B364" s="22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0.53200000000000003</v>
      </c>
      <c r="H364" s="25">
        <v>9.9989999999999996E-4</v>
      </c>
      <c r="I364" s="25">
        <v>0.36499999999999999</v>
      </c>
      <c r="J364" s="25">
        <v>1.2999999999999999E-2</v>
      </c>
      <c r="K364" s="25">
        <v>9.9989999999999996E-4</v>
      </c>
    </row>
    <row r="365" spans="1:11">
      <c r="A365" s="15">
        <v>14</v>
      </c>
      <c r="B365" s="22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2.8000000000000001E-2</v>
      </c>
      <c r="H365" s="25">
        <v>9.9989999999999996E-4</v>
      </c>
      <c r="I365" s="25">
        <v>0.115</v>
      </c>
      <c r="J365" s="25">
        <v>4.0000000000000001E-3</v>
      </c>
      <c r="K365" s="25">
        <v>9.9989999999999996E-4</v>
      </c>
    </row>
    <row r="366" spans="1:11">
      <c r="A366" s="15">
        <v>5</v>
      </c>
      <c r="B366" s="22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0.153</v>
      </c>
      <c r="H366" s="25">
        <v>9.9989999999999996E-4</v>
      </c>
      <c r="I366" s="25">
        <v>0.90100000000000002</v>
      </c>
      <c r="J366" s="25">
        <v>3.2000000000000001E-2</v>
      </c>
      <c r="K366" s="25">
        <v>9.9989999999999996E-4</v>
      </c>
    </row>
    <row r="367" spans="1:11">
      <c r="A367" s="15">
        <v>7</v>
      </c>
      <c r="B367" s="22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5.2999999999999999E-2</v>
      </c>
      <c r="H367" s="25">
        <v>9.9989999999999996E-4</v>
      </c>
      <c r="I367" s="25">
        <v>0.46500000000000002</v>
      </c>
      <c r="J367" s="25">
        <v>1.6E-2</v>
      </c>
      <c r="K367" s="25">
        <v>9.9989999999999996E-4</v>
      </c>
    </row>
    <row r="368" spans="1:11">
      <c r="A368" s="15">
        <v>14</v>
      </c>
      <c r="B368" s="22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0.24299999999999999</v>
      </c>
      <c r="H368" s="25">
        <v>9.9989999999999996E-4</v>
      </c>
      <c r="I368" s="25">
        <v>0.49199999999999999</v>
      </c>
      <c r="J368" s="25">
        <v>1.6E-2</v>
      </c>
      <c r="K368" s="25">
        <v>9.9989999999999996E-4</v>
      </c>
    </row>
    <row r="369" spans="1:11">
      <c r="A369" s="15">
        <v>5</v>
      </c>
      <c r="B369" s="22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0.14199999999999999</v>
      </c>
      <c r="H369" s="25">
        <v>9.9989999999999996E-4</v>
      </c>
      <c r="I369" s="25">
        <v>0.33500000000000002</v>
      </c>
      <c r="J369" s="25">
        <v>1.0999999999999999E-2</v>
      </c>
      <c r="K369" s="25">
        <v>9.9989999999999996E-4</v>
      </c>
    </row>
    <row r="370" spans="1:11">
      <c r="A370" s="15">
        <v>7</v>
      </c>
      <c r="B370" s="22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0.91400000000000003</v>
      </c>
      <c r="H370" s="25">
        <v>9.9989999999999996E-4</v>
      </c>
      <c r="I370" s="25">
        <v>0.182</v>
      </c>
      <c r="J370" s="25">
        <v>9.9989999999999996E-4</v>
      </c>
      <c r="K370" s="25">
        <v>9.9989999999999996E-4</v>
      </c>
    </row>
    <row r="371" spans="1:11">
      <c r="A371" s="15">
        <v>14</v>
      </c>
      <c r="B371" s="22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0.122</v>
      </c>
      <c r="H371" s="25">
        <v>9.9989999999999996E-4</v>
      </c>
      <c r="I371" s="25">
        <v>0.29199999999999998</v>
      </c>
      <c r="J371" s="25">
        <v>1.0999999999999999E-2</v>
      </c>
      <c r="K371" s="25">
        <v>9.9989999999999996E-4</v>
      </c>
    </row>
    <row r="372" spans="1:11">
      <c r="A372" s="15">
        <v>5</v>
      </c>
      <c r="B372" s="18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0.10845374999999999</v>
      </c>
      <c r="H372" s="27">
        <v>0</v>
      </c>
      <c r="I372" s="27">
        <v>2.1161322500000002</v>
      </c>
      <c r="J372" s="27">
        <v>1.8650875000000001E-2</v>
      </c>
      <c r="K372" s="27">
        <v>0</v>
      </c>
    </row>
    <row r="373" spans="1:11">
      <c r="A373" s="15">
        <v>7</v>
      </c>
      <c r="B373" s="18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0.93845649999999992</v>
      </c>
      <c r="H373" s="27">
        <v>0</v>
      </c>
      <c r="I373" s="27">
        <v>1.9298513749999997</v>
      </c>
      <c r="J373" s="27">
        <v>3.131925E-2</v>
      </c>
      <c r="K373" s="27">
        <v>0</v>
      </c>
    </row>
    <row r="374" spans="1:11">
      <c r="A374" s="15">
        <v>14</v>
      </c>
      <c r="B374" s="18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0.40216225</v>
      </c>
      <c r="H374" s="27">
        <v>0</v>
      </c>
      <c r="I374" s="27">
        <v>2.0735423750000002</v>
      </c>
      <c r="J374" s="27">
        <v>2.5784874999999995E-2</v>
      </c>
      <c r="K374" s="27">
        <v>0</v>
      </c>
    </row>
    <row r="375" spans="1:11">
      <c r="A375" s="15">
        <v>5</v>
      </c>
      <c r="B375" s="18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0</v>
      </c>
      <c r="H375" s="27">
        <v>0</v>
      </c>
      <c r="I375" s="27">
        <v>0.24730362499999997</v>
      </c>
      <c r="J375" s="27">
        <v>1.0569124999999999E-2</v>
      </c>
      <c r="K375" s="27">
        <v>0</v>
      </c>
    </row>
    <row r="376" spans="1:11">
      <c r="A376" s="15">
        <v>7</v>
      </c>
      <c r="B376" s="18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2.8400125000000002E-2</v>
      </c>
      <c r="H376" s="27">
        <v>0</v>
      </c>
      <c r="I376" s="27">
        <v>0.57884674999999997</v>
      </c>
      <c r="J376" s="27">
        <v>1.987125E-2</v>
      </c>
      <c r="K376" s="27">
        <v>0</v>
      </c>
    </row>
    <row r="377" spans="1:11">
      <c r="A377" s="15">
        <v>14</v>
      </c>
      <c r="B377" s="18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6.1096624999999995E-2</v>
      </c>
      <c r="H377" s="27">
        <v>0</v>
      </c>
      <c r="I377" s="27">
        <v>0.81133712499999999</v>
      </c>
      <c r="J377" s="27">
        <v>0.12589762500000001</v>
      </c>
      <c r="K377" s="27">
        <v>0</v>
      </c>
    </row>
    <row r="378" spans="1:11">
      <c r="A378" s="15">
        <v>5</v>
      </c>
      <c r="B378" s="18">
        <v>40254</v>
      </c>
      <c r="C378" s="15">
        <v>2010</v>
      </c>
      <c r="D378" s="11" t="s">
        <v>30</v>
      </c>
      <c r="E378" s="15">
        <v>3</v>
      </c>
      <c r="F378" s="26">
        <v>8.8989999999999991</v>
      </c>
      <c r="G378" s="27">
        <v>0</v>
      </c>
      <c r="H378" s="27">
        <v>0</v>
      </c>
      <c r="I378" s="27">
        <v>4.0875958749999999</v>
      </c>
      <c r="J378" s="27">
        <v>7.2606500000000004E-2</v>
      </c>
      <c r="K378" s="27">
        <v>0</v>
      </c>
    </row>
    <row r="379" spans="1:11">
      <c r="A379" s="15">
        <v>7</v>
      </c>
      <c r="B379" s="18">
        <v>40255</v>
      </c>
      <c r="C379" s="15">
        <v>2010</v>
      </c>
      <c r="D379" s="11" t="s">
        <v>30</v>
      </c>
      <c r="E379" s="15">
        <v>3</v>
      </c>
      <c r="F379" s="26">
        <v>6.4260000000000002</v>
      </c>
      <c r="G379" s="27">
        <v>0.24068562499999996</v>
      </c>
      <c r="H379" s="27">
        <v>0</v>
      </c>
      <c r="I379" s="27">
        <v>2.8043326249999994</v>
      </c>
      <c r="J379" s="27">
        <v>4.5634124999999991E-2</v>
      </c>
      <c r="K379" s="27">
        <v>0</v>
      </c>
    </row>
    <row r="380" spans="1:11">
      <c r="A380" s="15">
        <v>14</v>
      </c>
      <c r="B380" s="18">
        <v>40255</v>
      </c>
      <c r="C380" s="15">
        <v>2010</v>
      </c>
      <c r="D380" s="11" t="s">
        <v>30</v>
      </c>
      <c r="E380" s="15">
        <v>3</v>
      </c>
      <c r="F380" s="26">
        <v>6.8689999999999998</v>
      </c>
      <c r="G380" s="27">
        <v>5.786100000000001E-2</v>
      </c>
      <c r="H380" s="27">
        <v>0</v>
      </c>
      <c r="I380" s="27">
        <v>3.1748804999999996</v>
      </c>
      <c r="J380" s="27">
        <v>5.1597124999999987E-2</v>
      </c>
      <c r="K380" s="27">
        <v>0</v>
      </c>
    </row>
    <row r="381" spans="1:11">
      <c r="A381" s="15">
        <v>5</v>
      </c>
      <c r="B381" s="18">
        <v>40280</v>
      </c>
      <c r="C381" s="15">
        <v>2010</v>
      </c>
      <c r="D381" s="11" t="s">
        <v>31</v>
      </c>
      <c r="E381" s="15">
        <v>4</v>
      </c>
      <c r="F381" s="26">
        <v>4.75</v>
      </c>
      <c r="G381" s="27">
        <v>0</v>
      </c>
      <c r="H381" s="27">
        <v>0</v>
      </c>
      <c r="I381" s="27">
        <v>1.8462666249999997</v>
      </c>
      <c r="J381" s="27">
        <v>3.9953000000000002E-2</v>
      </c>
      <c r="K381" s="27">
        <v>0</v>
      </c>
    </row>
    <row r="382" spans="1:11">
      <c r="A382" s="15">
        <v>7</v>
      </c>
      <c r="B382" s="18">
        <v>40281</v>
      </c>
      <c r="C382" s="15">
        <v>2010</v>
      </c>
      <c r="D382" s="11" t="s">
        <v>31</v>
      </c>
      <c r="E382" s="15">
        <v>4</v>
      </c>
      <c r="F382" s="26">
        <v>3.3580000000000001</v>
      </c>
      <c r="G382" s="27">
        <v>0</v>
      </c>
      <c r="H382" s="27">
        <v>0</v>
      </c>
      <c r="I382" s="27">
        <v>1.0767918749999998</v>
      </c>
      <c r="J382" s="27">
        <v>1.4734250000000001E-2</v>
      </c>
      <c r="K382" s="27">
        <v>0</v>
      </c>
    </row>
    <row r="383" spans="1:11">
      <c r="A383" s="15">
        <v>14</v>
      </c>
      <c r="B383" s="18">
        <v>40281</v>
      </c>
      <c r="C383" s="15">
        <v>2010</v>
      </c>
      <c r="D383" s="11" t="s">
        <v>31</v>
      </c>
      <c r="E383" s="15">
        <v>4</v>
      </c>
      <c r="F383" s="26">
        <v>1.8879999999999999</v>
      </c>
      <c r="G383" s="27">
        <v>0</v>
      </c>
      <c r="H383" s="27">
        <v>0</v>
      </c>
      <c r="I383" s="27">
        <v>0.73453087500000003</v>
      </c>
      <c r="J383" s="27">
        <v>9.2835000000000001E-3</v>
      </c>
      <c r="K383" s="27">
        <v>0</v>
      </c>
    </row>
    <row r="384" spans="1:11">
      <c r="A384" s="15">
        <v>5</v>
      </c>
      <c r="B384" s="22">
        <v>40315</v>
      </c>
      <c r="C384" s="15">
        <v>2010</v>
      </c>
      <c r="D384" s="11" t="s">
        <v>32</v>
      </c>
      <c r="E384" s="15">
        <v>5</v>
      </c>
      <c r="F384" s="28">
        <v>10.981999999999999</v>
      </c>
      <c r="G384" s="27">
        <v>0.11020962499999999</v>
      </c>
      <c r="H384" s="27">
        <v>0.78130937499999997</v>
      </c>
      <c r="I384" s="27">
        <v>5.9627123749999988</v>
      </c>
      <c r="J384" s="27">
        <v>0.30643087499999999</v>
      </c>
      <c r="K384" s="27">
        <v>4.6456499999999991E-2</v>
      </c>
    </row>
    <row r="385" spans="1:11">
      <c r="A385" s="15">
        <v>7</v>
      </c>
      <c r="B385" s="22">
        <v>40317</v>
      </c>
      <c r="C385" s="15">
        <v>2010</v>
      </c>
      <c r="D385" s="11" t="s">
        <v>32</v>
      </c>
      <c r="E385" s="15">
        <v>5</v>
      </c>
      <c r="F385" s="28">
        <v>5.1840000000000002</v>
      </c>
      <c r="G385" s="27">
        <v>2.2408749999999998E-2</v>
      </c>
      <c r="H385" s="27">
        <v>0</v>
      </c>
      <c r="I385" s="27">
        <v>1.84562575</v>
      </c>
      <c r="J385" s="27">
        <v>6.9797999999999999E-2</v>
      </c>
      <c r="K385" s="27">
        <v>0</v>
      </c>
    </row>
    <row r="386" spans="1:11">
      <c r="A386" s="15">
        <v>14</v>
      </c>
      <c r="B386" s="22">
        <v>40317</v>
      </c>
      <c r="C386" s="15">
        <v>2010</v>
      </c>
      <c r="D386" s="11" t="s">
        <v>32</v>
      </c>
      <c r="E386" s="15">
        <v>5</v>
      </c>
      <c r="F386" s="28">
        <v>5.593</v>
      </c>
      <c r="G386" s="27">
        <v>0</v>
      </c>
      <c r="H386" s="27">
        <v>0.41625099999999998</v>
      </c>
      <c r="I386" s="27">
        <v>3.6885853750000002</v>
      </c>
      <c r="J386" s="27">
        <v>0.104687</v>
      </c>
      <c r="K386" s="27">
        <v>0</v>
      </c>
    </row>
    <row r="387" spans="1:11">
      <c r="A387" s="15">
        <v>5</v>
      </c>
      <c r="B387" s="22">
        <v>40344</v>
      </c>
      <c r="C387" s="15">
        <v>2010</v>
      </c>
      <c r="D387" s="11" t="s">
        <v>33</v>
      </c>
      <c r="E387" s="15">
        <v>6</v>
      </c>
      <c r="F387" s="28">
        <v>12.042999999999999</v>
      </c>
      <c r="G387" s="27">
        <v>0.217636625</v>
      </c>
      <c r="H387" s="27">
        <v>7.7362874999999998E-2</v>
      </c>
      <c r="I387" s="27">
        <v>2.8146417499999994</v>
      </c>
      <c r="J387" s="27">
        <v>1.8276483750000001</v>
      </c>
      <c r="K387" s="27">
        <v>0</v>
      </c>
    </row>
    <row r="388" spans="1:11">
      <c r="A388" s="15">
        <v>7</v>
      </c>
      <c r="B388" s="22">
        <v>40345</v>
      </c>
      <c r="C388" s="15">
        <v>2010</v>
      </c>
      <c r="D388" s="11" t="s">
        <v>33</v>
      </c>
      <c r="E388" s="15">
        <v>6</v>
      </c>
      <c r="F388" s="28">
        <v>20.408999999999999</v>
      </c>
      <c r="G388" s="27">
        <v>1.351972</v>
      </c>
      <c r="H388" s="27">
        <v>0</v>
      </c>
      <c r="I388" s="27">
        <v>5.1326553749999997</v>
      </c>
      <c r="J388" s="27">
        <v>1.016601375</v>
      </c>
      <c r="K388" s="27">
        <v>0</v>
      </c>
    </row>
    <row r="389" spans="1:11">
      <c r="A389" s="15">
        <v>14</v>
      </c>
      <c r="B389" s="22">
        <v>40345</v>
      </c>
      <c r="C389" s="15">
        <v>2010</v>
      </c>
      <c r="D389" s="11" t="s">
        <v>33</v>
      </c>
      <c r="E389" s="15">
        <v>6</v>
      </c>
      <c r="F389" s="28">
        <v>9.24</v>
      </c>
      <c r="G389" s="27">
        <v>0.29088724999999993</v>
      </c>
      <c r="H389" s="27">
        <v>4.1124750000000002E-2</v>
      </c>
      <c r="I389" s="27">
        <v>3.2435036249999993</v>
      </c>
      <c r="J389" s="27">
        <v>0.6658504999999999</v>
      </c>
      <c r="K389" s="27">
        <v>0</v>
      </c>
    </row>
    <row r="390" spans="1:11">
      <c r="A390" s="15">
        <v>5</v>
      </c>
      <c r="B390" s="22">
        <v>40373</v>
      </c>
      <c r="C390" s="15">
        <v>2010</v>
      </c>
      <c r="D390" s="11" t="s">
        <v>34</v>
      </c>
      <c r="E390" s="15">
        <v>7</v>
      </c>
      <c r="F390" s="28">
        <v>19.992000000000001</v>
      </c>
      <c r="G390" s="27">
        <v>0.46416337499999988</v>
      </c>
      <c r="H390" s="27">
        <v>0</v>
      </c>
      <c r="I390" s="27">
        <v>6.6997863749999995</v>
      </c>
      <c r="J390" s="27">
        <v>1.815882625</v>
      </c>
      <c r="K390" s="27">
        <v>0</v>
      </c>
    </row>
    <row r="391" spans="1:11">
      <c r="A391" s="15">
        <v>7</v>
      </c>
      <c r="B391" s="22">
        <v>40373</v>
      </c>
      <c r="C391" s="15">
        <v>2010</v>
      </c>
      <c r="D391" s="11" t="s">
        <v>34</v>
      </c>
      <c r="E391" s="15">
        <v>7</v>
      </c>
      <c r="F391" s="28">
        <v>18.753</v>
      </c>
      <c r="G391" s="27">
        <v>2.5273604999999999</v>
      </c>
      <c r="H391" s="27">
        <v>0</v>
      </c>
      <c r="I391" s="27">
        <v>3.9464158750000005</v>
      </c>
      <c r="J391" s="27">
        <v>0.95053212499999984</v>
      </c>
      <c r="K391" s="27">
        <v>0</v>
      </c>
    </row>
    <row r="392" spans="1:11">
      <c r="A392" s="15">
        <v>14</v>
      </c>
      <c r="B392" s="22">
        <v>40373</v>
      </c>
      <c r="C392" s="15">
        <v>2010</v>
      </c>
      <c r="D392" s="11" t="s">
        <v>34</v>
      </c>
      <c r="E392" s="15">
        <v>7</v>
      </c>
      <c r="F392" s="28">
        <v>11.59</v>
      </c>
      <c r="G392" s="27">
        <v>1.7816926250000003</v>
      </c>
      <c r="H392" s="27">
        <v>6.2762249999999992E-2</v>
      </c>
      <c r="I392" s="27">
        <v>2.7829877499999998</v>
      </c>
      <c r="J392" s="27">
        <v>0.47947275000000006</v>
      </c>
      <c r="K392" s="27">
        <v>0</v>
      </c>
    </row>
    <row r="393" spans="1:11">
      <c r="A393" s="15">
        <v>5</v>
      </c>
      <c r="B393" s="22">
        <v>40407</v>
      </c>
      <c r="C393" s="15">
        <v>2010</v>
      </c>
      <c r="D393" s="11" t="s">
        <v>35</v>
      </c>
      <c r="E393" s="15">
        <v>8</v>
      </c>
      <c r="F393" s="28">
        <v>22.228999999999999</v>
      </c>
      <c r="G393" s="27">
        <v>0.22649762500000001</v>
      </c>
      <c r="H393" s="27">
        <v>0</v>
      </c>
      <c r="I393" s="27">
        <v>10.618617499999999</v>
      </c>
      <c r="J393" s="27">
        <v>0.78608512500000005</v>
      </c>
      <c r="K393" s="27">
        <v>0</v>
      </c>
    </row>
    <row r="394" spans="1:11">
      <c r="A394" s="15">
        <v>7</v>
      </c>
      <c r="B394" s="22">
        <v>40409</v>
      </c>
      <c r="C394" s="15">
        <v>2010</v>
      </c>
      <c r="D394" s="11" t="s">
        <v>35</v>
      </c>
      <c r="E394" s="15">
        <v>8</v>
      </c>
      <c r="F394" s="28">
        <v>27.542000000000002</v>
      </c>
      <c r="G394" s="27">
        <v>0.80496900000000005</v>
      </c>
      <c r="H394" s="27">
        <v>0.10209412499999999</v>
      </c>
      <c r="I394" s="27">
        <v>9.4689682500000014</v>
      </c>
      <c r="J394" s="27">
        <v>1.1436459999999999</v>
      </c>
      <c r="K394" s="27">
        <v>0</v>
      </c>
    </row>
    <row r="395" spans="1:11">
      <c r="A395" s="15">
        <v>14</v>
      </c>
      <c r="B395" s="22">
        <v>40409</v>
      </c>
      <c r="C395" s="15">
        <v>2010</v>
      </c>
      <c r="D395" s="11" t="s">
        <v>35</v>
      </c>
      <c r="E395" s="15">
        <v>8</v>
      </c>
      <c r="F395" s="28">
        <v>10.205</v>
      </c>
      <c r="G395" s="27">
        <v>0.14675425</v>
      </c>
      <c r="H395" s="27">
        <v>3.8677375E-2</v>
      </c>
      <c r="I395" s="27">
        <v>4.5684318749999999</v>
      </c>
      <c r="J395" s="27">
        <v>0.45202224999999996</v>
      </c>
      <c r="K395" s="27">
        <v>0</v>
      </c>
    </row>
    <row r="396" spans="1:11">
      <c r="A396" s="15">
        <v>5</v>
      </c>
      <c r="B396" s="22">
        <v>40436</v>
      </c>
      <c r="C396" s="15">
        <v>2010</v>
      </c>
      <c r="D396" s="11" t="s">
        <v>41</v>
      </c>
      <c r="E396" s="15">
        <v>9</v>
      </c>
      <c r="F396" s="28">
        <v>12.015000000000001</v>
      </c>
      <c r="G396" s="27">
        <v>3.435125E-2</v>
      </c>
      <c r="H396" s="27">
        <v>0</v>
      </c>
      <c r="I396" s="27">
        <v>5.568946875</v>
      </c>
      <c r="J396" s="27">
        <v>0.61067950000000004</v>
      </c>
      <c r="K396" s="27">
        <v>0</v>
      </c>
    </row>
    <row r="397" spans="1:11">
      <c r="A397" s="15">
        <v>7</v>
      </c>
      <c r="B397" s="22">
        <v>40434</v>
      </c>
      <c r="C397" s="15">
        <v>2010</v>
      </c>
      <c r="D397" s="11" t="s">
        <v>41</v>
      </c>
      <c r="E397" s="15">
        <v>9</v>
      </c>
      <c r="F397" s="28">
        <v>13.039</v>
      </c>
      <c r="G397" s="27">
        <v>0.116666625</v>
      </c>
      <c r="H397" s="27">
        <v>0</v>
      </c>
      <c r="I397" s="27">
        <v>4.1098281249999991</v>
      </c>
      <c r="J397" s="27">
        <v>1.0853846249999999</v>
      </c>
      <c r="K397" s="27">
        <v>0</v>
      </c>
    </row>
    <row r="398" spans="1:11">
      <c r="A398" s="15">
        <v>14</v>
      </c>
      <c r="B398" s="22">
        <v>40434</v>
      </c>
      <c r="C398" s="15">
        <v>2010</v>
      </c>
      <c r="D398" s="11" t="s">
        <v>41</v>
      </c>
      <c r="E398" s="15">
        <v>9</v>
      </c>
      <c r="F398" s="28">
        <v>9.4990000000000006</v>
      </c>
      <c r="G398" s="27">
        <v>0.108947875</v>
      </c>
      <c r="H398" s="27">
        <v>0</v>
      </c>
      <c r="I398" s="27">
        <v>3.8653642499999994</v>
      </c>
      <c r="J398" s="27">
        <v>0.40666924999999998</v>
      </c>
      <c r="K398" s="27">
        <v>0</v>
      </c>
    </row>
    <row r="399" spans="1:11">
      <c r="A399" s="15">
        <v>5</v>
      </c>
      <c r="B399" s="22">
        <v>40464</v>
      </c>
      <c r="C399" s="15">
        <v>2010</v>
      </c>
      <c r="D399" s="11" t="s">
        <v>37</v>
      </c>
      <c r="E399" s="15">
        <v>10</v>
      </c>
      <c r="F399" s="26">
        <v>9.34</v>
      </c>
      <c r="G399" s="27">
        <v>0</v>
      </c>
      <c r="H399" s="27">
        <v>0</v>
      </c>
      <c r="I399" s="27">
        <v>4.9518684999999998</v>
      </c>
      <c r="J399" s="27">
        <v>0.134397875</v>
      </c>
      <c r="K399" s="27">
        <v>0</v>
      </c>
    </row>
    <row r="400" spans="1:11">
      <c r="A400" s="15">
        <v>7</v>
      </c>
      <c r="B400" s="22">
        <v>40463</v>
      </c>
      <c r="C400" s="15">
        <v>2010</v>
      </c>
      <c r="D400" s="11" t="s">
        <v>37</v>
      </c>
      <c r="E400" s="15">
        <v>10</v>
      </c>
      <c r="F400" s="26">
        <v>6.4480000000000004</v>
      </c>
      <c r="G400" s="27">
        <v>0.10507362499999999</v>
      </c>
      <c r="H400" s="27">
        <v>0</v>
      </c>
      <c r="I400" s="27">
        <v>0.8413402499999999</v>
      </c>
      <c r="J400" s="27">
        <v>7.4481749999999985E-2</v>
      </c>
      <c r="K400" s="27">
        <v>0</v>
      </c>
    </row>
    <row r="401" spans="1:11">
      <c r="A401" s="15">
        <v>14</v>
      </c>
      <c r="B401" s="22">
        <v>40463</v>
      </c>
      <c r="C401" s="15">
        <v>2010</v>
      </c>
      <c r="D401" s="11" t="s">
        <v>37</v>
      </c>
      <c r="E401" s="15">
        <v>10</v>
      </c>
      <c r="F401" s="26">
        <v>4.7690000000000001</v>
      </c>
      <c r="G401" s="27">
        <v>0.18988974999999997</v>
      </c>
      <c r="H401" s="27">
        <v>0</v>
      </c>
      <c r="I401" s="27">
        <v>0.49372649999999996</v>
      </c>
      <c r="J401" s="27">
        <v>3.1894749999999993E-2</v>
      </c>
      <c r="K401" s="27">
        <v>0</v>
      </c>
    </row>
    <row r="402" spans="1:11">
      <c r="A402" s="15">
        <v>5</v>
      </c>
      <c r="B402" s="22">
        <v>40498</v>
      </c>
      <c r="C402" s="15">
        <v>2010</v>
      </c>
      <c r="D402" s="11" t="s">
        <v>38</v>
      </c>
      <c r="E402" s="15">
        <v>11</v>
      </c>
      <c r="F402" s="26">
        <v>2.137</v>
      </c>
      <c r="G402" s="27">
        <v>5.6293500000000003E-2</v>
      </c>
      <c r="H402" s="27">
        <v>0</v>
      </c>
      <c r="I402" s="27">
        <v>0.68102937500000005</v>
      </c>
      <c r="J402" s="27">
        <v>4.5823375E-2</v>
      </c>
      <c r="K402" s="27">
        <v>0</v>
      </c>
    </row>
    <row r="403" spans="1:11">
      <c r="A403" s="15">
        <v>7</v>
      </c>
      <c r="B403" s="22">
        <v>40500</v>
      </c>
      <c r="C403" s="15">
        <v>2010</v>
      </c>
      <c r="D403" s="11" t="s">
        <v>38</v>
      </c>
      <c r="E403" s="15">
        <v>11</v>
      </c>
      <c r="F403" s="26">
        <v>3.3730000000000002</v>
      </c>
      <c r="G403" s="27">
        <v>0</v>
      </c>
      <c r="H403" s="27">
        <v>0</v>
      </c>
      <c r="I403" s="27">
        <v>0.62349675000000016</v>
      </c>
      <c r="J403" s="27">
        <v>1.4340124999999999E-2</v>
      </c>
      <c r="K403" s="27">
        <v>0</v>
      </c>
    </row>
    <row r="404" spans="1:11">
      <c r="A404" s="15">
        <v>14</v>
      </c>
      <c r="B404" s="22">
        <v>40500</v>
      </c>
      <c r="C404" s="15">
        <v>2010</v>
      </c>
      <c r="D404" s="11" t="s">
        <v>38</v>
      </c>
      <c r="E404" s="15">
        <v>11</v>
      </c>
      <c r="F404" s="26">
        <v>2.2999999999999998</v>
      </c>
      <c r="G404" s="27">
        <v>2.1414374999999999E-2</v>
      </c>
      <c r="H404" s="27">
        <v>0</v>
      </c>
      <c r="I404" s="27">
        <v>0.24862725000000005</v>
      </c>
      <c r="J404" s="27">
        <v>0</v>
      </c>
      <c r="K404" s="27">
        <v>0</v>
      </c>
    </row>
    <row r="405" spans="1:11">
      <c r="A405" s="15">
        <v>5</v>
      </c>
      <c r="B405" s="22">
        <v>40520</v>
      </c>
      <c r="C405" s="15">
        <v>2010</v>
      </c>
      <c r="D405" s="11" t="s">
        <v>39</v>
      </c>
      <c r="E405" s="15">
        <v>12</v>
      </c>
      <c r="F405" s="26">
        <v>1.663</v>
      </c>
      <c r="G405" s="27">
        <v>3.9588999999999999E-2</v>
      </c>
      <c r="H405" s="27">
        <v>1.5008374999999999E-2</v>
      </c>
      <c r="I405" s="27">
        <v>0.40279074999999992</v>
      </c>
      <c r="J405" s="27">
        <v>1.5297624999999999E-2</v>
      </c>
      <c r="K405" s="27">
        <v>0</v>
      </c>
    </row>
    <row r="406" spans="1:11">
      <c r="A406" s="15">
        <v>7</v>
      </c>
      <c r="B406" s="22">
        <v>40521</v>
      </c>
      <c r="C406" s="15">
        <v>2010</v>
      </c>
      <c r="D406" s="11" t="s">
        <v>39</v>
      </c>
      <c r="E406" s="15">
        <v>12</v>
      </c>
      <c r="F406" s="26">
        <v>0.93799999999999994</v>
      </c>
      <c r="G406" s="27">
        <v>7.1696250000000003E-2</v>
      </c>
      <c r="H406" s="27">
        <v>0</v>
      </c>
      <c r="I406" s="27">
        <v>9.4418125000000006E-2</v>
      </c>
      <c r="J406" s="27">
        <v>0</v>
      </c>
      <c r="K406" s="27">
        <v>0</v>
      </c>
    </row>
    <row r="407" spans="1:11">
      <c r="A407" s="15">
        <v>14</v>
      </c>
      <c r="B407" s="22">
        <v>40521</v>
      </c>
      <c r="C407" s="15">
        <v>2010</v>
      </c>
      <c r="D407" s="11" t="s">
        <v>39</v>
      </c>
      <c r="E407" s="15">
        <v>12</v>
      </c>
      <c r="F407" s="26">
        <v>0.92800000000000005</v>
      </c>
      <c r="G407" s="27">
        <v>5.0569874999999993E-2</v>
      </c>
      <c r="H407" s="27">
        <v>0</v>
      </c>
      <c r="I407" s="27">
        <v>0.13119925000000002</v>
      </c>
      <c r="J407" s="27">
        <v>0</v>
      </c>
      <c r="K407" s="27">
        <v>0</v>
      </c>
    </row>
    <row r="408" spans="1:11">
      <c r="A408" s="15">
        <v>5</v>
      </c>
      <c r="B408" s="22">
        <v>40562</v>
      </c>
      <c r="C408" s="15">
        <v>2011</v>
      </c>
      <c r="D408" s="11" t="s">
        <v>40</v>
      </c>
      <c r="E408" s="15">
        <v>1</v>
      </c>
      <c r="F408" s="26">
        <v>4.2149999999999999</v>
      </c>
      <c r="G408" s="27">
        <v>7.4409875E-2</v>
      </c>
      <c r="H408" s="27">
        <v>0</v>
      </c>
      <c r="I408" s="27">
        <v>1.3021268749999997</v>
      </c>
      <c r="J408" s="27">
        <v>1.6983874999999996E-2</v>
      </c>
      <c r="K408" s="27">
        <v>0</v>
      </c>
    </row>
    <row r="409" spans="1:11">
      <c r="A409" s="15">
        <v>7</v>
      </c>
      <c r="B409" s="22">
        <v>40563</v>
      </c>
      <c r="C409" s="15">
        <v>2011</v>
      </c>
      <c r="D409" s="11" t="s">
        <v>40</v>
      </c>
      <c r="E409" s="15">
        <v>1</v>
      </c>
      <c r="F409" s="26">
        <v>3.4990000000000001</v>
      </c>
      <c r="G409" s="27">
        <v>0.20002887499999999</v>
      </c>
      <c r="H409" s="27">
        <v>0</v>
      </c>
      <c r="I409" s="27">
        <v>0.92987399999999998</v>
      </c>
      <c r="J409" s="27">
        <v>3.193062499999999E-2</v>
      </c>
      <c r="K409" s="27">
        <v>0</v>
      </c>
    </row>
    <row r="410" spans="1:11">
      <c r="A410" s="15">
        <v>14</v>
      </c>
      <c r="B410" s="22">
        <v>40563</v>
      </c>
      <c r="C410" s="15">
        <v>2011</v>
      </c>
      <c r="D410" s="11" t="s">
        <v>40</v>
      </c>
      <c r="E410" s="15">
        <v>1</v>
      </c>
      <c r="F410" s="26">
        <v>2.98</v>
      </c>
      <c r="G410" s="27">
        <v>9.2050000000000007E-2</v>
      </c>
      <c r="H410" s="27">
        <v>0</v>
      </c>
      <c r="I410" s="27">
        <v>0.82746724999999977</v>
      </c>
      <c r="J410" s="27">
        <v>2.3532374999999998E-2</v>
      </c>
      <c r="K410" s="27">
        <v>0</v>
      </c>
    </row>
    <row r="411" spans="1:11">
      <c r="A411" s="15">
        <v>5</v>
      </c>
      <c r="B411" s="22">
        <v>40591</v>
      </c>
      <c r="C411" s="15">
        <v>2011</v>
      </c>
      <c r="D411" s="11" t="s">
        <v>29</v>
      </c>
      <c r="E411" s="15">
        <v>2</v>
      </c>
      <c r="F411" s="26">
        <v>1.84</v>
      </c>
      <c r="G411" s="27">
        <v>7.9073874999999988E-2</v>
      </c>
      <c r="H411" s="27">
        <v>0</v>
      </c>
      <c r="I411" s="27">
        <v>0.65480324999999995</v>
      </c>
      <c r="J411" s="27">
        <v>1.2859874999999998E-2</v>
      </c>
      <c r="K411" s="27">
        <v>0</v>
      </c>
    </row>
    <row r="412" spans="1:11">
      <c r="A412" s="15">
        <v>7</v>
      </c>
      <c r="B412" s="22">
        <v>40598</v>
      </c>
      <c r="C412" s="15">
        <v>2011</v>
      </c>
      <c r="D412" s="11" t="s">
        <v>29</v>
      </c>
      <c r="E412" s="15">
        <v>2</v>
      </c>
      <c r="F412" s="26">
        <v>2.8570000000000002</v>
      </c>
      <c r="G412" s="27">
        <v>3.8677125000000007E-2</v>
      </c>
      <c r="H412" s="27">
        <v>3.0378374999999999E-2</v>
      </c>
      <c r="I412" s="27">
        <v>1.085356875</v>
      </c>
      <c r="J412" s="27">
        <v>1.3365125E-2</v>
      </c>
      <c r="K412" s="27">
        <v>0</v>
      </c>
    </row>
    <row r="413" spans="1:11">
      <c r="A413" s="15">
        <v>14</v>
      </c>
      <c r="B413" s="22">
        <v>40598</v>
      </c>
      <c r="C413" s="15">
        <v>2011</v>
      </c>
      <c r="D413" s="11" t="s">
        <v>29</v>
      </c>
      <c r="E413" s="15">
        <v>2</v>
      </c>
      <c r="F413" s="26">
        <v>3.6110000000000002</v>
      </c>
      <c r="G413" s="27">
        <v>5.7119374999999993E-2</v>
      </c>
      <c r="H413" s="27">
        <v>1.8909875E-2</v>
      </c>
      <c r="I413" s="27">
        <v>1.2840345</v>
      </c>
      <c r="J413" s="27">
        <v>8.3487500000000003E-3</v>
      </c>
      <c r="K413" s="27">
        <v>0</v>
      </c>
    </row>
    <row r="414" spans="1:11">
      <c r="A414" s="15">
        <v>5</v>
      </c>
      <c r="B414" s="22">
        <v>40619</v>
      </c>
      <c r="C414" s="15">
        <v>2011</v>
      </c>
      <c r="D414" s="11" t="s">
        <v>30</v>
      </c>
      <c r="E414" s="15">
        <v>3</v>
      </c>
      <c r="F414" s="26">
        <v>1.3129999999999999</v>
      </c>
      <c r="G414" s="27">
        <v>0</v>
      </c>
      <c r="H414" s="27">
        <v>0</v>
      </c>
      <c r="I414" s="27">
        <v>0.39138362500000001</v>
      </c>
      <c r="J414" s="27">
        <v>1.0134000000000001E-2</v>
      </c>
      <c r="K414" s="27">
        <v>0</v>
      </c>
    </row>
    <row r="415" spans="1:11">
      <c r="A415" s="15">
        <v>7</v>
      </c>
      <c r="B415" s="22">
        <v>40617</v>
      </c>
      <c r="C415" s="15">
        <v>2011</v>
      </c>
      <c r="D415" s="11" t="s">
        <v>30</v>
      </c>
      <c r="E415" s="15">
        <v>3</v>
      </c>
      <c r="F415" s="26">
        <v>1.3180000000000001</v>
      </c>
      <c r="G415" s="27">
        <v>2.9983125000000003E-2</v>
      </c>
      <c r="H415" s="27">
        <v>1.6179625E-2</v>
      </c>
      <c r="I415" s="27">
        <v>0.24441049999999997</v>
      </c>
      <c r="J415" s="27">
        <v>3.4206750000000001E-2</v>
      </c>
      <c r="K415" s="27">
        <v>0</v>
      </c>
    </row>
    <row r="416" spans="1:11">
      <c r="A416" s="15">
        <v>14</v>
      </c>
      <c r="B416" s="22">
        <v>40617</v>
      </c>
      <c r="C416" s="15">
        <v>2011</v>
      </c>
      <c r="D416" s="11" t="s">
        <v>30</v>
      </c>
      <c r="E416" s="15">
        <v>3</v>
      </c>
      <c r="F416" s="26">
        <v>0.77200000000000002</v>
      </c>
      <c r="G416" s="27">
        <v>0</v>
      </c>
      <c r="H416" s="27">
        <v>0</v>
      </c>
      <c r="I416" s="27">
        <v>0.24237774999999998</v>
      </c>
      <c r="J416" s="27">
        <v>1.113725E-2</v>
      </c>
      <c r="K416" s="27">
        <v>0</v>
      </c>
    </row>
    <row r="417" spans="1:11">
      <c r="A417" s="15">
        <v>5</v>
      </c>
      <c r="B417" s="22">
        <v>40646</v>
      </c>
      <c r="C417" s="15">
        <v>2011</v>
      </c>
      <c r="D417" s="11" t="s">
        <v>31</v>
      </c>
      <c r="E417" s="15">
        <v>4</v>
      </c>
      <c r="F417" s="26">
        <v>1.1399999999999999</v>
      </c>
      <c r="G417" s="27">
        <v>3.5857999999999994E-2</v>
      </c>
      <c r="H417" s="27">
        <v>0</v>
      </c>
      <c r="I417" s="27">
        <v>0.10170625</v>
      </c>
      <c r="J417" s="27">
        <v>9.4196249999999992E-3</v>
      </c>
      <c r="K417" s="27">
        <v>0</v>
      </c>
    </row>
    <row r="418" spans="1:11">
      <c r="A418" s="15">
        <v>7</v>
      </c>
      <c r="B418" s="22">
        <v>40647</v>
      </c>
      <c r="C418" s="15">
        <v>2011</v>
      </c>
      <c r="D418" s="11" t="s">
        <v>31</v>
      </c>
      <c r="E418" s="15">
        <v>4</v>
      </c>
      <c r="F418" s="26">
        <v>4.4039999999999999</v>
      </c>
      <c r="G418" s="27">
        <v>3.5615124999999991E-2</v>
      </c>
      <c r="H418" s="27">
        <v>0</v>
      </c>
      <c r="I418" s="27">
        <v>0.20879862499999993</v>
      </c>
      <c r="J418" s="27">
        <v>7.7988750000000011E-3</v>
      </c>
      <c r="K418" s="27">
        <v>0</v>
      </c>
    </row>
    <row r="419" spans="1:11">
      <c r="A419" s="15">
        <v>14</v>
      </c>
      <c r="B419" s="22">
        <v>40647</v>
      </c>
      <c r="C419" s="15">
        <v>2011</v>
      </c>
      <c r="D419" s="11" t="s">
        <v>31</v>
      </c>
      <c r="E419" s="15">
        <v>4</v>
      </c>
      <c r="F419" s="26">
        <v>0.46700000000000003</v>
      </c>
      <c r="G419" s="27">
        <v>0</v>
      </c>
      <c r="H419" s="27">
        <v>0</v>
      </c>
      <c r="I419" s="27">
        <v>6.7282124999999984E-2</v>
      </c>
      <c r="J419" s="27">
        <v>0</v>
      </c>
      <c r="K419" s="27">
        <v>0</v>
      </c>
    </row>
    <row r="420" spans="1:11">
      <c r="A420" s="15">
        <v>5</v>
      </c>
      <c r="B420" s="22">
        <v>40681</v>
      </c>
      <c r="C420" s="15">
        <v>2011</v>
      </c>
      <c r="D420" s="11" t="s">
        <v>32</v>
      </c>
      <c r="E420" s="15">
        <v>5</v>
      </c>
      <c r="F420" s="26">
        <v>6.0640000000000001</v>
      </c>
      <c r="G420" s="27">
        <v>0.11639962500000001</v>
      </c>
      <c r="H420" s="27">
        <v>0.13433100000000001</v>
      </c>
      <c r="I420" s="27">
        <v>2.1115977499999996</v>
      </c>
      <c r="J420" s="27">
        <v>0.35142562500000002</v>
      </c>
      <c r="K420" s="27">
        <v>0</v>
      </c>
    </row>
    <row r="421" spans="1:11">
      <c r="A421" s="15">
        <v>7</v>
      </c>
      <c r="B421" s="22">
        <v>40682</v>
      </c>
      <c r="C421" s="15">
        <v>2011</v>
      </c>
      <c r="D421" s="11" t="s">
        <v>32</v>
      </c>
      <c r="E421" s="15">
        <v>5</v>
      </c>
      <c r="F421" s="26">
        <v>5.2119999999999997</v>
      </c>
      <c r="G421" s="27">
        <v>0.11606925</v>
      </c>
      <c r="H421" s="27">
        <v>0.11586974999999999</v>
      </c>
      <c r="I421" s="27">
        <v>1.5996012500000001</v>
      </c>
      <c r="J421" s="27">
        <v>7.0847375000000004E-2</v>
      </c>
      <c r="K421" s="27">
        <v>0</v>
      </c>
    </row>
    <row r="422" spans="1:11">
      <c r="A422" s="15">
        <v>14</v>
      </c>
      <c r="B422" s="22">
        <v>40682</v>
      </c>
      <c r="C422" s="15">
        <v>2011</v>
      </c>
      <c r="D422" s="11" t="s">
        <v>32</v>
      </c>
      <c r="E422" s="15">
        <v>5</v>
      </c>
      <c r="F422" s="26">
        <v>4.5979999999999999</v>
      </c>
      <c r="G422" s="27">
        <v>5.0060499999999987E-2</v>
      </c>
      <c r="H422" s="27">
        <v>8.8623750000000001E-2</v>
      </c>
      <c r="I422" s="27">
        <v>1.6984227499999995</v>
      </c>
      <c r="J422" s="27">
        <v>3.0281499999999999E-2</v>
      </c>
      <c r="K422" s="27">
        <v>0</v>
      </c>
    </row>
    <row r="423" spans="1:11">
      <c r="A423" s="15">
        <v>5</v>
      </c>
      <c r="B423" s="22">
        <v>40709</v>
      </c>
      <c r="C423" s="15">
        <v>2011</v>
      </c>
      <c r="D423" s="11" t="s">
        <v>33</v>
      </c>
      <c r="E423" s="15">
        <v>6</v>
      </c>
      <c r="F423" s="26">
        <v>10.51</v>
      </c>
      <c r="G423" s="27">
        <v>8.5586374999999978E-2</v>
      </c>
      <c r="H423" s="27">
        <v>0</v>
      </c>
      <c r="I423" s="27">
        <v>0.97327362499999981</v>
      </c>
      <c r="J423" s="27">
        <v>2.8323291249999993</v>
      </c>
      <c r="K423" s="27">
        <v>5.8813875000000002E-2</v>
      </c>
    </row>
    <row r="424" spans="1:11">
      <c r="A424" s="15">
        <v>7</v>
      </c>
      <c r="B424" s="22">
        <v>40709</v>
      </c>
      <c r="C424" s="15">
        <v>2011</v>
      </c>
      <c r="D424" s="11" t="s">
        <v>33</v>
      </c>
      <c r="E424" s="15">
        <v>6</v>
      </c>
      <c r="F424" s="26">
        <v>7.7389999999999999</v>
      </c>
      <c r="G424" s="27">
        <v>0.3033865</v>
      </c>
      <c r="H424" s="27">
        <v>0</v>
      </c>
      <c r="I424" s="27">
        <v>1.3557718749999998</v>
      </c>
      <c r="J424" s="27">
        <v>0.35439312499999998</v>
      </c>
      <c r="K424" s="27">
        <v>0</v>
      </c>
    </row>
    <row r="425" spans="1:11">
      <c r="A425" s="15">
        <v>14</v>
      </c>
      <c r="B425" s="22">
        <v>40709</v>
      </c>
      <c r="C425" s="15">
        <v>2011</v>
      </c>
      <c r="D425" s="11" t="s">
        <v>33</v>
      </c>
      <c r="E425" s="15">
        <v>6</v>
      </c>
      <c r="F425" s="26">
        <v>6.5990000000000002</v>
      </c>
      <c r="G425" s="27">
        <v>0.17669174999999998</v>
      </c>
      <c r="H425" s="27">
        <v>1.0962624999999998E-2</v>
      </c>
      <c r="I425" s="27">
        <v>1.1783085</v>
      </c>
      <c r="J425" s="27">
        <v>0.37461437499999989</v>
      </c>
      <c r="K425" s="27">
        <v>0</v>
      </c>
    </row>
    <row r="426" spans="1:11">
      <c r="A426" s="15">
        <v>5</v>
      </c>
      <c r="B426" s="22">
        <v>40735</v>
      </c>
      <c r="C426" s="15">
        <v>2011</v>
      </c>
      <c r="D426" s="11" t="s">
        <v>34</v>
      </c>
      <c r="E426" s="15">
        <v>7</v>
      </c>
      <c r="F426" s="26">
        <v>7.0949999999999998</v>
      </c>
      <c r="G426" s="27">
        <v>0.14367487500000001</v>
      </c>
      <c r="H426" s="27">
        <v>0</v>
      </c>
      <c r="I426" s="27">
        <v>1.00546</v>
      </c>
      <c r="J426" s="27">
        <v>1.5545154999999999</v>
      </c>
      <c r="K426" s="27">
        <v>0</v>
      </c>
    </row>
    <row r="427" spans="1:11">
      <c r="A427" s="15">
        <v>7</v>
      </c>
      <c r="B427" s="22">
        <v>40736</v>
      </c>
      <c r="C427" s="15">
        <v>2011</v>
      </c>
      <c r="D427" s="11" t="s">
        <v>34</v>
      </c>
      <c r="E427" s="15">
        <v>7</v>
      </c>
      <c r="F427" s="26">
        <v>9.6560000000000006</v>
      </c>
      <c r="G427" s="27">
        <v>1.1057623750000001</v>
      </c>
      <c r="H427" s="27">
        <v>0</v>
      </c>
      <c r="I427" s="27">
        <v>1.6836973749999999</v>
      </c>
      <c r="J427" s="27">
        <v>0.92286924999999975</v>
      </c>
      <c r="K427" s="27">
        <v>0</v>
      </c>
    </row>
    <row r="428" spans="1:11">
      <c r="A428" s="15">
        <v>14</v>
      </c>
      <c r="B428" s="22">
        <v>40736</v>
      </c>
      <c r="C428" s="15">
        <v>2011</v>
      </c>
      <c r="D428" s="11" t="s">
        <v>34</v>
      </c>
      <c r="E428" s="15">
        <v>7</v>
      </c>
      <c r="F428" s="26">
        <v>5.9269999999999996</v>
      </c>
      <c r="G428" s="27">
        <v>0.41227350000000001</v>
      </c>
      <c r="H428" s="27">
        <v>0</v>
      </c>
      <c r="I428" s="27">
        <v>1.1711912499999997</v>
      </c>
      <c r="J428" s="27">
        <v>0.53225025000000004</v>
      </c>
      <c r="K428" s="27">
        <v>0</v>
      </c>
    </row>
    <row r="429" spans="1:11">
      <c r="A429" s="15">
        <v>5</v>
      </c>
      <c r="B429" s="22">
        <v>40771</v>
      </c>
      <c r="C429" s="15">
        <v>2011</v>
      </c>
      <c r="D429" s="11" t="s">
        <v>35</v>
      </c>
      <c r="E429" s="15">
        <v>8</v>
      </c>
      <c r="F429" s="26">
        <v>9.5779999999999994</v>
      </c>
      <c r="G429" s="27">
        <v>0.12113662499999998</v>
      </c>
      <c r="H429" s="27">
        <v>0</v>
      </c>
      <c r="I429" s="27">
        <v>3.5536088750000006</v>
      </c>
      <c r="J429" s="27">
        <v>0.80415762499999999</v>
      </c>
      <c r="K429" s="27">
        <v>0</v>
      </c>
    </row>
    <row r="430" spans="1:11">
      <c r="A430" s="15">
        <v>7</v>
      </c>
      <c r="B430" s="22">
        <v>40772</v>
      </c>
      <c r="C430" s="15">
        <v>2011</v>
      </c>
      <c r="D430" s="11" t="s">
        <v>35</v>
      </c>
      <c r="E430" s="15">
        <v>8</v>
      </c>
      <c r="F430" s="26">
        <v>11.446999999999999</v>
      </c>
      <c r="G430" s="27">
        <v>0.28692699999999999</v>
      </c>
      <c r="H430" s="27">
        <v>0</v>
      </c>
      <c r="I430" s="27">
        <v>2.9083570000000001</v>
      </c>
      <c r="J430" s="27">
        <v>1.081718</v>
      </c>
      <c r="K430" s="27">
        <v>0</v>
      </c>
    </row>
    <row r="431" spans="1:11">
      <c r="A431" s="15">
        <v>14</v>
      </c>
      <c r="B431" s="22">
        <v>40772</v>
      </c>
      <c r="C431" s="15">
        <v>2011</v>
      </c>
      <c r="D431" s="11" t="s">
        <v>35</v>
      </c>
      <c r="E431" s="15">
        <v>8</v>
      </c>
      <c r="F431" s="26">
        <v>14.853</v>
      </c>
      <c r="G431" s="27">
        <v>0.12725450000000002</v>
      </c>
      <c r="H431" s="27">
        <v>0</v>
      </c>
      <c r="I431" s="27">
        <v>5.8706284999999987</v>
      </c>
      <c r="J431" s="27">
        <v>0.67638149999999986</v>
      </c>
      <c r="K431" s="27">
        <v>0</v>
      </c>
    </row>
    <row r="432" spans="1:11">
      <c r="A432" s="15">
        <v>5</v>
      </c>
      <c r="B432" s="22">
        <v>40799</v>
      </c>
      <c r="C432" s="15">
        <v>2011</v>
      </c>
      <c r="D432" s="11" t="s">
        <v>41</v>
      </c>
      <c r="E432" s="15">
        <v>9</v>
      </c>
      <c r="F432" s="26">
        <v>7.4850000000000003</v>
      </c>
      <c r="G432" s="27">
        <v>0.170316625</v>
      </c>
      <c r="H432" s="27">
        <v>0</v>
      </c>
      <c r="I432" s="27">
        <v>2.9675815000000001</v>
      </c>
      <c r="J432" s="27">
        <v>0.60072249999999994</v>
      </c>
      <c r="K432" s="27">
        <v>0</v>
      </c>
    </row>
    <row r="433" spans="1:11">
      <c r="A433" s="15">
        <v>7</v>
      </c>
      <c r="B433" s="22">
        <v>40798</v>
      </c>
      <c r="C433" s="15">
        <v>2011</v>
      </c>
      <c r="D433" s="11" t="s">
        <v>41</v>
      </c>
      <c r="E433" s="15">
        <v>9</v>
      </c>
      <c r="F433" s="26">
        <v>3.5179999999999998</v>
      </c>
      <c r="G433" s="27">
        <v>0.45642362500000005</v>
      </c>
      <c r="H433" s="27">
        <v>0</v>
      </c>
      <c r="I433" s="27">
        <v>0.35080862499999999</v>
      </c>
      <c r="J433" s="27">
        <v>0.16611975000000001</v>
      </c>
      <c r="K433" s="27">
        <v>0</v>
      </c>
    </row>
    <row r="434" spans="1:11">
      <c r="A434" s="15">
        <v>14</v>
      </c>
      <c r="B434" s="22">
        <v>40798</v>
      </c>
      <c r="C434" s="15">
        <v>2011</v>
      </c>
      <c r="D434" s="11" t="s">
        <v>41</v>
      </c>
      <c r="E434" s="15">
        <v>9</v>
      </c>
      <c r="F434" s="26">
        <v>5.4429999999999996</v>
      </c>
      <c r="G434" s="27">
        <v>8.4384874999999998E-2</v>
      </c>
      <c r="H434" s="27">
        <v>0</v>
      </c>
      <c r="I434" s="27">
        <v>2.1281093750000002</v>
      </c>
      <c r="J434" s="27">
        <v>0.40626849999999998</v>
      </c>
      <c r="K434" s="27">
        <v>0</v>
      </c>
    </row>
    <row r="435" spans="1:11">
      <c r="A435" s="15">
        <v>5</v>
      </c>
      <c r="B435" s="22">
        <v>40827</v>
      </c>
      <c r="C435" s="15">
        <v>2011</v>
      </c>
      <c r="D435" s="11" t="s">
        <v>37</v>
      </c>
      <c r="E435" s="15">
        <v>10</v>
      </c>
      <c r="F435" s="28">
        <v>2.77</v>
      </c>
      <c r="G435" s="27">
        <v>0.207520125</v>
      </c>
      <c r="H435" s="27">
        <v>0</v>
      </c>
      <c r="I435" s="27">
        <v>0.58932599999999991</v>
      </c>
      <c r="J435" s="27">
        <v>8.1500749999999997E-2</v>
      </c>
      <c r="K435" s="27">
        <v>0</v>
      </c>
    </row>
    <row r="436" spans="1:11">
      <c r="A436" s="15">
        <v>7</v>
      </c>
      <c r="B436" s="22">
        <v>40829</v>
      </c>
      <c r="C436" s="15">
        <v>2011</v>
      </c>
      <c r="D436" s="11" t="s">
        <v>37</v>
      </c>
      <c r="E436" s="15">
        <v>10</v>
      </c>
      <c r="F436" s="28">
        <v>2.016</v>
      </c>
      <c r="G436" s="27">
        <v>0.47737537499999994</v>
      </c>
      <c r="H436" s="27">
        <v>0</v>
      </c>
      <c r="I436" s="27">
        <v>0.20834037499999997</v>
      </c>
      <c r="J436" s="27">
        <v>7.5169999999999994E-3</v>
      </c>
      <c r="K436" s="27">
        <v>0</v>
      </c>
    </row>
    <row r="437" spans="1:11">
      <c r="A437" s="15">
        <v>14</v>
      </c>
      <c r="B437" s="22">
        <v>40829</v>
      </c>
      <c r="C437" s="15">
        <v>2011</v>
      </c>
      <c r="D437" s="11" t="s">
        <v>37</v>
      </c>
      <c r="E437" s="15">
        <v>10</v>
      </c>
      <c r="F437" s="28">
        <v>1.399</v>
      </c>
      <c r="G437" s="27">
        <v>8.7415499999999979E-2</v>
      </c>
      <c r="H437" s="27">
        <v>0</v>
      </c>
      <c r="I437" s="27">
        <v>0.21547149999999995</v>
      </c>
      <c r="J437" s="27">
        <v>0</v>
      </c>
      <c r="K437" s="27">
        <v>0</v>
      </c>
    </row>
    <row r="438" spans="1:11">
      <c r="A438" s="15">
        <v>5</v>
      </c>
      <c r="B438" s="29">
        <v>40862</v>
      </c>
      <c r="C438" s="15">
        <v>2011</v>
      </c>
      <c r="D438" s="11" t="s">
        <v>38</v>
      </c>
      <c r="E438" s="15">
        <v>11</v>
      </c>
      <c r="F438" s="28">
        <v>4.5650000000000004</v>
      </c>
      <c r="G438" s="27">
        <v>9.3002749999999981E-2</v>
      </c>
      <c r="H438" s="27">
        <v>3.2385125000000001E-2</v>
      </c>
      <c r="I438" s="27">
        <v>1.8921403749999999</v>
      </c>
      <c r="J438" s="27">
        <v>5.5803999999999992E-2</v>
      </c>
      <c r="K438" s="27">
        <v>0</v>
      </c>
    </row>
    <row r="439" spans="1:11">
      <c r="A439" s="15">
        <v>7</v>
      </c>
      <c r="B439" s="29">
        <v>40865</v>
      </c>
      <c r="C439" s="15">
        <v>2011</v>
      </c>
      <c r="D439" s="11" t="s">
        <v>38</v>
      </c>
      <c r="E439" s="15">
        <v>11</v>
      </c>
      <c r="F439" s="28">
        <v>1.5209999999999999</v>
      </c>
      <c r="G439" s="27">
        <v>0.26376949999999999</v>
      </c>
      <c r="H439" s="27">
        <v>0</v>
      </c>
      <c r="I439" s="27">
        <v>0.25354775000000002</v>
      </c>
      <c r="J439" s="27">
        <v>0</v>
      </c>
      <c r="K439" s="27">
        <v>0</v>
      </c>
    </row>
    <row r="440" spans="1:11">
      <c r="A440" s="15">
        <v>14</v>
      </c>
      <c r="B440" s="29">
        <v>40877</v>
      </c>
      <c r="C440" s="15">
        <v>2011</v>
      </c>
      <c r="D440" s="11" t="s">
        <v>38</v>
      </c>
      <c r="E440" s="15">
        <v>11</v>
      </c>
      <c r="F440" s="28">
        <v>1.0429999999999999</v>
      </c>
      <c r="G440" s="27">
        <v>0.22616649999999996</v>
      </c>
      <c r="H440" s="27">
        <v>0</v>
      </c>
      <c r="I440" s="27">
        <v>0.20526999999999998</v>
      </c>
      <c r="J440" s="27">
        <v>0</v>
      </c>
      <c r="K440" s="27">
        <v>0</v>
      </c>
    </row>
    <row r="441" spans="1:11">
      <c r="A441" s="15">
        <v>5</v>
      </c>
      <c r="B441" s="29">
        <v>40891</v>
      </c>
      <c r="C441" s="15">
        <v>2011</v>
      </c>
      <c r="D441" s="11" t="s">
        <v>39</v>
      </c>
      <c r="E441" s="15">
        <v>12</v>
      </c>
      <c r="F441" s="28">
        <v>2.3290000000000002</v>
      </c>
      <c r="G441" s="27">
        <v>0.19859737499999996</v>
      </c>
      <c r="H441" s="27">
        <v>0</v>
      </c>
      <c r="I441" s="27">
        <v>0.38591249999999994</v>
      </c>
      <c r="J441" s="27">
        <v>1.4347999999999998E-2</v>
      </c>
      <c r="K441" s="27">
        <v>0</v>
      </c>
    </row>
    <row r="442" spans="1:11">
      <c r="A442" s="15">
        <v>7</v>
      </c>
      <c r="B442" s="29">
        <v>40891</v>
      </c>
      <c r="C442" s="15">
        <v>2011</v>
      </c>
      <c r="D442" s="11" t="s">
        <v>39</v>
      </c>
      <c r="E442" s="15">
        <v>12</v>
      </c>
      <c r="F442" s="28">
        <v>1.361</v>
      </c>
      <c r="G442" s="27">
        <v>0.27198250000000002</v>
      </c>
      <c r="H442" s="27">
        <v>0</v>
      </c>
      <c r="I442" s="27">
        <v>0.126180875</v>
      </c>
      <c r="J442" s="27">
        <v>0</v>
      </c>
      <c r="K442" s="27">
        <v>0</v>
      </c>
    </row>
    <row r="443" spans="1:11">
      <c r="A443" s="15">
        <v>14</v>
      </c>
      <c r="B443" s="29">
        <v>40891</v>
      </c>
      <c r="C443" s="15">
        <v>2011</v>
      </c>
      <c r="D443" s="11" t="s">
        <v>39</v>
      </c>
      <c r="E443" s="15">
        <v>12</v>
      </c>
      <c r="F443" s="28">
        <v>0.53100000000000003</v>
      </c>
      <c r="G443" s="27">
        <v>4.1847250000000003E-2</v>
      </c>
      <c r="H443" s="27">
        <v>0</v>
      </c>
      <c r="I443" s="27">
        <v>6.6235500000000003E-2</v>
      </c>
      <c r="J443" s="27">
        <v>0</v>
      </c>
      <c r="K443" s="27">
        <v>0</v>
      </c>
    </row>
    <row r="444" spans="1:11">
      <c r="A444" s="15">
        <v>5</v>
      </c>
      <c r="B444" s="22">
        <v>40919</v>
      </c>
      <c r="C444" s="15">
        <v>2012</v>
      </c>
      <c r="D444" s="11" t="s">
        <v>40</v>
      </c>
      <c r="E444" s="15">
        <v>1</v>
      </c>
      <c r="F444" s="30">
        <v>11.461</v>
      </c>
      <c r="G444" s="27">
        <v>0.15698149999999997</v>
      </c>
      <c r="H444" s="27">
        <v>0</v>
      </c>
      <c r="I444" s="27">
        <v>3.576790125</v>
      </c>
      <c r="J444" s="27">
        <v>5.3899749999999996E-2</v>
      </c>
      <c r="K444" s="27">
        <v>0</v>
      </c>
    </row>
    <row r="445" spans="1:11">
      <c r="A445" s="15">
        <v>7</v>
      </c>
      <c r="B445" s="22">
        <v>40919</v>
      </c>
      <c r="C445" s="15">
        <v>2012</v>
      </c>
      <c r="D445" s="11" t="s">
        <v>40</v>
      </c>
      <c r="E445" s="15">
        <v>1</v>
      </c>
      <c r="F445" s="30">
        <v>2.4740000000000002</v>
      </c>
      <c r="G445" s="27">
        <v>0.37227999999999994</v>
      </c>
      <c r="H445" s="27">
        <v>0</v>
      </c>
      <c r="I445" s="27">
        <v>0.67706849999999985</v>
      </c>
      <c r="J445" s="27">
        <v>1.6233499999999998E-2</v>
      </c>
      <c r="K445" s="27">
        <v>0</v>
      </c>
    </row>
    <row r="446" spans="1:11">
      <c r="A446" s="15">
        <v>14</v>
      </c>
      <c r="B446" s="22">
        <v>40919</v>
      </c>
      <c r="C446" s="15">
        <v>2012</v>
      </c>
      <c r="D446" s="11" t="s">
        <v>40</v>
      </c>
      <c r="E446" s="15">
        <v>1</v>
      </c>
      <c r="F446" s="30">
        <v>1.694</v>
      </c>
      <c r="G446" s="27">
        <v>0.21017612499999996</v>
      </c>
      <c r="H446" s="27">
        <v>0</v>
      </c>
      <c r="I446" s="27">
        <v>0.42595349999999998</v>
      </c>
      <c r="J446" s="27">
        <v>8.1355000000000021E-3</v>
      </c>
      <c r="K446" s="27">
        <v>0</v>
      </c>
    </row>
    <row r="447" spans="1:11">
      <c r="A447" s="15">
        <v>5</v>
      </c>
      <c r="B447" s="22">
        <v>40962</v>
      </c>
      <c r="C447" s="15">
        <v>2012</v>
      </c>
      <c r="D447" s="11" t="s">
        <v>29</v>
      </c>
      <c r="E447" s="15">
        <v>2</v>
      </c>
      <c r="F447" s="30">
        <v>3.3820000000000001</v>
      </c>
      <c r="G447" s="27">
        <v>4.4984375E-2</v>
      </c>
      <c r="H447" s="27">
        <v>9.6094624999999989E-2</v>
      </c>
      <c r="I447" s="27">
        <v>1.793972125</v>
      </c>
      <c r="J447" s="27">
        <v>2.8702125000000002E-2</v>
      </c>
      <c r="K447" s="27">
        <v>0</v>
      </c>
    </row>
    <row r="448" spans="1:11">
      <c r="A448" s="15">
        <v>7</v>
      </c>
      <c r="B448" s="22">
        <v>40960</v>
      </c>
      <c r="C448" s="15">
        <v>2012</v>
      </c>
      <c r="D448" s="11" t="s">
        <v>29</v>
      </c>
      <c r="E448" s="15">
        <v>2</v>
      </c>
      <c r="F448" s="30">
        <v>1.637</v>
      </c>
      <c r="G448" s="27">
        <v>0.39141387499999997</v>
      </c>
      <c r="H448" s="27">
        <v>0</v>
      </c>
      <c r="I448" s="27">
        <v>0.23364374999999998</v>
      </c>
      <c r="J448" s="27">
        <v>1.4260874999999999E-2</v>
      </c>
      <c r="K448" s="27">
        <v>0</v>
      </c>
    </row>
    <row r="449" spans="1:11">
      <c r="A449" s="15">
        <v>14</v>
      </c>
      <c r="B449" s="22">
        <v>40960</v>
      </c>
      <c r="C449" s="15">
        <v>2012</v>
      </c>
      <c r="D449" s="11" t="s">
        <v>29</v>
      </c>
      <c r="E449" s="15">
        <v>2</v>
      </c>
      <c r="F449" s="30">
        <v>1.046</v>
      </c>
      <c r="G449" s="27">
        <v>5.5810749999999992E-2</v>
      </c>
      <c r="H449" s="27">
        <v>0</v>
      </c>
      <c r="I449" s="27">
        <v>0.28879437499999994</v>
      </c>
      <c r="J449" s="27">
        <v>1.0724625E-2</v>
      </c>
      <c r="K449" s="27">
        <v>0</v>
      </c>
    </row>
    <row r="450" spans="1:11">
      <c r="A450" s="15">
        <v>5</v>
      </c>
      <c r="B450" s="22">
        <v>40980</v>
      </c>
      <c r="C450" s="15">
        <v>2012</v>
      </c>
      <c r="D450" s="11" t="s">
        <v>30</v>
      </c>
      <c r="E450" s="15">
        <v>3</v>
      </c>
      <c r="F450" s="30">
        <v>3.1850000000000001</v>
      </c>
      <c r="G450" s="27">
        <v>0.10675899999999999</v>
      </c>
      <c r="H450" s="27">
        <v>0</v>
      </c>
      <c r="I450" s="27">
        <v>1.065917625</v>
      </c>
      <c r="J450" s="27">
        <v>3.0171875000000004E-2</v>
      </c>
      <c r="K450" s="27">
        <v>0</v>
      </c>
    </row>
    <row r="451" spans="1:11">
      <c r="A451" s="15">
        <v>7</v>
      </c>
      <c r="B451" s="22">
        <v>40982</v>
      </c>
      <c r="C451" s="15">
        <v>2012</v>
      </c>
      <c r="D451" s="11" t="s">
        <v>30</v>
      </c>
      <c r="E451" s="15">
        <v>3</v>
      </c>
      <c r="F451" s="30">
        <v>2.8159999999999998</v>
      </c>
      <c r="G451" s="27">
        <v>1.27299875</v>
      </c>
      <c r="H451" s="27">
        <v>0</v>
      </c>
      <c r="I451" s="27">
        <v>0.18160362499999999</v>
      </c>
      <c r="J451" s="27">
        <v>1.6994499999999999E-2</v>
      </c>
      <c r="K451" s="27">
        <v>0</v>
      </c>
    </row>
    <row r="452" spans="1:11">
      <c r="A452" s="15">
        <v>14</v>
      </c>
      <c r="B452" s="22">
        <v>40982</v>
      </c>
      <c r="C452" s="15">
        <v>2012</v>
      </c>
      <c r="D452" s="11" t="s">
        <v>30</v>
      </c>
      <c r="E452" s="15">
        <v>3</v>
      </c>
      <c r="F452" s="30">
        <v>1.1919999999999999</v>
      </c>
      <c r="G452" s="27">
        <v>0.10796475000000001</v>
      </c>
      <c r="H452" s="27">
        <v>0</v>
      </c>
      <c r="I452" s="27">
        <v>0.25109237499999998</v>
      </c>
      <c r="J452" s="27">
        <v>0</v>
      </c>
      <c r="K452" s="27">
        <v>0</v>
      </c>
    </row>
    <row r="453" spans="1:11">
      <c r="A453" s="15">
        <v>5</v>
      </c>
      <c r="B453" s="22">
        <v>41015</v>
      </c>
      <c r="C453" s="15">
        <v>2012</v>
      </c>
      <c r="D453" s="11" t="s">
        <v>31</v>
      </c>
      <c r="E453" s="15">
        <v>4</v>
      </c>
      <c r="F453" s="26">
        <v>1.6759999999999999</v>
      </c>
      <c r="G453" s="27">
        <v>0</v>
      </c>
      <c r="H453" s="27">
        <v>0</v>
      </c>
      <c r="I453" s="27">
        <v>0.71836437500000005</v>
      </c>
      <c r="J453" s="27">
        <v>1.7430250000000001E-2</v>
      </c>
      <c r="K453" s="27">
        <v>0</v>
      </c>
    </row>
    <row r="454" spans="1:11">
      <c r="A454" s="15">
        <v>7</v>
      </c>
      <c r="B454" s="22">
        <v>41016</v>
      </c>
      <c r="C454" s="15">
        <v>2012</v>
      </c>
      <c r="D454" s="11" t="s">
        <v>31</v>
      </c>
      <c r="E454" s="15">
        <v>4</v>
      </c>
      <c r="F454" s="26">
        <v>1.776</v>
      </c>
      <c r="G454" s="27">
        <v>4.2599875000000002E-2</v>
      </c>
      <c r="H454" s="27">
        <v>0</v>
      </c>
      <c r="I454" s="27">
        <v>0.10100875000000001</v>
      </c>
      <c r="J454" s="27">
        <v>2.0931624999999995E-2</v>
      </c>
      <c r="K454" s="27">
        <v>0</v>
      </c>
    </row>
    <row r="455" spans="1:11">
      <c r="A455" s="15">
        <v>14</v>
      </c>
      <c r="B455" s="22">
        <v>41016</v>
      </c>
      <c r="C455" s="15">
        <v>2012</v>
      </c>
      <c r="D455" s="11" t="s">
        <v>31</v>
      </c>
      <c r="E455" s="15">
        <v>4</v>
      </c>
      <c r="F455" s="26">
        <v>1.0149999999999999</v>
      </c>
      <c r="G455" s="27">
        <v>1.7628999999999999E-2</v>
      </c>
      <c r="H455" s="27">
        <v>0</v>
      </c>
      <c r="I455" s="27">
        <v>0.15699424999999997</v>
      </c>
      <c r="J455" s="27">
        <v>2.0936499999999997E-2</v>
      </c>
      <c r="K455" s="27">
        <v>0</v>
      </c>
    </row>
    <row r="456" spans="1:11">
      <c r="A456" s="15">
        <v>5</v>
      </c>
      <c r="B456" s="22">
        <v>41045</v>
      </c>
      <c r="C456" s="15">
        <v>2012</v>
      </c>
      <c r="D456" s="11" t="s">
        <v>32</v>
      </c>
      <c r="E456" s="15">
        <v>5</v>
      </c>
      <c r="F456" s="26">
        <v>3.4529999999999998</v>
      </c>
      <c r="G456" s="27">
        <v>5.8535875000000001E-2</v>
      </c>
      <c r="H456" s="27">
        <v>0</v>
      </c>
      <c r="I456" s="27">
        <v>1.74811775</v>
      </c>
      <c r="J456" s="27">
        <v>2.0098375000000002E-2</v>
      </c>
      <c r="K456" s="27">
        <v>0</v>
      </c>
    </row>
    <row r="457" spans="1:11">
      <c r="A457" s="15">
        <v>7</v>
      </c>
      <c r="B457" s="22">
        <v>41046</v>
      </c>
      <c r="C457" s="15">
        <v>2012</v>
      </c>
      <c r="D457" s="11" t="s">
        <v>32</v>
      </c>
      <c r="E457" s="15">
        <v>5</v>
      </c>
      <c r="F457" s="26">
        <v>6.641</v>
      </c>
      <c r="G457" s="27">
        <v>0.25983749999999994</v>
      </c>
      <c r="H457" s="27">
        <v>0</v>
      </c>
      <c r="I457" s="27">
        <v>2.0847282499999995</v>
      </c>
      <c r="J457" s="27">
        <v>0.10121724999999998</v>
      </c>
      <c r="K457" s="27">
        <v>0</v>
      </c>
    </row>
    <row r="458" spans="1:11">
      <c r="A458" s="15">
        <v>14</v>
      </c>
      <c r="B458" s="22">
        <v>41046</v>
      </c>
      <c r="C458" s="15">
        <v>2012</v>
      </c>
      <c r="D458" s="11" t="s">
        <v>32</v>
      </c>
      <c r="E458" s="15">
        <v>5</v>
      </c>
      <c r="F458" s="26">
        <v>4.2300000000000004</v>
      </c>
      <c r="G458" s="27">
        <v>0</v>
      </c>
      <c r="H458" s="27">
        <v>0</v>
      </c>
      <c r="I458" s="27">
        <v>0.99423299999999992</v>
      </c>
      <c r="J458" s="27">
        <v>1.5044999999999999E-2</v>
      </c>
      <c r="K458" s="27">
        <v>0</v>
      </c>
    </row>
    <row r="459" spans="1:11">
      <c r="A459" s="15">
        <v>5</v>
      </c>
      <c r="B459" s="22">
        <v>41073</v>
      </c>
      <c r="C459" s="15">
        <v>2012</v>
      </c>
      <c r="D459" s="11" t="s">
        <v>33</v>
      </c>
      <c r="E459" s="15">
        <v>6</v>
      </c>
      <c r="F459" s="26">
        <v>8.7240000000000002</v>
      </c>
      <c r="G459" s="27">
        <v>2.1453124999999997E-2</v>
      </c>
      <c r="H459" s="27">
        <v>0</v>
      </c>
      <c r="I459" s="27">
        <v>3.9196608749999995</v>
      </c>
      <c r="J459" s="27">
        <v>0.12665750000000001</v>
      </c>
      <c r="K459" s="27">
        <v>0</v>
      </c>
    </row>
    <row r="460" spans="1:11">
      <c r="A460" s="15">
        <v>7</v>
      </c>
      <c r="B460" s="22">
        <v>41080</v>
      </c>
      <c r="C460" s="15">
        <v>2012</v>
      </c>
      <c r="D460" s="11" t="s">
        <v>33</v>
      </c>
      <c r="E460" s="15">
        <v>6</v>
      </c>
      <c r="F460" s="26">
        <v>6.5609999999999999</v>
      </c>
      <c r="G460" s="27">
        <v>0.18889137499999997</v>
      </c>
      <c r="H460" s="27">
        <v>0</v>
      </c>
      <c r="I460" s="27">
        <v>1.0849872499999997</v>
      </c>
      <c r="J460" s="27">
        <v>0.46401162499999993</v>
      </c>
      <c r="K460" s="27">
        <v>0</v>
      </c>
    </row>
    <row r="461" spans="1:11">
      <c r="A461" s="15">
        <v>14</v>
      </c>
      <c r="B461" s="22">
        <v>41080</v>
      </c>
      <c r="C461" s="15">
        <v>2012</v>
      </c>
      <c r="D461" s="11" t="s">
        <v>33</v>
      </c>
      <c r="E461" s="15">
        <v>6</v>
      </c>
      <c r="F461" s="26">
        <v>1.976</v>
      </c>
      <c r="G461" s="27">
        <v>5.6003124999999994E-2</v>
      </c>
      <c r="H461" s="27">
        <v>7.5689875000000018E-2</v>
      </c>
      <c r="I461" s="27">
        <v>0.54121524999999993</v>
      </c>
      <c r="J461" s="27">
        <v>0.11574399999999999</v>
      </c>
      <c r="K461" s="27">
        <v>0</v>
      </c>
    </row>
    <row r="462" spans="1:11">
      <c r="A462" s="15">
        <v>5</v>
      </c>
      <c r="B462" s="22">
        <v>41107</v>
      </c>
      <c r="C462" s="15">
        <v>2012</v>
      </c>
      <c r="D462" s="11" t="s">
        <v>34</v>
      </c>
      <c r="E462" s="15">
        <v>7</v>
      </c>
      <c r="F462" s="26">
        <v>13.635999999999999</v>
      </c>
      <c r="G462" s="27">
        <v>0.24522775000000002</v>
      </c>
      <c r="H462" s="27">
        <v>0</v>
      </c>
      <c r="I462" s="27">
        <v>2.3662208749999998</v>
      </c>
      <c r="J462" s="27">
        <v>1.2550624999999996E-2</v>
      </c>
      <c r="K462" s="27">
        <v>0</v>
      </c>
    </row>
    <row r="463" spans="1:11">
      <c r="A463" s="15">
        <v>7</v>
      </c>
      <c r="B463" s="22">
        <v>41106</v>
      </c>
      <c r="C463" s="15">
        <v>2012</v>
      </c>
      <c r="D463" s="11" t="s">
        <v>34</v>
      </c>
      <c r="E463" s="15">
        <v>7</v>
      </c>
      <c r="F463" s="26">
        <v>10.025</v>
      </c>
      <c r="G463" s="27">
        <v>1.5582315</v>
      </c>
      <c r="H463" s="27">
        <v>0</v>
      </c>
      <c r="I463" s="27">
        <v>2.4759099999999994</v>
      </c>
      <c r="J463" s="27">
        <v>0.26002174999999994</v>
      </c>
      <c r="K463" s="27">
        <v>0</v>
      </c>
    </row>
    <row r="464" spans="1:11">
      <c r="A464" s="15">
        <v>14</v>
      </c>
      <c r="B464" s="22">
        <v>41106</v>
      </c>
      <c r="C464" s="15">
        <v>2012</v>
      </c>
      <c r="D464" s="11" t="s">
        <v>34</v>
      </c>
      <c r="E464" s="15">
        <v>7</v>
      </c>
      <c r="F464" s="26">
        <v>7.0940000000000003</v>
      </c>
      <c r="G464" s="27">
        <v>1.4122453749999997</v>
      </c>
      <c r="H464" s="27">
        <v>0</v>
      </c>
      <c r="I464" s="27">
        <v>1.8578566249999999</v>
      </c>
      <c r="J464" s="27">
        <v>0.11426099999999999</v>
      </c>
      <c r="K464" s="27">
        <v>0</v>
      </c>
    </row>
    <row r="465" spans="1:11">
      <c r="A465" s="15">
        <v>5</v>
      </c>
      <c r="B465" s="22">
        <v>41135</v>
      </c>
      <c r="C465" s="15">
        <v>2012</v>
      </c>
      <c r="D465" s="11" t="s">
        <v>35</v>
      </c>
      <c r="E465" s="15">
        <v>8</v>
      </c>
      <c r="F465" s="26">
        <v>57.398000000000003</v>
      </c>
      <c r="G465" s="27">
        <v>15.261165999999999</v>
      </c>
      <c r="H465" s="27">
        <v>0</v>
      </c>
      <c r="I465" s="27">
        <v>0.54515399999999992</v>
      </c>
      <c r="J465" s="27">
        <v>0.10055837500000001</v>
      </c>
      <c r="K465" s="27">
        <v>0</v>
      </c>
    </row>
    <row r="466" spans="1:11">
      <c r="A466" s="15">
        <v>7</v>
      </c>
      <c r="B466" s="22">
        <v>41137</v>
      </c>
      <c r="C466" s="15">
        <v>2012</v>
      </c>
      <c r="D466" s="11" t="s">
        <v>35</v>
      </c>
      <c r="E466" s="15">
        <v>8</v>
      </c>
      <c r="F466" s="26">
        <v>21.312999999999999</v>
      </c>
      <c r="G466" s="27">
        <v>9.8906587500000001</v>
      </c>
      <c r="H466" s="27">
        <v>0</v>
      </c>
      <c r="I466" s="27">
        <v>1.2212027499999998</v>
      </c>
      <c r="J466" s="27">
        <v>0.27001974999999995</v>
      </c>
      <c r="K466" s="27">
        <v>0</v>
      </c>
    </row>
    <row r="467" spans="1:11">
      <c r="A467" s="15">
        <v>14</v>
      </c>
      <c r="B467" s="22">
        <v>41137</v>
      </c>
      <c r="C467" s="15">
        <v>2012</v>
      </c>
      <c r="D467" s="11" t="s">
        <v>35</v>
      </c>
      <c r="E467" s="15">
        <v>8</v>
      </c>
      <c r="F467" s="26">
        <v>3.71</v>
      </c>
      <c r="G467" s="27">
        <v>1.1223240000000001</v>
      </c>
      <c r="H467" s="27">
        <v>0</v>
      </c>
      <c r="I467" s="27">
        <v>0.58436699999999997</v>
      </c>
      <c r="J467" s="27">
        <v>8.2683500000000007E-2</v>
      </c>
      <c r="K467" s="27">
        <v>0</v>
      </c>
    </row>
    <row r="468" spans="1:11">
      <c r="A468" s="15">
        <v>5</v>
      </c>
      <c r="B468" s="22">
        <v>41164</v>
      </c>
      <c r="C468" s="15">
        <v>2012</v>
      </c>
      <c r="D468" s="11" t="s">
        <v>41</v>
      </c>
      <c r="E468" s="15">
        <v>9</v>
      </c>
      <c r="F468" s="26">
        <v>13.07</v>
      </c>
      <c r="G468" s="27">
        <v>5.4359612499999983</v>
      </c>
      <c r="H468" s="27">
        <v>0</v>
      </c>
      <c r="I468" s="27">
        <v>2.3533545</v>
      </c>
      <c r="J468" s="27">
        <v>0.28563712499999999</v>
      </c>
      <c r="K468" s="27">
        <v>0</v>
      </c>
    </row>
    <row r="469" spans="1:11">
      <c r="A469" s="15">
        <v>7</v>
      </c>
      <c r="B469" s="22">
        <v>41163</v>
      </c>
      <c r="C469" s="15">
        <v>2012</v>
      </c>
      <c r="D469" s="11" t="s">
        <v>41</v>
      </c>
      <c r="E469" s="15">
        <v>9</v>
      </c>
      <c r="F469" s="26">
        <v>20.484999999999999</v>
      </c>
      <c r="G469" s="27">
        <v>5.4859546249999989</v>
      </c>
      <c r="H469" s="27">
        <v>0</v>
      </c>
      <c r="I469" s="27">
        <v>4.0982248749999997</v>
      </c>
      <c r="J469" s="27">
        <v>0.34916787499999996</v>
      </c>
      <c r="K469" s="27">
        <v>0</v>
      </c>
    </row>
    <row r="470" spans="1:11">
      <c r="A470" s="15">
        <v>14</v>
      </c>
      <c r="B470" s="22">
        <v>41163</v>
      </c>
      <c r="C470" s="15">
        <v>2012</v>
      </c>
      <c r="D470" s="11" t="s">
        <v>41</v>
      </c>
      <c r="E470" s="15">
        <v>9</v>
      </c>
      <c r="F470" s="26">
        <v>2.7469999999999999</v>
      </c>
      <c r="G470" s="27">
        <v>0.34613925000000006</v>
      </c>
      <c r="H470" s="27">
        <v>0</v>
      </c>
      <c r="I470" s="27">
        <v>0.55204874999999987</v>
      </c>
      <c r="J470" s="27">
        <v>0.156534125</v>
      </c>
      <c r="K470" s="27">
        <v>0</v>
      </c>
    </row>
    <row r="471" spans="1:11">
      <c r="A471" s="15">
        <v>5</v>
      </c>
      <c r="B471" s="22">
        <v>41199</v>
      </c>
      <c r="C471" s="15">
        <v>2012</v>
      </c>
      <c r="D471" s="11" t="s">
        <v>37</v>
      </c>
      <c r="E471" s="15">
        <v>10</v>
      </c>
      <c r="F471" s="26">
        <v>3.6970000000000001</v>
      </c>
      <c r="G471" s="27">
        <v>0.243508</v>
      </c>
      <c r="H471" s="27">
        <v>0</v>
      </c>
      <c r="I471" s="27">
        <v>0.78586574999999992</v>
      </c>
      <c r="J471" s="27">
        <v>7.5140999999999999E-2</v>
      </c>
      <c r="K471" s="27">
        <v>0</v>
      </c>
    </row>
    <row r="472" spans="1:11">
      <c r="A472" s="15">
        <v>7</v>
      </c>
      <c r="B472" s="22">
        <v>41199</v>
      </c>
      <c r="C472" s="15">
        <v>2012</v>
      </c>
      <c r="D472" s="11" t="s">
        <v>37</v>
      </c>
      <c r="E472" s="15">
        <v>10</v>
      </c>
      <c r="F472" s="26">
        <v>1.903</v>
      </c>
      <c r="G472" s="27">
        <v>7.3273624999999995E-2</v>
      </c>
      <c r="H472" s="27">
        <v>0</v>
      </c>
      <c r="I472" s="27">
        <v>7.2224625000000001E-2</v>
      </c>
      <c r="J472" s="27">
        <v>9.5239999999999995E-3</v>
      </c>
      <c r="K472" s="27">
        <v>0</v>
      </c>
    </row>
    <row r="473" spans="1:11">
      <c r="A473" s="15">
        <v>14</v>
      </c>
      <c r="B473" s="22">
        <v>41199</v>
      </c>
      <c r="C473" s="15">
        <v>2012</v>
      </c>
      <c r="D473" s="11" t="s">
        <v>37</v>
      </c>
      <c r="E473" s="15">
        <v>10</v>
      </c>
      <c r="F473" s="26">
        <v>1.704</v>
      </c>
      <c r="G473" s="27">
        <v>0.11216862499999999</v>
      </c>
      <c r="H473" s="27">
        <v>0</v>
      </c>
      <c r="I473" s="27">
        <v>0.11745587500000002</v>
      </c>
      <c r="J473" s="27">
        <v>0</v>
      </c>
      <c r="K473" s="27">
        <v>0</v>
      </c>
    </row>
    <row r="474" spans="1:11">
      <c r="A474" s="15">
        <v>5</v>
      </c>
      <c r="B474" s="22">
        <v>41225</v>
      </c>
      <c r="C474" s="15">
        <v>2012</v>
      </c>
      <c r="D474" s="11" t="s">
        <v>38</v>
      </c>
      <c r="E474" s="15">
        <v>11</v>
      </c>
      <c r="F474" s="26">
        <v>4.7450000000000001</v>
      </c>
      <c r="G474" s="27">
        <v>4.525524999999999E-2</v>
      </c>
      <c r="H474" s="27">
        <v>0</v>
      </c>
      <c r="I474" s="27">
        <v>1.504715875</v>
      </c>
      <c r="J474" s="27">
        <v>5.1626249999999992E-2</v>
      </c>
      <c r="K474" s="27">
        <v>0</v>
      </c>
    </row>
    <row r="475" spans="1:11">
      <c r="A475" s="15">
        <v>7</v>
      </c>
      <c r="B475" s="22">
        <v>41225</v>
      </c>
      <c r="C475" s="15">
        <v>2012</v>
      </c>
      <c r="D475" s="11" t="s">
        <v>38</v>
      </c>
      <c r="E475" s="15">
        <v>11</v>
      </c>
      <c r="F475" s="26">
        <v>4.2389999999999999</v>
      </c>
      <c r="G475" s="27">
        <v>0</v>
      </c>
      <c r="H475" s="27">
        <v>0</v>
      </c>
      <c r="I475" s="27">
        <v>0.60974062500000004</v>
      </c>
      <c r="J475" s="27">
        <v>3.4691124999999996E-2</v>
      </c>
      <c r="K475" s="27">
        <v>0</v>
      </c>
    </row>
    <row r="476" spans="1:11">
      <c r="A476" s="15">
        <v>14</v>
      </c>
      <c r="B476" s="22">
        <v>41225</v>
      </c>
      <c r="C476" s="15">
        <v>2012</v>
      </c>
      <c r="D476" s="11" t="s">
        <v>38</v>
      </c>
      <c r="E476" s="15">
        <v>11</v>
      </c>
      <c r="F476" s="26">
        <v>1.831</v>
      </c>
      <c r="G476" s="27">
        <v>0</v>
      </c>
      <c r="H476" s="27">
        <v>0</v>
      </c>
      <c r="I476" s="27">
        <v>0.27767249999999999</v>
      </c>
      <c r="J476" s="27">
        <v>1.0420499999999999E-2</v>
      </c>
      <c r="K476" s="27">
        <v>0</v>
      </c>
    </row>
    <row r="477" spans="1:11">
      <c r="A477" s="15">
        <v>5</v>
      </c>
      <c r="B477" s="22">
        <v>41254</v>
      </c>
      <c r="C477" s="15">
        <v>2012</v>
      </c>
      <c r="D477" s="11" t="s">
        <v>39</v>
      </c>
      <c r="E477" s="15">
        <v>12</v>
      </c>
      <c r="F477" s="26">
        <v>2.2109999999999999</v>
      </c>
      <c r="G477" s="27">
        <v>9.9273499999999987E-2</v>
      </c>
      <c r="H477" s="27">
        <v>0</v>
      </c>
      <c r="I477" s="27">
        <v>1.0618233749999997</v>
      </c>
      <c r="J477" s="27">
        <v>0</v>
      </c>
      <c r="K477" s="27">
        <v>0</v>
      </c>
    </row>
    <row r="478" spans="1:11">
      <c r="A478" s="15">
        <v>7</v>
      </c>
      <c r="B478" s="22">
        <v>41255</v>
      </c>
      <c r="C478" s="15">
        <v>2012</v>
      </c>
      <c r="D478" s="11" t="s">
        <v>39</v>
      </c>
      <c r="E478" s="15">
        <v>12</v>
      </c>
      <c r="F478" s="26">
        <v>3.383</v>
      </c>
      <c r="G478" s="27">
        <v>0.50575687499999999</v>
      </c>
      <c r="H478" s="27">
        <v>0</v>
      </c>
      <c r="I478" s="27">
        <v>1.6386555000000003</v>
      </c>
      <c r="J478" s="27">
        <v>7.5126250000000011E-3</v>
      </c>
      <c r="K478" s="27">
        <v>0</v>
      </c>
    </row>
    <row r="479" spans="1:11">
      <c r="A479" s="15">
        <v>14</v>
      </c>
      <c r="B479" s="22">
        <v>41255</v>
      </c>
      <c r="C479" s="15">
        <v>2012</v>
      </c>
      <c r="D479" s="11" t="s">
        <v>39</v>
      </c>
      <c r="E479" s="15">
        <v>12</v>
      </c>
      <c r="F479" s="26">
        <v>1.1919999999999999</v>
      </c>
      <c r="G479" s="27">
        <v>0.12254112499999997</v>
      </c>
      <c r="H479" s="27">
        <v>0</v>
      </c>
      <c r="I479" s="27">
        <v>0.60476775000000005</v>
      </c>
      <c r="J479" s="27">
        <v>0</v>
      </c>
      <c r="K479" s="27">
        <v>0</v>
      </c>
    </row>
    <row r="480" spans="1:11">
      <c r="A480" s="15">
        <v>5</v>
      </c>
      <c r="B480" s="22">
        <v>41288</v>
      </c>
      <c r="C480" s="15">
        <v>2013</v>
      </c>
      <c r="D480" s="11" t="s">
        <v>40</v>
      </c>
      <c r="E480" s="15">
        <v>1</v>
      </c>
      <c r="F480" s="26">
        <v>2.3490000000000002</v>
      </c>
      <c r="G480" s="27">
        <v>0</v>
      </c>
      <c r="H480" s="27">
        <v>0</v>
      </c>
      <c r="I480" s="27">
        <v>0.9808332500000001</v>
      </c>
      <c r="J480" s="27">
        <v>0</v>
      </c>
      <c r="K480" s="27">
        <v>0</v>
      </c>
    </row>
    <row r="481" spans="1:11">
      <c r="A481" s="15">
        <v>7</v>
      </c>
      <c r="B481" s="22">
        <v>41297</v>
      </c>
      <c r="C481" s="15">
        <v>2013</v>
      </c>
      <c r="D481" s="11" t="s">
        <v>40</v>
      </c>
      <c r="E481" s="15">
        <v>1</v>
      </c>
      <c r="F481" s="26">
        <v>2.6680000000000001</v>
      </c>
      <c r="G481" s="27">
        <v>0.17473962499999998</v>
      </c>
      <c r="H481" s="27">
        <v>0</v>
      </c>
      <c r="I481" s="27">
        <v>0.37740112499999989</v>
      </c>
      <c r="J481" s="27">
        <v>1.1120875000000001E-2</v>
      </c>
      <c r="K481" s="27">
        <v>0</v>
      </c>
    </row>
    <row r="482" spans="1:11">
      <c r="A482" s="15">
        <v>14</v>
      </c>
      <c r="B482" s="22">
        <v>41297</v>
      </c>
      <c r="C482" s="15">
        <v>2013</v>
      </c>
      <c r="D482" s="11" t="s">
        <v>40</v>
      </c>
      <c r="E482" s="15">
        <v>1</v>
      </c>
      <c r="F482" s="26">
        <v>1.38</v>
      </c>
      <c r="G482" s="27">
        <v>2.6025874999999997E-2</v>
      </c>
      <c r="H482" s="27">
        <v>0</v>
      </c>
      <c r="I482" s="27">
        <v>0.33170300000000008</v>
      </c>
      <c r="J482" s="27">
        <v>1.1739874999999999E-2</v>
      </c>
      <c r="K482" s="27">
        <v>0</v>
      </c>
    </row>
    <row r="483" spans="1:11">
      <c r="A483" s="15">
        <v>5</v>
      </c>
      <c r="B483" s="22">
        <v>41318</v>
      </c>
      <c r="C483" s="15">
        <v>2013</v>
      </c>
      <c r="D483" s="11" t="s">
        <v>29</v>
      </c>
      <c r="E483" s="15">
        <v>2</v>
      </c>
      <c r="F483" s="31">
        <v>8.3369999999999997</v>
      </c>
      <c r="G483" s="27">
        <v>0</v>
      </c>
      <c r="H483" s="27">
        <v>0</v>
      </c>
      <c r="I483" s="27">
        <v>4.9778297499999988</v>
      </c>
      <c r="J483" s="27">
        <v>2.5176125000000001E-2</v>
      </c>
      <c r="K483" s="27">
        <v>0</v>
      </c>
    </row>
    <row r="484" spans="1:11">
      <c r="A484" s="15">
        <v>7</v>
      </c>
      <c r="B484" s="22">
        <v>41319</v>
      </c>
      <c r="C484" s="15">
        <v>2013</v>
      </c>
      <c r="D484" s="11" t="s">
        <v>29</v>
      </c>
      <c r="E484" s="15">
        <v>2</v>
      </c>
      <c r="F484" s="31">
        <v>5.2880000000000003</v>
      </c>
      <c r="G484" s="27">
        <v>0.11775949999999999</v>
      </c>
      <c r="H484" s="27">
        <v>0</v>
      </c>
      <c r="I484" s="27">
        <v>2.3394633749999998</v>
      </c>
      <c r="J484" s="27">
        <v>1.0161E-2</v>
      </c>
      <c r="K484" s="27">
        <v>0</v>
      </c>
    </row>
    <row r="485" spans="1:11">
      <c r="A485" s="15">
        <v>14</v>
      </c>
      <c r="B485" s="22">
        <v>41319</v>
      </c>
      <c r="C485" s="15">
        <v>2013</v>
      </c>
      <c r="D485" s="11" t="s">
        <v>29</v>
      </c>
      <c r="E485" s="15">
        <v>2</v>
      </c>
      <c r="F485" s="31">
        <v>6.0389999999999997</v>
      </c>
      <c r="G485" s="27">
        <v>3.8291249999999999E-2</v>
      </c>
      <c r="H485" s="27">
        <v>1.3569375E-2</v>
      </c>
      <c r="I485" s="27">
        <v>3.1278204999999994</v>
      </c>
      <c r="J485" s="27">
        <v>0</v>
      </c>
      <c r="K485" s="27">
        <v>0</v>
      </c>
    </row>
    <row r="486" spans="1:11">
      <c r="A486" s="15">
        <v>5</v>
      </c>
      <c r="B486" s="22">
        <v>41344</v>
      </c>
      <c r="C486" s="15">
        <v>2013</v>
      </c>
      <c r="D486" s="11" t="s">
        <v>30</v>
      </c>
      <c r="E486" s="15">
        <v>3</v>
      </c>
      <c r="F486" s="31">
        <v>6.8650000000000002</v>
      </c>
      <c r="G486" s="27">
        <v>5.5329749999999997E-2</v>
      </c>
      <c r="H486" s="27">
        <v>0</v>
      </c>
      <c r="I486" s="27">
        <v>4.1329747499999998</v>
      </c>
      <c r="J486" s="27">
        <v>4.4098999999999999E-2</v>
      </c>
      <c r="K486" s="27">
        <v>0</v>
      </c>
    </row>
    <row r="487" spans="1:11">
      <c r="A487" s="15">
        <v>7</v>
      </c>
      <c r="B487" s="22">
        <v>41346</v>
      </c>
      <c r="C487" s="15">
        <v>2013</v>
      </c>
      <c r="D487" s="11" t="s">
        <v>30</v>
      </c>
      <c r="E487" s="15">
        <v>3</v>
      </c>
      <c r="F487" s="31">
        <v>10.744</v>
      </c>
      <c r="G487" s="27">
        <v>0.15812812499999998</v>
      </c>
      <c r="H487" s="27">
        <v>0</v>
      </c>
      <c r="I487" s="27">
        <v>6.8205334999999989</v>
      </c>
      <c r="J487" s="27">
        <v>4.7323625000000001E-2</v>
      </c>
      <c r="K487" s="27">
        <v>0</v>
      </c>
    </row>
    <row r="488" spans="1:11">
      <c r="A488" s="15">
        <v>14</v>
      </c>
      <c r="B488" s="22">
        <v>41346</v>
      </c>
      <c r="C488" s="15">
        <v>2013</v>
      </c>
      <c r="D488" s="11" t="s">
        <v>30</v>
      </c>
      <c r="E488" s="15">
        <v>3</v>
      </c>
      <c r="F488" s="31">
        <v>8.9760000000000009</v>
      </c>
      <c r="G488" s="27">
        <v>0</v>
      </c>
      <c r="H488" s="27">
        <v>0</v>
      </c>
      <c r="I488" s="27">
        <v>6.0120923749999999</v>
      </c>
      <c r="J488" s="27">
        <v>5.1243625000000001E-2</v>
      </c>
      <c r="K488" s="27">
        <v>0</v>
      </c>
    </row>
    <row r="489" spans="1:11">
      <c r="A489" s="15">
        <v>5</v>
      </c>
      <c r="B489" s="22">
        <v>41379</v>
      </c>
      <c r="C489" s="15">
        <v>2013</v>
      </c>
      <c r="D489" s="11" t="s">
        <v>31</v>
      </c>
      <c r="E489" s="15">
        <v>4</v>
      </c>
      <c r="F489" s="32">
        <v>2.5430000000000001</v>
      </c>
      <c r="G489" s="27">
        <v>0</v>
      </c>
      <c r="H489" s="27">
        <v>0</v>
      </c>
      <c r="I489" s="27">
        <v>1.3378622499999999</v>
      </c>
      <c r="J489" s="27">
        <v>7.2653750000000003E-2</v>
      </c>
      <c r="K489" s="27">
        <v>0</v>
      </c>
    </row>
    <row r="490" spans="1:11">
      <c r="A490" s="15">
        <v>7</v>
      </c>
      <c r="B490" s="22">
        <v>41380</v>
      </c>
      <c r="C490" s="15">
        <v>2013</v>
      </c>
      <c r="D490" s="11" t="s">
        <v>31</v>
      </c>
      <c r="E490" s="15">
        <v>4</v>
      </c>
      <c r="F490" s="32">
        <v>5.2409999999999997</v>
      </c>
      <c r="G490" s="27">
        <v>7.3791999999999983E-2</v>
      </c>
      <c r="H490" s="27">
        <v>0</v>
      </c>
      <c r="I490" s="27">
        <v>1.13628825</v>
      </c>
      <c r="J490" s="27">
        <v>2.3915374999999996E-2</v>
      </c>
      <c r="K490" s="27">
        <v>0</v>
      </c>
    </row>
    <row r="491" spans="1:11">
      <c r="A491" s="15">
        <v>14</v>
      </c>
      <c r="B491" s="22">
        <v>41380</v>
      </c>
      <c r="C491" s="15">
        <v>2013</v>
      </c>
      <c r="D491" s="11" t="s">
        <v>31</v>
      </c>
      <c r="E491" s="15">
        <v>4</v>
      </c>
      <c r="F491" s="32">
        <v>0.433</v>
      </c>
      <c r="G491" s="27">
        <v>0</v>
      </c>
      <c r="H491" s="27">
        <v>0</v>
      </c>
      <c r="I491" s="27">
        <v>8.6425500000000002E-2</v>
      </c>
      <c r="J491" s="27">
        <v>0</v>
      </c>
      <c r="K491" s="27">
        <v>0</v>
      </c>
    </row>
    <row r="492" spans="1:11">
      <c r="A492" s="15">
        <v>5</v>
      </c>
      <c r="B492" s="22">
        <v>41407</v>
      </c>
      <c r="C492" s="15">
        <v>2013</v>
      </c>
      <c r="D492" s="11" t="s">
        <v>32</v>
      </c>
      <c r="E492" s="15">
        <v>5</v>
      </c>
      <c r="F492" s="32">
        <v>1.2370000000000001</v>
      </c>
      <c r="G492" s="27">
        <v>5.5783999999999993E-2</v>
      </c>
      <c r="H492" s="27">
        <v>0</v>
      </c>
      <c r="I492" s="27">
        <v>5.142562500000001E-2</v>
      </c>
      <c r="J492" s="27">
        <v>1.4489374999999999E-2</v>
      </c>
      <c r="K492" s="27">
        <v>0</v>
      </c>
    </row>
    <row r="493" spans="1:11">
      <c r="A493" s="15">
        <v>7</v>
      </c>
      <c r="B493" s="22">
        <v>41407</v>
      </c>
      <c r="C493" s="15">
        <v>2013</v>
      </c>
      <c r="D493" s="11" t="s">
        <v>32</v>
      </c>
      <c r="E493" s="15">
        <v>5</v>
      </c>
      <c r="F493" s="32">
        <v>1.2390000000000001</v>
      </c>
      <c r="G493" s="27">
        <v>0</v>
      </c>
      <c r="H493" s="27">
        <v>0</v>
      </c>
      <c r="I493" s="27">
        <v>0.55525512499999985</v>
      </c>
      <c r="J493" s="27">
        <v>0</v>
      </c>
      <c r="K493" s="27">
        <v>0</v>
      </c>
    </row>
    <row r="494" spans="1:11">
      <c r="A494" s="15">
        <v>14</v>
      </c>
      <c r="B494" s="22">
        <v>41407</v>
      </c>
      <c r="C494" s="15">
        <v>2013</v>
      </c>
      <c r="D494" s="11" t="s">
        <v>32</v>
      </c>
      <c r="E494" s="15">
        <v>5</v>
      </c>
      <c r="F494" s="32">
        <v>0.63600000000000001</v>
      </c>
      <c r="G494" s="27">
        <v>0</v>
      </c>
      <c r="H494" s="27">
        <v>0</v>
      </c>
      <c r="I494" s="27">
        <v>0.2498658749999999</v>
      </c>
      <c r="J494" s="27">
        <v>0</v>
      </c>
      <c r="K494" s="27">
        <v>0</v>
      </c>
    </row>
    <row r="495" spans="1:11">
      <c r="A495" s="15">
        <v>5</v>
      </c>
      <c r="B495" s="22">
        <v>41436</v>
      </c>
      <c r="C495" s="15">
        <v>2013</v>
      </c>
      <c r="D495" s="11" t="s">
        <v>33</v>
      </c>
      <c r="E495" s="15">
        <v>6</v>
      </c>
      <c r="F495" s="32">
        <v>6.915</v>
      </c>
      <c r="G495" s="27">
        <v>6.516812499999998E-2</v>
      </c>
      <c r="H495" s="27">
        <v>0</v>
      </c>
      <c r="I495" s="27">
        <v>3.4232782500000001</v>
      </c>
      <c r="J495" s="27">
        <v>4.9302124999999995E-2</v>
      </c>
      <c r="K495" s="27">
        <v>0</v>
      </c>
    </row>
    <row r="496" spans="1:11">
      <c r="A496" s="15">
        <v>7</v>
      </c>
      <c r="B496" s="22">
        <v>41437</v>
      </c>
      <c r="C496" s="15">
        <v>2013</v>
      </c>
      <c r="D496" s="11" t="s">
        <v>33</v>
      </c>
      <c r="E496" s="15">
        <v>6</v>
      </c>
      <c r="F496" s="32">
        <v>7.1859999999999999</v>
      </c>
      <c r="G496" s="27">
        <v>0.36853812499999999</v>
      </c>
      <c r="H496" s="27">
        <v>0</v>
      </c>
      <c r="I496" s="27">
        <v>2.0410166250000001</v>
      </c>
      <c r="J496" s="27">
        <v>8.9196374999999994E-2</v>
      </c>
      <c r="K496" s="27">
        <v>0</v>
      </c>
    </row>
    <row r="497" spans="1:11">
      <c r="A497" s="15">
        <v>14</v>
      </c>
      <c r="B497" s="22">
        <v>41437</v>
      </c>
      <c r="C497" s="15">
        <v>2013</v>
      </c>
      <c r="D497" s="11" t="s">
        <v>33</v>
      </c>
      <c r="E497" s="15">
        <v>6</v>
      </c>
      <c r="F497" s="32">
        <v>5.2770000000000001</v>
      </c>
      <c r="G497" s="27">
        <v>0.19935900000000001</v>
      </c>
      <c r="H497" s="27">
        <v>0</v>
      </c>
      <c r="I497" s="27">
        <v>2.1256057500000001</v>
      </c>
      <c r="J497" s="27">
        <v>3.4667125E-2</v>
      </c>
      <c r="K497" s="27">
        <v>0</v>
      </c>
    </row>
    <row r="498" spans="1:11">
      <c r="A498" s="15">
        <v>5</v>
      </c>
      <c r="B498" s="22">
        <v>41470</v>
      </c>
      <c r="C498" s="15">
        <v>2013</v>
      </c>
      <c r="D498" s="11" t="s">
        <v>34</v>
      </c>
      <c r="E498" s="15">
        <v>7</v>
      </c>
      <c r="F498" s="32">
        <v>6.6029999999999998</v>
      </c>
      <c r="G498" s="27">
        <v>0.34459912500000001</v>
      </c>
      <c r="H498" s="27">
        <v>0</v>
      </c>
      <c r="I498" s="27">
        <v>1.5036761249999997</v>
      </c>
      <c r="J498" s="27">
        <v>1.593345375</v>
      </c>
      <c r="K498" s="27">
        <v>0</v>
      </c>
    </row>
    <row r="499" spans="1:11">
      <c r="A499" s="15">
        <v>7</v>
      </c>
      <c r="B499" s="22">
        <v>41470</v>
      </c>
      <c r="C499" s="15">
        <v>2013</v>
      </c>
      <c r="D499" s="11" t="s">
        <v>34</v>
      </c>
      <c r="E499" s="15">
        <v>7</v>
      </c>
      <c r="F499" s="32">
        <v>9.8219999999999992</v>
      </c>
      <c r="G499" s="27">
        <v>0.71107524999999994</v>
      </c>
      <c r="H499" s="27">
        <v>7.5122375000000005E-2</v>
      </c>
      <c r="I499" s="27">
        <v>2.3433163750000001</v>
      </c>
      <c r="J499" s="27">
        <v>0.37281312499999997</v>
      </c>
      <c r="K499" s="27">
        <v>0</v>
      </c>
    </row>
    <row r="500" spans="1:11">
      <c r="A500" s="15">
        <v>14</v>
      </c>
      <c r="B500" s="22">
        <v>41470</v>
      </c>
      <c r="C500" s="15">
        <v>2013</v>
      </c>
      <c r="D500" s="11" t="s">
        <v>34</v>
      </c>
      <c r="E500" s="15">
        <v>7</v>
      </c>
      <c r="F500" s="32">
        <v>4.4320000000000004</v>
      </c>
      <c r="G500" s="27">
        <v>0.18958487499999999</v>
      </c>
      <c r="H500" s="27">
        <v>0</v>
      </c>
      <c r="I500" s="27">
        <v>1.1304464999999997</v>
      </c>
      <c r="J500" s="27">
        <v>0.17482662499999999</v>
      </c>
      <c r="K500" s="27">
        <v>0</v>
      </c>
    </row>
    <row r="501" spans="1:11">
      <c r="A501" s="15">
        <v>5</v>
      </c>
      <c r="B501" s="22">
        <v>41498</v>
      </c>
      <c r="C501" s="15">
        <v>2013</v>
      </c>
      <c r="D501" s="11" t="s">
        <v>35</v>
      </c>
      <c r="E501" s="15">
        <v>8</v>
      </c>
      <c r="F501" s="32">
        <v>6.9290000000000003</v>
      </c>
      <c r="G501" s="27">
        <v>0.28015137499999998</v>
      </c>
      <c r="H501" s="27">
        <v>0</v>
      </c>
      <c r="I501" s="27">
        <v>1.9129505</v>
      </c>
      <c r="J501" s="27">
        <v>1.2639043750000001</v>
      </c>
      <c r="K501" s="27">
        <v>0</v>
      </c>
    </row>
    <row r="502" spans="1:11">
      <c r="A502" s="15">
        <v>7</v>
      </c>
      <c r="B502" s="22">
        <v>41498</v>
      </c>
      <c r="C502" s="15">
        <v>2013</v>
      </c>
      <c r="D502" s="11" t="s">
        <v>35</v>
      </c>
      <c r="E502" s="15">
        <v>8</v>
      </c>
      <c r="F502" s="32">
        <v>5.9130000000000003</v>
      </c>
      <c r="G502" s="27">
        <v>1.7123891250000001</v>
      </c>
      <c r="H502" s="27">
        <v>0</v>
      </c>
      <c r="I502" s="27">
        <v>0.42570212499999993</v>
      </c>
      <c r="J502" s="27">
        <v>0.21506762500000001</v>
      </c>
      <c r="K502" s="27">
        <v>0</v>
      </c>
    </row>
    <row r="503" spans="1:11">
      <c r="A503" s="15">
        <v>14</v>
      </c>
      <c r="B503" s="22">
        <v>41498</v>
      </c>
      <c r="C503" s="15">
        <v>2013</v>
      </c>
      <c r="D503" s="11" t="s">
        <v>35</v>
      </c>
      <c r="E503" s="15">
        <v>8</v>
      </c>
      <c r="F503" s="32">
        <v>4.3970000000000002</v>
      </c>
      <c r="G503" s="27">
        <v>1.6612114999999996</v>
      </c>
      <c r="H503" s="27">
        <v>0</v>
      </c>
      <c r="I503" s="27">
        <v>0.24674874999999996</v>
      </c>
      <c r="J503" s="27">
        <v>2.7241499999999995E-2</v>
      </c>
      <c r="K503" s="27">
        <v>0</v>
      </c>
    </row>
    <row r="504" spans="1:11">
      <c r="A504" s="15">
        <v>5</v>
      </c>
      <c r="B504" s="22">
        <v>41533</v>
      </c>
      <c r="C504" s="15">
        <v>2013</v>
      </c>
      <c r="D504" s="11" t="s">
        <v>41</v>
      </c>
      <c r="E504" s="15">
        <v>9</v>
      </c>
      <c r="F504" s="32">
        <v>3.4</v>
      </c>
      <c r="G504" s="27">
        <v>4.6190249999999995E-2</v>
      </c>
      <c r="H504" s="27">
        <v>0</v>
      </c>
      <c r="I504" s="27">
        <v>1.1208383749999999</v>
      </c>
      <c r="J504" s="27">
        <v>6.9370874999999999E-2</v>
      </c>
      <c r="K504" s="27">
        <v>0</v>
      </c>
    </row>
    <row r="505" spans="1:11">
      <c r="A505" s="15">
        <v>7</v>
      </c>
      <c r="B505" s="22">
        <v>41535</v>
      </c>
      <c r="C505" s="15">
        <v>2013</v>
      </c>
      <c r="D505" s="11" t="s">
        <v>41</v>
      </c>
      <c r="E505" s="15">
        <v>9</v>
      </c>
      <c r="F505" s="32">
        <v>7.87</v>
      </c>
      <c r="G505" s="27">
        <v>3.7157478749999995</v>
      </c>
      <c r="H505" s="27">
        <v>0</v>
      </c>
      <c r="I505" s="27">
        <v>0.166927875</v>
      </c>
      <c r="J505" s="27">
        <v>6.3457E-2</v>
      </c>
      <c r="K505" s="27">
        <v>0</v>
      </c>
    </row>
    <row r="506" spans="1:11">
      <c r="A506" s="15">
        <v>14</v>
      </c>
      <c r="B506" s="22">
        <v>41535</v>
      </c>
      <c r="C506" s="15">
        <v>2013</v>
      </c>
      <c r="D506" s="11" t="s">
        <v>41</v>
      </c>
      <c r="E506" s="15">
        <v>9</v>
      </c>
      <c r="F506" s="32">
        <v>0.88300000000000001</v>
      </c>
      <c r="G506" s="27">
        <v>0.14354525000000001</v>
      </c>
      <c r="H506" s="27">
        <v>0</v>
      </c>
      <c r="I506" s="27">
        <v>0.156142</v>
      </c>
      <c r="J506" s="27">
        <v>0</v>
      </c>
      <c r="K506" s="27">
        <v>0</v>
      </c>
    </row>
    <row r="507" spans="1:11">
      <c r="A507" s="15">
        <v>5</v>
      </c>
      <c r="B507" s="22">
        <v>41569</v>
      </c>
      <c r="C507" s="15">
        <v>2013</v>
      </c>
      <c r="D507" s="11" t="s">
        <v>37</v>
      </c>
      <c r="E507" s="15">
        <v>10</v>
      </c>
      <c r="F507" s="26">
        <v>2.6429999999999998</v>
      </c>
      <c r="G507" s="27">
        <v>4.0691375000000002E-2</v>
      </c>
      <c r="H507" s="27">
        <v>0</v>
      </c>
      <c r="I507" s="27">
        <v>6.7841374999999982E-2</v>
      </c>
      <c r="J507" s="27">
        <v>0</v>
      </c>
      <c r="K507" s="27">
        <v>0</v>
      </c>
    </row>
    <row r="508" spans="1:11">
      <c r="A508" s="15">
        <v>7</v>
      </c>
      <c r="B508" s="22">
        <v>406810</v>
      </c>
      <c r="C508" s="15">
        <v>2013</v>
      </c>
      <c r="D508" s="11" t="s">
        <v>37</v>
      </c>
      <c r="E508" s="15">
        <v>10</v>
      </c>
      <c r="F508" s="26">
        <v>3.2120000000000002</v>
      </c>
      <c r="G508" s="27">
        <v>0.133235625</v>
      </c>
      <c r="H508" s="27">
        <v>0</v>
      </c>
      <c r="I508" s="27">
        <v>0.50090887499999992</v>
      </c>
      <c r="J508" s="27">
        <v>2.6587999999999997E-2</v>
      </c>
      <c r="K508" s="27">
        <v>0</v>
      </c>
    </row>
    <row r="509" spans="1:11">
      <c r="A509" s="15">
        <v>14</v>
      </c>
      <c r="B509" s="22">
        <v>406810</v>
      </c>
      <c r="C509" s="15">
        <v>2013</v>
      </c>
      <c r="D509" s="11" t="s">
        <v>37</v>
      </c>
      <c r="E509" s="15">
        <v>10</v>
      </c>
      <c r="F509" s="26">
        <v>1.133</v>
      </c>
      <c r="G509" s="27">
        <v>6.076875000000001E-2</v>
      </c>
      <c r="H509" s="27">
        <v>0</v>
      </c>
      <c r="I509" s="27">
        <v>6.6877375000000003E-2</v>
      </c>
      <c r="J509" s="27">
        <v>8.1957499999999982E-3</v>
      </c>
      <c r="K509" s="27">
        <v>0</v>
      </c>
    </row>
    <row r="510" spans="1:11">
      <c r="A510" s="15">
        <v>5</v>
      </c>
      <c r="B510" s="22">
        <v>41597</v>
      </c>
      <c r="C510" s="15">
        <v>2013</v>
      </c>
      <c r="D510" s="11" t="s">
        <v>38</v>
      </c>
      <c r="E510" s="15">
        <v>11</v>
      </c>
      <c r="F510" s="26">
        <v>0.70799999999999996</v>
      </c>
      <c r="G510" s="27">
        <v>0</v>
      </c>
      <c r="H510" s="27">
        <v>0</v>
      </c>
      <c r="I510" s="27">
        <v>0.16126675000000001</v>
      </c>
      <c r="J510" s="27">
        <v>0</v>
      </c>
      <c r="K510" s="27">
        <v>0</v>
      </c>
    </row>
    <row r="511" spans="1:11">
      <c r="A511" s="15">
        <v>7</v>
      </c>
      <c r="B511" s="22">
        <v>41599</v>
      </c>
      <c r="C511" s="15">
        <v>2013</v>
      </c>
      <c r="D511" s="11" t="s">
        <v>38</v>
      </c>
      <c r="E511" s="15">
        <v>11</v>
      </c>
      <c r="F511" s="26">
        <v>0.64800000000000002</v>
      </c>
      <c r="G511" s="27">
        <v>3.8234749999999991E-2</v>
      </c>
      <c r="H511" s="27">
        <v>0</v>
      </c>
      <c r="I511" s="27">
        <v>0.11387787499999998</v>
      </c>
      <c r="J511" s="27">
        <v>0</v>
      </c>
      <c r="K511" s="27">
        <v>0</v>
      </c>
    </row>
    <row r="512" spans="1:11">
      <c r="A512" s="15">
        <v>14</v>
      </c>
      <c r="B512" s="22">
        <v>41599</v>
      </c>
      <c r="C512" s="15">
        <v>2013</v>
      </c>
      <c r="D512" s="11" t="s">
        <v>38</v>
      </c>
      <c r="E512" s="15">
        <v>11</v>
      </c>
      <c r="F512" s="26">
        <v>0.48199999999999998</v>
      </c>
      <c r="G512" s="27">
        <v>1.3696E-2</v>
      </c>
      <c r="H512" s="27">
        <v>0</v>
      </c>
      <c r="I512" s="27">
        <v>0.11209749999999999</v>
      </c>
      <c r="J512" s="27">
        <v>5.8508749999999993E-3</v>
      </c>
      <c r="K512" s="27">
        <v>0</v>
      </c>
    </row>
    <row r="513" spans="1:11">
      <c r="A513" s="15">
        <v>5</v>
      </c>
      <c r="B513" s="22">
        <v>41624</v>
      </c>
      <c r="C513" s="15">
        <v>2013</v>
      </c>
      <c r="D513" s="11" t="s">
        <v>39</v>
      </c>
      <c r="E513" s="15">
        <v>12</v>
      </c>
      <c r="F513" s="26">
        <v>3.2549999999999999</v>
      </c>
      <c r="G513" s="27">
        <v>7.7903750000000008E-2</v>
      </c>
      <c r="H513" s="27">
        <v>0</v>
      </c>
      <c r="I513" s="27">
        <v>1.2169337499999999</v>
      </c>
      <c r="J513" s="27">
        <v>0</v>
      </c>
      <c r="K513" s="27">
        <v>0</v>
      </c>
    </row>
    <row r="514" spans="1:11">
      <c r="A514" s="15">
        <v>7</v>
      </c>
      <c r="B514" s="22">
        <v>41627</v>
      </c>
      <c r="C514" s="15">
        <v>2013</v>
      </c>
      <c r="D514" s="11" t="s">
        <v>39</v>
      </c>
      <c r="E514" s="15">
        <v>12</v>
      </c>
      <c r="F514" s="26">
        <v>6.6989999999999998</v>
      </c>
      <c r="G514" s="27">
        <v>2.6235210000000002</v>
      </c>
      <c r="H514" s="27">
        <v>0</v>
      </c>
      <c r="I514" s="27">
        <v>0.76138462499999993</v>
      </c>
      <c r="J514" s="27">
        <v>3.7646249999999992E-2</v>
      </c>
      <c r="K514" s="27">
        <v>0</v>
      </c>
    </row>
    <row r="515" spans="1:11">
      <c r="A515" s="15">
        <v>14</v>
      </c>
      <c r="B515" s="22">
        <v>41627</v>
      </c>
      <c r="C515" s="15">
        <v>2013</v>
      </c>
      <c r="D515" s="11" t="s">
        <v>39</v>
      </c>
      <c r="E515" s="15">
        <v>12</v>
      </c>
      <c r="F515" s="26">
        <v>2.052</v>
      </c>
      <c r="G515" s="27">
        <v>0.29339100000000001</v>
      </c>
      <c r="H515" s="27">
        <v>0</v>
      </c>
      <c r="I515" s="27">
        <v>0.49781812500000006</v>
      </c>
      <c r="J515" s="27">
        <v>9.3231249999999998E-3</v>
      </c>
      <c r="K515" s="27">
        <v>0</v>
      </c>
    </row>
    <row r="516" spans="1:11">
      <c r="A516" s="15">
        <v>5</v>
      </c>
      <c r="B516" s="22">
        <v>41654</v>
      </c>
      <c r="C516" s="15">
        <v>2014</v>
      </c>
      <c r="D516" s="11" t="s">
        <v>40</v>
      </c>
      <c r="E516" s="15">
        <v>1</v>
      </c>
      <c r="F516" s="26">
        <v>2.7160000000000002</v>
      </c>
      <c r="G516" s="27">
        <v>0</v>
      </c>
      <c r="H516" s="27">
        <v>0</v>
      </c>
      <c r="I516" s="27">
        <v>1.0902731249999997</v>
      </c>
      <c r="J516" s="27">
        <v>0</v>
      </c>
      <c r="K516" s="27">
        <v>0</v>
      </c>
    </row>
    <row r="517" spans="1:11">
      <c r="A517" s="15">
        <v>7</v>
      </c>
      <c r="B517" s="22">
        <v>41655</v>
      </c>
      <c r="C517" s="15">
        <v>2014</v>
      </c>
      <c r="D517" s="11" t="s">
        <v>40</v>
      </c>
      <c r="E517" s="15">
        <v>1</v>
      </c>
      <c r="F517" s="26">
        <v>4.1989999999999998</v>
      </c>
      <c r="G517" s="27">
        <v>0.40375324999999995</v>
      </c>
      <c r="H517" s="27">
        <v>0</v>
      </c>
      <c r="I517" s="27">
        <v>0.99440300000000004</v>
      </c>
      <c r="J517" s="27">
        <v>1.6791749999999998E-2</v>
      </c>
      <c r="K517" s="27">
        <v>0</v>
      </c>
    </row>
    <row r="518" spans="1:11">
      <c r="A518" s="15">
        <v>14</v>
      </c>
      <c r="B518" s="22">
        <v>41655</v>
      </c>
      <c r="C518" s="15">
        <v>2014</v>
      </c>
      <c r="D518" s="11" t="s">
        <v>40</v>
      </c>
      <c r="E518" s="15">
        <v>1</v>
      </c>
      <c r="F518" s="26">
        <v>2.839</v>
      </c>
      <c r="G518" s="27">
        <v>0.14082174999999997</v>
      </c>
      <c r="H518" s="27">
        <v>0</v>
      </c>
      <c r="I518" s="27">
        <v>0.86851774999999987</v>
      </c>
      <c r="J518" s="27">
        <v>1.8850749999999996E-2</v>
      </c>
      <c r="K518" s="27">
        <v>0</v>
      </c>
    </row>
    <row r="519" spans="1:11">
      <c r="A519" s="15">
        <v>5</v>
      </c>
      <c r="B519" s="22">
        <v>41688</v>
      </c>
      <c r="C519" s="15">
        <v>2014</v>
      </c>
      <c r="D519" s="11" t="s">
        <v>29</v>
      </c>
      <c r="E519" s="15">
        <v>2</v>
      </c>
      <c r="F519" s="26">
        <v>2.9209999999999998</v>
      </c>
      <c r="G519" s="27">
        <v>3.2449499999999999E-2</v>
      </c>
      <c r="H519" s="27">
        <v>0</v>
      </c>
      <c r="I519" s="27">
        <v>1.080244875</v>
      </c>
      <c r="J519" s="27">
        <v>2.0174374999999994E-2</v>
      </c>
      <c r="K519" s="27">
        <v>0</v>
      </c>
    </row>
    <row r="520" spans="1:11">
      <c r="A520" s="15">
        <v>7</v>
      </c>
      <c r="B520" s="22">
        <v>41690</v>
      </c>
      <c r="C520" s="15">
        <v>2014</v>
      </c>
      <c r="D520" s="11" t="s">
        <v>29</v>
      </c>
      <c r="E520" s="15">
        <v>2</v>
      </c>
      <c r="F520" s="26">
        <v>3.8149999999999999</v>
      </c>
      <c r="G520" s="27">
        <v>0.138683</v>
      </c>
      <c r="H520" s="27">
        <v>0</v>
      </c>
      <c r="I520" s="27">
        <v>1.4297617499999999</v>
      </c>
      <c r="J520" s="27">
        <v>1.9064874999999995E-2</v>
      </c>
      <c r="K520" s="27">
        <v>0</v>
      </c>
    </row>
    <row r="521" spans="1:11">
      <c r="A521" s="15">
        <v>14</v>
      </c>
      <c r="B521" s="22">
        <v>41690</v>
      </c>
      <c r="C521" s="15">
        <v>2014</v>
      </c>
      <c r="D521" s="11" t="s">
        <v>29</v>
      </c>
      <c r="E521" s="15">
        <v>2</v>
      </c>
      <c r="F521" s="26">
        <v>4.59</v>
      </c>
      <c r="G521" s="27">
        <v>6.8962124999999999E-2</v>
      </c>
      <c r="H521" s="27">
        <v>0</v>
      </c>
      <c r="I521" s="27">
        <v>1.6685007500000002</v>
      </c>
      <c r="J521" s="27">
        <v>1.9884249999999999E-2</v>
      </c>
      <c r="K521" s="27">
        <v>0</v>
      </c>
    </row>
    <row r="522" spans="1:11">
      <c r="A522" s="15">
        <v>5</v>
      </c>
      <c r="B522" s="22">
        <v>41718</v>
      </c>
      <c r="C522" s="15">
        <v>2014</v>
      </c>
      <c r="D522" s="11" t="s">
        <v>30</v>
      </c>
      <c r="E522" s="15">
        <v>3</v>
      </c>
      <c r="F522" s="26">
        <v>5.923</v>
      </c>
      <c r="G522" s="27">
        <v>0.15427262499999997</v>
      </c>
      <c r="H522" s="27">
        <v>0</v>
      </c>
      <c r="I522" s="27">
        <v>2.6624426249999997</v>
      </c>
      <c r="J522" s="27">
        <v>2.3510625E-2</v>
      </c>
      <c r="K522" s="27">
        <v>0</v>
      </c>
    </row>
    <row r="523" spans="1:11">
      <c r="A523" s="15">
        <v>7</v>
      </c>
      <c r="B523" s="22">
        <v>41718</v>
      </c>
      <c r="C523" s="15">
        <v>2014</v>
      </c>
      <c r="D523" s="11" t="s">
        <v>30</v>
      </c>
      <c r="E523" s="15">
        <v>3</v>
      </c>
      <c r="F523" s="26">
        <v>3.7069999999999999</v>
      </c>
      <c r="G523" s="27">
        <v>0.17214475000000001</v>
      </c>
      <c r="H523" s="27">
        <v>0</v>
      </c>
      <c r="I523" s="27">
        <v>1.3201890000000001</v>
      </c>
      <c r="J523" s="27">
        <v>2.1393624999999999E-2</v>
      </c>
      <c r="K523" s="27">
        <v>0</v>
      </c>
    </row>
    <row r="524" spans="1:11">
      <c r="A524" s="15">
        <v>14</v>
      </c>
      <c r="B524" s="22">
        <v>41718</v>
      </c>
      <c r="C524" s="15">
        <v>2014</v>
      </c>
      <c r="D524" s="11" t="s">
        <v>30</v>
      </c>
      <c r="E524" s="15">
        <v>3</v>
      </c>
      <c r="F524" s="26">
        <v>5.3289999999999997</v>
      </c>
      <c r="G524" s="27">
        <v>0.16295824999999997</v>
      </c>
      <c r="H524" s="27">
        <v>0</v>
      </c>
      <c r="I524" s="27">
        <v>2.259413125</v>
      </c>
      <c r="J524" s="27">
        <v>1.9279749999999998E-2</v>
      </c>
      <c r="K524" s="27">
        <v>0</v>
      </c>
    </row>
    <row r="525" spans="1:11">
      <c r="A525" s="15">
        <v>5</v>
      </c>
      <c r="B525" s="22">
        <v>41747</v>
      </c>
      <c r="C525" s="15">
        <v>2014</v>
      </c>
      <c r="D525" s="11" t="s">
        <v>31</v>
      </c>
      <c r="E525" s="15">
        <v>4</v>
      </c>
      <c r="F525" s="33">
        <v>5.7229999999999999</v>
      </c>
      <c r="G525" s="27">
        <v>0.13722800000000002</v>
      </c>
      <c r="H525" s="27">
        <v>0</v>
      </c>
      <c r="I525" s="27">
        <v>2.3290970000000004</v>
      </c>
      <c r="J525" s="27">
        <v>5.7789E-2</v>
      </c>
      <c r="K525" s="27">
        <v>0</v>
      </c>
    </row>
    <row r="526" spans="1:11">
      <c r="A526" s="15">
        <v>7</v>
      </c>
      <c r="B526" s="22">
        <v>41750</v>
      </c>
      <c r="C526" s="15">
        <v>2014</v>
      </c>
      <c r="D526" s="11" t="s">
        <v>31</v>
      </c>
      <c r="E526" s="15">
        <v>4</v>
      </c>
      <c r="F526" s="33">
        <v>2.2210000000000001</v>
      </c>
      <c r="G526" s="27">
        <v>1.8017249999999999E-2</v>
      </c>
      <c r="H526" s="27">
        <v>0</v>
      </c>
      <c r="I526" s="27">
        <v>0.70522625000000005</v>
      </c>
      <c r="J526" s="27">
        <v>1.4537749999999999E-2</v>
      </c>
      <c r="K526" s="27">
        <v>0</v>
      </c>
    </row>
    <row r="527" spans="1:11">
      <c r="A527" s="15">
        <v>14</v>
      </c>
      <c r="B527" s="22">
        <v>41750</v>
      </c>
      <c r="C527" s="15">
        <v>2014</v>
      </c>
      <c r="D527" s="11" t="s">
        <v>31</v>
      </c>
      <c r="E527" s="15">
        <v>4</v>
      </c>
      <c r="F527" s="34">
        <v>2.3580000000000001</v>
      </c>
      <c r="G527" s="27">
        <v>6.2692833333333337E-2</v>
      </c>
      <c r="H527" s="27">
        <v>0</v>
      </c>
      <c r="I527" s="27">
        <v>0.69970699999999997</v>
      </c>
      <c r="J527" s="27">
        <v>0</v>
      </c>
      <c r="K527" s="27">
        <v>0</v>
      </c>
    </row>
    <row r="528" spans="1:11">
      <c r="A528" s="15">
        <v>5</v>
      </c>
      <c r="B528" s="22">
        <v>41772</v>
      </c>
      <c r="C528" s="15">
        <v>2014</v>
      </c>
      <c r="D528" s="11" t="s">
        <v>32</v>
      </c>
      <c r="E528" s="15">
        <v>5</v>
      </c>
      <c r="F528" s="33">
        <v>1.1399999999999999</v>
      </c>
      <c r="G528" s="27">
        <v>0</v>
      </c>
      <c r="H528" s="27">
        <v>0</v>
      </c>
      <c r="I528" s="27">
        <v>0.32215225000000003</v>
      </c>
      <c r="J528" s="27">
        <v>1.1648374999999999E-2</v>
      </c>
      <c r="K528" s="27">
        <v>0</v>
      </c>
    </row>
    <row r="529" spans="1:11">
      <c r="A529" s="15">
        <v>7</v>
      </c>
      <c r="B529" s="22">
        <v>41406</v>
      </c>
      <c r="C529" s="15">
        <v>2014</v>
      </c>
      <c r="D529" s="11" t="s">
        <v>32</v>
      </c>
      <c r="E529" s="15">
        <v>5</v>
      </c>
      <c r="F529" s="33">
        <v>2.476</v>
      </c>
      <c r="G529" s="27">
        <v>0</v>
      </c>
      <c r="H529" s="27">
        <v>0</v>
      </c>
      <c r="I529" s="27">
        <v>0.13357137499999999</v>
      </c>
      <c r="J529" s="27">
        <v>1.4841750000000001E-2</v>
      </c>
      <c r="K529" s="27">
        <v>0</v>
      </c>
    </row>
    <row r="530" spans="1:11">
      <c r="A530" s="15">
        <v>14</v>
      </c>
      <c r="B530" s="22">
        <v>41406</v>
      </c>
      <c r="C530" s="15">
        <v>2014</v>
      </c>
      <c r="D530" s="11" t="s">
        <v>32</v>
      </c>
      <c r="E530" s="15">
        <v>5</v>
      </c>
      <c r="F530" s="33">
        <v>1.5740000000000001</v>
      </c>
      <c r="G530" s="27">
        <v>2.6669624999999995E-2</v>
      </c>
      <c r="H530" s="27">
        <v>0</v>
      </c>
      <c r="I530" s="27">
        <v>0.32052774999999994</v>
      </c>
      <c r="J530" s="27">
        <v>2.8773499999999997E-2</v>
      </c>
      <c r="K530" s="27">
        <v>0</v>
      </c>
    </row>
    <row r="531" spans="1:11">
      <c r="A531" s="15">
        <v>5</v>
      </c>
      <c r="B531" s="22">
        <v>41808</v>
      </c>
      <c r="C531" s="15">
        <v>2014</v>
      </c>
      <c r="D531" s="11" t="s">
        <v>33</v>
      </c>
      <c r="E531" s="15">
        <v>6</v>
      </c>
      <c r="F531" s="33">
        <v>4.274</v>
      </c>
      <c r="G531" s="27">
        <v>9.1353874999999987E-2</v>
      </c>
      <c r="H531" s="27">
        <v>0</v>
      </c>
      <c r="I531" s="27">
        <v>1.2837940000000001</v>
      </c>
      <c r="J531" s="27">
        <v>0.19684787500000001</v>
      </c>
      <c r="K531" s="27">
        <v>0</v>
      </c>
    </row>
    <row r="532" spans="1:11">
      <c r="A532" s="15">
        <v>7</v>
      </c>
      <c r="B532" s="22">
        <v>41807</v>
      </c>
      <c r="C532" s="15">
        <v>2014</v>
      </c>
      <c r="D532" s="11" t="s">
        <v>33</v>
      </c>
      <c r="E532" s="15">
        <v>6</v>
      </c>
      <c r="F532" s="33">
        <v>1.589</v>
      </c>
      <c r="G532" s="27">
        <v>0.237976875</v>
      </c>
      <c r="H532" s="27">
        <v>0</v>
      </c>
      <c r="I532" s="27">
        <v>8.2232124999999989E-2</v>
      </c>
      <c r="J532" s="27">
        <v>6.28605E-2</v>
      </c>
      <c r="K532" s="27">
        <v>0</v>
      </c>
    </row>
    <row r="533" spans="1:11">
      <c r="A533" s="15">
        <v>14</v>
      </c>
      <c r="B533" s="22">
        <v>41807</v>
      </c>
      <c r="C533" s="15">
        <v>2014</v>
      </c>
      <c r="D533" s="11" t="s">
        <v>33</v>
      </c>
      <c r="E533" s="15">
        <v>6</v>
      </c>
      <c r="F533" s="33">
        <v>1.0229999999999999</v>
      </c>
      <c r="G533" s="27">
        <v>4.6392124999999999E-2</v>
      </c>
      <c r="H533" s="27">
        <v>0</v>
      </c>
      <c r="I533" s="27">
        <v>0.16038850000000002</v>
      </c>
      <c r="J533" s="27">
        <v>4.9441375000000003E-2</v>
      </c>
      <c r="K533" s="27">
        <v>0</v>
      </c>
    </row>
    <row r="534" spans="1:11">
      <c r="A534" s="15">
        <v>5</v>
      </c>
      <c r="B534" s="22">
        <v>41834</v>
      </c>
      <c r="C534" s="15">
        <v>2014</v>
      </c>
      <c r="D534" s="11" t="s">
        <v>34</v>
      </c>
      <c r="E534" s="15">
        <v>7</v>
      </c>
      <c r="F534" s="33">
        <v>10.997999999999999</v>
      </c>
      <c r="G534" s="27">
        <v>0.43608549999999996</v>
      </c>
      <c r="H534" s="27">
        <v>0</v>
      </c>
      <c r="I534" s="27">
        <v>3.172333375</v>
      </c>
      <c r="J534" s="27">
        <v>0.75023187499999999</v>
      </c>
      <c r="K534" s="27">
        <v>0</v>
      </c>
    </row>
    <row r="535" spans="1:11">
      <c r="A535" s="15">
        <v>7</v>
      </c>
      <c r="B535" s="22">
        <v>41837</v>
      </c>
      <c r="C535" s="15">
        <v>2014</v>
      </c>
      <c r="D535" s="11" t="s">
        <v>34</v>
      </c>
      <c r="E535" s="15">
        <v>7</v>
      </c>
      <c r="F535" s="33">
        <v>5.3529999999999998</v>
      </c>
      <c r="G535" s="27">
        <v>0.80758562499999975</v>
      </c>
      <c r="H535" s="27">
        <v>0</v>
      </c>
      <c r="I535" s="27">
        <v>0.3300324999999999</v>
      </c>
      <c r="J535" s="27">
        <v>5.0934249999999993E-2</v>
      </c>
      <c r="K535" s="27">
        <v>0</v>
      </c>
    </row>
    <row r="536" spans="1:11">
      <c r="A536" s="15">
        <v>14</v>
      </c>
      <c r="B536" s="22">
        <v>41837</v>
      </c>
      <c r="C536" s="15">
        <v>2014</v>
      </c>
      <c r="D536" s="11" t="s">
        <v>34</v>
      </c>
      <c r="E536" s="15">
        <v>7</v>
      </c>
      <c r="F536" s="33">
        <v>3.3460000000000001</v>
      </c>
      <c r="G536" s="27">
        <v>0.24616237499999993</v>
      </c>
      <c r="H536" s="27">
        <v>0</v>
      </c>
      <c r="I536" s="27">
        <v>0.59621950000000001</v>
      </c>
      <c r="J536" s="27">
        <v>1.8154625000000004E-2</v>
      </c>
      <c r="K536" s="27">
        <v>0</v>
      </c>
    </row>
    <row r="537" spans="1:11">
      <c r="A537" s="15">
        <v>5</v>
      </c>
      <c r="B537" s="22">
        <v>41864</v>
      </c>
      <c r="C537" s="15">
        <v>2014</v>
      </c>
      <c r="D537" s="11" t="s">
        <v>35</v>
      </c>
      <c r="E537" s="15">
        <v>8</v>
      </c>
      <c r="F537" s="33">
        <v>3.7149999999999999</v>
      </c>
      <c r="G537" s="27">
        <v>0.22170287499999997</v>
      </c>
      <c r="H537" s="27">
        <v>0</v>
      </c>
      <c r="I537" s="27">
        <v>1.234309125</v>
      </c>
      <c r="J537" s="27">
        <v>0.24712112500000002</v>
      </c>
      <c r="K537" s="27">
        <v>0</v>
      </c>
    </row>
    <row r="538" spans="1:11">
      <c r="A538" s="15">
        <v>7</v>
      </c>
      <c r="B538" s="22">
        <v>41862</v>
      </c>
      <c r="C538" s="15">
        <v>2014</v>
      </c>
      <c r="D538" s="11" t="s">
        <v>35</v>
      </c>
      <c r="E538" s="15">
        <v>8</v>
      </c>
      <c r="F538" s="33">
        <v>9.3279999999999994</v>
      </c>
      <c r="G538" s="27">
        <v>2.2704987499999998</v>
      </c>
      <c r="H538" s="27">
        <v>0</v>
      </c>
      <c r="I538" s="27">
        <v>0.7375641249999999</v>
      </c>
      <c r="J538" s="27">
        <v>0.11665475000000002</v>
      </c>
      <c r="K538" s="27">
        <v>0</v>
      </c>
    </row>
    <row r="539" spans="1:11">
      <c r="A539" s="15">
        <v>14</v>
      </c>
      <c r="B539" s="22">
        <v>41862</v>
      </c>
      <c r="C539" s="15">
        <v>2014</v>
      </c>
      <c r="D539" s="11" t="s">
        <v>35</v>
      </c>
      <c r="E539" s="15">
        <v>8</v>
      </c>
      <c r="F539" s="33">
        <v>2.9540000000000002</v>
      </c>
      <c r="G539" s="27">
        <v>0.228185625</v>
      </c>
      <c r="H539" s="27">
        <v>0</v>
      </c>
      <c r="I539" s="27">
        <v>0.65681100000000014</v>
      </c>
      <c r="J539" s="27">
        <v>3.5728499999999996E-2</v>
      </c>
      <c r="K539" s="27">
        <v>0</v>
      </c>
    </row>
    <row r="540" spans="1:11">
      <c r="A540" s="15">
        <v>5</v>
      </c>
      <c r="B540" s="22">
        <v>41898</v>
      </c>
      <c r="C540" s="15">
        <v>2014</v>
      </c>
      <c r="D540" s="11" t="s">
        <v>41</v>
      </c>
      <c r="E540" s="15">
        <v>9</v>
      </c>
      <c r="F540" s="33">
        <v>4.335</v>
      </c>
      <c r="G540" s="27">
        <v>9.3033624999999981E-2</v>
      </c>
      <c r="H540" s="27">
        <v>0</v>
      </c>
      <c r="I540" s="27">
        <v>0.67707262499999998</v>
      </c>
      <c r="J540" s="27">
        <v>5.4866875000000002E-2</v>
      </c>
      <c r="K540" s="27">
        <v>0</v>
      </c>
    </row>
    <row r="541" spans="1:11">
      <c r="A541" s="15">
        <v>7</v>
      </c>
      <c r="B541" s="22">
        <v>41897</v>
      </c>
      <c r="C541" s="15">
        <v>2014</v>
      </c>
      <c r="D541" s="11" t="s">
        <v>41</v>
      </c>
      <c r="E541" s="15">
        <v>9</v>
      </c>
      <c r="F541" s="33">
        <v>1.879</v>
      </c>
      <c r="G541" s="27">
        <v>0.29378512499999998</v>
      </c>
      <c r="H541" s="27">
        <v>0</v>
      </c>
      <c r="I541" s="27">
        <v>0.18161424999999998</v>
      </c>
      <c r="J541" s="27">
        <v>3.0365500000000004E-2</v>
      </c>
      <c r="K541" s="27">
        <v>0</v>
      </c>
    </row>
    <row r="542" spans="1:11">
      <c r="A542" s="15">
        <v>14</v>
      </c>
      <c r="B542" s="22">
        <v>41897</v>
      </c>
      <c r="C542" s="15">
        <v>2014</v>
      </c>
      <c r="D542" s="11" t="s">
        <v>41</v>
      </c>
      <c r="E542" s="15">
        <v>9</v>
      </c>
      <c r="F542" s="33">
        <v>1.1180000000000001</v>
      </c>
      <c r="G542" s="27">
        <v>4.734374999999999E-2</v>
      </c>
      <c r="H542" s="27">
        <v>0</v>
      </c>
      <c r="I542" s="27">
        <v>0.20224887499999997</v>
      </c>
      <c r="J542" s="27">
        <v>0</v>
      </c>
      <c r="K542" s="27">
        <v>0</v>
      </c>
    </row>
    <row r="543" spans="1:11">
      <c r="A543" s="15">
        <v>5</v>
      </c>
      <c r="B543" s="22">
        <v>41929</v>
      </c>
      <c r="C543" s="15">
        <v>2014</v>
      </c>
      <c r="D543" s="11" t="s">
        <v>37</v>
      </c>
      <c r="E543" s="15">
        <v>10</v>
      </c>
      <c r="F543" s="26">
        <v>1.516</v>
      </c>
      <c r="G543" s="27">
        <v>4.6567875000000002E-2</v>
      </c>
      <c r="H543" s="27">
        <v>0</v>
      </c>
      <c r="I543" s="27">
        <v>0.48158412499999997</v>
      </c>
      <c r="J543" s="27">
        <v>1.3757625000000001E-2</v>
      </c>
      <c r="K543" s="27">
        <v>0</v>
      </c>
    </row>
    <row r="544" spans="1:11">
      <c r="A544" s="15">
        <v>7</v>
      </c>
      <c r="B544" s="22">
        <v>41928</v>
      </c>
      <c r="C544" s="15">
        <v>2014</v>
      </c>
      <c r="D544" s="11" t="s">
        <v>37</v>
      </c>
      <c r="E544" s="15">
        <v>10</v>
      </c>
      <c r="F544" s="26">
        <v>1.3819999999999999</v>
      </c>
      <c r="G544" s="27">
        <v>6.1296625E-2</v>
      </c>
      <c r="H544" s="27">
        <v>0</v>
      </c>
      <c r="I544" s="27">
        <v>0.18020962500000001</v>
      </c>
      <c r="J544" s="27">
        <v>1.3314124999999998E-2</v>
      </c>
      <c r="K544" s="27">
        <v>0</v>
      </c>
    </row>
    <row r="545" spans="1:11">
      <c r="A545" s="15">
        <v>14</v>
      </c>
      <c r="B545" s="22">
        <v>41928</v>
      </c>
      <c r="C545" s="15">
        <v>2014</v>
      </c>
      <c r="D545" s="11" t="s">
        <v>37</v>
      </c>
      <c r="E545" s="15">
        <v>10</v>
      </c>
      <c r="F545" s="26">
        <v>1.58</v>
      </c>
      <c r="G545" s="27">
        <v>4.2894124999999998E-2</v>
      </c>
      <c r="H545" s="27">
        <v>0</v>
      </c>
      <c r="I545" s="27">
        <v>0.2418505</v>
      </c>
      <c r="J545" s="27">
        <v>1.3265749999999998E-2</v>
      </c>
      <c r="K545" s="27">
        <v>0</v>
      </c>
    </row>
    <row r="546" spans="1:11">
      <c r="A546" s="15">
        <v>5</v>
      </c>
      <c r="B546" s="22">
        <v>41953</v>
      </c>
      <c r="C546" s="15">
        <v>2014</v>
      </c>
      <c r="D546" s="11" t="s">
        <v>38</v>
      </c>
      <c r="E546" s="15">
        <v>11</v>
      </c>
      <c r="F546" s="26">
        <v>1.988</v>
      </c>
      <c r="G546" s="27">
        <v>4.4916874999999988E-2</v>
      </c>
      <c r="H546" s="27">
        <v>0</v>
      </c>
      <c r="I546" s="27">
        <v>0.15184712499999997</v>
      </c>
      <c r="J546" s="27">
        <v>9.7029999999999998E-3</v>
      </c>
      <c r="K546" s="27">
        <v>0</v>
      </c>
    </row>
    <row r="547" spans="1:11">
      <c r="A547" s="15">
        <v>7</v>
      </c>
      <c r="B547" s="22">
        <v>41955</v>
      </c>
      <c r="C547" s="15">
        <v>2014</v>
      </c>
      <c r="D547" s="11" t="s">
        <v>38</v>
      </c>
      <c r="E547" s="15">
        <v>11</v>
      </c>
      <c r="F547" s="26">
        <v>1.7809999999999999</v>
      </c>
      <c r="G547" s="27">
        <v>0.15034562500000001</v>
      </c>
      <c r="H547" s="27">
        <v>0</v>
      </c>
      <c r="I547" s="27">
        <v>0.42885262500000004</v>
      </c>
      <c r="J547" s="27">
        <v>9.1649999999999995E-3</v>
      </c>
      <c r="K547" s="27">
        <v>0</v>
      </c>
    </row>
    <row r="548" spans="1:11">
      <c r="A548" s="15">
        <v>14</v>
      </c>
      <c r="B548" s="22">
        <v>41955</v>
      </c>
      <c r="C548" s="15">
        <v>2014</v>
      </c>
      <c r="D548" s="11" t="s">
        <v>38</v>
      </c>
      <c r="E548" s="15">
        <v>11</v>
      </c>
      <c r="F548" s="26">
        <v>1.137</v>
      </c>
      <c r="G548" s="27">
        <v>0.13461075</v>
      </c>
      <c r="H548" s="27">
        <v>0</v>
      </c>
      <c r="I548" s="27">
        <v>0.18599474999999996</v>
      </c>
      <c r="J548" s="27">
        <v>0</v>
      </c>
      <c r="K548" s="27">
        <v>0</v>
      </c>
    </row>
    <row r="549" spans="1:11">
      <c r="A549" s="15">
        <v>5</v>
      </c>
      <c r="B549" s="22">
        <v>41988</v>
      </c>
      <c r="C549" s="15">
        <v>2014</v>
      </c>
      <c r="D549" s="11" t="s">
        <v>39</v>
      </c>
      <c r="E549" s="15">
        <v>12</v>
      </c>
      <c r="F549" s="26">
        <v>3.3159999999999998</v>
      </c>
      <c r="G549" s="27">
        <v>0.11864650000000002</v>
      </c>
      <c r="H549" s="27">
        <v>0</v>
      </c>
      <c r="I549" s="27">
        <v>1.17470275</v>
      </c>
      <c r="J549" s="27">
        <v>0</v>
      </c>
      <c r="K549" s="27">
        <v>0</v>
      </c>
    </row>
    <row r="550" spans="1:11">
      <c r="A550" s="15">
        <v>7</v>
      </c>
      <c r="B550" s="22">
        <v>41992</v>
      </c>
      <c r="C550" s="15">
        <v>2014</v>
      </c>
      <c r="D550" s="11" t="s">
        <v>39</v>
      </c>
      <c r="E550" s="15">
        <v>12</v>
      </c>
      <c r="F550" s="26">
        <v>1.2729999999999999</v>
      </c>
      <c r="G550" s="27">
        <v>9.857912499999999E-2</v>
      </c>
      <c r="H550" s="27">
        <v>0</v>
      </c>
      <c r="I550" s="27">
        <v>0.14250425</v>
      </c>
      <c r="J550" s="27">
        <v>0</v>
      </c>
      <c r="K550" s="27">
        <v>0</v>
      </c>
    </row>
    <row r="551" spans="1:11">
      <c r="A551" s="15">
        <v>14</v>
      </c>
      <c r="B551" s="22">
        <v>41992</v>
      </c>
      <c r="C551" s="15">
        <v>2014</v>
      </c>
      <c r="D551" s="11" t="s">
        <v>39</v>
      </c>
      <c r="E551" s="15">
        <v>12</v>
      </c>
      <c r="F551" s="26">
        <v>1.286</v>
      </c>
      <c r="G551" s="27">
        <v>9.9849874999999991E-2</v>
      </c>
      <c r="H551" s="27">
        <v>0</v>
      </c>
      <c r="I551" s="27">
        <v>0.20857387499999999</v>
      </c>
      <c r="J551" s="27">
        <v>0</v>
      </c>
      <c r="K551" s="27">
        <v>0</v>
      </c>
    </row>
  </sheetData>
  <autoFilter ref="L1:L551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9DDF-F0B1-8F4A-BD46-EAA72787FE23}">
  <sheetPr>
    <tabColor theme="9" tint="0.39997558519241921"/>
  </sheetPr>
  <dimension ref="A1:AA932"/>
  <sheetViews>
    <sheetView tabSelected="1" workbookViewId="0">
      <pane ySplit="2" topLeftCell="A748" activePane="bottomLeft" state="frozen"/>
      <selection pane="bottomLeft" activeCell="O749" sqref="O749"/>
    </sheetView>
  </sheetViews>
  <sheetFormatPr defaultColWidth="11.42578125" defaultRowHeight="15"/>
  <cols>
    <col min="2" max="2" width="10.85546875" style="72"/>
    <col min="14" max="14" width="12.7109375" bestFit="1" customWidth="1"/>
  </cols>
  <sheetData>
    <row r="1" spans="1:27" ht="18">
      <c r="F1" s="1" t="s">
        <v>0</v>
      </c>
      <c r="G1" s="1" t="s">
        <v>1</v>
      </c>
      <c r="I1" s="71" t="s">
        <v>83</v>
      </c>
      <c r="Z1" t="s">
        <v>93</v>
      </c>
    </row>
    <row r="2" spans="1:2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11</v>
      </c>
      <c r="I2" s="6" t="s">
        <v>7</v>
      </c>
      <c r="J2" s="6" t="s">
        <v>11</v>
      </c>
      <c r="L2" s="70" t="s">
        <v>90</v>
      </c>
      <c r="M2" s="70" t="s">
        <v>86</v>
      </c>
      <c r="N2" s="70" t="s">
        <v>87</v>
      </c>
      <c r="Z2" s="70" t="s">
        <v>86</v>
      </c>
      <c r="AA2" s="70" t="s">
        <v>87</v>
      </c>
    </row>
    <row r="3" spans="1:27">
      <c r="A3" s="8">
        <v>5</v>
      </c>
      <c r="B3" s="74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3.2527267333333332E-2</v>
      </c>
    </row>
    <row r="4" spans="1:27">
      <c r="A4" s="8">
        <v>7</v>
      </c>
      <c r="B4" s="74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1.4024393666666666E-2</v>
      </c>
      <c r="Q4" t="s">
        <v>103</v>
      </c>
    </row>
    <row r="5" spans="1:27">
      <c r="A5" s="8">
        <v>14</v>
      </c>
      <c r="B5" s="74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0</v>
      </c>
      <c r="I5" s="27">
        <f>AVERAGE(F3:F5)</f>
        <v>3.8350004868141387</v>
      </c>
      <c r="J5" s="27">
        <f>AVERAGE(G3:G5)</f>
        <v>1.5517220333333331E-2</v>
      </c>
      <c r="L5">
        <f>+J5/I5</f>
        <v>4.0462107858098336E-3</v>
      </c>
      <c r="M5">
        <f>+(L5-$L$931)/$L$932</f>
        <v>-0.64352055258183638</v>
      </c>
      <c r="N5">
        <f>+M5</f>
        <v>-0.64352055258183638</v>
      </c>
      <c r="Z5">
        <f>+(I5-$F$931)/$F$932</f>
        <v>-0.34372715536371051</v>
      </c>
      <c r="AA5">
        <f>+Z5</f>
        <v>-0.34372715536371051</v>
      </c>
    </row>
    <row r="6" spans="1:27">
      <c r="A6" s="8">
        <v>5</v>
      </c>
      <c r="B6" s="74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6.6823911666666668E-3</v>
      </c>
    </row>
    <row r="7" spans="1:27">
      <c r="A7" s="8">
        <v>7</v>
      </c>
      <c r="B7" s="74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0</v>
      </c>
    </row>
    <row r="8" spans="1:27">
      <c r="A8" s="8">
        <v>14</v>
      </c>
      <c r="B8" s="74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0</v>
      </c>
      <c r="I8" s="27">
        <f>AVERAGE(F6:F8)</f>
        <v>0.77014041265829736</v>
      </c>
      <c r="J8" s="27">
        <f>AVERAGE(G6:G8)</f>
        <v>2.2274637222222224E-3</v>
      </c>
      <c r="L8">
        <f>+J8/I8</f>
        <v>2.8922826092629981E-3</v>
      </c>
      <c r="M8">
        <f>+(L8-$L$931)/$L$932</f>
        <v>-0.68850844825648638</v>
      </c>
      <c r="N8">
        <f>+N5+M8</f>
        <v>-1.3320290008383227</v>
      </c>
      <c r="Z8">
        <f>+(I8-$F$931)/$F$932</f>
        <v>-0.76334867100381198</v>
      </c>
      <c r="AA8">
        <f>+AA5+Z8</f>
        <v>-1.1070758263675224</v>
      </c>
    </row>
    <row r="9" spans="1:27">
      <c r="A9" s="8">
        <v>5</v>
      </c>
      <c r="B9" s="74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0</v>
      </c>
    </row>
    <row r="10" spans="1:27">
      <c r="A10" s="8">
        <v>7</v>
      </c>
      <c r="B10" s="74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0</v>
      </c>
    </row>
    <row r="11" spans="1:27">
      <c r="A11" s="8">
        <v>14</v>
      </c>
      <c r="B11" s="74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1.3039497333333334E-2</v>
      </c>
      <c r="I11" s="27">
        <f>AVERAGE(F9:F11)</f>
        <v>1.5490617878900848</v>
      </c>
      <c r="J11" s="27">
        <f>AVERAGE(G9:G11)</f>
        <v>4.346499111111111E-3</v>
      </c>
      <c r="L11">
        <f>+J11/I11</f>
        <v>2.8058913757283395E-3</v>
      </c>
      <c r="M11">
        <f>+(L11-$L$931)/$L$932</f>
        <v>-0.69187656065763437</v>
      </c>
      <c r="N11">
        <f>+N8+M11</f>
        <v>-2.0239055614959569</v>
      </c>
      <c r="Z11">
        <f>+(I11-$F$931)/$F$932</f>
        <v>-0.65670361702716018</v>
      </c>
      <c r="AA11">
        <f>+AA8+Z11</f>
        <v>-1.7637794433946827</v>
      </c>
    </row>
    <row r="12" spans="1:27">
      <c r="A12" s="8">
        <v>5</v>
      </c>
      <c r="B12" s="74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1.3203758333333336E-2</v>
      </c>
    </row>
    <row r="13" spans="1:27">
      <c r="A13" s="8">
        <v>7</v>
      </c>
      <c r="B13" s="74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1.5057106833333334E-2</v>
      </c>
    </row>
    <row r="14" spans="1:27">
      <c r="A14" s="8">
        <v>14</v>
      </c>
      <c r="B14" s="74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3.1546008166666667E-2</v>
      </c>
      <c r="I14" s="27">
        <f>AVERAGE(F12:F14)</f>
        <v>3.2847373725269953</v>
      </c>
      <c r="J14" s="27">
        <f>AVERAGE(G12:G14)</f>
        <v>1.9935624444444446E-2</v>
      </c>
      <c r="L14">
        <f>+J14/I14</f>
        <v>6.0691684550438461E-3</v>
      </c>
      <c r="M14">
        <f>+(L14-$L$931)/$L$932</f>
        <v>-0.56465203162234434</v>
      </c>
      <c r="N14">
        <f>+N11+M14</f>
        <v>-2.5885575931183014</v>
      </c>
      <c r="Z14">
        <f>+(I14-$F$931)/$F$932</f>
        <v>-0.4190657471529658</v>
      </c>
      <c r="AA14">
        <f>+AA11+Z14</f>
        <v>-2.1828451905476487</v>
      </c>
    </row>
    <row r="15" spans="1:27">
      <c r="A15" s="8">
        <v>5</v>
      </c>
      <c r="B15" s="74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2.9241056833333331E-2</v>
      </c>
    </row>
    <row r="16" spans="1:27">
      <c r="A16" s="8">
        <v>7</v>
      </c>
      <c r="B16" s="74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3.8387870000000004E-2</v>
      </c>
    </row>
    <row r="17" spans="1:27">
      <c r="A17" s="8">
        <v>14</v>
      </c>
      <c r="B17" s="74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1.9160073833333336E-2</v>
      </c>
      <c r="I17" s="27">
        <f>AVERAGE(F15:F17)</f>
        <v>3.4698255354309997</v>
      </c>
      <c r="J17" s="27">
        <f>AVERAGE(G15:G17)</f>
        <v>2.8929666888888889E-2</v>
      </c>
      <c r="L17">
        <f>+J17/I17</f>
        <v>8.3374989876242953E-3</v>
      </c>
      <c r="M17">
        <f>+(L17-$L$931)/$L$932</f>
        <v>-0.47621722308795866</v>
      </c>
      <c r="N17">
        <f>+N14+M17</f>
        <v>-3.0647748162062598</v>
      </c>
      <c r="Z17">
        <f>+(I17-$F$931)/$F$932</f>
        <v>-0.39372463089785836</v>
      </c>
      <c r="AA17">
        <f>+AA14+Z17</f>
        <v>-2.5765698214455073</v>
      </c>
    </row>
    <row r="18" spans="1:27">
      <c r="A18" s="8">
        <v>5</v>
      </c>
      <c r="B18" s="74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5.4305448833333332E-2</v>
      </c>
    </row>
    <row r="19" spans="1:27">
      <c r="A19" s="8">
        <v>7</v>
      </c>
      <c r="B19" s="74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3.6092858666666665E-2</v>
      </c>
    </row>
    <row r="20" spans="1:27">
      <c r="A20" s="8">
        <v>14</v>
      </c>
      <c r="B20" s="74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3.2971865499999996E-2</v>
      </c>
      <c r="I20" s="27">
        <f>AVERAGE(F18:F20)</f>
        <v>3.1518001303173935</v>
      </c>
      <c r="J20" s="27">
        <f>AVERAGE(G18:G20)</f>
        <v>4.1123391000000002E-2</v>
      </c>
      <c r="L20">
        <f>+J20/I20</f>
        <v>1.3047588457285451E-2</v>
      </c>
      <c r="M20">
        <f>+(L20-$L$931)/$L$932</f>
        <v>-0.29258619822340332</v>
      </c>
      <c r="N20">
        <f>+N17+M20</f>
        <v>-3.3573610144296633</v>
      </c>
      <c r="Z20">
        <f>+(I20-$F$931)/$F$932</f>
        <v>-0.43726668478512598</v>
      </c>
      <c r="AA20">
        <f>+AA17+Z20</f>
        <v>-3.0138365062306334</v>
      </c>
    </row>
    <row r="21" spans="1:27">
      <c r="A21" s="8">
        <v>5</v>
      </c>
      <c r="B21" s="74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1.9788472666666664E-2</v>
      </c>
    </row>
    <row r="22" spans="1:27">
      <c r="A22" s="8">
        <v>7</v>
      </c>
      <c r="B22" s="74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2.5330354166666669E-2</v>
      </c>
    </row>
    <row r="23" spans="1:27">
      <c r="A23" s="8">
        <v>14</v>
      </c>
      <c r="B23" s="74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0</v>
      </c>
      <c r="I23" s="27">
        <f>AVERAGE(F21:F23)</f>
        <v>4.6253770759036277</v>
      </c>
      <c r="J23" s="27">
        <f>AVERAGE(G21:G23)</f>
        <v>1.5039608944444444E-2</v>
      </c>
      <c r="L23">
        <f>+J23/I23</f>
        <v>3.2515422413439145E-3</v>
      </c>
      <c r="M23">
        <f>+(L23-$L$931)/$L$932</f>
        <v>-0.67450208704903614</v>
      </c>
      <c r="N23">
        <f>+N20+M23</f>
        <v>-4.0318631014786996</v>
      </c>
      <c r="Z23">
        <f>+(I23-$F$931)/$F$932</f>
        <v>-0.23551372498988365</v>
      </c>
      <c r="AA23">
        <f>+AA20+Z23</f>
        <v>-3.2493502312205171</v>
      </c>
    </row>
    <row r="24" spans="1:27">
      <c r="A24" s="8">
        <v>5</v>
      </c>
      <c r="B24" s="74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7.2124284999999996E-2</v>
      </c>
    </row>
    <row r="25" spans="1:27">
      <c r="A25" s="8">
        <v>7</v>
      </c>
      <c r="B25" s="74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3.4789885166666673E-2</v>
      </c>
    </row>
    <row r="26" spans="1:27">
      <c r="A26" s="8">
        <v>14</v>
      </c>
      <c r="B26" s="74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0</v>
      </c>
      <c r="I26" s="27">
        <f>AVERAGE(F24:F26)</f>
        <v>3.6411893777364637</v>
      </c>
      <c r="J26" s="27">
        <f>AVERAGE(G24:G26)</f>
        <v>3.5638056722222221E-2</v>
      </c>
      <c r="L26">
        <f>+J26/I26</f>
        <v>9.7874768448260527E-3</v>
      </c>
      <c r="M26">
        <f>+(L26-$L$931)/$L$932</f>
        <v>-0.41968731603121961</v>
      </c>
      <c r="N26">
        <f>+N23+M26</f>
        <v>-4.4515504175099192</v>
      </c>
      <c r="Z26">
        <f>+(I26-$F$931)/$F$932</f>
        <v>-0.37026256297492527</v>
      </c>
      <c r="AA26">
        <f>+AA23+Z26</f>
        <v>-3.6196127941954424</v>
      </c>
    </row>
    <row r="27" spans="1:27">
      <c r="A27" s="8">
        <v>5</v>
      </c>
      <c r="B27" s="74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0.40641289033333339</v>
      </c>
    </row>
    <row r="28" spans="1:27">
      <c r="A28" s="8">
        <v>7</v>
      </c>
      <c r="B28" s="74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0.21376748933333331</v>
      </c>
    </row>
    <row r="29" spans="1:27">
      <c r="A29" s="8">
        <v>14</v>
      </c>
      <c r="B29" s="74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0.13775459766666667</v>
      </c>
      <c r="I29" s="27">
        <f>AVERAGE(F27:F29)</f>
        <v>18.700563755464856</v>
      </c>
      <c r="J29" s="27">
        <f>AVERAGE(G27:G29)</f>
        <v>0.25264499244444444</v>
      </c>
      <c r="L29">
        <f>+J29/I29</f>
        <v>1.3510020112127053E-2</v>
      </c>
      <c r="M29">
        <f>+(L29-$L$931)/$L$932</f>
        <v>-0.27455749637912935</v>
      </c>
      <c r="N29">
        <f>+N26+M29</f>
        <v>-4.7261079138890487</v>
      </c>
      <c r="Z29">
        <f>+(I29-$F$931)/$F$932</f>
        <v>1.6915730014805297</v>
      </c>
      <c r="AA29">
        <f>+AA26+Z29</f>
        <v>-1.9280397927149127</v>
      </c>
    </row>
    <row r="30" spans="1:27">
      <c r="A30" s="8">
        <v>5</v>
      </c>
      <c r="B30" s="74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0.33123802250000006</v>
      </c>
    </row>
    <row r="31" spans="1:27">
      <c r="A31" s="8">
        <v>7</v>
      </c>
      <c r="B31" s="74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0.29868528200000005</v>
      </c>
    </row>
    <row r="32" spans="1:27">
      <c r="A32" s="8">
        <v>14</v>
      </c>
      <c r="B32" s="74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7.7646905000000002E-2</v>
      </c>
      <c r="I32" s="27">
        <f>AVERAGE(F30:F32)</f>
        <v>12.95580481464267</v>
      </c>
      <c r="J32" s="27">
        <f>AVERAGE(G30:G32)</f>
        <v>0.23585673650000005</v>
      </c>
      <c r="L32">
        <f>+J32/I32</f>
        <v>1.8204715173960818E-2</v>
      </c>
      <c r="M32">
        <f>+(L32-$L$931)/$L$932</f>
        <v>-9.1526649261671061E-2</v>
      </c>
      <c r="N32">
        <f>+N29+M32</f>
        <v>-4.8176345631507198</v>
      </c>
      <c r="Z32">
        <f>+(I32-$F$931)/$F$932</f>
        <v>0.90503645644795083</v>
      </c>
      <c r="AA32">
        <f>+AA29+Z32</f>
        <v>-1.0230033362669619</v>
      </c>
    </row>
    <row r="33" spans="1:27">
      <c r="A33" s="8">
        <v>5</v>
      </c>
      <c r="B33" s="74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0.62871653066666677</v>
      </c>
    </row>
    <row r="34" spans="1:27">
      <c r="A34" s="8">
        <v>7</v>
      </c>
      <c r="B34" s="74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0.60630316400000006</v>
      </c>
    </row>
    <row r="35" spans="1:27">
      <c r="A35" s="8">
        <v>14</v>
      </c>
      <c r="B35" s="74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0.16750626433333335</v>
      </c>
      <c r="I35" s="27">
        <f>AVERAGE(F33:F35)</f>
        <v>12.079354975929611</v>
      </c>
      <c r="J35" s="27">
        <f>AVERAGE(G33:G35)</f>
        <v>0.46750865300000005</v>
      </c>
      <c r="L35">
        <f>+J35/I35</f>
        <v>3.8703114026502165E-2</v>
      </c>
      <c r="M35">
        <f>+(L35-$L$931)/$L$932</f>
        <v>0.70763905950466055</v>
      </c>
      <c r="N35">
        <f>+N32+M35</f>
        <v>-4.1099955036460596</v>
      </c>
      <c r="Z35">
        <f>+(I35-$F$931)/$F$932</f>
        <v>0.78503841386044593</v>
      </c>
      <c r="AA35">
        <f>+AA32+Z35</f>
        <v>-0.23796492240651601</v>
      </c>
    </row>
    <row r="36" spans="1:27">
      <c r="A36" s="8">
        <v>5</v>
      </c>
      <c r="B36" s="74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0.2036702</v>
      </c>
    </row>
    <row r="37" spans="1:27">
      <c r="A37" s="8">
        <v>7</v>
      </c>
      <c r="B37" s="74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0.50746458633333336</v>
      </c>
    </row>
    <row r="38" spans="1:27">
      <c r="A38" s="8">
        <v>14</v>
      </c>
      <c r="B38" s="74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4.997321133333333E-2</v>
      </c>
      <c r="I38" s="27">
        <f>AVERAGE(F36:F38)</f>
        <v>11.492512107833406</v>
      </c>
      <c r="J38" s="27">
        <f>AVERAGE(G36:G38)</f>
        <v>0.2537026658888889</v>
      </c>
      <c r="L38">
        <f>+J38/I38</f>
        <v>2.207547518840226E-2</v>
      </c>
      <c r="M38">
        <f>+(L38-$L$931)/$L$932</f>
        <v>5.9381657902132644E-2</v>
      </c>
      <c r="N38">
        <f>+N35+M38</f>
        <v>-4.0506138457439267</v>
      </c>
      <c r="Z38">
        <f>+(I38-$F$931)/$F$932</f>
        <v>0.70469155044909115</v>
      </c>
      <c r="AA38">
        <f>+AA35+Z38</f>
        <v>0.46672662804257514</v>
      </c>
    </row>
    <row r="39" spans="1:27">
      <c r="A39" s="8">
        <v>5</v>
      </c>
      <c r="B39" s="74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1.5461344166666668E-2</v>
      </c>
    </row>
    <row r="40" spans="1:27">
      <c r="A40" s="8">
        <v>7</v>
      </c>
      <c r="B40" s="74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0.24104705733333331</v>
      </c>
    </row>
    <row r="41" spans="1:27">
      <c r="A41" s="8">
        <v>14</v>
      </c>
      <c r="B41" s="74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0</v>
      </c>
      <c r="I41" s="27">
        <f>AVERAGE(F39:F41)</f>
        <v>6.8490543512505395</v>
      </c>
      <c r="J41" s="27">
        <f>AVERAGE(G39:G41)</f>
        <v>8.550280049999999E-2</v>
      </c>
      <c r="L41">
        <f>+J41/I41</f>
        <v>1.2483884068519385E-2</v>
      </c>
      <c r="M41">
        <f>+(L41-$L$931)/$L$932</f>
        <v>-0.31456319362795288</v>
      </c>
      <c r="N41">
        <f>+N38+M41</f>
        <v>-4.3651770393718792</v>
      </c>
      <c r="Z41">
        <f>+(I41-$F$931)/$F$932</f>
        <v>6.8938291088706166E-2</v>
      </c>
      <c r="AA41">
        <f>+AA38+Z41</f>
        <v>0.53566491913128134</v>
      </c>
    </row>
    <row r="42" spans="1:27">
      <c r="A42" s="8">
        <v>5</v>
      </c>
      <c r="B42" s="74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0</v>
      </c>
    </row>
    <row r="43" spans="1:27">
      <c r="A43" s="8">
        <v>7</v>
      </c>
      <c r="B43" s="74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1.0636494833333333E-2</v>
      </c>
    </row>
    <row r="44" spans="1:27">
      <c r="A44" s="8">
        <v>14</v>
      </c>
      <c r="B44" s="74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0</v>
      </c>
      <c r="I44" s="27">
        <f>AVERAGE(F42:F44)</f>
        <v>1.3523225807809862</v>
      </c>
      <c r="J44" s="27">
        <f>AVERAGE(G42:G44)</f>
        <v>3.5454982777777776E-3</v>
      </c>
      <c r="L44">
        <f>+J44/I44</f>
        <v>2.6217844234547945E-3</v>
      </c>
      <c r="M44">
        <f>+(L44-$L$931)/$L$932</f>
        <v>-0.69905429019938614</v>
      </c>
      <c r="N44">
        <f>+N41+M44</f>
        <v>-5.0642313295712658</v>
      </c>
      <c r="Z44">
        <f>+(I44-$F$931)/$F$932</f>
        <v>-0.68363992154856323</v>
      </c>
      <c r="AA44">
        <f>+AA41+Z44</f>
        <v>-0.1479750024172819</v>
      </c>
    </row>
    <row r="45" spans="1:27">
      <c r="A45" s="8">
        <v>5</v>
      </c>
      <c r="B45" s="74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1.1902462166666666E-2</v>
      </c>
    </row>
    <row r="46" spans="1:27">
      <c r="A46" s="8">
        <v>7</v>
      </c>
      <c r="B46" s="74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</v>
      </c>
    </row>
    <row r="47" spans="1:27">
      <c r="A47" s="8">
        <v>14</v>
      </c>
      <c r="B47" s="74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8.2205058333333341E-3</v>
      </c>
      <c r="I47" s="27">
        <f>AVERAGE(F45:F47)</f>
        <v>2.3240791245816266</v>
      </c>
      <c r="J47" s="27">
        <f>AVERAGE(G45:G47)</f>
        <v>6.7076559999999993E-3</v>
      </c>
      <c r="L47">
        <f>+J47/I47</f>
        <v>2.8861564690520125E-3</v>
      </c>
      <c r="M47">
        <f>+(L47-$L$931)/$L$932</f>
        <v>-0.68874728648082428</v>
      </c>
      <c r="N47">
        <f>+N44+M47</f>
        <v>-5.7529786160520899</v>
      </c>
      <c r="Z47">
        <f>+(I47-$F$931)/$F$932</f>
        <v>-0.55059307964498172</v>
      </c>
      <c r="AA47">
        <f>+AA44+Z47</f>
        <v>-0.69856808206226362</v>
      </c>
    </row>
    <row r="48" spans="1:27">
      <c r="A48" s="8">
        <v>5</v>
      </c>
      <c r="B48" s="74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3.1920177500000001E-2</v>
      </c>
    </row>
    <row r="49" spans="1:27">
      <c r="A49" s="8">
        <v>7</v>
      </c>
      <c r="B49" s="74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4.6131803500000006E-2</v>
      </c>
    </row>
    <row r="50" spans="1:27">
      <c r="A50" s="8">
        <v>14</v>
      </c>
      <c r="B50" s="74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3.8046218166666666E-2</v>
      </c>
      <c r="I50" s="27">
        <f>AVERAGE(F48:F50)</f>
        <v>5.1605916192358565</v>
      </c>
      <c r="J50" s="27">
        <f>AVERAGE(G48:G50)</f>
        <v>3.8699399722222222E-2</v>
      </c>
      <c r="L50">
        <f>+J50/I50</f>
        <v>7.4990238673356899E-3</v>
      </c>
      <c r="M50">
        <f>+(L50-$L$931)/$L$932</f>
        <v>-0.50890663305645012</v>
      </c>
      <c r="N50">
        <f>+N47+M50</f>
        <v>-6.2618852491085404</v>
      </c>
      <c r="Z50">
        <f>+(I50-$F$931)/$F$932</f>
        <v>-0.16223548962784906</v>
      </c>
      <c r="AA50">
        <f>+AA47+Z50</f>
        <v>-0.86080357169011268</v>
      </c>
    </row>
    <row r="51" spans="1:27">
      <c r="A51" s="12">
        <v>5</v>
      </c>
      <c r="B51" s="74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2.1796317666666665E-2</v>
      </c>
    </row>
    <row r="52" spans="1:27">
      <c r="A52" s="12">
        <v>7</v>
      </c>
      <c r="B52" s="74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3.0454607500000001E-2</v>
      </c>
    </row>
    <row r="53" spans="1:27">
      <c r="A53" s="12">
        <v>14</v>
      </c>
      <c r="B53" s="74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3.8289221833333331E-2</v>
      </c>
      <c r="I53" s="27">
        <f>AVERAGE(F51:F53)</f>
        <v>4.0769794100746513</v>
      </c>
      <c r="J53" s="27">
        <f>AVERAGE(G51:G53)</f>
        <v>3.0180049E-2</v>
      </c>
      <c r="L53">
        <f>+J53/I53</f>
        <v>7.4025512430653632E-3</v>
      </c>
      <c r="M53">
        <f>+(L53-$L$931)/$L$932</f>
        <v>-0.51266778599849983</v>
      </c>
      <c r="N53">
        <f>+N50+M53</f>
        <v>-6.77455303510704</v>
      </c>
      <c r="Z53">
        <f>+(I53-$F$931)/$F$932</f>
        <v>-0.31059691121724547</v>
      </c>
      <c r="AA53">
        <f>+AA50+Z53</f>
        <v>-1.1714004829073581</v>
      </c>
    </row>
    <row r="54" spans="1:27">
      <c r="A54" s="8">
        <v>5</v>
      </c>
      <c r="B54" s="74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5.5605562133333335E-2</v>
      </c>
    </row>
    <row r="55" spans="1:27">
      <c r="A55" s="8">
        <v>7</v>
      </c>
      <c r="B55" s="74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7.1937996166666671E-2</v>
      </c>
    </row>
    <row r="56" spans="1:27">
      <c r="A56" s="8">
        <v>14</v>
      </c>
      <c r="B56" s="74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4.9220154666666668E-2</v>
      </c>
      <c r="I56" s="27">
        <f>AVERAGE(F54:F56)</f>
        <v>5.8227537277562291</v>
      </c>
      <c r="J56" s="27">
        <f>AVERAGE(G54:G56)</f>
        <v>5.8921237655555549E-2</v>
      </c>
      <c r="L56">
        <f>+J56/I56</f>
        <v>1.0119136135654594E-2</v>
      </c>
      <c r="M56">
        <f>+(L56-$L$931)/$L$932</f>
        <v>-0.4067570021013065</v>
      </c>
      <c r="N56">
        <f>+N53+M56</f>
        <v>-7.1813100372083465</v>
      </c>
      <c r="Z56">
        <f>+(I56-$F$931)/$F$932</f>
        <v>-7.1576385833919814E-2</v>
      </c>
      <c r="AA56">
        <f>+AA53+Z56</f>
        <v>-1.2429768687412779</v>
      </c>
    </row>
    <row r="57" spans="1:27">
      <c r="A57" s="8">
        <v>5</v>
      </c>
      <c r="B57" s="74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1.8483269833333333E-2</v>
      </c>
    </row>
    <row r="58" spans="1:27">
      <c r="A58" s="8">
        <v>7</v>
      </c>
      <c r="B58" s="74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2.5415688499999999E-2</v>
      </c>
    </row>
    <row r="59" spans="1:27">
      <c r="A59" s="8">
        <v>14</v>
      </c>
      <c r="B59" s="74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1.5806769999999998E-2</v>
      </c>
      <c r="I59" s="27">
        <f>AVERAGE(F57:F59)</f>
        <v>1.8377721677325185</v>
      </c>
      <c r="J59" s="27">
        <f>AVERAGE(G57:G59)</f>
        <v>1.9901909444444445E-2</v>
      </c>
      <c r="L59">
        <f>+J59/I59</f>
        <v>1.0829367096684153E-2</v>
      </c>
      <c r="M59">
        <f>+(L59-$L$931)/$L$932</f>
        <v>-0.37906741359041596</v>
      </c>
      <c r="N59">
        <f>+N56+M59</f>
        <v>-7.5603774507987627</v>
      </c>
      <c r="Z59">
        <f>+(I59-$F$931)/$F$932</f>
        <v>-0.61717519346482841</v>
      </c>
      <c r="AA59">
        <f>+AA56+Z59</f>
        <v>-1.8601520622061063</v>
      </c>
    </row>
    <row r="60" spans="1:27">
      <c r="A60" s="8">
        <v>5</v>
      </c>
      <c r="B60" s="74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8.1913411999999977E-2</v>
      </c>
    </row>
    <row r="61" spans="1:27">
      <c r="A61" s="8">
        <v>7</v>
      </c>
      <c r="B61" s="74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8.2971285166666672E-2</v>
      </c>
    </row>
    <row r="62" spans="1:27">
      <c r="A62" s="8">
        <v>14</v>
      </c>
      <c r="B62" s="74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4.32597895E-2</v>
      </c>
      <c r="I62" s="27">
        <f>AVERAGE(F60:F62)</f>
        <v>3.0659266594178849</v>
      </c>
      <c r="J62" s="27">
        <f>AVERAGE(G60:G62)</f>
        <v>6.9381495555555547E-2</v>
      </c>
      <c r="L62">
        <f>+J62/I62</f>
        <v>2.2629861462090138E-2</v>
      </c>
      <c r="M62">
        <f>+(L62-$L$931)/$L$932</f>
        <v>8.099537039398276E-2</v>
      </c>
      <c r="N62">
        <f>+N59+M62</f>
        <v>-7.4793820804047799</v>
      </c>
      <c r="Z62">
        <f>+(I62-$F$931)/$F$932</f>
        <v>-0.44902394454258909</v>
      </c>
      <c r="AA62">
        <f>+AA59+Z62</f>
        <v>-2.3091760067486953</v>
      </c>
    </row>
    <row r="63" spans="1:27">
      <c r="A63" s="8">
        <v>5</v>
      </c>
      <c r="B63" s="74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1.0425682338333333</v>
      </c>
    </row>
    <row r="64" spans="1:27">
      <c r="A64" s="8">
        <v>7</v>
      </c>
      <c r="B64" s="74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0.21493066283333331</v>
      </c>
    </row>
    <row r="65" spans="1:27">
      <c r="A65" s="8">
        <v>14</v>
      </c>
      <c r="B65" s="74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0.10611743683333331</v>
      </c>
      <c r="I65" s="27">
        <f>AVERAGE(F63:F65)</f>
        <v>10.898804139979097</v>
      </c>
      <c r="J65" s="27">
        <f>AVERAGE(G63:G65)</f>
        <v>0.45453877783333335</v>
      </c>
      <c r="L65">
        <f>+J65/I65</f>
        <v>4.1705380883576934E-2</v>
      </c>
      <c r="M65">
        <f>+(L65-$L$931)/$L$932</f>
        <v>0.82468765134832855</v>
      </c>
      <c r="N65">
        <f>+N62+M65</f>
        <v>-6.6546944290564518</v>
      </c>
      <c r="Z65">
        <f>+(I65-$F$931)/$F$932</f>
        <v>0.62340476041928905</v>
      </c>
      <c r="AA65">
        <f>+AA62+Z65</f>
        <v>-1.6857712463294061</v>
      </c>
    </row>
    <row r="66" spans="1:27">
      <c r="A66" s="8">
        <v>5</v>
      </c>
      <c r="B66" s="74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1.2921786453333333</v>
      </c>
    </row>
    <row r="67" spans="1:27">
      <c r="A67" s="8">
        <v>7</v>
      </c>
      <c r="B67" s="74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0.33025005516666667</v>
      </c>
    </row>
    <row r="68" spans="1:27">
      <c r="A68" s="8">
        <v>14</v>
      </c>
      <c r="B68" s="74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0.22513239699999998</v>
      </c>
      <c r="I68" s="27">
        <f>AVERAGE(F66:F68)</f>
        <v>10.594569016466346</v>
      </c>
      <c r="J68" s="27">
        <f>AVERAGE(G66:G68)</f>
        <v>0.61585369916666666</v>
      </c>
      <c r="L68">
        <f>+J68/I68</f>
        <v>5.812918847472618E-2</v>
      </c>
      <c r="M68">
        <f>+(L68-$L$931)/$L$932</f>
        <v>1.4649983374971345</v>
      </c>
      <c r="N68">
        <f>+N65+M68</f>
        <v>-5.1896960915593171</v>
      </c>
      <c r="Z68">
        <f>+(I68-$F$931)/$F$932</f>
        <v>0.58175078583301487</v>
      </c>
      <c r="AA68">
        <f>+AA65+Z68</f>
        <v>-1.1040204604963912</v>
      </c>
    </row>
    <row r="69" spans="1:27">
      <c r="A69" s="8">
        <v>5</v>
      </c>
      <c r="B69" s="74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2.5594050533333332</v>
      </c>
    </row>
    <row r="70" spans="1:27">
      <c r="A70" s="8">
        <v>7</v>
      </c>
      <c r="B70" s="74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0.79101360333333337</v>
      </c>
    </row>
    <row r="71" spans="1:27">
      <c r="A71" s="8">
        <v>14</v>
      </c>
      <c r="B71" s="74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7.7533789833333339E-2</v>
      </c>
      <c r="I71" s="27">
        <f>AVERAGE(F69:F71)</f>
        <v>15.48252347424701</v>
      </c>
      <c r="J71" s="27">
        <f>AVERAGE(G69:G71)</f>
        <v>1.1426508154999999</v>
      </c>
      <c r="L71">
        <f>+J71/I71</f>
        <v>7.380262122002515E-2</v>
      </c>
      <c r="M71">
        <f>+(L71-$L$931)/$L$932</f>
        <v>2.0760543560088132</v>
      </c>
      <c r="N71">
        <f>+N68+M71</f>
        <v>-3.1136417355505039</v>
      </c>
      <c r="Z71">
        <f>+(I71-$F$931)/$F$932</f>
        <v>1.2509790077832932</v>
      </c>
      <c r="AA71">
        <f>+AA68+Z71</f>
        <v>0.14695854728690194</v>
      </c>
    </row>
    <row r="72" spans="1:27">
      <c r="A72" s="8">
        <v>5</v>
      </c>
      <c r="B72" s="74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4.123577233333333E-2</v>
      </c>
    </row>
    <row r="73" spans="1:27">
      <c r="A73" s="8">
        <v>7</v>
      </c>
      <c r="B73" s="74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0.69888798033333333</v>
      </c>
    </row>
    <row r="74" spans="1:27">
      <c r="A74" s="8">
        <v>14</v>
      </c>
      <c r="B74" s="74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0.12627604816666668</v>
      </c>
      <c r="I74" s="27">
        <f>AVERAGE(F72:F74)</f>
        <v>13.583508259070472</v>
      </c>
      <c r="J74" s="27">
        <f>AVERAGE(G72:G74)</f>
        <v>0.28879993361111111</v>
      </c>
      <c r="L74">
        <f>+J74/I74</f>
        <v>2.1261071006325863E-2</v>
      </c>
      <c r="M74">
        <f>+(L74-$L$931)/$L$932</f>
        <v>2.7630695298989715E-2</v>
      </c>
      <c r="N74">
        <f>+N71+M74</f>
        <v>-3.0860110402515142</v>
      </c>
      <c r="Z74">
        <f>+(I74-$F$931)/$F$932</f>
        <v>0.99097769498748001</v>
      </c>
      <c r="AA74">
        <f>+AA71+Z74</f>
        <v>1.1379362422743819</v>
      </c>
    </row>
    <row r="75" spans="1:27">
      <c r="A75" s="8">
        <v>5</v>
      </c>
      <c r="B75" s="74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3">
        <v>3.9418072647319828E-2</v>
      </c>
    </row>
    <row r="76" spans="1:27">
      <c r="A76" s="8">
        <v>7</v>
      </c>
      <c r="B76" s="74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3">
        <v>3.3983901968444696E-2</v>
      </c>
    </row>
    <row r="77" spans="1:27">
      <c r="A77" s="8">
        <v>14</v>
      </c>
      <c r="B77" s="74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3">
        <v>1.3626716086538104E-2</v>
      </c>
      <c r="I77" s="27">
        <f>AVERAGE(F75:F77)</f>
        <v>3.2429348428042473</v>
      </c>
      <c r="J77" s="27">
        <f>AVERAGE(G75:G77)</f>
        <v>2.9009563567434213E-2</v>
      </c>
      <c r="L77">
        <f>+J77/I77</f>
        <v>8.9454660588705864E-3</v>
      </c>
      <c r="M77">
        <f>+(L77-$L$931)/$L$932</f>
        <v>-0.45251457007128676</v>
      </c>
      <c r="N77">
        <f>+N74+M77</f>
        <v>-3.5385256103228011</v>
      </c>
      <c r="Z77">
        <f>+(I77-$F$931)/$F$932</f>
        <v>-0.42478908866136444</v>
      </c>
      <c r="AA77">
        <f>+AA74+Z77</f>
        <v>0.7131471536130175</v>
      </c>
    </row>
    <row r="78" spans="1:27">
      <c r="A78" s="8">
        <v>5</v>
      </c>
      <c r="B78" s="74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3">
        <v>0</v>
      </c>
    </row>
    <row r="79" spans="1:27">
      <c r="A79" s="8">
        <v>7</v>
      </c>
      <c r="B79" s="74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3">
        <v>1.6376767386090889E-2</v>
      </c>
    </row>
    <row r="80" spans="1:27">
      <c r="A80" s="8">
        <v>14</v>
      </c>
      <c r="B80" s="74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3">
        <v>2.0516983256928203E-2</v>
      </c>
      <c r="I80" s="27">
        <f>AVERAGE(F78:F80)</f>
        <v>1.4252134868626225</v>
      </c>
      <c r="J80" s="27">
        <f>AVERAGE(G78:G80)</f>
        <v>1.2297916881006364E-2</v>
      </c>
      <c r="L80">
        <f>+J80/I80</f>
        <v>8.6288243792010718E-3</v>
      </c>
      <c r="M80">
        <f>+(L80-$L$931)/$L$932</f>
        <v>-0.46485939632715195</v>
      </c>
      <c r="N80">
        <f>+N77+M80</f>
        <v>-4.0033850066499532</v>
      </c>
      <c r="Z80">
        <f>+(I80-$F$931)/$F$932</f>
        <v>-0.67366015355058007</v>
      </c>
      <c r="AA80">
        <f>+AA77+Z80</f>
        <v>3.9487000062437438E-2</v>
      </c>
    </row>
    <row r="81" spans="1:27">
      <c r="A81" s="8">
        <v>5</v>
      </c>
      <c r="B81" s="74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3">
        <v>6.7843087320572128E-3</v>
      </c>
    </row>
    <row r="82" spans="1:27">
      <c r="A82" s="8">
        <v>7</v>
      </c>
      <c r="B82" s="74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3">
        <v>1.042666029523823E-2</v>
      </c>
    </row>
    <row r="83" spans="1:27">
      <c r="A83" s="8">
        <v>14</v>
      </c>
      <c r="B83" s="74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3">
        <v>9.4637034664093195E-3</v>
      </c>
      <c r="I83" s="27">
        <f>AVERAGE(F81:F83)</f>
        <v>1.2741841929726074</v>
      </c>
      <c r="J83" s="27">
        <f>AVERAGE(G81:G83)</f>
        <v>8.8915574979015876E-3</v>
      </c>
      <c r="L83">
        <f>+J83/I83</f>
        <v>6.9782356012108677E-3</v>
      </c>
      <c r="M83">
        <f>+(L83-$L$931)/$L$932</f>
        <v>-0.52921046882473666</v>
      </c>
      <c r="N83">
        <f>+N80+M83</f>
        <v>-4.5325954754746896</v>
      </c>
      <c r="Z83">
        <f>+(I83-$F$931)/$F$932</f>
        <v>-0.69433814199859689</v>
      </c>
      <c r="AA83">
        <f>+AA80+Z83</f>
        <v>-0.65485114193615945</v>
      </c>
    </row>
    <row r="84" spans="1:27">
      <c r="A84" s="8">
        <v>5</v>
      </c>
      <c r="B84" s="74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3">
        <v>1.2396181825899586E-2</v>
      </c>
    </row>
    <row r="85" spans="1:27">
      <c r="A85" s="8">
        <v>7</v>
      </c>
      <c r="B85" s="74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3">
        <v>1.5866461111538305E-2</v>
      </c>
    </row>
    <row r="86" spans="1:27">
      <c r="A86" s="8">
        <v>14</v>
      </c>
      <c r="B86" s="74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3">
        <v>7.668391813987591E-3</v>
      </c>
      <c r="I86" s="27">
        <f>AVERAGE(F84:F86)</f>
        <v>4.3185437010364005</v>
      </c>
      <c r="J86" s="27">
        <f>AVERAGE(G84:G86)</f>
        <v>1.1977011583808492E-2</v>
      </c>
      <c r="L86">
        <f>+J86/I86</f>
        <v>2.7733913126626801E-3</v>
      </c>
      <c r="M86">
        <f>+(L86-$L$931)/$L$932</f>
        <v>-0.69314363210656349</v>
      </c>
      <c r="N86">
        <f>+N83+M86</f>
        <v>-5.2257391075812532</v>
      </c>
      <c r="Z86">
        <f>+(I86-$F$931)/$F$932</f>
        <v>-0.27752343593768808</v>
      </c>
      <c r="AA86">
        <f>+AA83+Z86</f>
        <v>-0.93237457787384748</v>
      </c>
    </row>
    <row r="87" spans="1:27">
      <c r="A87" s="8">
        <v>5</v>
      </c>
      <c r="B87" s="74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3">
        <v>4.4380691315709681E-2</v>
      </c>
    </row>
    <row r="88" spans="1:27">
      <c r="A88" s="8">
        <v>7</v>
      </c>
      <c r="B88" s="74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3">
        <v>2.9985026943748591E-2</v>
      </c>
    </row>
    <row r="89" spans="1:27">
      <c r="A89" s="8">
        <v>14</v>
      </c>
      <c r="B89" s="74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3">
        <v>5.3875469748401301E-2</v>
      </c>
      <c r="I89" s="27">
        <f>AVERAGE(F87:F89)</f>
        <v>1.4375421806420461</v>
      </c>
      <c r="J89" s="27">
        <f>AVERAGE(G87:G89)</f>
        <v>4.2747062669286524E-2</v>
      </c>
      <c r="L89">
        <f>+J89/I89</f>
        <v>2.9736214522898038E-2</v>
      </c>
      <c r="M89">
        <f>+(L89-$L$931)/$L$932</f>
        <v>0.3580488964492749</v>
      </c>
      <c r="N89">
        <f>+N86+M89</f>
        <v>-4.8676902111319782</v>
      </c>
      <c r="Z89">
        <f>+(I89-$F$931)/$F$932</f>
        <v>-0.67197218573331874</v>
      </c>
      <c r="AA89">
        <f>+AA86+Z89</f>
        <v>-1.6043467636071662</v>
      </c>
    </row>
    <row r="90" spans="1:27">
      <c r="A90" s="8">
        <v>5</v>
      </c>
      <c r="B90" s="72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3">
        <v>3.0292525366181686E-2</v>
      </c>
    </row>
    <row r="91" spans="1:27">
      <c r="A91" s="8">
        <v>7</v>
      </c>
      <c r="B91" s="72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3">
        <v>1.7217965085621359E-2</v>
      </c>
    </row>
    <row r="92" spans="1:27">
      <c r="A92" s="8">
        <v>14</v>
      </c>
      <c r="B92" s="72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3">
        <v>8.0065399745271951E-3</v>
      </c>
      <c r="I92" s="27">
        <f>AVERAGE(F90:F92)</f>
        <v>2.7736922436780582</v>
      </c>
      <c r="J92" s="27">
        <f>AVERAGE(G90:G92)</f>
        <v>1.8505676808776746E-2</v>
      </c>
      <c r="L92">
        <f>+J92/I92</f>
        <v>6.6718565662631946E-3</v>
      </c>
      <c r="M92">
        <f>+(L92-$L$931)/$L$932</f>
        <v>-0.54115518803800078</v>
      </c>
      <c r="N92">
        <f>+N89+M92</f>
        <v>-5.4088453991699792</v>
      </c>
      <c r="Z92">
        <f>+(I92-$F$931)/$F$932</f>
        <v>-0.48903485710887357</v>
      </c>
      <c r="AA92">
        <f>+AA89+Z92</f>
        <v>-2.0933816207160398</v>
      </c>
    </row>
    <row r="93" spans="1:27">
      <c r="A93" s="8">
        <v>5</v>
      </c>
      <c r="B93" s="72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3">
        <v>0</v>
      </c>
    </row>
    <row r="94" spans="1:27">
      <c r="A94" s="8">
        <v>7</v>
      </c>
      <c r="B94" s="72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3">
        <v>0</v>
      </c>
    </row>
    <row r="95" spans="1:27">
      <c r="A95" s="8">
        <v>14</v>
      </c>
      <c r="B95" s="72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3">
        <v>1.0771338373559036E-2</v>
      </c>
      <c r="I95" s="27">
        <f>AVERAGE(F93:F95)</f>
        <v>2.0218744747941595</v>
      </c>
      <c r="J95" s="27">
        <f>AVERAGE(G93:G95)</f>
        <v>3.5904461245196786E-3</v>
      </c>
      <c r="L95">
        <f>+J95/I95</f>
        <v>1.7758007083427919E-3</v>
      </c>
      <c r="M95">
        <f>+(L95-$L$931)/$L$932</f>
        <v>-0.73203643578820798</v>
      </c>
      <c r="N95">
        <f>+N92+M95</f>
        <v>-6.1408818349581873</v>
      </c>
      <c r="Z95">
        <f>+(I95-$F$931)/$F$932</f>
        <v>-0.59196905443959957</v>
      </c>
      <c r="AA95">
        <f>+AA92+Z95</f>
        <v>-2.6853506751556395</v>
      </c>
    </row>
    <row r="96" spans="1:27">
      <c r="A96" s="8">
        <v>5</v>
      </c>
      <c r="B96" s="72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9"/>
    </row>
    <row r="97" spans="1:27">
      <c r="A97" s="8">
        <v>7</v>
      </c>
      <c r="B97" s="72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9"/>
    </row>
    <row r="98" spans="1:27">
      <c r="A98" s="8">
        <v>14</v>
      </c>
      <c r="B98" s="72">
        <v>37392</v>
      </c>
      <c r="C98" s="12">
        <v>2002</v>
      </c>
      <c r="D98" s="15" t="s">
        <v>22</v>
      </c>
      <c r="E98" s="12">
        <v>5</v>
      </c>
      <c r="F98" s="20"/>
      <c r="I98" s="27">
        <f>AVERAGE(F96:F98)</f>
        <v>2.9292003229186161</v>
      </c>
      <c r="J98" s="27" t="e">
        <f>AVERAGE(G96:G98)</f>
        <v>#DIV/0!</v>
      </c>
      <c r="Z98">
        <f>+(I98-$F$931)/$F$932</f>
        <v>-0.46774366131972261</v>
      </c>
      <c r="AA98">
        <f>+AA95+Z98</f>
        <v>-3.1530943364753621</v>
      </c>
    </row>
    <row r="99" spans="1:27">
      <c r="A99" s="8">
        <v>5</v>
      </c>
      <c r="B99" s="72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9"/>
    </row>
    <row r="100" spans="1:27">
      <c r="A100" s="8">
        <v>7</v>
      </c>
      <c r="B100" s="72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9"/>
    </row>
    <row r="101" spans="1:27">
      <c r="A101" s="8">
        <v>14</v>
      </c>
      <c r="B101" s="72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9"/>
      <c r="I101" s="27">
        <f>AVERAGE(F99:F101)</f>
        <v>14.514084952286561</v>
      </c>
      <c r="J101" s="27" t="e">
        <f>AVERAGE(G99:G101)</f>
        <v>#DIV/0!</v>
      </c>
      <c r="Z101">
        <f>+(I101-$F$931)/$F$932</f>
        <v>1.1183864487245465</v>
      </c>
      <c r="AA101">
        <f>+AA98+Z101</f>
        <v>-2.0347078877508156</v>
      </c>
    </row>
    <row r="102" spans="1:27">
      <c r="A102" s="8">
        <v>5</v>
      </c>
      <c r="B102" s="72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9"/>
    </row>
    <row r="103" spans="1:27">
      <c r="A103" s="8">
        <v>7</v>
      </c>
      <c r="B103" s="72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9"/>
    </row>
    <row r="104" spans="1:27">
      <c r="A104" s="8">
        <v>14</v>
      </c>
      <c r="B104" s="72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9"/>
      <c r="I104" s="27">
        <f>AVERAGE(F102:F104)</f>
        <v>10.562959667291089</v>
      </c>
      <c r="J104" s="27" t="e">
        <f>AVERAGE(G102:G104)</f>
        <v>#DIV/0!</v>
      </c>
      <c r="Z104">
        <f>+(I104-$F$931)/$F$932</f>
        <v>0.5774230309964512</v>
      </c>
      <c r="AA104">
        <f>+AA101+Z104</f>
        <v>-1.4572848567543644</v>
      </c>
    </row>
    <row r="105" spans="1:27">
      <c r="A105" s="8">
        <v>5</v>
      </c>
      <c r="B105" s="72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9"/>
    </row>
    <row r="106" spans="1:27">
      <c r="A106" s="8">
        <v>7</v>
      </c>
      <c r="B106" s="72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9"/>
    </row>
    <row r="107" spans="1:27">
      <c r="A107" s="8">
        <v>14</v>
      </c>
      <c r="B107" s="72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9"/>
      <c r="I107" s="27">
        <f>AVERAGE(F105:F107)</f>
        <v>15.357615191776491</v>
      </c>
      <c r="J107" s="27" t="e">
        <f>AVERAGE(G105:G107)</f>
        <v>#DIV/0!</v>
      </c>
      <c r="Z107">
        <f>+(I107-$F$931)/$F$932</f>
        <v>1.2338773452153153</v>
      </c>
      <c r="AA107">
        <f>+AA104+Z107</f>
        <v>-0.22340751153904903</v>
      </c>
    </row>
    <row r="108" spans="1:27">
      <c r="A108" s="8">
        <v>5</v>
      </c>
      <c r="B108" s="72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9"/>
    </row>
    <row r="109" spans="1:27">
      <c r="A109" s="8">
        <v>7</v>
      </c>
      <c r="B109" s="72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9"/>
    </row>
    <row r="110" spans="1:27">
      <c r="A110" s="8">
        <v>14</v>
      </c>
      <c r="B110" s="72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9"/>
      <c r="I110" s="27">
        <f>AVERAGE(F108:F110)</f>
        <v>7.4643510314456192</v>
      </c>
      <c r="J110" s="27" t="e">
        <f>AVERAGE(G108:G110)</f>
        <v>#DIV/0!</v>
      </c>
      <c r="Z110">
        <f>+(I110-$F$931)/$F$932</f>
        <v>0.1531808728916931</v>
      </c>
      <c r="AA110">
        <f>+AA107+Z110</f>
        <v>-7.0226638647355927E-2</v>
      </c>
    </row>
    <row r="111" spans="1:27">
      <c r="A111" s="8">
        <v>5</v>
      </c>
      <c r="B111" s="72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5.6820706518696369E-2</v>
      </c>
    </row>
    <row r="112" spans="1:27">
      <c r="A112" s="8">
        <v>7</v>
      </c>
      <c r="B112" s="72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4.5214084782749513E-2</v>
      </c>
    </row>
    <row r="113" spans="1:27">
      <c r="A113" s="8">
        <v>14</v>
      </c>
      <c r="B113" s="72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1.4094094911628077E-2</v>
      </c>
      <c r="I113" s="27">
        <f>AVERAGE(F111:F113)</f>
        <v>5.7309301240391948</v>
      </c>
      <c r="J113" s="27">
        <f>AVERAGE(G111:G113)</f>
        <v>3.8709628737691321E-2</v>
      </c>
      <c r="L113">
        <f>+J113/I113</f>
        <v>6.7545106814892618E-3</v>
      </c>
      <c r="M113">
        <f>+(L113-$L$931)/$L$932</f>
        <v>-0.53793277368982328</v>
      </c>
      <c r="N113">
        <f>+N95+M113</f>
        <v>-6.6788146086480102</v>
      </c>
      <c r="Z113">
        <f>+(I113-$F$931)/$F$932</f>
        <v>-8.4148300646014695E-2</v>
      </c>
      <c r="AA113">
        <f>+AA110+Z113</f>
        <v>-0.15437493929337062</v>
      </c>
    </row>
    <row r="114" spans="1:27">
      <c r="A114" s="8">
        <v>5</v>
      </c>
      <c r="B114" s="72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</v>
      </c>
    </row>
    <row r="115" spans="1:27">
      <c r="A115" s="8">
        <v>7</v>
      </c>
      <c r="B115" s="72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1.4972813518314459E-2</v>
      </c>
    </row>
    <row r="116" spans="1:27">
      <c r="A116" s="8">
        <v>14</v>
      </c>
      <c r="B116" s="72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1.0136576891791054E-2</v>
      </c>
      <c r="I116" s="27">
        <f>AVERAGE(F114:F116)</f>
        <v>3.384427131883418</v>
      </c>
      <c r="J116" s="27">
        <f>AVERAGE(G114:G116)</f>
        <v>8.3697968033685042E-3</v>
      </c>
      <c r="L116">
        <f>+J116/I116</f>
        <v>2.4730320604393545E-3</v>
      </c>
      <c r="M116">
        <f>+(L116-$L$931)/$L$932</f>
        <v>-0.70485365962697255</v>
      </c>
      <c r="N116">
        <f>+N113+M116</f>
        <v>-7.3836682682749828</v>
      </c>
      <c r="Z116">
        <f>+(I116-$F$931)/$F$932</f>
        <v>-0.40541684739806882</v>
      </c>
      <c r="AA116">
        <f>+AA113+Z116</f>
        <v>-0.55979178669143947</v>
      </c>
    </row>
    <row r="117" spans="1:27">
      <c r="A117" s="8">
        <v>5</v>
      </c>
      <c r="B117" s="72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2.0649246861529458E-2</v>
      </c>
    </row>
    <row r="118" spans="1:27">
      <c r="A118" s="8">
        <v>7</v>
      </c>
      <c r="B118" s="72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2.9856877287001735E-2</v>
      </c>
    </row>
    <row r="119" spans="1:27">
      <c r="A119" s="8">
        <v>14</v>
      </c>
      <c r="B119" s="72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3.9409581119330392E-2</v>
      </c>
      <c r="I119" s="27">
        <f>AVERAGE(F117:F119)</f>
        <v>5.667312868329204</v>
      </c>
      <c r="J119" s="27">
        <f>AVERAGE(G117:G119)</f>
        <v>2.9971901755953861E-2</v>
      </c>
      <c r="L119">
        <f>+J119/I119</f>
        <v>5.288556049807421E-3</v>
      </c>
      <c r="M119">
        <f>+(L119-$L$931)/$L$932</f>
        <v>-0.59508556306986105</v>
      </c>
      <c r="N119">
        <f>+N116+M119</f>
        <v>-7.9787538313448438</v>
      </c>
      <c r="Z119">
        <f>+(I119-$F$931)/$F$932</f>
        <v>-9.2858378305675199E-2</v>
      </c>
      <c r="AA119">
        <f>+AA116+Z119</f>
        <v>-0.6526501649971147</v>
      </c>
    </row>
    <row r="120" spans="1:27">
      <c r="A120" s="8">
        <v>5</v>
      </c>
      <c r="B120" s="72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4.0800297448330039E-2</v>
      </c>
    </row>
    <row r="121" spans="1:27">
      <c r="A121" s="8">
        <v>7</v>
      </c>
      <c r="B121" s="72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3.643716346720919E-2</v>
      </c>
    </row>
    <row r="122" spans="1:27">
      <c r="A122" s="8">
        <v>14</v>
      </c>
      <c r="B122" s="72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2.4964701153593061E-2</v>
      </c>
      <c r="I122" s="27">
        <f>AVERAGE(F120:F122)</f>
        <v>3.9687137332533777</v>
      </c>
      <c r="J122" s="27">
        <f>AVERAGE(G120:G122)</f>
        <v>3.4067387356377432E-2</v>
      </c>
      <c r="L122">
        <f>+J122/I122</f>
        <v>8.5839870663713697E-3</v>
      </c>
      <c r="M122">
        <f>+(L122-$L$931)/$L$932</f>
        <v>-0.46660745690224825</v>
      </c>
      <c r="N122">
        <f>+N119+M122</f>
        <v>-8.4453612882470921</v>
      </c>
      <c r="Z122">
        <f>+(I122-$F$931)/$F$932</f>
        <v>-0.32541997207494455</v>
      </c>
      <c r="AA122">
        <f>+AA119+Z122</f>
        <v>-0.97807013707205925</v>
      </c>
    </row>
    <row r="123" spans="1:27">
      <c r="A123" s="8">
        <v>5</v>
      </c>
      <c r="B123" s="72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8.3701168997901337E-2</v>
      </c>
    </row>
    <row r="124" spans="1:27">
      <c r="A124" s="8">
        <v>7</v>
      </c>
      <c r="B124" s="72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3.905504992496206E-2</v>
      </c>
    </row>
    <row r="125" spans="1:27">
      <c r="A125" s="8">
        <v>14</v>
      </c>
      <c r="B125" s="72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3.0673327792956465E-2</v>
      </c>
      <c r="I125" s="27">
        <f>AVERAGE(F123:F125)</f>
        <v>5.4307846297847933</v>
      </c>
      <c r="J125" s="27">
        <f>AVERAGE(G123:G125)</f>
        <v>5.1143182238606623E-2</v>
      </c>
      <c r="L125">
        <f>+J125/I125</f>
        <v>9.4172731428374245E-3</v>
      </c>
      <c r="M125">
        <f>+(L125-$L$931)/$L$932</f>
        <v>-0.43412035082656814</v>
      </c>
      <c r="N125">
        <f>+N122+M125</f>
        <v>-8.8794816390736599</v>
      </c>
      <c r="Z125">
        <f>+(I125-$F$931)/$F$932</f>
        <v>-0.12524234871483858</v>
      </c>
      <c r="AA125">
        <f>+AA122+Z125</f>
        <v>-1.1033124857868979</v>
      </c>
    </row>
    <row r="126" spans="1:27">
      <c r="A126" s="8">
        <v>5</v>
      </c>
      <c r="B126" s="72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4.9667759099901003E-2</v>
      </c>
    </row>
    <row r="127" spans="1:27">
      <c r="A127" s="8">
        <v>7</v>
      </c>
      <c r="B127" s="72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0.11080498172082603</v>
      </c>
    </row>
    <row r="128" spans="1:27">
      <c r="A128" s="8">
        <v>14</v>
      </c>
      <c r="B128" s="72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8.2938511801734144E-2</v>
      </c>
      <c r="I128" s="27">
        <f>AVERAGE(F126:F128)</f>
        <v>6.6989562409248258</v>
      </c>
      <c r="J128" s="27">
        <f>AVERAGE(G126:G128)</f>
        <v>8.1137084207487067E-2</v>
      </c>
      <c r="L128">
        <f>+J128/I128</f>
        <v>1.2111899419764783E-2</v>
      </c>
      <c r="M128">
        <f>+(L128-$L$931)/$L$932</f>
        <v>-0.32906566172854362</v>
      </c>
      <c r="N128">
        <f>+N125+M128</f>
        <v>-9.2085473008022038</v>
      </c>
      <c r="Z128">
        <f>+(I128-$F$931)/$F$932</f>
        <v>4.8387794483428351E-2</v>
      </c>
      <c r="AA128">
        <f>+AA125+Z128</f>
        <v>-1.0549246913034696</v>
      </c>
    </row>
    <row r="129" spans="1:27">
      <c r="A129" s="8">
        <v>5</v>
      </c>
      <c r="B129" s="72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4.3532548450121361E-2</v>
      </c>
    </row>
    <row r="130" spans="1:27">
      <c r="A130" s="8">
        <v>7</v>
      </c>
      <c r="B130" s="72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3.9453256648297706E-2</v>
      </c>
    </row>
    <row r="131" spans="1:27">
      <c r="A131" s="8">
        <v>14</v>
      </c>
      <c r="B131" s="72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3.902659372390798E-2</v>
      </c>
      <c r="I131" s="27">
        <f>AVERAGE(F129:F131)</f>
        <v>6.4711282129704406</v>
      </c>
      <c r="J131" s="27">
        <f>AVERAGE(G129:G131)</f>
        <v>4.0670799607442354E-2</v>
      </c>
      <c r="L131">
        <f>+J131/I131</f>
        <v>6.2849627250351212E-3</v>
      </c>
      <c r="M131">
        <f>+(L131-$L$931)/$L$932</f>
        <v>-0.55623891692173399</v>
      </c>
      <c r="N131">
        <f>+N128+M131</f>
        <v>-9.7647862177239375</v>
      </c>
      <c r="Z131">
        <f>+(I131-$F$931)/$F$932</f>
        <v>1.7195002616136931E-2</v>
      </c>
      <c r="AA131">
        <f>+AA128+Z131</f>
        <v>-1.0377296886873326</v>
      </c>
    </row>
    <row r="132" spans="1:27">
      <c r="A132" s="8">
        <v>5</v>
      </c>
      <c r="B132" s="72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9.7211215370956908E-2</v>
      </c>
    </row>
    <row r="133" spans="1:27">
      <c r="A133" s="8">
        <v>7</v>
      </c>
      <c r="B133" s="72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0.17992236342963885</v>
      </c>
    </row>
    <row r="134" spans="1:27">
      <c r="A134" s="8">
        <v>14</v>
      </c>
      <c r="B134" s="72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6.6261799857848927E-2</v>
      </c>
      <c r="I134" s="27">
        <f>AVERAGE(F132:F134)</f>
        <v>5.1183499738120117</v>
      </c>
      <c r="J134" s="27">
        <f>AVERAGE(G132:G134)</f>
        <v>0.11446512621948156</v>
      </c>
      <c r="L134">
        <f>+J134/I134</f>
        <v>2.2363677123514662E-2</v>
      </c>
      <c r="M134">
        <f>+(L134-$L$931)/$L$932</f>
        <v>7.0617711283608178E-2</v>
      </c>
      <c r="N134">
        <f>+N131+M134</f>
        <v>-9.6941685064403291</v>
      </c>
      <c r="Z134">
        <f>+(I134-$F$931)/$F$932</f>
        <v>-0.16801895211781856</v>
      </c>
      <c r="AA134">
        <f>+AA131+Z134</f>
        <v>-1.2057486408051512</v>
      </c>
    </row>
    <row r="135" spans="1:27">
      <c r="A135" s="8">
        <v>5</v>
      </c>
      <c r="B135" s="72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0.7014873581621538</v>
      </c>
    </row>
    <row r="136" spans="1:27">
      <c r="A136" s="8">
        <v>7</v>
      </c>
      <c r="B136" s="72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0.38392031772426227</v>
      </c>
    </row>
    <row r="137" spans="1:27">
      <c r="A137" s="8">
        <v>14</v>
      </c>
      <c r="B137" s="72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0.49104942153484876</v>
      </c>
      <c r="I137" s="27">
        <f>AVERAGE(F135:F137)</f>
        <v>23.037631081699022</v>
      </c>
      <c r="J137" s="27">
        <f>AVERAGE(G135:G137)</f>
        <v>0.52548569914042165</v>
      </c>
      <c r="L137">
        <f>+J137/I137</f>
        <v>2.280988428353924E-2</v>
      </c>
      <c r="M137">
        <f>+(L137-$L$931)/$L$932</f>
        <v>8.801387299667017E-2</v>
      </c>
      <c r="N137">
        <f>+N134+M137</f>
        <v>-9.6061546334436585</v>
      </c>
      <c r="Z137">
        <f>+(I137-$F$931)/$F$932</f>
        <v>2.2853771950924706</v>
      </c>
      <c r="AA137">
        <f>+AA134+Z137</f>
        <v>1.0796285542873194</v>
      </c>
    </row>
    <row r="138" spans="1:27">
      <c r="A138" s="8">
        <v>5</v>
      </c>
      <c r="B138" s="72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2.2281129503129486</v>
      </c>
    </row>
    <row r="139" spans="1:27">
      <c r="A139" s="8">
        <v>7</v>
      </c>
      <c r="B139" s="72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2.0987210695673082</v>
      </c>
    </row>
    <row r="140" spans="1:27">
      <c r="A140" s="8">
        <v>14</v>
      </c>
      <c r="B140" s="72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1.5686011616822841</v>
      </c>
      <c r="I140" s="27">
        <f>AVERAGE(F138:F140)</f>
        <v>15.104275980879535</v>
      </c>
      <c r="J140" s="27">
        <f>AVERAGE(G138:G140)</f>
        <v>1.9651450605208474</v>
      </c>
      <c r="L140">
        <f>+J140/I140</f>
        <v>0.13010521411344175</v>
      </c>
      <c r="M140">
        <f>+(L140-$L$931)/$L$932</f>
        <v>4.2711088028819217</v>
      </c>
      <c r="N140">
        <f>+N137+M140</f>
        <v>-5.3350458305617368</v>
      </c>
      <c r="Z140">
        <f>+(I140-$F$931)/$F$932</f>
        <v>1.1991917213775196</v>
      </c>
      <c r="AA140">
        <f>+AA137+Z140</f>
        <v>2.278820275664839</v>
      </c>
    </row>
    <row r="141" spans="1:27">
      <c r="A141" s="8">
        <v>5</v>
      </c>
      <c r="B141" s="72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0.70455768831393362</v>
      </c>
    </row>
    <row r="142" spans="1:27">
      <c r="A142" s="8">
        <v>7</v>
      </c>
      <c r="B142" s="72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0.7200836040316666</v>
      </c>
    </row>
    <row r="143" spans="1:27">
      <c r="A143" s="8">
        <v>14</v>
      </c>
      <c r="B143" s="72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0.55663848368145408</v>
      </c>
      <c r="I143" s="27">
        <f>AVERAGE(F141:F143)</f>
        <v>8.2407798408794353</v>
      </c>
      <c r="J143" s="27">
        <f>AVERAGE(G141:G143)</f>
        <v>0.6604265920090181</v>
      </c>
      <c r="L143">
        <f>+J143/I143</f>
        <v>8.0141273612587979E-2</v>
      </c>
      <c r="M143">
        <f>+(L143-$L$931)/$L$932</f>
        <v>2.3231777371258633</v>
      </c>
      <c r="N143">
        <f>+N140+M143</f>
        <v>-3.0118680934358735</v>
      </c>
      <c r="Z143">
        <f>+(I143-$F$931)/$F$932</f>
        <v>0.25948466031369954</v>
      </c>
      <c r="AA143">
        <f>+AA140+Z143</f>
        <v>2.5383049359785383</v>
      </c>
    </row>
    <row r="144" spans="1:27">
      <c r="A144" s="8">
        <v>5</v>
      </c>
      <c r="B144" s="72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0.26305301147311388</v>
      </c>
    </row>
    <row r="145" spans="1:27">
      <c r="A145" s="8">
        <v>7</v>
      </c>
      <c r="B145" s="72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0.2771719625502323</v>
      </c>
    </row>
    <row r="146" spans="1:27">
      <c r="A146" s="8">
        <v>14</v>
      </c>
      <c r="B146" s="72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0.15907149092940784</v>
      </c>
      <c r="I146" s="27">
        <f>AVERAGE(F144:F146)</f>
        <v>11.241516703460741</v>
      </c>
      <c r="J146" s="27">
        <f>AVERAGE(G144:G146)</f>
        <v>0.23309882165091803</v>
      </c>
      <c r="L146">
        <f>+J146/I146</f>
        <v>2.0735531316620089E-2</v>
      </c>
      <c r="M146">
        <f>+(L146-$L$931)/$L$932</f>
        <v>7.1416170236646807E-3</v>
      </c>
      <c r="N146">
        <f>+N143+M146</f>
        <v>-3.0047264764122086</v>
      </c>
      <c r="Z146">
        <f>+(I146-$F$931)/$F$932</f>
        <v>0.67032682597449444</v>
      </c>
      <c r="AA146">
        <f>+AA143+Z146</f>
        <v>3.2086317619530327</v>
      </c>
    </row>
    <row r="147" spans="1:27">
      <c r="A147" s="8">
        <v>5</v>
      </c>
      <c r="B147" s="72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6.4666599969464306E-2</v>
      </c>
    </row>
    <row r="148" spans="1:27">
      <c r="A148" s="8">
        <v>7</v>
      </c>
      <c r="B148" s="72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2.915463137862746E-2</v>
      </c>
    </row>
    <row r="149" spans="1:27">
      <c r="A149" s="8">
        <v>14</v>
      </c>
      <c r="B149" s="72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1.7228432691433065E-2</v>
      </c>
      <c r="I149" s="27">
        <f>AVERAGE(F147:F149)</f>
        <v>3.4937</v>
      </c>
      <c r="J149" s="27">
        <f>AVERAGE(G147:G149)</f>
        <v>3.7016554679841614E-2</v>
      </c>
      <c r="L149">
        <f>+J149/I149</f>
        <v>1.0595229893763521E-2</v>
      </c>
      <c r="M149">
        <f>+(L149-$L$931)/$L$932</f>
        <v>-0.3881956594142324</v>
      </c>
      <c r="N149">
        <f>+N146+M149</f>
        <v>-3.3929221358264412</v>
      </c>
      <c r="Z149">
        <f>+(I149-$F$931)/$F$932</f>
        <v>-0.39045588819341392</v>
      </c>
      <c r="AA149">
        <f>+AA146+Z149</f>
        <v>2.8181758737596185</v>
      </c>
    </row>
    <row r="150" spans="1:27">
      <c r="A150" s="8">
        <v>5</v>
      </c>
      <c r="B150" s="72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1.5812193719507043E-2</v>
      </c>
    </row>
    <row r="151" spans="1:27">
      <c r="A151" s="8">
        <v>7</v>
      </c>
      <c r="B151" s="72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1.6316834025480724E-2</v>
      </c>
    </row>
    <row r="152" spans="1:27">
      <c r="A152" s="8">
        <v>14</v>
      </c>
      <c r="B152" s="72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1.5137262014766404E-2</v>
      </c>
      <c r="I152" s="27">
        <f>AVERAGE(F150:F152)</f>
        <v>2.3850000000000002</v>
      </c>
      <c r="J152" s="27">
        <f>AVERAGE(G150:G152)</f>
        <v>1.5755429919918056E-2</v>
      </c>
      <c r="L152">
        <f>+J152/I152</f>
        <v>6.6060502808880737E-3</v>
      </c>
      <c r="M152">
        <f>+(L152-$L$931)/$L$932</f>
        <v>-0.54372076045521267</v>
      </c>
      <c r="N152">
        <f>+N149+M152</f>
        <v>-3.9366428962816538</v>
      </c>
      <c r="Z152">
        <f>+(I152-$F$931)/$F$932</f>
        <v>-0.54225217354856858</v>
      </c>
      <c r="AA152">
        <f>+AA149+Z152</f>
        <v>2.2759237002110497</v>
      </c>
    </row>
    <row r="153" spans="1:27">
      <c r="A153" s="8">
        <v>5</v>
      </c>
      <c r="B153" s="72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3.1168839450886766E-2</v>
      </c>
    </row>
    <row r="154" spans="1:27">
      <c r="A154" s="8">
        <v>7</v>
      </c>
      <c r="B154" s="72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1.2492783887103964E-2</v>
      </c>
    </row>
    <row r="155" spans="1:27">
      <c r="A155" s="8">
        <v>14</v>
      </c>
      <c r="B155" s="72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1.7857830304729226E-2</v>
      </c>
      <c r="I155" s="27">
        <f>AVERAGE(F153:F155)</f>
        <v>3.4090000000000003</v>
      </c>
      <c r="J155" s="27">
        <f>AVERAGE(G153:G155)</f>
        <v>2.0506484547573318E-2</v>
      </c>
      <c r="L155">
        <f>+J155/I155</f>
        <v>6.0153958778449155E-3</v>
      </c>
      <c r="M155">
        <f>+(L155-$L$931)/$L$932</f>
        <v>-0.56674844900979549</v>
      </c>
      <c r="N155">
        <f>+N152+M155</f>
        <v>-4.5033913452914494</v>
      </c>
      <c r="Z155">
        <f>+(I155-$F$931)/$F$932</f>
        <v>-0.40205248363815244</v>
      </c>
      <c r="AA155">
        <f>+AA152+Z155</f>
        <v>1.8738712165728972</v>
      </c>
    </row>
    <row r="156" spans="1:27">
      <c r="A156" s="8">
        <v>5</v>
      </c>
      <c r="B156" s="72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4.5769118861683174E-2</v>
      </c>
    </row>
    <row r="157" spans="1:27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27">
      <c r="A158" s="8">
        <v>14</v>
      </c>
      <c r="C158" s="12">
        <v>2004</v>
      </c>
      <c r="D158" s="15" t="s">
        <v>18</v>
      </c>
      <c r="E158" s="12">
        <v>1</v>
      </c>
      <c r="F158" s="13"/>
      <c r="I158" s="27">
        <f>AVERAGE(F156:F158)</f>
        <v>8.5737000000000005</v>
      </c>
      <c r="J158" s="27">
        <f>AVERAGE(G156:G158)</f>
        <v>4.5769118861683174E-2</v>
      </c>
      <c r="L158">
        <f>+J158/I158</f>
        <v>5.338315880154796E-3</v>
      </c>
      <c r="M158">
        <f>+(L158-$L$931)/$L$932</f>
        <v>-0.59314558959321462</v>
      </c>
      <c r="N158">
        <f>+N155+M158</f>
        <v>-5.0965369348846643</v>
      </c>
      <c r="Z158">
        <f>+(I158-$F$931)/$F$932</f>
        <v>0.30506601097154096</v>
      </c>
      <c r="AA158">
        <f>+AA155+Z158</f>
        <v>2.1789372275444383</v>
      </c>
    </row>
    <row r="159" spans="1:27">
      <c r="A159" s="8">
        <v>5</v>
      </c>
      <c r="B159" s="72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3.2515221899410814E-2</v>
      </c>
    </row>
    <row r="160" spans="1:27">
      <c r="A160" s="8">
        <v>7</v>
      </c>
      <c r="B160" s="72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3.4474804990044634E-2</v>
      </c>
    </row>
    <row r="161" spans="1:27">
      <c r="A161" s="8">
        <v>14</v>
      </c>
      <c r="B161" s="72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2.8236364744651313E-2</v>
      </c>
      <c r="I161" s="27">
        <f>AVERAGE(F159:F161)</f>
        <v>6.1598666666666659</v>
      </c>
      <c r="J161" s="27">
        <f>AVERAGE(G159:G161)</f>
        <v>3.1742130544702256E-2</v>
      </c>
      <c r="L161">
        <f>+J161/I161</f>
        <v>5.1530548082267353E-3</v>
      </c>
      <c r="M161">
        <f>+(L161-$L$931)/$L$932</f>
        <v>-0.60036831449574235</v>
      </c>
      <c r="N161">
        <f>+N158+M161</f>
        <v>-5.6969052493804071</v>
      </c>
      <c r="Z161">
        <f>+(I161-$F$931)/$F$932</f>
        <v>-2.5420985931544543E-2</v>
      </c>
      <c r="AA161">
        <f>+AA158+Z161</f>
        <v>2.1535162416128939</v>
      </c>
    </row>
    <row r="162" spans="1:27">
      <c r="A162" s="8">
        <v>5</v>
      </c>
      <c r="B162" s="72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2.814604044964656E-2</v>
      </c>
    </row>
    <row r="163" spans="1:27">
      <c r="A163" s="8">
        <v>7</v>
      </c>
      <c r="B163" s="72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3.3596063426458794E-2</v>
      </c>
    </row>
    <row r="164" spans="1:27">
      <c r="A164" s="8">
        <v>14</v>
      </c>
      <c r="B164" s="72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4.9539471399876966E-2</v>
      </c>
      <c r="I164" s="27">
        <f>AVERAGE(F162:F164)</f>
        <v>7.6201999999999996</v>
      </c>
      <c r="J164" s="27">
        <f>AVERAGE(G162:G164)</f>
        <v>3.709385842532744E-2</v>
      </c>
      <c r="L164">
        <f>+J164/I164</f>
        <v>4.8678326586346085E-3</v>
      </c>
      <c r="M164">
        <f>+(L164-$L$931)/$L$932</f>
        <v>-0.61148819575936564</v>
      </c>
      <c r="N164">
        <f>+N161+M164</f>
        <v>-6.3083934451397727</v>
      </c>
      <c r="Z164">
        <f>+(I164-$F$931)/$F$932</f>
        <v>0.17451874111843366</v>
      </c>
      <c r="AA164">
        <f>+AA161+Z164</f>
        <v>2.3280349827313276</v>
      </c>
    </row>
    <row r="165" spans="1:27">
      <c r="A165" s="8">
        <v>5</v>
      </c>
      <c r="B165" s="72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3.1357739004796513E-2</v>
      </c>
    </row>
    <row r="166" spans="1:27">
      <c r="A166" s="8">
        <v>7</v>
      </c>
      <c r="B166" s="72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2.0807551118455517E-2</v>
      </c>
    </row>
    <row r="167" spans="1:27">
      <c r="A167" s="8">
        <v>14</v>
      </c>
      <c r="B167" s="72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2.1049410185069551E-2</v>
      </c>
      <c r="I167" s="27">
        <f>AVERAGE(F165:F167)</f>
        <v>1.7581333333333333</v>
      </c>
      <c r="J167" s="27">
        <f>AVERAGE(G165:G167)</f>
        <v>2.4404900102773863E-2</v>
      </c>
      <c r="L167">
        <f>+J167/I167</f>
        <v>1.38811429372671E-2</v>
      </c>
      <c r="M167">
        <f>+(L167-$L$931)/$L$932</f>
        <v>-0.26008862797013949</v>
      </c>
      <c r="N167">
        <f>+N164+M167</f>
        <v>-6.5684820731099123</v>
      </c>
      <c r="Z167">
        <f>+(I167-$F$931)/$F$932</f>
        <v>-0.62807884569880568</v>
      </c>
      <c r="AA167">
        <f>+AA164+Z167</f>
        <v>1.699956137032522</v>
      </c>
    </row>
    <row r="168" spans="1:27">
      <c r="A168" s="8">
        <v>5</v>
      </c>
      <c r="B168" s="72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0.20401613129406826</v>
      </c>
    </row>
    <row r="169" spans="1:27">
      <c r="A169" s="8">
        <v>7</v>
      </c>
      <c r="B169" s="72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7.4471320565865279E-2</v>
      </c>
    </row>
    <row r="170" spans="1:27">
      <c r="A170" s="8">
        <v>14</v>
      </c>
      <c r="B170" s="72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0.11667869779577877</v>
      </c>
      <c r="I170" s="27">
        <f>AVERAGE(F168:F170)</f>
        <v>4.7757000000000005</v>
      </c>
      <c r="J170" s="27">
        <f>AVERAGE(G168:G170)</f>
        <v>0.13172204988523742</v>
      </c>
      <c r="L170">
        <f>+J170/I170</f>
        <v>2.7581726215054843E-2</v>
      </c>
      <c r="M170">
        <f>+(L170-$L$931)/$L$932</f>
        <v>0.27405242492228943</v>
      </c>
      <c r="N170">
        <f>+N167+M170</f>
        <v>-6.2944296481876227</v>
      </c>
      <c r="Z170">
        <f>+(I170-$F$931)/$F$932</f>
        <v>-0.2149324482860375</v>
      </c>
      <c r="AA170">
        <f>+AA167+Z170</f>
        <v>1.4850236887464845</v>
      </c>
    </row>
    <row r="171" spans="1:27">
      <c r="A171" s="8">
        <v>5</v>
      </c>
      <c r="B171" s="72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1.1286450230940246</v>
      </c>
    </row>
    <row r="172" spans="1:27">
      <c r="A172" s="8">
        <v>7</v>
      </c>
      <c r="B172" s="72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0.17697194453293308</v>
      </c>
    </row>
    <row r="173" spans="1:27">
      <c r="A173" s="8">
        <v>14</v>
      </c>
      <c r="B173" s="72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0.48128625872051833</v>
      </c>
      <c r="I173" s="27">
        <f>AVERAGE(F171:F173)</f>
        <v>15.7821</v>
      </c>
      <c r="J173" s="27">
        <f>AVERAGE(G171:G173)</f>
        <v>0.59563440878249196</v>
      </c>
      <c r="L173">
        <f>+J173/I173</f>
        <v>3.7741137667515218E-2</v>
      </c>
      <c r="M173">
        <f>+(L173-$L$931)/$L$932</f>
        <v>0.67013473908058274</v>
      </c>
      <c r="N173">
        <f>+N170+M173</f>
        <v>-5.6242949091070402</v>
      </c>
      <c r="Z173">
        <f>+(I173-$F$931)/$F$932</f>
        <v>1.2919951562354504</v>
      </c>
      <c r="AA173">
        <f>+AA170+Z173</f>
        <v>2.7770188449819351</v>
      </c>
    </row>
    <row r="174" spans="1:27">
      <c r="A174" s="8">
        <v>5</v>
      </c>
      <c r="B174" s="72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1.9003463699171124</v>
      </c>
    </row>
    <row r="175" spans="1:27">
      <c r="A175" s="8">
        <v>7</v>
      </c>
      <c r="B175" s="72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0.27207381660998498</v>
      </c>
    </row>
    <row r="176" spans="1:27">
      <c r="A176" s="8">
        <v>14</v>
      </c>
      <c r="B176" s="72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0.39353989700111774</v>
      </c>
      <c r="I176" s="27">
        <f>AVERAGE(F174:F176)</f>
        <v>15.866500000000002</v>
      </c>
      <c r="J176" s="27">
        <f>AVERAGE(G174:G176)</f>
        <v>0.85532002784273853</v>
      </c>
      <c r="L176">
        <f>+J176/I176</f>
        <v>5.3907290696923606E-2</v>
      </c>
      <c r="M176">
        <f>+(L176-$L$931)/$L$932</f>
        <v>1.3004003142950298</v>
      </c>
      <c r="N176">
        <f>+N173+M176</f>
        <v>-4.3238945948120104</v>
      </c>
      <c r="Z176">
        <f>+(I176-$F$931)/$F$932</f>
        <v>1.3035506775522858</v>
      </c>
      <c r="AA176">
        <f>+AA173+Z176</f>
        <v>4.0805695225342209</v>
      </c>
    </row>
    <row r="177" spans="1:27">
      <c r="A177" s="8">
        <v>5</v>
      </c>
      <c r="B177" s="72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1.6050875586926512</v>
      </c>
    </row>
    <row r="178" spans="1:27">
      <c r="A178" s="8">
        <v>7</v>
      </c>
      <c r="B178" s="72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0.45629057758087932</v>
      </c>
    </row>
    <row r="179" spans="1:27">
      <c r="A179" s="8">
        <v>14</v>
      </c>
      <c r="B179" s="72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I179" s="27">
        <f>AVERAGE(F177:F179)</f>
        <v>25.913566666666668</v>
      </c>
      <c r="J179" s="27">
        <f>AVERAGE(G177:G179)</f>
        <v>1.0306890681367653</v>
      </c>
      <c r="L179">
        <f>+J179/I179</f>
        <v>3.977411065774164E-2</v>
      </c>
      <c r="M179">
        <f>+(L179-$L$931)/$L$932</f>
        <v>0.74939372473719579</v>
      </c>
      <c r="N179">
        <f>+N176+M179</f>
        <v>-3.5745008700748144</v>
      </c>
      <c r="Z179">
        <f>+(I179-$F$931)/$F$932</f>
        <v>2.6791323486225442</v>
      </c>
      <c r="AA179">
        <f>+AA176+Z179</f>
        <v>6.7597018711567651</v>
      </c>
    </row>
    <row r="180" spans="1:27">
      <c r="A180" s="8">
        <v>5</v>
      </c>
      <c r="B180" s="72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0.80519103030104178</v>
      </c>
    </row>
    <row r="181" spans="1:27">
      <c r="A181" s="8">
        <v>7</v>
      </c>
      <c r="B181" s="72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0.24403145630055448</v>
      </c>
    </row>
    <row r="182" spans="1:27">
      <c r="A182" s="8">
        <v>14</v>
      </c>
      <c r="B182" s="72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5.8674132644699145E-2</v>
      </c>
      <c r="I182" s="27">
        <f>AVERAGE(F180:F182)</f>
        <v>13.428733333333334</v>
      </c>
      <c r="J182" s="27">
        <f>AVERAGE(G180:G182)</f>
        <v>0.36929887308209847</v>
      </c>
      <c r="L182">
        <f>+J182/I182</f>
        <v>2.7500648342268452E-2</v>
      </c>
      <c r="M182">
        <f>+(L182-$L$931)/$L$932</f>
        <v>0.27089146312538454</v>
      </c>
      <c r="N182">
        <f>+N179+M182</f>
        <v>-3.3036094069494299</v>
      </c>
      <c r="Z182">
        <f>+(I182-$F$931)/$F$932</f>
        <v>0.96978687800090335</v>
      </c>
      <c r="AA182">
        <f>+AA179+Z182</f>
        <v>7.7294887491576683</v>
      </c>
    </row>
    <row r="183" spans="1:27">
      <c r="A183" s="8">
        <v>5</v>
      </c>
      <c r="B183" s="72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0.15122303325000877</v>
      </c>
    </row>
    <row r="184" spans="1:27">
      <c r="A184" s="8">
        <v>7</v>
      </c>
      <c r="B184" s="72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4.3158223274665147E-2</v>
      </c>
    </row>
    <row r="185" spans="1:27">
      <c r="A185" s="8">
        <v>14</v>
      </c>
      <c r="B185" s="72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1.5791058248858399E-2</v>
      </c>
      <c r="I185" s="27">
        <f>AVERAGE(F183:F185)</f>
        <v>3.1029</v>
      </c>
      <c r="J185" s="27">
        <f>AVERAGE(G183:G185)</f>
        <v>7.0057438257844107E-2</v>
      </c>
      <c r="L185">
        <f>+J185/I185</f>
        <v>2.2578052227865578E-2</v>
      </c>
      <c r="M185">
        <f>+(L185-$L$931)/$L$932</f>
        <v>7.8975497344991999E-2</v>
      </c>
      <c r="N185">
        <f>+N182+M185</f>
        <v>-3.2246339096044379</v>
      </c>
      <c r="Z185">
        <f>+(I185-$F$931)/$F$932</f>
        <v>-0.44396178547563137</v>
      </c>
      <c r="AA185">
        <f>+AA182+Z185</f>
        <v>7.2855269636820372</v>
      </c>
    </row>
    <row r="186" spans="1:27">
      <c r="A186" s="8">
        <v>5</v>
      </c>
      <c r="B186" s="72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2.6944359399203463E-2</v>
      </c>
    </row>
    <row r="187" spans="1:27">
      <c r="A187" s="8">
        <v>7</v>
      </c>
      <c r="B187" s="72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1.9439833937961219E-2</v>
      </c>
    </row>
    <row r="188" spans="1:27">
      <c r="A188" s="8">
        <v>14</v>
      </c>
      <c r="B188" s="72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7.9291488509604102E-3</v>
      </c>
      <c r="I188" s="27">
        <f>AVERAGE(F186:F188)</f>
        <v>2.0789166666666667</v>
      </c>
      <c r="J188" s="27">
        <f>AVERAGE(G186:G188)</f>
        <v>1.8104447396041699E-2</v>
      </c>
      <c r="L188">
        <f>+J188/I188</f>
        <v>8.7085969756884752E-3</v>
      </c>
      <c r="M188">
        <f>+(L188-$L$931)/$L$932</f>
        <v>-0.46174932299554233</v>
      </c>
      <c r="N188">
        <f>+N185+M188</f>
        <v>-3.6863832325999804</v>
      </c>
      <c r="Z188">
        <f>+(I188-$F$931)/$F$932</f>
        <v>-0.58415919349005285</v>
      </c>
      <c r="AA188">
        <f>+AA185+Z188</f>
        <v>6.7013677701919843</v>
      </c>
    </row>
    <row r="189" spans="1:27">
      <c r="A189" s="8">
        <v>5</v>
      </c>
      <c r="B189" s="72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2.8504932103971946E-2</v>
      </c>
    </row>
    <row r="190" spans="1:27">
      <c r="A190" s="8">
        <v>7</v>
      </c>
      <c r="B190" s="72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2.0655659114853942E-2</v>
      </c>
    </row>
    <row r="191" spans="1:27">
      <c r="A191" s="8">
        <v>14</v>
      </c>
      <c r="B191" s="72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1.9558602994633332E-2</v>
      </c>
      <c r="I191" s="27">
        <f>AVERAGE(F189:F191)</f>
        <v>1.9878833333333334</v>
      </c>
      <c r="J191" s="27">
        <f>AVERAGE(G189:G191)</f>
        <v>2.2906398071153074E-2</v>
      </c>
      <c r="L191">
        <f>+J191/I191</f>
        <v>1.1523009266717399E-2</v>
      </c>
      <c r="M191">
        <f>+(L191-$L$931)/$L$932</f>
        <v>-0.35202456793049214</v>
      </c>
      <c r="N191">
        <f>+N188+M191</f>
        <v>-4.0384078005304724</v>
      </c>
      <c r="Z191">
        <f>+(I191-$F$931)/$F$932</f>
        <v>-0.59662290941275287</v>
      </c>
      <c r="AA191">
        <f>+AA188+Z191</f>
        <v>6.1047448607792312</v>
      </c>
    </row>
    <row r="192" spans="1:27">
      <c r="A192" s="8">
        <v>5</v>
      </c>
      <c r="B192" s="75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1.732023487912325E-2</v>
      </c>
    </row>
    <row r="193" spans="1:27">
      <c r="A193" s="8">
        <v>7</v>
      </c>
      <c r="B193" s="75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2.272946348919504E-2</v>
      </c>
    </row>
    <row r="194" spans="1:27">
      <c r="A194" s="8">
        <v>14</v>
      </c>
      <c r="B194" s="75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2.376842466816597E-2</v>
      </c>
      <c r="I194" s="27">
        <f>AVERAGE(F192:F194)</f>
        <v>4.2194533333333331</v>
      </c>
      <c r="J194" s="27">
        <f>AVERAGE(G192:G194)</f>
        <v>2.1272707678828089E-2</v>
      </c>
      <c r="L194">
        <f>+J194/I194</f>
        <v>5.0415790857966016E-3</v>
      </c>
      <c r="M194">
        <f>+(L194-$L$931)/$L$932</f>
        <v>-0.60471438929733956</v>
      </c>
      <c r="N194">
        <f>+N191+M194</f>
        <v>-4.6431221898278121</v>
      </c>
      <c r="Z194">
        <f>+(I194-$F$931)/$F$932</f>
        <v>-0.29109027072780441</v>
      </c>
      <c r="AA194">
        <f>+AA191+Z194</f>
        <v>5.8136545900514269</v>
      </c>
    </row>
    <row r="195" spans="1:27">
      <c r="A195" s="8">
        <v>5</v>
      </c>
      <c r="B195" s="75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4.176471778499944E-2</v>
      </c>
    </row>
    <row r="196" spans="1:27">
      <c r="A196" s="8">
        <v>7</v>
      </c>
      <c r="B196" s="75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2.5375718700862322E-2</v>
      </c>
    </row>
    <row r="197" spans="1:27">
      <c r="A197" s="8">
        <v>14</v>
      </c>
      <c r="B197" s="75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2.7357361886098244E-2</v>
      </c>
      <c r="I197" s="27">
        <f>AVERAGE(F195:F197)</f>
        <v>4.8213766666666666</v>
      </c>
      <c r="J197" s="27">
        <f>AVERAGE(G195:G197)</f>
        <v>3.1499266123986673E-2</v>
      </c>
      <c r="L197">
        <f>+J197/I197</f>
        <v>6.5332514552869769E-3</v>
      </c>
      <c r="M197">
        <f>+(L197-$L$931)/$L$932</f>
        <v>-0.54655894920728898</v>
      </c>
      <c r="N197">
        <f>+N194+M197</f>
        <v>-5.189681139035101</v>
      </c>
      <c r="Z197">
        <f>+(I197-$F$931)/$F$932</f>
        <v>-0.208678684123139</v>
      </c>
      <c r="AA197">
        <f>+AA194+Z197</f>
        <v>5.6049759059282875</v>
      </c>
    </row>
    <row r="198" spans="1:27">
      <c r="A198" s="8">
        <v>5</v>
      </c>
      <c r="B198" s="75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4.455117542085686E-3</v>
      </c>
    </row>
    <row r="199" spans="1:27">
      <c r="A199" s="8">
        <v>7</v>
      </c>
      <c r="B199" s="75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2.5504104997462425E-2</v>
      </c>
    </row>
    <row r="200" spans="1:27">
      <c r="A200" s="8">
        <v>14</v>
      </c>
      <c r="B200" s="75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2.6596063560465861E-2</v>
      </c>
      <c r="I200" s="27">
        <f>AVERAGE(F198:F200)</f>
        <v>1.9800333333333333</v>
      </c>
      <c r="J200" s="27">
        <f>AVERAGE(G198:G200)</f>
        <v>1.885176203333799E-2</v>
      </c>
      <c r="L200">
        <f>+J200/I200</f>
        <v>9.5209316509846584E-3</v>
      </c>
      <c r="M200">
        <f>+(L200-$L$931)/$L$932</f>
        <v>-0.43007904371136024</v>
      </c>
      <c r="N200">
        <f>+N197+M200</f>
        <v>-5.6197601827464609</v>
      </c>
      <c r="Z200">
        <f>+(I200-$F$931)/$F$932</f>
        <v>-0.59769768242622634</v>
      </c>
      <c r="AA200">
        <f>+AA197+Z200</f>
        <v>5.0072782235020608</v>
      </c>
    </row>
    <row r="201" spans="1:27">
      <c r="A201" s="8">
        <v>5</v>
      </c>
      <c r="B201" s="75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4.4170336751129427E-2</v>
      </c>
    </row>
    <row r="202" spans="1:27">
      <c r="A202" s="8">
        <v>7</v>
      </c>
      <c r="B202" s="75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4.1414714200311932E-2</v>
      </c>
    </row>
    <row r="203" spans="1:27">
      <c r="A203" s="8">
        <v>14</v>
      </c>
      <c r="B203" s="75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3.1729330768308993E-2</v>
      </c>
      <c r="I203" s="27">
        <f>AVERAGE(F201:F203)</f>
        <v>3.1268766666666665</v>
      </c>
      <c r="J203" s="27">
        <f>AVERAGE(G201:G203)</f>
        <v>3.9104793906583453E-2</v>
      </c>
      <c r="L203">
        <f>+J203/I203</f>
        <v>1.2506023765967784E-2</v>
      </c>
      <c r="M203">
        <f>+(L203-$L$931)/$L$932</f>
        <v>-0.31370003904058724</v>
      </c>
      <c r="N203">
        <f>+N200+M203</f>
        <v>-5.9334602217870485</v>
      </c>
      <c r="Z203">
        <f>+(I203-$F$931)/$F$932</f>
        <v>-0.44067904989774848</v>
      </c>
      <c r="AA203">
        <f>+AA200+Z203</f>
        <v>4.5665991736043123</v>
      </c>
    </row>
    <row r="204" spans="1:27">
      <c r="A204" s="8">
        <v>5</v>
      </c>
      <c r="B204" s="75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9.9102377985554518E-2</v>
      </c>
    </row>
    <row r="205" spans="1:27">
      <c r="A205" s="8">
        <v>7</v>
      </c>
      <c r="B205" s="75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4.5799852519879558E-2</v>
      </c>
    </row>
    <row r="206" spans="1:27">
      <c r="A206" s="8">
        <v>14</v>
      </c>
      <c r="B206" s="75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3.7982783300614831E-2</v>
      </c>
      <c r="I206" s="27">
        <f>AVERAGE(F204:F206)</f>
        <v>3.7244799999999998</v>
      </c>
      <c r="J206" s="27">
        <f>AVERAGE(G204:G206)</f>
        <v>6.0961671268682967E-2</v>
      </c>
      <c r="L206">
        <f>+J206/I206</f>
        <v>1.6367834239593974E-2</v>
      </c>
      <c r="M206">
        <f>+(L206-$L$931)/$L$932</f>
        <v>-0.16314064528120131</v>
      </c>
      <c r="N206">
        <f>+N203+M206</f>
        <v>-6.0966008670682497</v>
      </c>
      <c r="Z206">
        <f>+(I206-$F$931)/$F$932</f>
        <v>-0.35885893073489267</v>
      </c>
      <c r="AA206">
        <f>+AA203+Z206</f>
        <v>4.2077402428694199</v>
      </c>
    </row>
    <row r="207" spans="1:27">
      <c r="A207" s="8">
        <v>5</v>
      </c>
      <c r="B207" s="75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0.86112874585185251</v>
      </c>
    </row>
    <row r="208" spans="1:27">
      <c r="A208" s="8">
        <v>7</v>
      </c>
      <c r="B208" s="75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0.16553316588919934</v>
      </c>
    </row>
    <row r="209" spans="1:27">
      <c r="A209" s="8">
        <v>14</v>
      </c>
      <c r="B209" s="75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0.39900221117560425</v>
      </c>
      <c r="I209" s="27">
        <f>AVERAGE(F207:F209)</f>
        <v>8.6896233333333335</v>
      </c>
      <c r="J209" s="27">
        <f>AVERAGE(G207:G209)</f>
        <v>0.475221374305552</v>
      </c>
      <c r="L209">
        <f>+J209/I209</f>
        <v>5.468837440658747E-2</v>
      </c>
      <c r="M209">
        <f>+(L209-$L$931)/$L$932</f>
        <v>1.330852220364853</v>
      </c>
      <c r="N209">
        <f>+N206+M209</f>
        <v>-4.7657486467033969</v>
      </c>
      <c r="Z209">
        <f>+(I209-$F$931)/$F$932</f>
        <v>0.32093751037262991</v>
      </c>
      <c r="AA209">
        <f>+AA206+Z209</f>
        <v>4.5286777532420501</v>
      </c>
    </row>
    <row r="210" spans="1:27">
      <c r="A210" s="8">
        <v>5</v>
      </c>
      <c r="B210" s="75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0.97074257004985587</v>
      </c>
    </row>
    <row r="211" spans="1:27">
      <c r="A211" s="8">
        <v>7</v>
      </c>
      <c r="B211" s="75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0.45707860418875446</v>
      </c>
    </row>
    <row r="212" spans="1:27">
      <c r="A212" s="8">
        <v>14</v>
      </c>
      <c r="B212" s="75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0.80573887272125522</v>
      </c>
      <c r="I212" s="27">
        <f>AVERAGE(F210:F212)</f>
        <v>12.620293333333331</v>
      </c>
      <c r="J212" s="27">
        <f>AVERAGE(G210:G212)</f>
        <v>0.74452001565328851</v>
      </c>
      <c r="L212">
        <f>+J212/I212</f>
        <v>5.8993875656346763E-2</v>
      </c>
      <c r="M212">
        <f>+(L212-$L$931)/$L$932</f>
        <v>1.4987096702374134</v>
      </c>
      <c r="N212">
        <f>+N209+M212</f>
        <v>-3.2670389764659835</v>
      </c>
      <c r="Z212">
        <f>+(I212-$F$931)/$F$932</f>
        <v>0.85910031812670695</v>
      </c>
      <c r="AA212">
        <f>+AA209+Z212</f>
        <v>5.3877780713687571</v>
      </c>
    </row>
    <row r="213" spans="1:27">
      <c r="A213" s="8">
        <v>5</v>
      </c>
      <c r="B213" s="75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0.83758518565383255</v>
      </c>
    </row>
    <row r="214" spans="1:27">
      <c r="A214" s="8">
        <v>7</v>
      </c>
      <c r="B214" s="75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1.5759792659198266</v>
      </c>
    </row>
    <row r="215" spans="1:27">
      <c r="A215" s="8">
        <v>14</v>
      </c>
      <c r="B215" s="75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1.1919818628276686</v>
      </c>
      <c r="I215" s="27">
        <f>AVERAGE(F213:F215)</f>
        <v>31.520896666666669</v>
      </c>
      <c r="J215" s="27">
        <f>AVERAGE(G213:G215)</f>
        <v>1.2018487714671093</v>
      </c>
      <c r="L215">
        <f>+J215/I215</f>
        <v>3.8128635240826249E-2</v>
      </c>
      <c r="M215">
        <f>+(L215-$L$931)/$L$932</f>
        <v>0.6852420055089532</v>
      </c>
      <c r="N215">
        <f>+N212+M215</f>
        <v>-2.5817969709570301</v>
      </c>
      <c r="Z215">
        <f>+(I215-$F$931)/$F$932</f>
        <v>3.4468529806785728</v>
      </c>
      <c r="AA215">
        <f>+AA212+Z215</f>
        <v>8.8346310520473299</v>
      </c>
    </row>
    <row r="216" spans="1:27">
      <c r="A216" s="8">
        <v>5</v>
      </c>
      <c r="B216" s="75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0.75331771409506121</v>
      </c>
    </row>
    <row r="217" spans="1:27">
      <c r="A217" s="8">
        <v>7</v>
      </c>
      <c r="B217" s="75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1.2298603281792595</v>
      </c>
    </row>
    <row r="218" spans="1:27">
      <c r="A218" s="8">
        <v>14</v>
      </c>
      <c r="B218" s="75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0.63507420819371441</v>
      </c>
      <c r="I218" s="27">
        <f>AVERAGE(F216:F218)</f>
        <v>21.641296666666666</v>
      </c>
      <c r="J218" s="27">
        <f>AVERAGE(G216:G218)</f>
        <v>0.87275075015601156</v>
      </c>
      <c r="L218">
        <f>+J218/I218</f>
        <v>4.0328024868319427E-2</v>
      </c>
      <c r="M218">
        <f>+(L218-$L$931)/$L$932</f>
        <v>0.77098903302817778</v>
      </c>
      <c r="N218">
        <f>+N215+M218</f>
        <v>-1.8108079379288524</v>
      </c>
      <c r="Z218">
        <f>+(I218-$F$931)/$F$932</f>
        <v>2.0941998005624134</v>
      </c>
      <c r="AA218">
        <f>+AA215+Z218</f>
        <v>10.928830852609742</v>
      </c>
    </row>
    <row r="219" spans="1:27">
      <c r="A219" s="8">
        <v>5</v>
      </c>
      <c r="B219" s="75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4.4499999999999998E-2</v>
      </c>
    </row>
    <row r="220" spans="1:27">
      <c r="A220" s="8">
        <v>7</v>
      </c>
      <c r="B220" s="75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0.15029999999999999</v>
      </c>
    </row>
    <row r="221" spans="1:27">
      <c r="A221" s="8">
        <v>14</v>
      </c>
      <c r="B221" s="75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9.2200000000000004E-2</v>
      </c>
      <c r="I221" s="27">
        <f>AVERAGE(F219:F221)</f>
        <v>7.2339000000000011</v>
      </c>
      <c r="J221" s="27">
        <f>AVERAGE(G219:G221)</f>
        <v>9.5666666666666664E-2</v>
      </c>
      <c r="L221">
        <f>+J221/I221</f>
        <v>1.3224770409691404E-2</v>
      </c>
      <c r="M221">
        <f>+(L221-$L$931)/$L$932</f>
        <v>-0.28567845183824842</v>
      </c>
      <c r="N221">
        <f>+N218+M221</f>
        <v>-2.0964863897671009</v>
      </c>
      <c r="Z221">
        <f>+(I221-$F$931)/$F$932</f>
        <v>0.12162895575476811</v>
      </c>
      <c r="AA221">
        <f>+AA218+Z221</f>
        <v>11.050459808364511</v>
      </c>
    </row>
    <row r="222" spans="1:27">
      <c r="A222" s="8">
        <v>5</v>
      </c>
      <c r="B222" s="75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5.3E-3</v>
      </c>
    </row>
    <row r="223" spans="1:27">
      <c r="A223" s="8">
        <v>7</v>
      </c>
      <c r="B223" s="75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2.4799999999999999E-2</v>
      </c>
    </row>
    <row r="224" spans="1:27">
      <c r="A224" s="8">
        <v>14</v>
      </c>
      <c r="B224" s="75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1.29E-2</v>
      </c>
      <c r="I224" s="27">
        <f>AVERAGE(F222:F224)</f>
        <v>3.3963000000000001</v>
      </c>
      <c r="J224" s="27">
        <f>AVERAGE(G222:G224)</f>
        <v>1.4333333333333332E-2</v>
      </c>
      <c r="L224">
        <f>+J224/I224</f>
        <v>4.2202789309935314E-3</v>
      </c>
      <c r="M224">
        <f>+(L224-$L$931)/$L$932</f>
        <v>-0.6367342033835367</v>
      </c>
      <c r="N224">
        <f>+N221+M224</f>
        <v>-2.7332205931506377</v>
      </c>
      <c r="Z224">
        <f>+(I224-$F$931)/$F$932</f>
        <v>-0.40379128838606487</v>
      </c>
      <c r="AA224">
        <f>+AA221+Z224</f>
        <v>10.646668519978446</v>
      </c>
    </row>
    <row r="225" spans="1:27">
      <c r="A225" s="8">
        <v>5</v>
      </c>
      <c r="B225" s="75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1.04E-2</v>
      </c>
    </row>
    <row r="226" spans="1:27">
      <c r="A226" s="8">
        <v>7</v>
      </c>
      <c r="B226" s="75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5.3E-3</v>
      </c>
    </row>
    <row r="227" spans="1:27">
      <c r="A227" s="8">
        <v>14</v>
      </c>
      <c r="B227" s="75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4.3E-3</v>
      </c>
      <c r="I227" s="27">
        <f>AVERAGE(F225:F227)</f>
        <v>2.668133333333333</v>
      </c>
      <c r="J227" s="27">
        <f>AVERAGE(G225:G227)</f>
        <v>6.6666666666666654E-3</v>
      </c>
      <c r="L227">
        <f>+J227/I227</f>
        <v>2.498625755834291E-3</v>
      </c>
      <c r="M227">
        <f>+(L227-$L$931)/$L$932</f>
        <v>-0.70385584492605946</v>
      </c>
      <c r="N227">
        <f>+N224+M227</f>
        <v>-3.4370764380766969</v>
      </c>
      <c r="Z227">
        <f>+(I227-$F$931)/$F$932</f>
        <v>-0.50348732439169774</v>
      </c>
      <c r="AA227">
        <f>+AA224+Z227</f>
        <v>10.143181195586749</v>
      </c>
    </row>
    <row r="228" spans="1:27">
      <c r="A228" s="12">
        <v>5</v>
      </c>
      <c r="B228" s="75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3.6499999999999998E-2</v>
      </c>
    </row>
    <row r="229" spans="1:27">
      <c r="A229" s="12">
        <v>7</v>
      </c>
      <c r="B229" s="75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2.06E-2</v>
      </c>
    </row>
    <row r="230" spans="1:27">
      <c r="A230" s="12">
        <v>14</v>
      </c>
      <c r="B230" s="75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1.4E-2</v>
      </c>
      <c r="I230" s="27">
        <f>AVERAGE(F228:F230)</f>
        <v>3.5735000000000006</v>
      </c>
      <c r="J230" s="27">
        <f>AVERAGE(G228:G230)</f>
        <v>2.3699999999999999E-2</v>
      </c>
      <c r="L230">
        <f>+J230/I230</f>
        <v>6.6321533510563862E-3</v>
      </c>
      <c r="M230">
        <f>+(L230-$L$931)/$L$932</f>
        <v>-0.54270308689338465</v>
      </c>
      <c r="N230">
        <f>+N227+M230</f>
        <v>-3.9797795249700814</v>
      </c>
      <c r="Z230">
        <f>+(I230-$F$931)/$F$932</f>
        <v>-0.37953017017109825</v>
      </c>
      <c r="AA230">
        <f>+AA227+Z230</f>
        <v>9.7636510254156512</v>
      </c>
    </row>
    <row r="231" spans="1:27">
      <c r="A231" s="12">
        <v>5</v>
      </c>
      <c r="B231" s="75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7.2099999999999997E-2</v>
      </c>
    </row>
    <row r="232" spans="1:27">
      <c r="A232" s="12">
        <v>7</v>
      </c>
      <c r="B232" s="75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5.0099999999999999E-2</v>
      </c>
    </row>
    <row r="233" spans="1:27">
      <c r="A233" s="12">
        <v>14</v>
      </c>
      <c r="B233" s="75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6.25E-2</v>
      </c>
      <c r="I233" s="27">
        <f>AVERAGE(F231:F233)</f>
        <v>5.3810000000000002</v>
      </c>
      <c r="J233" s="27">
        <f>AVERAGE(G231:G233)</f>
        <v>6.1566666666666665E-2</v>
      </c>
      <c r="L233">
        <f>+J233/I233</f>
        <v>1.1441491668215325E-2</v>
      </c>
      <c r="M233">
        <f>+(L233-$L$931)/$L$932</f>
        <v>-0.35520267319873666</v>
      </c>
      <c r="N233">
        <f>+N230+M233</f>
        <v>-4.3349821981688184</v>
      </c>
      <c r="Z233">
        <f>+(I233-$F$931)/$F$932</f>
        <v>-0.13205854955285895</v>
      </c>
      <c r="AA233">
        <f>+AA230+Z233</f>
        <v>9.6315924758627922</v>
      </c>
    </row>
    <row r="234" spans="1:27">
      <c r="A234" s="12">
        <v>5</v>
      </c>
      <c r="B234" s="75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3.4000000000000002E-2</v>
      </c>
    </row>
    <row r="235" spans="1:27">
      <c r="A235" s="12">
        <v>7</v>
      </c>
      <c r="B235" s="75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1.7500000000000002E-2</v>
      </c>
    </row>
    <row r="236" spans="1:27">
      <c r="A236" s="12">
        <v>14</v>
      </c>
      <c r="B236" s="75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2.01E-2</v>
      </c>
      <c r="I236" s="27">
        <f>AVERAGE(F234:F236)</f>
        <v>2.0474000000000001</v>
      </c>
      <c r="J236" s="27">
        <f>AVERAGE(G234:G236)</f>
        <v>2.3866666666666665E-2</v>
      </c>
      <c r="L236">
        <f>+J236/I236</f>
        <v>1.1657060987919637E-2</v>
      </c>
      <c r="M236">
        <f>+(L236-$L$931)/$L$932</f>
        <v>-0.34679832857606319</v>
      </c>
      <c r="N236">
        <f>+N233+M236</f>
        <v>-4.6817805267448813</v>
      </c>
      <c r="Z236">
        <f>+(I236-$F$931)/$F$932</f>
        <v>-0.58847425881590887</v>
      </c>
      <c r="AA236">
        <f>+AA233+Z236</f>
        <v>9.0431182170468833</v>
      </c>
    </row>
    <row r="237" spans="1:27">
      <c r="A237" s="12">
        <v>5</v>
      </c>
      <c r="B237" s="74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0.1028</v>
      </c>
    </row>
    <row r="238" spans="1:27">
      <c r="A238" s="12">
        <v>7</v>
      </c>
      <c r="B238" s="74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1.9800000000000002E-2</v>
      </c>
    </row>
    <row r="239" spans="1:27">
      <c r="A239" s="12">
        <v>14</v>
      </c>
      <c r="B239" s="74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1.2800000000000001E-2</v>
      </c>
      <c r="I239" s="27">
        <f>AVERAGE(F237:F239)</f>
        <v>3.9091</v>
      </c>
      <c r="J239" s="27">
        <f>AVERAGE(G237:G239)</f>
        <v>4.5133333333333331E-2</v>
      </c>
      <c r="L239">
        <f>+J239/I239</f>
        <v>1.1545709583621123E-2</v>
      </c>
      <c r="M239">
        <f>+(L239-$L$931)/$L$932</f>
        <v>-0.35113955661921425</v>
      </c>
      <c r="N239">
        <f>+N236+M239</f>
        <v>-5.0329200833640959</v>
      </c>
      <c r="Z239">
        <f>+(I239-$F$931)/$F$932</f>
        <v>-0.3335819124231143</v>
      </c>
      <c r="AA239">
        <f>+AA236+Z239</f>
        <v>8.7095363046237697</v>
      </c>
    </row>
    <row r="240" spans="1:27">
      <c r="A240" s="12">
        <v>5</v>
      </c>
      <c r="B240" s="74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0.185</v>
      </c>
    </row>
    <row r="241" spans="1:27">
      <c r="A241" s="12">
        <v>7</v>
      </c>
      <c r="B241" s="74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0.21060000000000001</v>
      </c>
    </row>
    <row r="242" spans="1:27">
      <c r="A242" s="12">
        <v>14</v>
      </c>
      <c r="B242" s="74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0.17280000000000001</v>
      </c>
      <c r="I242" s="27">
        <f>AVERAGE(F240:F242)</f>
        <v>9.1555666666666671</v>
      </c>
      <c r="J242" s="27">
        <f>AVERAGE(G240:G242)</f>
        <v>0.18946666666666667</v>
      </c>
      <c r="L242">
        <f>+J242/I242</f>
        <v>2.0694149643022276E-2</v>
      </c>
      <c r="M242">
        <f>+(L242-$L$931)/$L$932</f>
        <v>5.528280550477987E-3</v>
      </c>
      <c r="N242">
        <f>+N239+M242</f>
        <v>-5.027391802813618</v>
      </c>
      <c r="Z242">
        <f>+(I242-$F$931)/$F$932</f>
        <v>0.38473156393626179</v>
      </c>
      <c r="AA242">
        <f>+AA239+Z242</f>
        <v>9.0942678685600313</v>
      </c>
    </row>
    <row r="243" spans="1:27">
      <c r="A243" s="12">
        <v>5</v>
      </c>
      <c r="B243" s="74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0.29759999999999998</v>
      </c>
    </row>
    <row r="244" spans="1:27">
      <c r="A244" s="12">
        <v>7</v>
      </c>
      <c r="B244" s="74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0.8488</v>
      </c>
    </row>
    <row r="245" spans="1:27">
      <c r="A245" s="12">
        <v>14</v>
      </c>
      <c r="B245" s="74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0.58809999999999996</v>
      </c>
      <c r="I245" s="27">
        <f>AVERAGE(F243:F245)</f>
        <v>18.530133333333335</v>
      </c>
      <c r="J245" s="27">
        <f>AVERAGE(G243:G245)</f>
        <v>0.57816666666666661</v>
      </c>
      <c r="L245">
        <f>+J245/I245</f>
        <v>3.1201430462813717E-2</v>
      </c>
      <c r="M245">
        <f>+(L245-$L$931)/$L$932</f>
        <v>0.41517288664684437</v>
      </c>
      <c r="N245">
        <f>+N242+M245</f>
        <v>-4.6122189161667739</v>
      </c>
      <c r="Z245">
        <f>+(I245-$F$931)/$F$932</f>
        <v>1.6682387316229708</v>
      </c>
      <c r="AA245">
        <f>+AA242+Z245</f>
        <v>10.762506600183002</v>
      </c>
    </row>
    <row r="246" spans="1:27">
      <c r="A246" s="12">
        <v>5</v>
      </c>
      <c r="B246" s="74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2.0190000000000001</v>
      </c>
    </row>
    <row r="247" spans="1:27">
      <c r="A247" s="12">
        <v>7</v>
      </c>
      <c r="B247" s="74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2.8065000000000002</v>
      </c>
    </row>
    <row r="248" spans="1:27">
      <c r="A248" s="12">
        <v>14</v>
      </c>
      <c r="B248" s="74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1.1636</v>
      </c>
      <c r="I248" s="27">
        <f>AVERAGE(F246:F248)</f>
        <v>18.311699999999998</v>
      </c>
      <c r="J248" s="27">
        <f>AVERAGE(G246:G248)</f>
        <v>1.9963666666666666</v>
      </c>
      <c r="L248">
        <f>+J248/I248</f>
        <v>0.10902137249226816</v>
      </c>
      <c r="M248">
        <f>+(L248-$L$931)/$L$932</f>
        <v>3.4491185901871724</v>
      </c>
      <c r="N248">
        <f>+N245+M248</f>
        <v>-1.1631003259796016</v>
      </c>
      <c r="Z248">
        <f>+(I248-$F$931)/$F$932</f>
        <v>1.6383322027172749</v>
      </c>
      <c r="AA248">
        <f>+AA245+Z248</f>
        <v>12.400838802900276</v>
      </c>
    </row>
    <row r="249" spans="1:27">
      <c r="A249" s="12">
        <v>5</v>
      </c>
      <c r="B249" s="74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0.60070000000000001</v>
      </c>
    </row>
    <row r="250" spans="1:27">
      <c r="A250" s="12">
        <v>7</v>
      </c>
      <c r="B250" s="74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2.2038000000000002</v>
      </c>
    </row>
    <row r="251" spans="1:27">
      <c r="A251" s="12">
        <v>14</v>
      </c>
      <c r="B251" s="74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1.0821000000000001</v>
      </c>
      <c r="I251" s="27">
        <f>AVERAGE(F249:F251)</f>
        <v>22.757333333333335</v>
      </c>
      <c r="J251" s="27">
        <f>AVERAGE(G249:G251)</f>
        <v>1.2955333333333334</v>
      </c>
      <c r="L251">
        <f>+J251/I251</f>
        <v>5.6928169674244196E-2</v>
      </c>
      <c r="M251">
        <f>+(L251-$L$931)/$L$932</f>
        <v>1.4181745319973269</v>
      </c>
      <c r="N251">
        <f>+N248+M251</f>
        <v>0.25507420601772535</v>
      </c>
      <c r="Z251">
        <f>+(I251-$F$931)/$F$932</f>
        <v>2.2470005765344072</v>
      </c>
      <c r="AA251">
        <f>+AA248+Z251</f>
        <v>14.647839379434684</v>
      </c>
    </row>
    <row r="252" spans="1:27">
      <c r="A252" s="12">
        <v>5</v>
      </c>
      <c r="B252" s="74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0.4158</v>
      </c>
    </row>
    <row r="253" spans="1:27">
      <c r="A253" s="12">
        <v>7</v>
      </c>
      <c r="B253" s="74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0.25269999999999998</v>
      </c>
    </row>
    <row r="254" spans="1:27">
      <c r="A254" s="12">
        <v>14</v>
      </c>
      <c r="B254" s="74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0.2291</v>
      </c>
      <c r="I254" s="27">
        <f>AVERAGE(F252:F254)</f>
        <v>19.939600000000002</v>
      </c>
      <c r="J254" s="27">
        <f>AVERAGE(G252:G254)</f>
        <v>0.29919999999999997</v>
      </c>
      <c r="L254">
        <f>+J254/I254</f>
        <v>1.500531605448454E-2</v>
      </c>
      <c r="M254">
        <f>+(L254-$L$931)/$L$932</f>
        <v>-0.21626078500250451</v>
      </c>
      <c r="N254">
        <f>+N251+M254</f>
        <v>3.8813421015220839E-2</v>
      </c>
      <c r="Z254">
        <f>+(I254-$F$931)/$F$932</f>
        <v>1.8612141120973207</v>
      </c>
      <c r="AA254">
        <f>+AA251+Z254</f>
        <v>16.509053491532004</v>
      </c>
    </row>
    <row r="255" spans="1:27">
      <c r="A255" s="12">
        <v>5</v>
      </c>
      <c r="B255" s="74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6.4000000000000001E-2</v>
      </c>
    </row>
    <row r="256" spans="1:27">
      <c r="A256" s="12">
        <v>7</v>
      </c>
      <c r="B256" s="74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0.20899999999999999</v>
      </c>
    </row>
    <row r="257" spans="1:27">
      <c r="A257" s="12">
        <v>14</v>
      </c>
      <c r="B257" s="74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0.10199999999999999</v>
      </c>
      <c r="I257" s="27">
        <f>AVERAGE(F255:F257)</f>
        <v>5.996666666666667</v>
      </c>
      <c r="J257" s="27">
        <f>AVERAGE(G255:G257)</f>
        <v>0.125</v>
      </c>
      <c r="L257">
        <f>+J257/I257</f>
        <v>2.0844913841022789E-2</v>
      </c>
      <c r="M257">
        <f>+(L257-$L$931)/$L$932</f>
        <v>1.140608486184887E-2</v>
      </c>
      <c r="N257">
        <f>+N254+M257</f>
        <v>5.0219505877069706E-2</v>
      </c>
      <c r="Z257">
        <f>+(I257-$F$931)/$F$932</f>
        <v>-4.7765311511016956E-2</v>
      </c>
      <c r="AA257">
        <f>+AA254+Z257</f>
        <v>16.461288180020986</v>
      </c>
    </row>
    <row r="258" spans="1:27">
      <c r="A258" s="12">
        <v>5</v>
      </c>
      <c r="B258" s="74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0.13300000000000001</v>
      </c>
    </row>
    <row r="259" spans="1:27">
      <c r="A259" s="12">
        <v>7</v>
      </c>
      <c r="B259" s="74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1.6E-2</v>
      </c>
    </row>
    <row r="260" spans="1:27">
      <c r="A260" s="12">
        <v>14</v>
      </c>
      <c r="B260" s="74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2.1000000000000001E-2</v>
      </c>
      <c r="I260" s="27">
        <f>AVERAGE(F258:F260)</f>
        <v>5.6020000000000003</v>
      </c>
      <c r="J260" s="27">
        <f>AVERAGE(G258:G260)</f>
        <v>5.6666666666666671E-2</v>
      </c>
      <c r="L260">
        <f>+J260/I260</f>
        <v>1.011543496370344E-2</v>
      </c>
      <c r="M260">
        <f>+(L260-$L$931)/$L$932</f>
        <v>-0.40690129872305186</v>
      </c>
      <c r="N260">
        <f>+N257+M260</f>
        <v>-0.35668179284598217</v>
      </c>
      <c r="Z260">
        <f>+(I260-$F$931)/$F$932</f>
        <v>-0.10180060866398984</v>
      </c>
      <c r="AA260">
        <f>+AA257+Z260</f>
        <v>16.359487571356997</v>
      </c>
    </row>
    <row r="261" spans="1:27">
      <c r="A261" s="12">
        <v>5</v>
      </c>
      <c r="B261" s="75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0.19900000000000001</v>
      </c>
    </row>
    <row r="262" spans="1:27">
      <c r="A262" s="12">
        <v>7</v>
      </c>
      <c r="B262" s="75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4.8000000000000001E-2</v>
      </c>
    </row>
    <row r="263" spans="1:27">
      <c r="A263" s="12">
        <v>14</v>
      </c>
      <c r="B263" s="75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4.8000000000000001E-2</v>
      </c>
      <c r="I263" s="27">
        <f>AVERAGE(F261:F263)</f>
        <v>6.4036666666666671</v>
      </c>
      <c r="J263" s="27">
        <f>AVERAGE(G261:G263)</f>
        <v>9.8333333333333328E-2</v>
      </c>
      <c r="L263">
        <f>+J263/I263</f>
        <v>1.5355785747748684E-2</v>
      </c>
      <c r="M263">
        <f>+(L263-$L$931)/$L$932</f>
        <v>-0.20259711483814749</v>
      </c>
      <c r="N263">
        <f>+N260+M263</f>
        <v>-0.55927890768412969</v>
      </c>
      <c r="Z263">
        <f>+(I263-$F$931)/$F$932</f>
        <v>7.9585886779863189E-3</v>
      </c>
      <c r="AA263">
        <f>+AA260+Z263</f>
        <v>16.367446160034984</v>
      </c>
    </row>
    <row r="264" spans="1:27">
      <c r="A264" s="15">
        <v>5</v>
      </c>
      <c r="B264" s="75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0.106</v>
      </c>
    </row>
    <row r="265" spans="1:27">
      <c r="A265" s="15">
        <v>7</v>
      </c>
      <c r="B265" s="75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1.0999999999999999E-2</v>
      </c>
    </row>
    <row r="266" spans="1:27">
      <c r="A266" s="15">
        <v>14</v>
      </c>
      <c r="B266" s="75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1.2999999999999999E-2</v>
      </c>
      <c r="I266" s="27">
        <f>AVERAGE(F264:F266)</f>
        <v>4.6513333333333335</v>
      </c>
      <c r="J266" s="27">
        <f>AVERAGE(G264:G266)</f>
        <v>4.3333333333333335E-2</v>
      </c>
      <c r="L266">
        <f>+J266/I266</f>
        <v>9.3163250680808364E-3</v>
      </c>
      <c r="M266">
        <f>+(L266-$L$931)/$L$932</f>
        <v>-0.43805598698487441</v>
      </c>
      <c r="N266">
        <f>+N263+M266</f>
        <v>-0.99733489466900416</v>
      </c>
      <c r="Z266">
        <f>+(I266-$F$931)/$F$932</f>
        <v>-0.23195995619800897</v>
      </c>
      <c r="AA266">
        <f>+AA263+Z266</f>
        <v>16.135486203836976</v>
      </c>
    </row>
    <row r="267" spans="1:27">
      <c r="A267" s="15">
        <v>5</v>
      </c>
      <c r="B267" s="75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5.6000000000000001E-2</v>
      </c>
    </row>
    <row r="268" spans="1:27">
      <c r="A268" s="15">
        <v>7</v>
      </c>
      <c r="B268" s="75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3.5999999999999997E-2</v>
      </c>
    </row>
    <row r="269" spans="1:27">
      <c r="A269" s="15">
        <v>14</v>
      </c>
      <c r="B269" s="75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2.4E-2</v>
      </c>
      <c r="I269" s="27">
        <f>AVERAGE(F267:F269)</f>
        <v>6.5593333333333321</v>
      </c>
      <c r="J269" s="27">
        <f>AVERAGE(G267:G269)</f>
        <v>3.8666666666666662E-2</v>
      </c>
      <c r="L269">
        <f>+J269/I269</f>
        <v>5.8949080191076329E-3</v>
      </c>
      <c r="M269">
        <f>+(L269-$L$931)/$L$932</f>
        <v>-0.57144587760986298</v>
      </c>
      <c r="N269">
        <f>+N266+M269</f>
        <v>-1.5687807722788671</v>
      </c>
      <c r="Z269">
        <f>+(I269-$F$931)/$F$932</f>
        <v>2.9271497267883338E-2</v>
      </c>
      <c r="AA269">
        <f>+AA266+Z269</f>
        <v>16.164757701104858</v>
      </c>
    </row>
    <row r="270" spans="1:27">
      <c r="A270" s="15">
        <v>5</v>
      </c>
      <c r="B270" s="75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2.1999999999999999E-2</v>
      </c>
    </row>
    <row r="271" spans="1:27">
      <c r="A271" s="15">
        <v>7</v>
      </c>
      <c r="B271" s="75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4.7E-2</v>
      </c>
    </row>
    <row r="272" spans="1:27">
      <c r="A272" s="15">
        <v>14</v>
      </c>
      <c r="B272" s="75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0.03</v>
      </c>
      <c r="I272" s="27">
        <f>AVERAGE(F270:F272)</f>
        <v>2.6906666666666665</v>
      </c>
      <c r="J272" s="27">
        <f>AVERAGE(G270:G272)</f>
        <v>3.3000000000000002E-2</v>
      </c>
      <c r="L272">
        <f>+J272/I272</f>
        <v>1.2264618434093162E-2</v>
      </c>
      <c r="M272">
        <f>+(L272-$L$931)/$L$932</f>
        <v>-0.32311164550484706</v>
      </c>
      <c r="N272">
        <f>+N269+M272</f>
        <v>-1.8918924177837142</v>
      </c>
      <c r="Z272">
        <f>+(I272-$F$931)/$F$932</f>
        <v>-0.50040220100695021</v>
      </c>
      <c r="AA272">
        <f>+AA269+Z272</f>
        <v>15.664355500097907</v>
      </c>
    </row>
    <row r="273" spans="1:27">
      <c r="A273" s="15">
        <v>5</v>
      </c>
      <c r="B273" s="75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1.2999999999999999E-2</v>
      </c>
    </row>
    <row r="274" spans="1:27">
      <c r="A274" s="15">
        <v>7</v>
      </c>
      <c r="B274" s="75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7.0000000000000001E-3</v>
      </c>
    </row>
    <row r="275" spans="1:27">
      <c r="A275" s="15">
        <v>14</v>
      </c>
      <c r="B275" s="75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7.0000000000000001E-3</v>
      </c>
      <c r="I275" s="27">
        <f>AVERAGE(F273:F275)</f>
        <v>3.5393333333333334</v>
      </c>
      <c r="J275" s="27">
        <f>AVERAGE(G273:G275)</f>
        <v>8.9999999999999993E-3</v>
      </c>
      <c r="L275">
        <f>+J275/I275</f>
        <v>2.5428517611602937E-3</v>
      </c>
      <c r="M275">
        <f>+(L275-$L$931)/$L$932</f>
        <v>-0.70213161723654527</v>
      </c>
      <c r="N275">
        <f>+N272+M275</f>
        <v>-2.5940240350202597</v>
      </c>
      <c r="Z275">
        <f>+(I275-$F$931)/$F$932</f>
        <v>-0.38420805696010146</v>
      </c>
      <c r="AA275">
        <f>+AA272+Z275</f>
        <v>15.280147443137805</v>
      </c>
    </row>
    <row r="276" spans="1:27">
      <c r="A276" s="15">
        <v>5</v>
      </c>
      <c r="B276" s="75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0.113</v>
      </c>
    </row>
    <row r="277" spans="1:27">
      <c r="A277" s="15">
        <v>7</v>
      </c>
      <c r="B277" s="75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0.14899999999999999</v>
      </c>
    </row>
    <row r="278" spans="1:27">
      <c r="A278" s="15">
        <v>14</v>
      </c>
      <c r="B278" s="75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0.14000000000000001</v>
      </c>
      <c r="I278" s="27">
        <f>AVERAGE(F276:F278)</f>
        <v>11.448666666666666</v>
      </c>
      <c r="J278" s="27">
        <f>AVERAGE(G276:G278)</f>
        <v>0.13400000000000001</v>
      </c>
      <c r="L278">
        <f>+J278/I278</f>
        <v>1.1704419728643802E-2</v>
      </c>
      <c r="M278">
        <f>+(L278-$L$931)/$L$932</f>
        <v>-0.34495196575185577</v>
      </c>
      <c r="N278">
        <f>+N275+M278</f>
        <v>-2.9389760007721155</v>
      </c>
      <c r="Z278">
        <f>+(I278-$F$931)/$F$932</f>
        <v>0.69868850625420609</v>
      </c>
      <c r="AA278">
        <f>+AA275+Z278</f>
        <v>15.97883594939201</v>
      </c>
    </row>
    <row r="279" spans="1:27">
      <c r="A279" s="15">
        <v>5</v>
      </c>
      <c r="B279" s="75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0.51900000000000002</v>
      </c>
    </row>
    <row r="280" spans="1:27">
      <c r="A280" s="15">
        <v>7</v>
      </c>
      <c r="B280" s="75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1.1080000000000001</v>
      </c>
    </row>
    <row r="281" spans="1:27">
      <c r="A281" s="15">
        <v>14</v>
      </c>
      <c r="B281" s="75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0.624</v>
      </c>
      <c r="I281" s="27">
        <f>AVERAGE(F279:F281)</f>
        <v>31.111666666666668</v>
      </c>
      <c r="J281" s="27">
        <f>AVERAGE(G279:G281)</f>
        <v>0.75033333333333341</v>
      </c>
      <c r="L281">
        <f>+J281/I281</f>
        <v>2.4117426474527241E-2</v>
      </c>
      <c r="M281">
        <f>+(L281-$L$931)/$L$932</f>
        <v>0.13899067803006712</v>
      </c>
      <c r="N281">
        <f>+N278+M281</f>
        <v>-2.7999853227420486</v>
      </c>
      <c r="Z281">
        <f>+(I281-$F$931)/$F$932</f>
        <v>3.3908237628054869</v>
      </c>
      <c r="AA281">
        <f>+AA278+Z281</f>
        <v>19.369659712197496</v>
      </c>
    </row>
    <row r="282" spans="1:27">
      <c r="A282" s="15">
        <v>5</v>
      </c>
      <c r="B282" s="75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2.4990000000000001</v>
      </c>
    </row>
    <row r="283" spans="1:27">
      <c r="A283" s="15">
        <v>7</v>
      </c>
      <c r="B283" s="75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1.536</v>
      </c>
    </row>
    <row r="284" spans="1:27">
      <c r="A284" s="15">
        <v>14</v>
      </c>
      <c r="B284" s="75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0.85599999999999998</v>
      </c>
      <c r="I284" s="27">
        <f>AVERAGE(F282:F284)</f>
        <v>17.929000000000002</v>
      </c>
      <c r="J284" s="27">
        <f>AVERAGE(G282:G284)</f>
        <v>1.6303333333333334</v>
      </c>
      <c r="L284">
        <f>+J284/I284</f>
        <v>9.0932753267518165E-2</v>
      </c>
      <c r="M284">
        <f>+(L284-$L$931)/$L$932</f>
        <v>2.7439023287932036</v>
      </c>
      <c r="N284">
        <f>+N281+M284</f>
        <v>-5.6082993948844972E-2</v>
      </c>
      <c r="Z284">
        <f>+(I284-$F$931)/$F$932</f>
        <v>1.585935306888451</v>
      </c>
      <c r="AA284">
        <f>+AA281+Z284</f>
        <v>20.955595019085948</v>
      </c>
    </row>
    <row r="285" spans="1:27">
      <c r="A285" s="15">
        <v>5</v>
      </c>
      <c r="B285" s="75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2.9750000000000001</v>
      </c>
    </row>
    <row r="286" spans="1:27">
      <c r="A286" s="15">
        <v>7</v>
      </c>
      <c r="B286" s="75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1.4239999999999999</v>
      </c>
    </row>
    <row r="287" spans="1:27">
      <c r="A287" s="15">
        <v>14</v>
      </c>
      <c r="B287" s="75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0.52300000000000002</v>
      </c>
      <c r="I287" s="27">
        <f>AVERAGE(F285:F287)</f>
        <v>20.196666666666669</v>
      </c>
      <c r="J287" s="27">
        <f>AVERAGE(G285:G287)</f>
        <v>1.6406666666666665</v>
      </c>
      <c r="L287">
        <f>+J287/I287</f>
        <v>8.1234527149694646E-2</v>
      </c>
      <c r="M287">
        <f>+(L287-$L$931)/$L$932</f>
        <v>2.365800126519698</v>
      </c>
      <c r="N287">
        <f>+N284+M287</f>
        <v>2.309717132570853</v>
      </c>
      <c r="Z287">
        <f>+(I287-$F$931)/$F$932</f>
        <v>1.8964100759185816</v>
      </c>
      <c r="AA287">
        <f>+AA284+Z287</f>
        <v>22.852005095004529</v>
      </c>
    </row>
    <row r="288" spans="1:27">
      <c r="A288" s="15">
        <v>5</v>
      </c>
      <c r="B288" s="75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0.93899999999999995</v>
      </c>
    </row>
    <row r="289" spans="1:27">
      <c r="A289" s="15">
        <v>7</v>
      </c>
      <c r="B289" s="75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0.66400000000000003</v>
      </c>
    </row>
    <row r="290" spans="1:27">
      <c r="A290" s="15">
        <v>14</v>
      </c>
      <c r="B290" s="75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0.22800000000000001</v>
      </c>
      <c r="I290" s="27">
        <f>AVERAGE(F288:F290)</f>
        <v>21.102999999999998</v>
      </c>
      <c r="J290" s="27">
        <f>AVERAGE(G288:G290)</f>
        <v>0.61033333333333328</v>
      </c>
      <c r="L290">
        <f>+J290/I290</f>
        <v>2.8921638313667883E-2</v>
      </c>
      <c r="M290">
        <f>+(L290-$L$931)/$L$932</f>
        <v>0.32629122706853197</v>
      </c>
      <c r="N290">
        <f>+N287+M290</f>
        <v>2.6360083596393848</v>
      </c>
      <c r="Z290">
        <f>+(I290-$F$931)/$F$932</f>
        <v>2.0204995801068693</v>
      </c>
      <c r="AA290">
        <f>+AA287+Z290</f>
        <v>24.872504675111397</v>
      </c>
    </row>
    <row r="291" spans="1:27">
      <c r="A291" s="15">
        <v>5</v>
      </c>
      <c r="B291" s="75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0.39</v>
      </c>
    </row>
    <row r="292" spans="1:27">
      <c r="A292" s="15">
        <v>7</v>
      </c>
      <c r="B292" s="75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3.7999999999999999E-2</v>
      </c>
    </row>
    <row r="293" spans="1:27">
      <c r="A293" s="15">
        <v>14</v>
      </c>
      <c r="B293" s="75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2.1000000000000001E-2</v>
      </c>
      <c r="I293" s="27">
        <f>AVERAGE(F291:F293)</f>
        <v>4.5990000000000002</v>
      </c>
      <c r="J293" s="27">
        <f>AVERAGE(G291:G293)</f>
        <v>0.14966666666666667</v>
      </c>
      <c r="L293">
        <f>+J293/I293</f>
        <v>3.2543306515909254E-2</v>
      </c>
      <c r="M293">
        <f>+(L293-$L$931)/$L$932</f>
        <v>0.46748825697225449</v>
      </c>
      <c r="N293">
        <f>+N290+M293</f>
        <v>3.1034966166116393</v>
      </c>
      <c r="Z293">
        <f>+(I293-$F$931)/$F$932</f>
        <v>-0.23912510962116498</v>
      </c>
      <c r="AA293">
        <f>+AA290+Z293</f>
        <v>24.633379565490234</v>
      </c>
    </row>
    <row r="294" spans="1:27">
      <c r="A294" s="15">
        <v>5</v>
      </c>
      <c r="B294" s="75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7.6999999999999999E-2</v>
      </c>
    </row>
    <row r="295" spans="1:27">
      <c r="A295" s="15">
        <v>7</v>
      </c>
      <c r="B295" s="75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0.01</v>
      </c>
    </row>
    <row r="296" spans="1:27">
      <c r="A296" s="15">
        <v>14</v>
      </c>
      <c r="B296" s="75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8.0000000000000002E-3</v>
      </c>
      <c r="I296" s="27">
        <f>AVERAGE(F294:F296)</f>
        <v>3.9233333333333333</v>
      </c>
      <c r="J296" s="27">
        <f>AVERAGE(G294:G296)</f>
        <v>3.1666666666666669E-2</v>
      </c>
      <c r="L296">
        <f>+J296/I296</f>
        <v>8.0713678844519972E-3</v>
      </c>
      <c r="M296">
        <f>+(L296-$L$931)/$L$932</f>
        <v>-0.48659280672360872</v>
      </c>
      <c r="N296">
        <f>+N293+M296</f>
        <v>2.6169038098880306</v>
      </c>
      <c r="Z296">
        <f>+(I296-$F$931)/$F$932</f>
        <v>-0.33163317324369546</v>
      </c>
      <c r="AA296">
        <f>+AA293+Z296</f>
        <v>24.301746392246539</v>
      </c>
    </row>
    <row r="297" spans="1:27">
      <c r="A297" s="15">
        <v>5</v>
      </c>
      <c r="B297" s="75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1.6E-2</v>
      </c>
    </row>
    <row r="298" spans="1:27">
      <c r="A298" s="15">
        <v>7</v>
      </c>
      <c r="B298" s="75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1.2E-2</v>
      </c>
    </row>
    <row r="299" spans="1:27">
      <c r="A299" s="15">
        <v>14</v>
      </c>
      <c r="B299" s="75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8.9999999999999993E-3</v>
      </c>
      <c r="I299" s="27">
        <f>AVERAGE(F297:F299)</f>
        <v>2.4013333333333331</v>
      </c>
      <c r="J299" s="27">
        <f>AVERAGE(G297:G299)</f>
        <v>1.2333333333333333E-2</v>
      </c>
      <c r="L299">
        <f>+J299/I299</f>
        <v>5.1360355358134376E-3</v>
      </c>
      <c r="M299">
        <f>+(L299-$L$931)/$L$932</f>
        <v>-0.60103184041299595</v>
      </c>
      <c r="N299">
        <f>+N296+M299</f>
        <v>2.0158719694750347</v>
      </c>
      <c r="Z299">
        <f>+(I299-$F$931)/$F$932</f>
        <v>-0.54001591547382566</v>
      </c>
      <c r="AA299">
        <f>+AA296+Z299</f>
        <v>23.761730476772712</v>
      </c>
    </row>
    <row r="300" spans="1:27">
      <c r="A300" s="15">
        <v>5</v>
      </c>
      <c r="B300" s="75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9.1999999999999998E-2</v>
      </c>
    </row>
    <row r="301" spans="1:27">
      <c r="A301" s="15">
        <v>7</v>
      </c>
      <c r="B301" s="75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1.7999999999999999E-2</v>
      </c>
    </row>
    <row r="302" spans="1:27">
      <c r="A302" s="15">
        <v>14</v>
      </c>
      <c r="B302" s="75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2.5999999999999999E-2</v>
      </c>
      <c r="I302" s="27">
        <f>AVERAGE(F300:F302)</f>
        <v>2.5076666666666667</v>
      </c>
      <c r="J302" s="27">
        <f>AVERAGE(G300:G302)</f>
        <v>4.5333333333333337E-2</v>
      </c>
      <c r="L302">
        <f>+J302/I302</f>
        <v>1.807789445699854E-2</v>
      </c>
      <c r="M302">
        <f>+(L302-$L$931)/$L$932</f>
        <v>-9.6470975347161758E-2</v>
      </c>
      <c r="N302">
        <f>+N299+M302</f>
        <v>1.9194009941278729</v>
      </c>
      <c r="Z302">
        <f>+(I302-$F$931)/$F$932</f>
        <v>-0.52545741902804999</v>
      </c>
      <c r="AA302">
        <f>+AA299+Z302</f>
        <v>23.236273057744661</v>
      </c>
    </row>
    <row r="303" spans="1:27">
      <c r="A303" s="15">
        <v>5</v>
      </c>
      <c r="B303" s="75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6.8000000000000005E-2</v>
      </c>
    </row>
    <row r="304" spans="1:27">
      <c r="A304" s="15">
        <v>7</v>
      </c>
      <c r="B304" s="75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1.2999999999999999E-2</v>
      </c>
    </row>
    <row r="305" spans="1:27">
      <c r="A305" s="15">
        <v>14</v>
      </c>
      <c r="B305" s="75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1.4999999999999999E-2</v>
      </c>
      <c r="I305" s="27">
        <f>AVERAGE(F303:F305)</f>
        <v>2.734666666666667</v>
      </c>
      <c r="J305" s="27">
        <f>AVERAGE(G303:G305)</f>
        <v>3.2000000000000001E-2</v>
      </c>
      <c r="L305">
        <f>+J305/I305</f>
        <v>1.1701608971233544E-2</v>
      </c>
      <c r="M305">
        <f>+(L305-$L$931)/$L$932</f>
        <v>-0.34506154801504119</v>
      </c>
      <c r="N305">
        <f>+N302+M305</f>
        <v>1.5743394461128317</v>
      </c>
      <c r="Z305">
        <f>+(I305-$F$931)/$F$932</f>
        <v>-0.49437799558111201</v>
      </c>
      <c r="AA305">
        <f>+AA302+Z305</f>
        <v>22.74189506216355</v>
      </c>
    </row>
    <row r="306" spans="1:27">
      <c r="A306" s="15">
        <v>5</v>
      </c>
      <c r="B306" s="75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2.9000000000000001E-2</v>
      </c>
    </row>
    <row r="307" spans="1:27">
      <c r="A307" s="15">
        <v>7</v>
      </c>
      <c r="B307" s="75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2.7E-2</v>
      </c>
    </row>
    <row r="308" spans="1:27">
      <c r="A308" s="15">
        <v>14</v>
      </c>
      <c r="B308" s="75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0.01</v>
      </c>
      <c r="I308" s="27">
        <f>AVERAGE(F306:F308)</f>
        <v>1.9829999999999999</v>
      </c>
      <c r="J308" s="27">
        <f>AVERAGE(G306:G308)</f>
        <v>2.2000000000000002E-2</v>
      </c>
      <c r="L308">
        <f>+J308/I308</f>
        <v>1.109430156328795E-2</v>
      </c>
      <c r="M308">
        <f>+(L308-$L$931)/$L$932</f>
        <v>-0.36873848291133499</v>
      </c>
      <c r="N308">
        <f>+N305+M308</f>
        <v>1.2056009632014968</v>
      </c>
      <c r="Z308">
        <f>+(I308-$F$931)/$F$932</f>
        <v>-0.59729150493918115</v>
      </c>
      <c r="AA308">
        <f>+AA305+Z308</f>
        <v>22.144603557224368</v>
      </c>
    </row>
    <row r="309" spans="1:27">
      <c r="A309" s="15">
        <v>5</v>
      </c>
      <c r="B309" s="75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5.0999999999999997E-2</v>
      </c>
    </row>
    <row r="310" spans="1:27">
      <c r="A310" s="15">
        <v>7</v>
      </c>
      <c r="B310" s="75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2.1999999999999999E-2</v>
      </c>
    </row>
    <row r="311" spans="1:27">
      <c r="A311" s="15">
        <v>14</v>
      </c>
      <c r="B311" s="75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1.4E-2</v>
      </c>
      <c r="I311" s="27">
        <f>AVERAGE(F309:F311)</f>
        <v>3.7159999999999997</v>
      </c>
      <c r="J311" s="27">
        <f>AVERAGE(G309:G311)</f>
        <v>2.8999999999999998E-2</v>
      </c>
      <c r="L311">
        <f>+J311/I311</f>
        <v>7.8040904198062432E-3</v>
      </c>
      <c r="M311">
        <f>+(L311-$L$931)/$L$932</f>
        <v>-0.49701308325386123</v>
      </c>
      <c r="N311">
        <f>+N308+M311</f>
        <v>0.7085878799476355</v>
      </c>
      <c r="Z311">
        <f>+(I311-$F$931)/$F$932</f>
        <v>-0.3600199594169633</v>
      </c>
      <c r="AA311">
        <f>+AA308+Z311</f>
        <v>21.784583597807405</v>
      </c>
    </row>
    <row r="312" spans="1:27">
      <c r="A312" s="15">
        <v>5</v>
      </c>
      <c r="B312" s="75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4.3999999999999997E-2</v>
      </c>
    </row>
    <row r="313" spans="1:27">
      <c r="A313" s="15">
        <v>7</v>
      </c>
      <c r="B313" s="75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1.2999999999999999E-2</v>
      </c>
    </row>
    <row r="314" spans="1:27">
      <c r="A314" s="15">
        <v>14</v>
      </c>
      <c r="B314" s="75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1.2E-2</v>
      </c>
      <c r="I314" s="27">
        <f>AVERAGE(F312:F314)</f>
        <v>4.0766666666666671</v>
      </c>
      <c r="J314" s="27">
        <f>AVERAGE(G312:G314)</f>
        <v>2.2999999999999996E-2</v>
      </c>
      <c r="L314">
        <f>+J314/I314</f>
        <v>5.6418642681929669E-3</v>
      </c>
      <c r="M314">
        <f>+(L314-$L$931)/$L$932</f>
        <v>-0.58131122806983504</v>
      </c>
      <c r="N314">
        <f>+N311+M314</f>
        <v>0.12727665187780046</v>
      </c>
      <c r="Z314">
        <f>+(I314-$F$931)/$F$932</f>
        <v>-0.31063973009304713</v>
      </c>
      <c r="AA314">
        <f>+AA311+Z314</f>
        <v>21.473943867714357</v>
      </c>
    </row>
    <row r="315" spans="1:27">
      <c r="A315" s="15">
        <v>5</v>
      </c>
      <c r="B315" s="75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0.63400000000000001</v>
      </c>
    </row>
    <row r="316" spans="1:27">
      <c r="A316" s="15">
        <v>7</v>
      </c>
      <c r="B316" s="75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0.33500000000000002</v>
      </c>
    </row>
    <row r="317" spans="1:27">
      <c r="A317" s="15">
        <v>14</v>
      </c>
      <c r="B317" s="75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0.252</v>
      </c>
      <c r="I317" s="27">
        <f>AVERAGE(F315:F317)</f>
        <v>14.377666666666665</v>
      </c>
      <c r="J317" s="27">
        <f>AVERAGE(G315:G317)</f>
        <v>0.40700000000000003</v>
      </c>
      <c r="L317">
        <f>+J317/I317</f>
        <v>2.8307792177682988E-2</v>
      </c>
      <c r="M317">
        <f>+(L317-$L$931)/$L$932</f>
        <v>0.30235936849426959</v>
      </c>
      <c r="N317">
        <f>+N314+M317</f>
        <v>0.42963602037207005</v>
      </c>
      <c r="Z317">
        <f>+(I317-$F$931)/$F$932</f>
        <v>1.0997089083514802</v>
      </c>
      <c r="AA317">
        <f>+AA314+Z317</f>
        <v>22.573652776065838</v>
      </c>
    </row>
    <row r="318" spans="1:27">
      <c r="A318" s="15">
        <v>5</v>
      </c>
      <c r="B318" s="75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1.526</v>
      </c>
    </row>
    <row r="319" spans="1:27">
      <c r="A319" s="15">
        <v>7</v>
      </c>
      <c r="B319" s="75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0.66200000000000003</v>
      </c>
    </row>
    <row r="320" spans="1:27">
      <c r="A320" s="15">
        <v>14</v>
      </c>
      <c r="B320" s="75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0.151</v>
      </c>
      <c r="I320" s="27">
        <f>AVERAGE(F318:F320)</f>
        <v>21.003</v>
      </c>
      <c r="J320" s="27">
        <f>AVERAGE(G318:G320)</f>
        <v>0.77966666666666662</v>
      </c>
      <c r="L320">
        <f>+J320/I320</f>
        <v>3.7121681029694167E-2</v>
      </c>
      <c r="M320">
        <f>+(L320-$L$931)/$L$932</f>
        <v>0.64598414534028714</v>
      </c>
      <c r="N320">
        <f>+N317+M320</f>
        <v>1.0756201657123572</v>
      </c>
      <c r="Z320">
        <f>+(I320-$F$931)/$F$932</f>
        <v>2.0068082041390554</v>
      </c>
      <c r="AA320">
        <f>+AA317+Z320</f>
        <v>24.580460980204894</v>
      </c>
    </row>
    <row r="321" spans="1:27">
      <c r="A321" s="15">
        <v>5</v>
      </c>
      <c r="B321" s="75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1.61</v>
      </c>
    </row>
    <row r="322" spans="1:27">
      <c r="A322" s="15">
        <v>7</v>
      </c>
      <c r="B322" s="75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0.30499999999999999</v>
      </c>
    </row>
    <row r="323" spans="1:27">
      <c r="A323" s="15">
        <v>14</v>
      </c>
      <c r="B323" s="75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0.106</v>
      </c>
      <c r="I323" s="27">
        <f>AVERAGE(F321:F323)</f>
        <v>25.507333333333332</v>
      </c>
      <c r="J323" s="27">
        <f>AVERAGE(G321:G323)</f>
        <v>0.67366666666666664</v>
      </c>
      <c r="L323">
        <f>+J323/I323</f>
        <v>2.6410705418049713E-2</v>
      </c>
      <c r="M323">
        <f>+(L323-$L$931)/$L$932</f>
        <v>0.22839814372936124</v>
      </c>
      <c r="N323">
        <f>+N320+M323</f>
        <v>1.3040183094417184</v>
      </c>
      <c r="Z323">
        <f>+(I323-$F$931)/$F$932</f>
        <v>2.6235134156492932</v>
      </c>
      <c r="AA323">
        <f>+AA320+Z323</f>
        <v>27.203974395854186</v>
      </c>
    </row>
    <row r="324" spans="1:27">
      <c r="A324" s="15">
        <v>5</v>
      </c>
      <c r="B324" s="75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1.0469999999999999</v>
      </c>
    </row>
    <row r="325" spans="1:27">
      <c r="A325" s="15">
        <v>7</v>
      </c>
      <c r="B325" s="75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0.33800000000000002</v>
      </c>
    </row>
    <row r="326" spans="1:27">
      <c r="A326" s="15">
        <v>14</v>
      </c>
      <c r="B326" s="75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0.03</v>
      </c>
      <c r="I326" s="27">
        <f>AVERAGE(F324:F326)</f>
        <v>15.575333333333333</v>
      </c>
      <c r="J326" s="27">
        <f>AVERAGE(G324:G326)</f>
        <v>0.47166666666666668</v>
      </c>
      <c r="L326">
        <f>+J326/I326</f>
        <v>3.0282925994093227E-2</v>
      </c>
      <c r="M326">
        <f>+(L326-$L$931)/$L$932</f>
        <v>0.37936339342591169</v>
      </c>
      <c r="N326">
        <f>+N323+M326</f>
        <v>1.6833817028676301</v>
      </c>
      <c r="Z326">
        <f>+(I326-$F$931)/$F$932</f>
        <v>1.2636859545260002</v>
      </c>
      <c r="AA326">
        <f>+AA323+Z326</f>
        <v>28.467660350380186</v>
      </c>
    </row>
    <row r="327" spans="1:27">
      <c r="A327" s="15">
        <v>5</v>
      </c>
      <c r="B327" s="75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0.77300000000000002</v>
      </c>
    </row>
    <row r="328" spans="1:27">
      <c r="A328" s="15">
        <v>7</v>
      </c>
      <c r="B328" s="75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1.002</v>
      </c>
    </row>
    <row r="329" spans="1:27">
      <c r="A329" s="15">
        <v>14</v>
      </c>
      <c r="B329" s="75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7.2999999999999995E-2</v>
      </c>
      <c r="I329" s="27">
        <f>AVERAGE(F327:F329)</f>
        <v>10.895333333333333</v>
      </c>
      <c r="J329" s="27">
        <f>AVERAGE(G327:G329)</f>
        <v>0.61599999999999999</v>
      </c>
      <c r="L329">
        <f>+J329/I329</f>
        <v>5.6537967325460438E-2</v>
      </c>
      <c r="M329">
        <f>+(L329-$L$931)/$L$932</f>
        <v>1.4029618151958194</v>
      </c>
      <c r="N329">
        <f>+N326+M329</f>
        <v>3.0863435180634493</v>
      </c>
      <c r="Z329">
        <f>+(I329-$F$931)/$F$932</f>
        <v>0.62292955923230164</v>
      </c>
      <c r="AA329">
        <f>+AA326+Z329</f>
        <v>29.090589909612486</v>
      </c>
    </row>
    <row r="330" spans="1:27">
      <c r="A330" s="15">
        <v>5</v>
      </c>
      <c r="B330" s="75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2.8000000000000001E-2</v>
      </c>
    </row>
    <row r="331" spans="1:27">
      <c r="A331" s="15">
        <v>7</v>
      </c>
      <c r="B331" s="75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1.2999999999999999E-2</v>
      </c>
    </row>
    <row r="332" spans="1:27">
      <c r="A332" s="15">
        <v>14</v>
      </c>
      <c r="B332" s="75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6.0000000000000001E-3</v>
      </c>
      <c r="I332" s="27">
        <f>AVERAGE(F330:F332)</f>
        <v>2.5489999999999999</v>
      </c>
      <c r="J332" s="27">
        <f>AVERAGE(G330:G332)</f>
        <v>1.5666666666666666E-2</v>
      </c>
      <c r="L332">
        <f>+J332/I332</f>
        <v>6.1462011246240355E-3</v>
      </c>
      <c r="M332">
        <f>+(L332-$L$931)/$L$932</f>
        <v>-0.56164877910364419</v>
      </c>
      <c r="N332">
        <f>+N329+M332</f>
        <v>2.5246947389598051</v>
      </c>
      <c r="Z332">
        <f>+(I332-$F$931)/$F$932</f>
        <v>-0.51979831696135348</v>
      </c>
      <c r="AA332">
        <f>+AA329+Z332</f>
        <v>28.570791592651133</v>
      </c>
    </row>
    <row r="333" spans="1:27">
      <c r="A333" s="15">
        <v>5</v>
      </c>
      <c r="B333" s="75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2.7E-2</v>
      </c>
    </row>
    <row r="334" spans="1:27">
      <c r="A334" s="15">
        <v>7</v>
      </c>
      <c r="B334" s="75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6.0000000000000001E-3</v>
      </c>
    </row>
    <row r="335" spans="1:27">
      <c r="A335" s="15">
        <v>14</v>
      </c>
      <c r="B335" s="75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6.0000000000000001E-3</v>
      </c>
      <c r="I335" s="27">
        <f>AVERAGE(F333:F335)</f>
        <v>3.0293333333333332</v>
      </c>
      <c r="J335" s="27">
        <f>AVERAGE(G333:G335)</f>
        <v>1.2999999999999999E-2</v>
      </c>
      <c r="L335">
        <f>+J335/I335</f>
        <v>4.2913732394366201E-3</v>
      </c>
      <c r="M335">
        <f>+(L335-$L$931)/$L$932</f>
        <v>-0.63396246819558921</v>
      </c>
      <c r="N335">
        <f>+N332+M335</f>
        <v>1.8907322707642158</v>
      </c>
      <c r="Z335">
        <f>+(I335-$F$931)/$F$932</f>
        <v>-0.45403407439595322</v>
      </c>
      <c r="AA335">
        <f>+AA332+Z335</f>
        <v>28.116757518255181</v>
      </c>
    </row>
    <row r="336" spans="1:27">
      <c r="A336" s="15">
        <v>5</v>
      </c>
      <c r="B336" s="75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4.2999999999999997E-2</v>
      </c>
    </row>
    <row r="337" spans="1:27">
      <c r="A337" s="15">
        <v>7</v>
      </c>
      <c r="B337" s="75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1.2999999999999999E-2</v>
      </c>
    </row>
    <row r="338" spans="1:27">
      <c r="A338" s="15">
        <v>14</v>
      </c>
      <c r="B338" s="75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8.9999999999999993E-3</v>
      </c>
      <c r="I338" s="27">
        <f>AVERAGE(F336:F338)</f>
        <v>4.1296666666666662</v>
      </c>
      <c r="J338" s="27">
        <f>AVERAGE(G336:G338)</f>
        <v>2.1666666666666664E-2</v>
      </c>
      <c r="L338">
        <f>+J338/I338</f>
        <v>5.246589716684155E-3</v>
      </c>
      <c r="M338">
        <f>+(L338-$L$931)/$L$932</f>
        <v>-0.59672169351087945</v>
      </c>
      <c r="N338">
        <f>+N335+M338</f>
        <v>1.2940105772533363</v>
      </c>
      <c r="Z338">
        <f>+(I338-$F$931)/$F$932</f>
        <v>-0.30338330083010578</v>
      </c>
      <c r="AA338">
        <f>+AA335+Z338</f>
        <v>27.813374217425075</v>
      </c>
    </row>
    <row r="339" spans="1:27">
      <c r="A339" s="12">
        <v>5</v>
      </c>
      <c r="B339" s="75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0.02</v>
      </c>
    </row>
    <row r="340" spans="1:27">
      <c r="A340" s="12">
        <v>7</v>
      </c>
      <c r="B340" s="75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1.9E-2</v>
      </c>
    </row>
    <row r="341" spans="1:27">
      <c r="A341" s="12">
        <v>14</v>
      </c>
      <c r="B341" s="75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1.0999999999999999E-2</v>
      </c>
      <c r="I341" s="27">
        <f>AVERAGE(F339:F341)</f>
        <v>3.9983333333333335</v>
      </c>
      <c r="J341" s="27">
        <f>AVERAGE(G339:G341)</f>
        <v>1.6666666666666666E-2</v>
      </c>
      <c r="L341">
        <f>+J341/I341</f>
        <v>4.1684035014589406E-3</v>
      </c>
      <c r="M341">
        <f>+(L341-$L$931)/$L$932</f>
        <v>-0.63875665717174712</v>
      </c>
      <c r="N341">
        <f>+N338+M341</f>
        <v>0.65525392008158923</v>
      </c>
      <c r="Z341">
        <f>+(I341-$F$931)/$F$932</f>
        <v>-0.32136464126783487</v>
      </c>
      <c r="AA341">
        <f>+AA338+Z341</f>
        <v>27.492009576157241</v>
      </c>
    </row>
    <row r="342" spans="1:27">
      <c r="A342" s="12">
        <v>5</v>
      </c>
      <c r="B342" s="75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4.7E-2</v>
      </c>
    </row>
    <row r="343" spans="1:27">
      <c r="A343" s="12">
        <v>7</v>
      </c>
      <c r="B343" s="75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3.9E-2</v>
      </c>
    </row>
    <row r="344" spans="1:27">
      <c r="A344" s="12">
        <v>14</v>
      </c>
      <c r="B344" s="75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0.01</v>
      </c>
      <c r="I344" s="27">
        <f>AVERAGE(F342:F344)</f>
        <v>4.4609999999999994</v>
      </c>
      <c r="J344" s="27">
        <f>AVERAGE(G342:G344)</f>
        <v>3.1999999999999994E-2</v>
      </c>
      <c r="L344">
        <f>+J344/I344</f>
        <v>7.1732795337368302E-3</v>
      </c>
      <c r="M344">
        <f>+(L344-$L$931)/$L$932</f>
        <v>-0.52160634209762113</v>
      </c>
      <c r="N344">
        <f>+N341+M344</f>
        <v>0.13364757798396809</v>
      </c>
      <c r="Z344">
        <f>+(I344-$F$931)/$F$932</f>
        <v>-0.25801920845674853</v>
      </c>
      <c r="AA344">
        <f>+AA341+Z344</f>
        <v>27.233990367700493</v>
      </c>
    </row>
    <row r="345" spans="1:27">
      <c r="A345" s="12">
        <v>5</v>
      </c>
      <c r="B345" s="75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0.02</v>
      </c>
    </row>
    <row r="346" spans="1:27">
      <c r="A346" s="12">
        <v>7</v>
      </c>
      <c r="B346" s="75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1.0999999999999999E-2</v>
      </c>
    </row>
    <row r="347" spans="1:27">
      <c r="A347" s="12">
        <v>14</v>
      </c>
      <c r="B347" s="75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1.4E-2</v>
      </c>
      <c r="I347" s="27">
        <f>AVERAGE(F345:F347)</f>
        <v>1.7963333333333333</v>
      </c>
      <c r="J347" s="27">
        <f>AVERAGE(G345:G347)</f>
        <v>1.4999999999999999E-2</v>
      </c>
      <c r="L347">
        <f>+J347/I347</f>
        <v>8.3503432918908879E-3</v>
      </c>
      <c r="M347">
        <f>+(L347-$L$931)/$L$932</f>
        <v>-0.47571646556066777</v>
      </c>
      <c r="N347">
        <f>+N344+M347</f>
        <v>-0.34206888757669968</v>
      </c>
      <c r="Z347">
        <f>+(I347-$F$931)/$F$932</f>
        <v>-0.62284874007910074</v>
      </c>
      <c r="AA347">
        <f>+AA344+Z347</f>
        <v>26.611141627621393</v>
      </c>
    </row>
    <row r="348" spans="1:27">
      <c r="A348" s="12">
        <v>5</v>
      </c>
      <c r="B348" s="75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2.8000000000000001E-2</v>
      </c>
    </row>
    <row r="349" spans="1:27">
      <c r="A349" s="12">
        <v>7</v>
      </c>
      <c r="B349" s="75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5.0000000000000001E-3</v>
      </c>
    </row>
    <row r="350" spans="1:27">
      <c r="A350" s="12">
        <v>14</v>
      </c>
      <c r="B350" s="75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9.9989999999999996E-4</v>
      </c>
      <c r="I350" s="27">
        <f>AVERAGE(F348:F350)</f>
        <v>2.0110000000000001</v>
      </c>
      <c r="J350" s="27">
        <f>AVERAGE(G348:G350)</f>
        <v>1.1333299999999999E-2</v>
      </c>
      <c r="L350">
        <f>+J350/I350</f>
        <v>5.6356539035305811E-3</v>
      </c>
      <c r="M350">
        <f>+(L350-$L$931)/$L$932</f>
        <v>-0.58155334993080654</v>
      </c>
      <c r="N350">
        <f>+N347+M350</f>
        <v>-0.92362223750750627</v>
      </c>
      <c r="Z350">
        <f>+(I350-$F$931)/$F$932</f>
        <v>-0.59345791966819317</v>
      </c>
      <c r="AA350">
        <f>+AA347+Z350</f>
        <v>26.0176837079532</v>
      </c>
    </row>
    <row r="351" spans="1:27">
      <c r="A351" s="15">
        <v>5</v>
      </c>
      <c r="B351" s="75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0.42499999999999999</v>
      </c>
    </row>
    <row r="352" spans="1:27">
      <c r="A352" s="15">
        <v>7</v>
      </c>
      <c r="B352" s="75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7.6999999999999999E-2</v>
      </c>
    </row>
    <row r="353" spans="1:27">
      <c r="A353" s="15">
        <v>14</v>
      </c>
      <c r="B353" s="75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7.0999999999999994E-2</v>
      </c>
      <c r="I353" s="27">
        <f>AVERAGE(F351:F353)</f>
        <v>10.795999999999999</v>
      </c>
      <c r="J353" s="27">
        <f>AVERAGE(G351:G353)</f>
        <v>0.19099999999999998</v>
      </c>
      <c r="L353">
        <f>+J353/I353</f>
        <v>1.769173768062245E-2</v>
      </c>
      <c r="M353">
        <f>+(L353-$L$931)/$L$932</f>
        <v>-0.11152596847650367</v>
      </c>
      <c r="N353">
        <f>+N350+M353</f>
        <v>-1.03514820598401</v>
      </c>
      <c r="Z353">
        <f>+(I353-$F$931)/$F$932</f>
        <v>0.60932945910427294</v>
      </c>
      <c r="AA353">
        <f>+AA350+Z353</f>
        <v>26.627013167057473</v>
      </c>
    </row>
    <row r="354" spans="1:27">
      <c r="A354" s="15">
        <v>5</v>
      </c>
      <c r="B354" s="75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2.4020000000000001</v>
      </c>
    </row>
    <row r="355" spans="1:27">
      <c r="A355" s="15">
        <v>7</v>
      </c>
      <c r="B355" s="75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0.114</v>
      </c>
    </row>
    <row r="356" spans="1:27">
      <c r="A356" s="15">
        <v>14</v>
      </c>
      <c r="B356" s="75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8.4000000000000005E-2</v>
      </c>
      <c r="I356" s="27">
        <f>AVERAGE(F354:F356)</f>
        <v>9.3033333333333328</v>
      </c>
      <c r="J356" s="27">
        <f>AVERAGE(G354:G356)</f>
        <v>0.8666666666666667</v>
      </c>
      <c r="L356">
        <f>+J356/I356</f>
        <v>9.3156574704407025E-2</v>
      </c>
      <c r="M356">
        <f>+(L356-$L$931)/$L$932</f>
        <v>2.8306018728681157</v>
      </c>
      <c r="N356">
        <f>+N353+M356</f>
        <v>1.7954536668841057</v>
      </c>
      <c r="Z356">
        <f>+(I356-$F$931)/$F$932</f>
        <v>0.40496285382470154</v>
      </c>
      <c r="AA356">
        <f>+AA353+Z356</f>
        <v>27.031976020882176</v>
      </c>
    </row>
    <row r="357" spans="1:27">
      <c r="A357" s="15">
        <v>5</v>
      </c>
      <c r="B357" s="75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1.3779999999999999</v>
      </c>
    </row>
    <row r="358" spans="1:27">
      <c r="A358" s="15">
        <v>7</v>
      </c>
      <c r="B358" s="75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0.64800000000000002</v>
      </c>
    </row>
    <row r="359" spans="1:27">
      <c r="A359" s="15">
        <v>14</v>
      </c>
      <c r="B359" s="75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0.68</v>
      </c>
      <c r="I359" s="27">
        <f>AVERAGE(F357:F359)</f>
        <v>34.262</v>
      </c>
      <c r="J359" s="27">
        <f>AVERAGE(G357:G359)</f>
        <v>0.90200000000000002</v>
      </c>
      <c r="L359">
        <f>+J359/I359</f>
        <v>2.6326542525246629E-2</v>
      </c>
      <c r="M359">
        <f>+(L359-$L$931)/$L$932</f>
        <v>0.22511690706484669</v>
      </c>
      <c r="N359">
        <f>+N356+M359</f>
        <v>2.0205705739489526</v>
      </c>
      <c r="Z359">
        <f>+(I359-$F$931)/$F$932</f>
        <v>3.8221477437115232</v>
      </c>
      <c r="AA359">
        <f>+AA356+Z359</f>
        <v>30.854123764593698</v>
      </c>
    </row>
    <row r="360" spans="1:27">
      <c r="A360" s="15">
        <v>5</v>
      </c>
      <c r="B360" s="75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0.17499999999999999</v>
      </c>
    </row>
    <row r="361" spans="1:27">
      <c r="A361" s="15">
        <v>7</v>
      </c>
      <c r="B361" s="75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0.16800000000000001</v>
      </c>
    </row>
    <row r="362" spans="1:27">
      <c r="A362" s="15">
        <v>14</v>
      </c>
      <c r="B362" s="75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0.121</v>
      </c>
      <c r="I362" s="27">
        <f>AVERAGE(F360:F362)</f>
        <v>13.954333333333333</v>
      </c>
      <c r="J362" s="27">
        <f>AVERAGE(G360:G362)</f>
        <v>0.15466666666666665</v>
      </c>
      <c r="L362">
        <f>+J362/I362</f>
        <v>1.1083773260397008E-2</v>
      </c>
      <c r="M362">
        <f>+(L362-$L$931)/$L$932</f>
        <v>-0.36914894709941487</v>
      </c>
      <c r="N362">
        <f>+N359+M362</f>
        <v>1.6514216268495376</v>
      </c>
      <c r="Z362">
        <f>+(I362-$F$931)/$F$932</f>
        <v>1.041748750087734</v>
      </c>
      <c r="AA362">
        <f>+AA359+Z362</f>
        <v>31.895872514681432</v>
      </c>
    </row>
    <row r="363" spans="1:27">
      <c r="A363" s="15">
        <v>5</v>
      </c>
      <c r="B363" s="75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0.106</v>
      </c>
    </row>
    <row r="364" spans="1:27">
      <c r="A364" s="15">
        <v>7</v>
      </c>
      <c r="B364" s="75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1.2999999999999999E-2</v>
      </c>
    </row>
    <row r="365" spans="1:27">
      <c r="A365" s="15">
        <v>14</v>
      </c>
      <c r="B365" s="75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4.0000000000000001E-3</v>
      </c>
      <c r="I365" s="27">
        <f>AVERAGE(F363:F365)</f>
        <v>3.9159999999999999</v>
      </c>
      <c r="J365" s="27">
        <f>AVERAGE(G363:G365)</f>
        <v>4.1000000000000002E-2</v>
      </c>
      <c r="L365">
        <f>+J365/I365</f>
        <v>1.0469867211440246E-2</v>
      </c>
      <c r="M365">
        <f>+(L365-$L$931)/$L$932</f>
        <v>-0.39308314148502382</v>
      </c>
      <c r="N365">
        <f>+N362+M365</f>
        <v>1.2583384853645139</v>
      </c>
      <c r="Z365">
        <f>+(I365-$F$931)/$F$932</f>
        <v>-0.33263720748133513</v>
      </c>
      <c r="AA365">
        <f>+AA362+Z365</f>
        <v>31.563235307200099</v>
      </c>
    </row>
    <row r="366" spans="1:27">
      <c r="A366" s="15">
        <v>5</v>
      </c>
      <c r="B366" s="75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3.2000000000000001E-2</v>
      </c>
    </row>
    <row r="367" spans="1:27">
      <c r="A367" s="15">
        <v>7</v>
      </c>
      <c r="B367" s="75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1.6E-2</v>
      </c>
    </row>
    <row r="368" spans="1:27">
      <c r="A368" s="15">
        <v>14</v>
      </c>
      <c r="B368" s="75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1.6E-2</v>
      </c>
      <c r="I368" s="27">
        <f>AVERAGE(F366:F368)</f>
        <v>2.601</v>
      </c>
      <c r="J368" s="27">
        <f>AVERAGE(G366:G368)</f>
        <v>2.1333333333333333E-2</v>
      </c>
      <c r="L368">
        <f>+J368/I368</f>
        <v>8.201973599897475E-3</v>
      </c>
      <c r="M368">
        <f>+(L368-$L$931)/$L$932</f>
        <v>-0.48150091589331689</v>
      </c>
      <c r="N368">
        <f>+N365+M368</f>
        <v>0.77683756947119698</v>
      </c>
      <c r="Z368">
        <f>+(I368-$F$931)/$F$932</f>
        <v>-0.51267880145809019</v>
      </c>
      <c r="AA368">
        <f>+AA365+Z368</f>
        <v>31.050556505742009</v>
      </c>
    </row>
    <row r="369" spans="1:27">
      <c r="A369" s="15">
        <v>5</v>
      </c>
      <c r="B369" s="75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1.0999999999999999E-2</v>
      </c>
    </row>
    <row r="370" spans="1:27">
      <c r="A370" s="15">
        <v>7</v>
      </c>
      <c r="B370" s="75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9.9989999999999996E-4</v>
      </c>
    </row>
    <row r="371" spans="1:27">
      <c r="A371" s="15">
        <v>14</v>
      </c>
      <c r="B371" s="75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1.0999999999999999E-2</v>
      </c>
      <c r="I371" s="27">
        <f>AVERAGE(F369:F371)</f>
        <v>12.871333333333334</v>
      </c>
      <c r="J371" s="27">
        <f>AVERAGE(G369:G371)</f>
        <v>7.6666333333333322E-3</v>
      </c>
      <c r="L371">
        <f>+J371/I371</f>
        <v>5.9563629771585422E-4</v>
      </c>
      <c r="M371">
        <f>+(L371-$L$931)/$L$932</f>
        <v>-0.77804719665124711</v>
      </c>
      <c r="N371">
        <f>+N368+M371</f>
        <v>-1.2096271800501324E-3</v>
      </c>
      <c r="Z371">
        <f>+(I371-$F$931)/$F$932</f>
        <v>0.89347114835630781</v>
      </c>
      <c r="AA371">
        <f>+AA368+Z371</f>
        <v>31.944027654098317</v>
      </c>
    </row>
    <row r="372" spans="1:27">
      <c r="A372" s="15">
        <v>5</v>
      </c>
      <c r="B372" s="72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1.8650875000000001E-2</v>
      </c>
    </row>
    <row r="373" spans="1:27">
      <c r="A373" s="15">
        <v>7</v>
      </c>
      <c r="B373" s="72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3.131925E-2</v>
      </c>
    </row>
    <row r="374" spans="1:27">
      <c r="A374" s="15">
        <v>14</v>
      </c>
      <c r="B374" s="72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2.5784874999999995E-2</v>
      </c>
      <c r="I374" s="27">
        <f>AVERAGE(F372:F374)</f>
        <v>5.7053333333333329</v>
      </c>
      <c r="J374" s="27">
        <f>AVERAGE(G372:G374)</f>
        <v>2.5251666666666669E-2</v>
      </c>
      <c r="L374">
        <f>+J374/I374</f>
        <v>4.4259756952559019E-3</v>
      </c>
      <c r="M374">
        <f>+(L374-$L$931)/$L$932</f>
        <v>-0.62871475749484995</v>
      </c>
      <c r="N374">
        <f>+N371+M374</f>
        <v>-0.62992438467490008</v>
      </c>
      <c r="Z374">
        <f>+(I374-$F$931)/$F$932</f>
        <v>-8.7652853497248731E-2</v>
      </c>
      <c r="AA374">
        <f>+AA371+Z374</f>
        <v>31.856374800601067</v>
      </c>
    </row>
    <row r="375" spans="1:27">
      <c r="A375" s="15">
        <v>5</v>
      </c>
      <c r="B375" s="72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1.0569124999999999E-2</v>
      </c>
    </row>
    <row r="376" spans="1:27">
      <c r="A376" s="15">
        <v>7</v>
      </c>
      <c r="B376" s="72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1.987125E-2</v>
      </c>
    </row>
    <row r="377" spans="1:27">
      <c r="A377" s="15">
        <v>14</v>
      </c>
      <c r="B377" s="72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0.12589762500000001</v>
      </c>
      <c r="I377" s="27"/>
      <c r="J377" s="27"/>
    </row>
    <row r="378" spans="1:27">
      <c r="A378" s="15">
        <v>14</v>
      </c>
      <c r="B378" s="72">
        <v>40225</v>
      </c>
      <c r="C378" s="15">
        <v>2010</v>
      </c>
      <c r="D378" s="11" t="s">
        <v>29</v>
      </c>
      <c r="E378" s="15">
        <v>2</v>
      </c>
      <c r="F378" s="26">
        <v>5.359</v>
      </c>
      <c r="G378" s="27">
        <v>0.15213299999999999</v>
      </c>
      <c r="H378" t="s">
        <v>13</v>
      </c>
      <c r="I378" s="27">
        <f>AVERAGE(F375:F378)</f>
        <v>3.2992499999999998</v>
      </c>
      <c r="J378" s="27">
        <f>AVERAGE(G375:G378)</f>
        <v>7.7117749999999999E-2</v>
      </c>
      <c r="L378">
        <f>+J378/I378</f>
        <v>2.3374327498673943E-2</v>
      </c>
      <c r="M378">
        <f>+(L378-$L$931)/$L$932</f>
        <v>0.11001967283139957</v>
      </c>
      <c r="N378">
        <f>+N374+M378</f>
        <v>-0.51990471184350051</v>
      </c>
      <c r="Z378">
        <f>+(I378-$F$931)/$F$932</f>
        <v>-0.41707876876282846</v>
      </c>
      <c r="AA378">
        <f>+AA374+Z378</f>
        <v>31.439296031838239</v>
      </c>
    </row>
    <row r="379" spans="1:27">
      <c r="A379" s="15">
        <v>5</v>
      </c>
      <c r="B379" s="72">
        <v>40254</v>
      </c>
      <c r="C379" s="15">
        <v>2010</v>
      </c>
      <c r="D379" s="11" t="s">
        <v>30</v>
      </c>
      <c r="E379" s="15">
        <v>3</v>
      </c>
      <c r="F379" s="26">
        <v>8.8989999999999991</v>
      </c>
      <c r="G379" s="27">
        <v>7.2606500000000004E-2</v>
      </c>
    </row>
    <row r="380" spans="1:27">
      <c r="A380" s="15">
        <v>7</v>
      </c>
      <c r="B380" s="72">
        <v>40255</v>
      </c>
      <c r="C380" s="15">
        <v>2010</v>
      </c>
      <c r="D380" s="11" t="s">
        <v>30</v>
      </c>
      <c r="E380" s="15">
        <v>3</v>
      </c>
      <c r="F380" s="26">
        <v>6.4260000000000002</v>
      </c>
      <c r="G380" s="27">
        <v>4.5634124999999991E-2</v>
      </c>
      <c r="I380" s="27"/>
      <c r="J380" s="27"/>
    </row>
    <row r="381" spans="1:27">
      <c r="A381" s="15">
        <v>14</v>
      </c>
      <c r="B381" s="72">
        <v>40255</v>
      </c>
      <c r="C381" s="15">
        <v>2010</v>
      </c>
      <c r="D381" s="11" t="s">
        <v>30</v>
      </c>
      <c r="E381" s="15">
        <v>3</v>
      </c>
      <c r="F381" s="26">
        <v>6.8689999999999998</v>
      </c>
      <c r="G381" s="27">
        <v>5.1597124999999987E-2</v>
      </c>
      <c r="I381" s="27">
        <f>AVERAGE(F379:F381)</f>
        <v>7.3979999999999997</v>
      </c>
      <c r="J381" s="27">
        <f>AVERAGE(G379:G381)</f>
        <v>5.6612583333333327E-2</v>
      </c>
      <c r="L381">
        <f>+J381/I381</f>
        <v>7.6524173199963947E-3</v>
      </c>
      <c r="M381">
        <f>+(L381-$L$931)/$L$932</f>
        <v>-0.50292632268208592</v>
      </c>
      <c r="N381">
        <f>+N378+M381</f>
        <v>-1.0228310345255864</v>
      </c>
      <c r="Z381">
        <f>+(I381-$F$931)/$F$932</f>
        <v>0.1440965037179508</v>
      </c>
      <c r="AA381">
        <f>+AA378+Z381</f>
        <v>31.58339253555619</v>
      </c>
    </row>
    <row r="382" spans="1:27">
      <c r="A382" s="15">
        <v>5</v>
      </c>
      <c r="B382" s="72">
        <v>40280</v>
      </c>
      <c r="C382" s="15">
        <v>2010</v>
      </c>
      <c r="D382" s="11" t="s">
        <v>31</v>
      </c>
      <c r="E382" s="15">
        <v>4</v>
      </c>
      <c r="F382" s="26">
        <v>4.75</v>
      </c>
      <c r="G382" s="27">
        <v>3.9953000000000002E-2</v>
      </c>
    </row>
    <row r="383" spans="1:27">
      <c r="A383" s="15">
        <v>7</v>
      </c>
      <c r="B383" s="72">
        <v>40281</v>
      </c>
      <c r="C383" s="15">
        <v>2010</v>
      </c>
      <c r="D383" s="11" t="s">
        <v>31</v>
      </c>
      <c r="E383" s="15">
        <v>4</v>
      </c>
      <c r="F383" s="26">
        <v>3.3580000000000001</v>
      </c>
      <c r="G383" s="27">
        <v>1.4734250000000001E-2</v>
      </c>
    </row>
    <row r="384" spans="1:27">
      <c r="A384" s="15">
        <v>14</v>
      </c>
      <c r="B384" s="72">
        <v>40281</v>
      </c>
      <c r="C384" s="15">
        <v>2010</v>
      </c>
      <c r="D384" s="11" t="s">
        <v>31</v>
      </c>
      <c r="E384" s="15">
        <v>4</v>
      </c>
      <c r="F384" s="26">
        <v>1.8879999999999999</v>
      </c>
      <c r="G384" s="27">
        <v>9.2835000000000001E-3</v>
      </c>
      <c r="I384" s="27">
        <f>AVERAGE(F382:F384)</f>
        <v>3.3320000000000003</v>
      </c>
      <c r="J384" s="27">
        <f>AVERAGE(G382:G384)</f>
        <v>2.1323583333333337E-2</v>
      </c>
      <c r="L384">
        <f>+J384/I384</f>
        <v>6.3996348539415767E-3</v>
      </c>
      <c r="M384">
        <f>+(L384-$L$931)/$L$932</f>
        <v>-0.55176822465779118</v>
      </c>
      <c r="N384">
        <f>+N381+M384</f>
        <v>-1.5745992591833775</v>
      </c>
      <c r="Z384">
        <f>+(I384-$F$931)/$F$932</f>
        <v>-0.41259484313336925</v>
      </c>
      <c r="AA384">
        <f>+AA381+Z384</f>
        <v>31.17079769242282</v>
      </c>
    </row>
    <row r="385" spans="1:27">
      <c r="A385" s="15">
        <v>5</v>
      </c>
      <c r="B385" s="75">
        <v>40315</v>
      </c>
      <c r="C385" s="15">
        <v>2010</v>
      </c>
      <c r="D385" s="11" t="s">
        <v>32</v>
      </c>
      <c r="E385" s="15">
        <v>5</v>
      </c>
      <c r="F385" s="28">
        <v>10.981999999999999</v>
      </c>
      <c r="G385" s="27">
        <v>0.30643087499999999</v>
      </c>
    </row>
    <row r="386" spans="1:27">
      <c r="A386" s="15">
        <v>7</v>
      </c>
      <c r="B386" s="75">
        <v>40317</v>
      </c>
      <c r="C386" s="15">
        <v>2010</v>
      </c>
      <c r="D386" s="11" t="s">
        <v>32</v>
      </c>
      <c r="E386" s="15">
        <v>5</v>
      </c>
      <c r="F386" s="28">
        <v>5.1840000000000002</v>
      </c>
      <c r="G386" s="27">
        <v>6.9797999999999999E-2</v>
      </c>
    </row>
    <row r="387" spans="1:27">
      <c r="A387" s="15">
        <v>14</v>
      </c>
      <c r="B387" s="75">
        <v>40317</v>
      </c>
      <c r="C387" s="15">
        <v>2010</v>
      </c>
      <c r="D387" s="11" t="s">
        <v>32</v>
      </c>
      <c r="E387" s="15">
        <v>5</v>
      </c>
      <c r="F387" s="28">
        <v>5.593</v>
      </c>
      <c r="G387" s="27">
        <v>0.104687</v>
      </c>
      <c r="I387" s="27">
        <f>AVERAGE(F385:F387)</f>
        <v>7.2530000000000001</v>
      </c>
      <c r="J387" s="27">
        <f>AVERAGE(G385:G387)</f>
        <v>0.16030529166666665</v>
      </c>
      <c r="L387">
        <f>+J387/I387</f>
        <v>2.2101929086814649E-2</v>
      </c>
      <c r="M387">
        <f>+(L387-$L$931)/$L$932</f>
        <v>6.0413009112851634E-2</v>
      </c>
      <c r="N387">
        <f>+N384+M387</f>
        <v>-1.5141862500705259</v>
      </c>
      <c r="Z387">
        <f>+(I387-$F$931)/$F$932</f>
        <v>0.12424400856462046</v>
      </c>
      <c r="AA387">
        <f>+AA384+Z387</f>
        <v>31.29504170098744</v>
      </c>
    </row>
    <row r="388" spans="1:27">
      <c r="A388" s="15">
        <v>5</v>
      </c>
      <c r="B388" s="75">
        <v>40344</v>
      </c>
      <c r="C388" s="15">
        <v>2010</v>
      </c>
      <c r="D388" s="11" t="s">
        <v>33</v>
      </c>
      <c r="E388" s="15">
        <v>6</v>
      </c>
      <c r="F388" s="28">
        <v>12.042999999999999</v>
      </c>
      <c r="G388" s="27">
        <v>1.8276483750000001</v>
      </c>
    </row>
    <row r="389" spans="1:27">
      <c r="A389" s="15">
        <v>7</v>
      </c>
      <c r="B389" s="75">
        <v>40345</v>
      </c>
      <c r="C389" s="15">
        <v>2010</v>
      </c>
      <c r="D389" s="11" t="s">
        <v>33</v>
      </c>
      <c r="E389" s="15">
        <v>6</v>
      </c>
      <c r="F389" s="28">
        <v>20.408999999999999</v>
      </c>
      <c r="G389" s="27">
        <v>1.016601375</v>
      </c>
      <c r="I389" s="27"/>
      <c r="J389" s="27"/>
    </row>
    <row r="390" spans="1:27">
      <c r="A390" s="15">
        <v>14</v>
      </c>
      <c r="B390" s="75">
        <v>40345</v>
      </c>
      <c r="C390" s="15">
        <v>2010</v>
      </c>
      <c r="D390" s="11" t="s">
        <v>33</v>
      </c>
      <c r="E390" s="15">
        <v>6</v>
      </c>
      <c r="F390" s="28">
        <v>9.24</v>
      </c>
      <c r="G390" s="27">
        <v>0.6658504999999999</v>
      </c>
      <c r="I390" s="27">
        <f>AVERAGE(F388:F390)</f>
        <v>13.897333333333334</v>
      </c>
      <c r="J390" s="27">
        <f>AVERAGE(G388:G390)</f>
        <v>1.1700334166666668</v>
      </c>
      <c r="L390">
        <f>+J390/I390</f>
        <v>8.4191217739614327E-2</v>
      </c>
      <c r="M390">
        <f>+(L390-$L$931)/$L$932</f>
        <v>2.4810718483694734</v>
      </c>
      <c r="N390">
        <f>+N387+M390</f>
        <v>0.96688559829894749</v>
      </c>
      <c r="Z390">
        <f>+(I390-$F$931)/$F$932</f>
        <v>1.0339446657860802</v>
      </c>
      <c r="AA390">
        <f>+AA387+Z390</f>
        <v>32.32898636677352</v>
      </c>
    </row>
    <row r="391" spans="1:27">
      <c r="A391" s="15">
        <v>5</v>
      </c>
      <c r="B391" s="75">
        <v>40373</v>
      </c>
      <c r="C391" s="15">
        <v>2010</v>
      </c>
      <c r="D391" s="11" t="s">
        <v>34</v>
      </c>
      <c r="E391" s="15">
        <v>7</v>
      </c>
      <c r="F391" s="28">
        <v>19.992000000000001</v>
      </c>
      <c r="G391" s="27">
        <v>1.815882625</v>
      </c>
    </row>
    <row r="392" spans="1:27">
      <c r="A392" s="15">
        <v>7</v>
      </c>
      <c r="B392" s="75">
        <v>40373</v>
      </c>
      <c r="C392" s="15">
        <v>2010</v>
      </c>
      <c r="D392" s="11" t="s">
        <v>34</v>
      </c>
      <c r="E392" s="15">
        <v>7</v>
      </c>
      <c r="F392" s="28">
        <v>18.753</v>
      </c>
      <c r="G392" s="27">
        <v>0.95053212499999984</v>
      </c>
      <c r="I392" s="27"/>
      <c r="J392" s="27"/>
    </row>
    <row r="393" spans="1:27">
      <c r="A393" s="15">
        <v>7</v>
      </c>
      <c r="B393" s="75">
        <v>40373</v>
      </c>
      <c r="C393" s="15">
        <v>2010</v>
      </c>
      <c r="D393" s="11" t="s">
        <v>34</v>
      </c>
      <c r="E393" s="15">
        <v>7</v>
      </c>
      <c r="F393" s="28">
        <v>18.753</v>
      </c>
      <c r="G393" s="27">
        <v>0.92714687499999981</v>
      </c>
      <c r="H393" t="s">
        <v>13</v>
      </c>
    </row>
    <row r="394" spans="1:27">
      <c r="A394" s="15">
        <v>14</v>
      </c>
      <c r="B394" s="75">
        <v>40373</v>
      </c>
      <c r="C394" s="15">
        <v>2010</v>
      </c>
      <c r="D394" s="11" t="s">
        <v>34</v>
      </c>
      <c r="E394" s="15">
        <v>7</v>
      </c>
      <c r="F394" s="28">
        <v>11.59</v>
      </c>
      <c r="G394" s="27">
        <v>0.47947275000000006</v>
      </c>
      <c r="I394" s="27">
        <f>AVERAGE(F391:F394)</f>
        <v>17.272000000000002</v>
      </c>
      <c r="J394" s="27">
        <f>AVERAGE(G391:G394)</f>
        <v>1.0432585937500001</v>
      </c>
      <c r="L394">
        <f>+J394/I394</f>
        <v>6.0401724973946268E-2</v>
      </c>
      <c r="M394">
        <f>+(L394-$L$931)/$L$932</f>
        <v>1.5535971229516101</v>
      </c>
      <c r="N394">
        <f>+N390+M394</f>
        <v>2.5204827212505574</v>
      </c>
      <c r="Z394">
        <f>+(I394-$F$931)/$F$932</f>
        <v>1.4959829667799125</v>
      </c>
      <c r="AA394">
        <f>+AA390+Z394</f>
        <v>33.824969333553433</v>
      </c>
    </row>
    <row r="395" spans="1:27">
      <c r="A395" s="15">
        <v>5</v>
      </c>
      <c r="B395" s="75">
        <v>40407</v>
      </c>
      <c r="C395" s="15">
        <v>2010</v>
      </c>
      <c r="D395" s="11" t="s">
        <v>35</v>
      </c>
      <c r="E395" s="15">
        <v>8</v>
      </c>
      <c r="F395" s="28">
        <v>22.228999999999999</v>
      </c>
      <c r="G395" s="27">
        <v>0.78608512500000005</v>
      </c>
    </row>
    <row r="396" spans="1:27">
      <c r="A396" s="15">
        <v>7</v>
      </c>
      <c r="B396" s="75">
        <v>40409</v>
      </c>
      <c r="C396" s="15">
        <v>2010</v>
      </c>
      <c r="D396" s="11" t="s">
        <v>35</v>
      </c>
      <c r="E396" s="15">
        <v>8</v>
      </c>
      <c r="F396" s="28">
        <v>27.542000000000002</v>
      </c>
      <c r="G396" s="27">
        <v>1.1436459999999999</v>
      </c>
    </row>
    <row r="397" spans="1:27">
      <c r="A397" s="15">
        <v>14</v>
      </c>
      <c r="B397" s="75">
        <v>40409</v>
      </c>
      <c r="C397" s="15">
        <v>2010</v>
      </c>
      <c r="D397" s="11" t="s">
        <v>35</v>
      </c>
      <c r="E397" s="15">
        <v>8</v>
      </c>
      <c r="F397" s="28">
        <v>10.205</v>
      </c>
      <c r="G397" s="27">
        <v>0.45202224999999996</v>
      </c>
      <c r="I397" s="27">
        <f>AVERAGE(F395:F397)</f>
        <v>19.992000000000001</v>
      </c>
      <c r="J397" s="27">
        <f>AVERAGE(G395:G397)</f>
        <v>0.79391779166666654</v>
      </c>
      <c r="L397">
        <f>+J397/I397</f>
        <v>3.9711774293050547E-2</v>
      </c>
      <c r="M397">
        <f>+(L397-$L$931)/$L$932</f>
        <v>0.74696343320912861</v>
      </c>
      <c r="N397">
        <f>+N394+M397</f>
        <v>3.267446154459686</v>
      </c>
      <c r="Z397">
        <f>+(I397-$F$931)/$F$932</f>
        <v>1.8683883931044551</v>
      </c>
      <c r="AA397">
        <f>+AA394+Z397</f>
        <v>35.693357726657887</v>
      </c>
    </row>
    <row r="398" spans="1:27">
      <c r="A398" s="15">
        <v>5</v>
      </c>
      <c r="B398" s="75">
        <v>40436</v>
      </c>
      <c r="C398" s="15">
        <v>2010</v>
      </c>
      <c r="D398" s="11" t="s">
        <v>41</v>
      </c>
      <c r="E398" s="15">
        <v>9</v>
      </c>
      <c r="F398" s="28">
        <v>12.015000000000001</v>
      </c>
      <c r="G398" s="27">
        <v>0.61067950000000004</v>
      </c>
    </row>
    <row r="399" spans="1:27">
      <c r="A399" s="15">
        <v>7</v>
      </c>
      <c r="B399" s="75">
        <v>40434</v>
      </c>
      <c r="C399" s="15">
        <v>2010</v>
      </c>
      <c r="D399" s="11" t="s">
        <v>41</v>
      </c>
      <c r="E399" s="15">
        <v>9</v>
      </c>
      <c r="F399" s="28">
        <v>13.039</v>
      </c>
      <c r="G399" s="27">
        <v>1.0853846249999999</v>
      </c>
    </row>
    <row r="400" spans="1:27">
      <c r="A400" s="15">
        <v>14</v>
      </c>
      <c r="B400" s="75">
        <v>40434</v>
      </c>
      <c r="C400" s="15">
        <v>2010</v>
      </c>
      <c r="D400" s="11" t="s">
        <v>41</v>
      </c>
      <c r="E400" s="15">
        <v>9</v>
      </c>
      <c r="F400" s="28">
        <v>9.4990000000000006</v>
      </c>
      <c r="G400" s="27">
        <v>0.40666924999999998</v>
      </c>
      <c r="I400" s="27">
        <f>AVERAGE(F398:F400)</f>
        <v>11.517666666666669</v>
      </c>
      <c r="J400" s="27">
        <f>AVERAGE(G398:G400)</f>
        <v>0.70091112499999986</v>
      </c>
      <c r="L400">
        <f>+J400/I400</f>
        <v>6.0855305617457216E-2</v>
      </c>
      <c r="M400">
        <f>+(L400-$L$931)/$L$932</f>
        <v>1.5712807527346833</v>
      </c>
      <c r="N400">
        <f>+N397+M400</f>
        <v>4.8387269071943688</v>
      </c>
      <c r="Z400">
        <f>+(I400-$F$931)/$F$932</f>
        <v>0.70813555567199815</v>
      </c>
      <c r="AA400">
        <f>+AA397+Z400</f>
        <v>36.401493282329888</v>
      </c>
    </row>
    <row r="401" spans="1:27">
      <c r="A401" s="15">
        <v>5</v>
      </c>
      <c r="B401" s="75">
        <v>40464</v>
      </c>
      <c r="C401" s="15">
        <v>2010</v>
      </c>
      <c r="D401" s="11" t="s">
        <v>37</v>
      </c>
      <c r="E401" s="15">
        <v>10</v>
      </c>
      <c r="F401" s="26">
        <v>9.34</v>
      </c>
      <c r="G401" s="27">
        <v>0.134397875</v>
      </c>
    </row>
    <row r="402" spans="1:27">
      <c r="A402" s="15">
        <v>7</v>
      </c>
      <c r="B402" s="75">
        <v>40463</v>
      </c>
      <c r="C402" s="15">
        <v>2010</v>
      </c>
      <c r="D402" s="11" t="s">
        <v>37</v>
      </c>
      <c r="E402" s="15">
        <v>10</v>
      </c>
      <c r="F402" s="26">
        <v>6.4480000000000004</v>
      </c>
      <c r="G402" s="27">
        <v>7.4481749999999985E-2</v>
      </c>
    </row>
    <row r="403" spans="1:27">
      <c r="A403" s="15">
        <v>14</v>
      </c>
      <c r="B403" s="75">
        <v>40463</v>
      </c>
      <c r="C403" s="15">
        <v>2010</v>
      </c>
      <c r="D403" s="11" t="s">
        <v>37</v>
      </c>
      <c r="E403" s="15">
        <v>10</v>
      </c>
      <c r="F403" s="26">
        <v>4.7690000000000001</v>
      </c>
      <c r="G403" s="27">
        <v>3.1894749999999993E-2</v>
      </c>
      <c r="I403" s="27">
        <f>AVERAGE(F401:F403)</f>
        <v>6.8523333333333341</v>
      </c>
      <c r="J403" s="27">
        <f>AVERAGE(G401:G403)</f>
        <v>8.0258125E-2</v>
      </c>
      <c r="L403">
        <f>+J403/I403</f>
        <v>1.1712524930680545E-2</v>
      </c>
      <c r="M403">
        <f>+(L403-$L$931)/$L$932</f>
        <v>-0.34463597036231419</v>
      </c>
      <c r="N403">
        <f>+N400+M403</f>
        <v>4.4940909368320545</v>
      </c>
      <c r="Z403">
        <f>+(I403-$F$931)/$F$932</f>
        <v>6.9387228853578828E-2</v>
      </c>
      <c r="AA403">
        <f>+AA400+Z403</f>
        <v>36.470880511183466</v>
      </c>
    </row>
    <row r="404" spans="1:27">
      <c r="A404" s="15">
        <v>5</v>
      </c>
      <c r="B404" s="75">
        <v>40498</v>
      </c>
      <c r="C404" s="15">
        <v>2010</v>
      </c>
      <c r="D404" s="11" t="s">
        <v>38</v>
      </c>
      <c r="E404" s="15">
        <v>11</v>
      </c>
      <c r="F404" s="26">
        <v>2.137</v>
      </c>
      <c r="G404" s="27">
        <v>4.5823375E-2</v>
      </c>
    </row>
    <row r="405" spans="1:27">
      <c r="A405" s="15">
        <v>7</v>
      </c>
      <c r="B405" s="75">
        <v>40500</v>
      </c>
      <c r="C405" s="15">
        <v>2010</v>
      </c>
      <c r="D405" s="11" t="s">
        <v>38</v>
      </c>
      <c r="E405" s="15">
        <v>11</v>
      </c>
      <c r="F405" s="26">
        <v>3.3730000000000002</v>
      </c>
      <c r="G405" s="27">
        <v>1.4340124999999999E-2</v>
      </c>
    </row>
    <row r="406" spans="1:27">
      <c r="A406" s="15">
        <v>14</v>
      </c>
      <c r="B406" s="75">
        <v>40500</v>
      </c>
      <c r="C406" s="15">
        <v>2010</v>
      </c>
      <c r="D406" s="11" t="s">
        <v>38</v>
      </c>
      <c r="E406" s="15">
        <v>11</v>
      </c>
      <c r="F406" s="26">
        <v>2.2999999999999998</v>
      </c>
      <c r="G406" s="27">
        <v>0</v>
      </c>
      <c r="I406" s="27">
        <f>AVERAGE(F404:F406)</f>
        <v>2.6033333333333331</v>
      </c>
      <c r="J406" s="27">
        <f>AVERAGE(G404:G406)</f>
        <v>2.0054499999999999E-2</v>
      </c>
      <c r="L406">
        <f>+J406/I406</f>
        <v>7.7033930857874529E-3</v>
      </c>
      <c r="M406">
        <f>+(L406-$L$931)/$L$932</f>
        <v>-0.50093894384867688</v>
      </c>
      <c r="N406">
        <f>+N403+M406</f>
        <v>3.9931519929833774</v>
      </c>
      <c r="Z406">
        <f>+(I406-$F$931)/$F$932</f>
        <v>-0.5123593360188412</v>
      </c>
      <c r="AA406">
        <f>+AA403+Z406</f>
        <v>35.958521175164627</v>
      </c>
    </row>
    <row r="407" spans="1:27">
      <c r="A407" s="15">
        <v>5</v>
      </c>
      <c r="B407" s="75">
        <v>40520</v>
      </c>
      <c r="C407" s="15">
        <v>2010</v>
      </c>
      <c r="D407" s="11" t="s">
        <v>39</v>
      </c>
      <c r="E407" s="15">
        <v>12</v>
      </c>
      <c r="F407" s="26">
        <v>1.663</v>
      </c>
      <c r="G407" s="27">
        <v>1.5297624999999999E-2</v>
      </c>
    </row>
    <row r="408" spans="1:27">
      <c r="A408" s="15">
        <v>7</v>
      </c>
      <c r="B408" s="75">
        <v>40521</v>
      </c>
      <c r="C408" s="15">
        <v>2010</v>
      </c>
      <c r="D408" s="11" t="s">
        <v>39</v>
      </c>
      <c r="E408" s="15">
        <v>12</v>
      </c>
      <c r="F408" s="26">
        <v>0.93799999999999994</v>
      </c>
      <c r="G408" s="27">
        <v>0</v>
      </c>
    </row>
    <row r="409" spans="1:27">
      <c r="A409" s="15">
        <v>14</v>
      </c>
      <c r="B409" s="75">
        <v>40521</v>
      </c>
      <c r="C409" s="15">
        <v>2010</v>
      </c>
      <c r="D409" s="11" t="s">
        <v>39</v>
      </c>
      <c r="E409" s="15">
        <v>12</v>
      </c>
      <c r="F409" s="26">
        <v>0.92800000000000005</v>
      </c>
      <c r="G409" s="27">
        <v>0</v>
      </c>
      <c r="I409" s="27">
        <f>AVERAGE(F407:F409)</f>
        <v>1.1763333333333332</v>
      </c>
      <c r="J409" s="27">
        <f>AVERAGE(G407:G409)</f>
        <v>5.0992083333333332E-3</v>
      </c>
      <c r="L409">
        <f>+J409/I409</f>
        <v>4.3348328138282802E-3</v>
      </c>
      <c r="M409">
        <f>+(L409-$L$931)/$L$932</f>
        <v>-0.63226812114823006</v>
      </c>
      <c r="N409">
        <f>+N406+M409</f>
        <v>3.3608838718351475</v>
      </c>
      <c r="Z409">
        <f>+(I409-$F$931)/$F$932</f>
        <v>-0.70773527107954803</v>
      </c>
      <c r="AA409">
        <f>+AA406+Z409</f>
        <v>35.250785904085078</v>
      </c>
    </row>
    <row r="410" spans="1:27">
      <c r="A410" s="15">
        <v>5</v>
      </c>
      <c r="B410" s="75">
        <v>40562</v>
      </c>
      <c r="C410" s="15">
        <v>2011</v>
      </c>
      <c r="D410" s="11" t="s">
        <v>40</v>
      </c>
      <c r="E410" s="15">
        <v>1</v>
      </c>
      <c r="F410" s="26">
        <v>4.2149999999999999</v>
      </c>
      <c r="G410" s="27">
        <v>1.6983874999999996E-2</v>
      </c>
    </row>
    <row r="411" spans="1:27">
      <c r="A411" s="15">
        <v>7</v>
      </c>
      <c r="B411" s="75">
        <v>40563</v>
      </c>
      <c r="C411" s="15">
        <v>2011</v>
      </c>
      <c r="D411" s="11" t="s">
        <v>40</v>
      </c>
      <c r="E411" s="15">
        <v>1</v>
      </c>
      <c r="F411" s="26">
        <v>3.4990000000000001</v>
      </c>
      <c r="G411" s="27">
        <v>3.193062499999999E-2</v>
      </c>
    </row>
    <row r="412" spans="1:27">
      <c r="A412" s="15">
        <v>14</v>
      </c>
      <c r="B412" s="75">
        <v>40563</v>
      </c>
      <c r="C412" s="15">
        <v>2011</v>
      </c>
      <c r="D412" s="11" t="s">
        <v>40</v>
      </c>
      <c r="E412" s="15">
        <v>1</v>
      </c>
      <c r="F412" s="26">
        <v>2.98</v>
      </c>
      <c r="G412" s="27">
        <v>2.3532374999999998E-2</v>
      </c>
      <c r="I412" s="27">
        <f>AVERAGE(F410:F412)</f>
        <v>3.5646666666666671</v>
      </c>
      <c r="J412" s="27">
        <f>AVERAGE(G410:G412)</f>
        <v>2.4148958333333328E-2</v>
      </c>
      <c r="L412">
        <f>+J412/I412</f>
        <v>6.7745347858612281E-3</v>
      </c>
      <c r="M412">
        <f>+(L412-$L$931)/$L$932</f>
        <v>-0.53715209917578188</v>
      </c>
      <c r="N412">
        <f>+N409+M412</f>
        <v>2.8237317726593654</v>
      </c>
      <c r="Z412">
        <f>+(I412-$F$931)/$F$932</f>
        <v>-0.38073957504825517</v>
      </c>
      <c r="AA412">
        <f>+AA409+Z412</f>
        <v>34.870046329036825</v>
      </c>
    </row>
    <row r="413" spans="1:27">
      <c r="A413" s="15">
        <v>5</v>
      </c>
      <c r="B413" s="75">
        <v>40591</v>
      </c>
      <c r="C413" s="15">
        <v>2011</v>
      </c>
      <c r="D413" s="11" t="s">
        <v>29</v>
      </c>
      <c r="E413" s="15">
        <v>2</v>
      </c>
      <c r="F413" s="26">
        <v>1.84</v>
      </c>
      <c r="G413" s="27">
        <v>1.2859874999999998E-2</v>
      </c>
    </row>
    <row r="414" spans="1:27">
      <c r="A414" s="15">
        <v>7</v>
      </c>
      <c r="B414" s="75">
        <v>40598</v>
      </c>
      <c r="C414" s="15">
        <v>2011</v>
      </c>
      <c r="D414" s="11" t="s">
        <v>29</v>
      </c>
      <c r="E414" s="15">
        <v>2</v>
      </c>
      <c r="F414" s="26">
        <v>2.8570000000000002</v>
      </c>
      <c r="G414" s="27">
        <v>1.3365125E-2</v>
      </c>
    </row>
    <row r="415" spans="1:27">
      <c r="A415" s="15">
        <v>14</v>
      </c>
      <c r="B415" s="75">
        <v>40598</v>
      </c>
      <c r="C415" s="15">
        <v>2011</v>
      </c>
      <c r="D415" s="11" t="s">
        <v>29</v>
      </c>
      <c r="E415" s="15">
        <v>2</v>
      </c>
      <c r="F415" s="26">
        <v>3.6110000000000002</v>
      </c>
      <c r="G415" s="27">
        <v>2.4675875E-2</v>
      </c>
    </row>
    <row r="416" spans="1:27">
      <c r="A416" s="15">
        <v>14</v>
      </c>
      <c r="B416" s="75">
        <v>40598</v>
      </c>
      <c r="C416" s="15">
        <v>2011</v>
      </c>
      <c r="D416" s="11" t="s">
        <v>29</v>
      </c>
      <c r="E416" s="15">
        <v>2</v>
      </c>
      <c r="F416" s="26">
        <v>3.6110000000000002</v>
      </c>
      <c r="G416" s="27">
        <v>8.3487500000000003E-3</v>
      </c>
      <c r="H416" t="s">
        <v>13</v>
      </c>
      <c r="I416" s="27">
        <f>AVERAGE(F413:F416)</f>
        <v>2.9797500000000001</v>
      </c>
      <c r="J416" s="27">
        <f>AVERAGE(G413:G416)</f>
        <v>1.481240625E-2</v>
      </c>
      <c r="L416">
        <f>+J416/I416</f>
        <v>4.9710231563050589E-3</v>
      </c>
      <c r="M416">
        <f>+(L416-$L$931)/$L$932</f>
        <v>-0.60746513484607223</v>
      </c>
      <c r="N416">
        <f>+N412+M416</f>
        <v>2.2162666378132929</v>
      </c>
      <c r="Z416">
        <f>+(I416-$F$931)/$F$932</f>
        <v>-0.46082271497999439</v>
      </c>
      <c r="AA416">
        <f>+AA412+Z416</f>
        <v>34.409223614056828</v>
      </c>
    </row>
    <row r="417" spans="1:27">
      <c r="A417" s="15">
        <v>5</v>
      </c>
      <c r="B417" s="75">
        <v>40619</v>
      </c>
      <c r="C417" s="15">
        <v>2011</v>
      </c>
      <c r="D417" s="11" t="s">
        <v>30</v>
      </c>
      <c r="E417" s="15">
        <v>3</v>
      </c>
      <c r="F417" s="26">
        <v>1.3129999999999999</v>
      </c>
      <c r="G417" s="27">
        <v>1.0134000000000001E-2</v>
      </c>
    </row>
    <row r="418" spans="1:27">
      <c r="A418" s="15">
        <v>7</v>
      </c>
      <c r="B418" s="75">
        <v>40617</v>
      </c>
      <c r="C418" s="15">
        <v>2011</v>
      </c>
      <c r="D418" s="11" t="s">
        <v>30</v>
      </c>
      <c r="E418" s="15">
        <v>3</v>
      </c>
      <c r="F418" s="26">
        <v>1.3180000000000001</v>
      </c>
      <c r="G418" s="27">
        <v>3.4206750000000001E-2</v>
      </c>
      <c r="I418" s="27"/>
      <c r="J418" s="27"/>
    </row>
    <row r="419" spans="1:27">
      <c r="A419" s="15">
        <v>14</v>
      </c>
      <c r="B419" s="75">
        <v>40617</v>
      </c>
      <c r="C419" s="15">
        <v>2011</v>
      </c>
      <c r="D419" s="11" t="s">
        <v>30</v>
      </c>
      <c r="E419" s="15">
        <v>3</v>
      </c>
      <c r="F419" s="26">
        <v>0.77200000000000002</v>
      </c>
      <c r="G419" s="27">
        <v>1.113725E-2</v>
      </c>
      <c r="I419" s="27">
        <f>AVERAGE(F417:F419)</f>
        <v>1.1343333333333334</v>
      </c>
      <c r="J419" s="27">
        <f>AVERAGE(G417:G419)</f>
        <v>1.8492666666666668E-2</v>
      </c>
      <c r="L419">
        <f>+J419/I419</f>
        <v>1.6302674111078459E-2</v>
      </c>
      <c r="M419">
        <f>+(L419-$L$931)/$L$932</f>
        <v>-0.1656810261501174</v>
      </c>
      <c r="N419">
        <f>+N416+M419</f>
        <v>2.0505856116631755</v>
      </c>
      <c r="Z419">
        <f>+(I419-$F$931)/$F$932</f>
        <v>-0.71348564898602995</v>
      </c>
      <c r="AA419">
        <f>+AA416+Z419</f>
        <v>33.695737965070798</v>
      </c>
    </row>
    <row r="420" spans="1:27">
      <c r="A420" s="15">
        <v>5</v>
      </c>
      <c r="B420" s="75">
        <v>40646</v>
      </c>
      <c r="C420" s="15">
        <v>2011</v>
      </c>
      <c r="D420" s="11" t="s">
        <v>31</v>
      </c>
      <c r="E420" s="15">
        <v>4</v>
      </c>
      <c r="F420" s="26">
        <v>1.1399999999999999</v>
      </c>
      <c r="G420" s="27">
        <v>9.4196249999999992E-3</v>
      </c>
    </row>
    <row r="421" spans="1:27">
      <c r="A421" s="15">
        <v>7</v>
      </c>
      <c r="B421" s="75">
        <v>40647</v>
      </c>
      <c r="C421" s="15">
        <v>2011</v>
      </c>
      <c r="D421" s="11" t="s">
        <v>31</v>
      </c>
      <c r="E421" s="15">
        <v>4</v>
      </c>
      <c r="F421" s="26">
        <v>4.4039999999999999</v>
      </c>
      <c r="G421" s="27">
        <v>7.7988750000000011E-3</v>
      </c>
    </row>
    <row r="422" spans="1:27">
      <c r="A422" s="15">
        <v>14</v>
      </c>
      <c r="B422" s="75">
        <v>40647</v>
      </c>
      <c r="C422" s="15">
        <v>2011</v>
      </c>
      <c r="D422" s="11" t="s">
        <v>31</v>
      </c>
      <c r="E422" s="15">
        <v>4</v>
      </c>
      <c r="F422" s="26">
        <v>0.46700000000000003</v>
      </c>
      <c r="G422" s="27">
        <v>0</v>
      </c>
      <c r="I422" s="27">
        <f>AVERAGE(F420:F422)</f>
        <v>2.0036666666666663</v>
      </c>
      <c r="J422" s="27">
        <f>AVERAGE(G420:G422)</f>
        <v>5.7395000000000007E-3</v>
      </c>
      <c r="L422">
        <f>+J422/I422</f>
        <v>2.8644984195641335E-3</v>
      </c>
      <c r="M422">
        <f>+(L422-$L$931)/$L$932</f>
        <v>-0.68959166318526788</v>
      </c>
      <c r="N422">
        <f>+N419+M422</f>
        <v>1.3609939484779077</v>
      </c>
      <c r="Z422">
        <f>+(I422-$F$931)/$F$932</f>
        <v>-0.59446195390583301</v>
      </c>
      <c r="AA422">
        <f>+AA419+Z422</f>
        <v>33.101276011164963</v>
      </c>
    </row>
    <row r="423" spans="1:27">
      <c r="A423" s="15">
        <v>5</v>
      </c>
      <c r="B423" s="75">
        <v>40681</v>
      </c>
      <c r="C423" s="15">
        <v>2011</v>
      </c>
      <c r="D423" s="11" t="s">
        <v>32</v>
      </c>
      <c r="E423" s="15">
        <v>5</v>
      </c>
      <c r="F423" s="26">
        <v>6.0640000000000001</v>
      </c>
      <c r="G423" s="27">
        <v>0.35142562500000002</v>
      </c>
    </row>
    <row r="424" spans="1:27">
      <c r="A424" s="15">
        <v>7</v>
      </c>
      <c r="B424" s="75">
        <v>40682</v>
      </c>
      <c r="C424" s="15">
        <v>2011</v>
      </c>
      <c r="D424" s="11" t="s">
        <v>32</v>
      </c>
      <c r="E424" s="15">
        <v>5</v>
      </c>
      <c r="F424" s="26">
        <v>5.2119999999999997</v>
      </c>
      <c r="G424" s="27">
        <v>7.0847375000000004E-2</v>
      </c>
    </row>
    <row r="425" spans="1:27">
      <c r="A425" s="15">
        <v>14</v>
      </c>
      <c r="B425" s="75">
        <v>40682</v>
      </c>
      <c r="C425" s="15">
        <v>2011</v>
      </c>
      <c r="D425" s="11" t="s">
        <v>32</v>
      </c>
      <c r="E425" s="15">
        <v>5</v>
      </c>
      <c r="F425" s="26">
        <v>4.5979999999999999</v>
      </c>
      <c r="G425" s="27">
        <v>3.0281499999999999E-2</v>
      </c>
      <c r="I425" s="27">
        <f>AVERAGE(F423:F425)</f>
        <v>5.2913333333333332</v>
      </c>
      <c r="J425" s="27">
        <f>AVERAGE(G423:G425)</f>
        <v>0.1508515</v>
      </c>
      <c r="L425">
        <f>+J425/I425</f>
        <v>2.8509165931712235E-2</v>
      </c>
      <c r="M425">
        <f>+(L425-$L$931)/$L$932</f>
        <v>0.31021027431493409</v>
      </c>
      <c r="N425">
        <f>+N422+M425</f>
        <v>1.6712042227928419</v>
      </c>
      <c r="Z425">
        <f>+(I425-$F$931)/$F$932</f>
        <v>-0.14433515000399894</v>
      </c>
      <c r="AA425">
        <f>+AA422+Z425</f>
        <v>32.956940861160966</v>
      </c>
    </row>
    <row r="426" spans="1:27">
      <c r="A426" s="15">
        <v>5</v>
      </c>
      <c r="B426" s="75">
        <v>40709</v>
      </c>
      <c r="C426" s="15">
        <v>2011</v>
      </c>
      <c r="D426" s="11" t="s">
        <v>33</v>
      </c>
      <c r="E426" s="15">
        <v>6</v>
      </c>
      <c r="F426" s="26">
        <v>10.51</v>
      </c>
      <c r="G426" s="27">
        <v>2.8323291249999993</v>
      </c>
    </row>
    <row r="427" spans="1:27">
      <c r="A427" s="15">
        <v>7</v>
      </c>
      <c r="B427" s="75">
        <v>40709</v>
      </c>
      <c r="C427" s="15">
        <v>2011</v>
      </c>
      <c r="D427" s="11" t="s">
        <v>33</v>
      </c>
      <c r="E427" s="15">
        <v>6</v>
      </c>
      <c r="F427" s="26">
        <v>7.7389999999999999</v>
      </c>
      <c r="G427" s="27">
        <v>0.35439312499999998</v>
      </c>
    </row>
    <row r="428" spans="1:27">
      <c r="A428" s="15">
        <v>14</v>
      </c>
      <c r="B428" s="75">
        <v>40709</v>
      </c>
      <c r="C428" s="15">
        <v>2011</v>
      </c>
      <c r="D428" s="11" t="s">
        <v>33</v>
      </c>
      <c r="E428" s="15">
        <v>6</v>
      </c>
      <c r="F428" s="26">
        <v>6.5990000000000002</v>
      </c>
      <c r="G428" s="27">
        <v>0.37461437499999989</v>
      </c>
      <c r="I428" s="27">
        <f>AVERAGE(F426:F428)</f>
        <v>8.2826666666666657</v>
      </c>
      <c r="J428" s="27">
        <f>AVERAGE(G426:G428)</f>
        <v>1.187112208333333</v>
      </c>
      <c r="L428">
        <f>+J428/I428</f>
        <v>0.14332488027205406</v>
      </c>
      <c r="M428">
        <f>+(L428-$L$931)/$L$932</f>
        <v>4.786500465972324</v>
      </c>
      <c r="N428">
        <f>+N425+M428</f>
        <v>6.4577046887651655</v>
      </c>
      <c r="Z428">
        <f>+(I428-$F$931)/$F$932</f>
        <v>0.26521954311321255</v>
      </c>
      <c r="AA428">
        <f>+AA425+Z428</f>
        <v>33.222160404274177</v>
      </c>
    </row>
    <row r="429" spans="1:27">
      <c r="A429" s="15">
        <v>5</v>
      </c>
      <c r="B429" s="75">
        <v>40735</v>
      </c>
      <c r="C429" s="15">
        <v>2011</v>
      </c>
      <c r="D429" s="11" t="s">
        <v>34</v>
      </c>
      <c r="E429" s="15">
        <v>7</v>
      </c>
      <c r="F429" s="26">
        <v>7.0949999999999998</v>
      </c>
      <c r="G429" s="27">
        <v>1.5545154999999999</v>
      </c>
    </row>
    <row r="430" spans="1:27">
      <c r="A430" s="15">
        <v>7</v>
      </c>
      <c r="B430" s="75">
        <v>40736</v>
      </c>
      <c r="C430" s="15">
        <v>2011</v>
      </c>
      <c r="D430" s="11" t="s">
        <v>34</v>
      </c>
      <c r="E430" s="15">
        <v>7</v>
      </c>
      <c r="F430" s="26">
        <v>9.6560000000000006</v>
      </c>
      <c r="G430" s="27">
        <v>0.92286924999999975</v>
      </c>
    </row>
    <row r="431" spans="1:27">
      <c r="A431" s="15">
        <v>14</v>
      </c>
      <c r="B431" s="75">
        <v>40736</v>
      </c>
      <c r="C431" s="15">
        <v>2011</v>
      </c>
      <c r="D431" s="11" t="s">
        <v>34</v>
      </c>
      <c r="E431" s="15">
        <v>7</v>
      </c>
      <c r="F431" s="26">
        <v>5.9269999999999996</v>
      </c>
      <c r="G431" s="27">
        <v>0.53225025000000004</v>
      </c>
      <c r="I431" s="27">
        <f>AVERAGE(F429:F431)</f>
        <v>7.5593333333333339</v>
      </c>
      <c r="J431" s="27">
        <f>AVERAGE(G429:G431)</f>
        <v>1.0032116666666666</v>
      </c>
      <c r="L431">
        <f>+J431/I431</f>
        <v>0.13271165887644412</v>
      </c>
      <c r="M431">
        <f>+(L431-$L$931)/$L$932</f>
        <v>4.3727255823859865</v>
      </c>
      <c r="N431">
        <f>+N428+M431</f>
        <v>10.830430271151151</v>
      </c>
      <c r="Z431">
        <f>+(I431-$F$931)/$F$932</f>
        <v>0.16618525694602429</v>
      </c>
      <c r="AA431">
        <f>+AA428+Z431</f>
        <v>33.3883456612202</v>
      </c>
    </row>
    <row r="432" spans="1:27">
      <c r="A432" s="15">
        <v>5</v>
      </c>
      <c r="B432" s="75">
        <v>40771</v>
      </c>
      <c r="C432" s="15">
        <v>2011</v>
      </c>
      <c r="D432" s="11" t="s">
        <v>35</v>
      </c>
      <c r="E432" s="15">
        <v>8</v>
      </c>
      <c r="F432" s="26">
        <v>9.5779999999999994</v>
      </c>
      <c r="G432" s="27">
        <v>0.80415762499999999</v>
      </c>
    </row>
    <row r="433" spans="1:27">
      <c r="A433" s="15">
        <v>7</v>
      </c>
      <c r="B433" s="75">
        <v>40772</v>
      </c>
      <c r="C433" s="15">
        <v>2011</v>
      </c>
      <c r="D433" s="11" t="s">
        <v>35</v>
      </c>
      <c r="E433" s="15">
        <v>8</v>
      </c>
      <c r="F433" s="26">
        <v>11.446999999999999</v>
      </c>
      <c r="G433" s="27">
        <v>1.081718</v>
      </c>
    </row>
    <row r="434" spans="1:27">
      <c r="A434" s="15">
        <v>7</v>
      </c>
      <c r="B434" s="75">
        <v>40772</v>
      </c>
      <c r="C434" s="15">
        <v>2011</v>
      </c>
      <c r="D434" s="11" t="s">
        <v>35</v>
      </c>
      <c r="E434" s="15">
        <v>8</v>
      </c>
      <c r="F434" s="26">
        <v>11.446999999999999</v>
      </c>
      <c r="G434" s="27">
        <v>0.90617349999999985</v>
      </c>
      <c r="H434" t="s">
        <v>13</v>
      </c>
      <c r="I434" s="27"/>
      <c r="J434" s="27"/>
    </row>
    <row r="435" spans="1:27">
      <c r="A435" s="15">
        <v>14</v>
      </c>
      <c r="B435" s="75">
        <v>40772</v>
      </c>
      <c r="C435" s="15">
        <v>2011</v>
      </c>
      <c r="D435" s="11" t="s">
        <v>35</v>
      </c>
      <c r="E435" s="15">
        <v>8</v>
      </c>
      <c r="F435" s="26">
        <v>14.853</v>
      </c>
      <c r="G435" s="27">
        <v>0.67638149999999986</v>
      </c>
      <c r="I435" s="27">
        <f>AVERAGE(F432:F435)</f>
        <v>11.831249999999999</v>
      </c>
      <c r="J435" s="27">
        <f>AVERAGE(G432:G435)</f>
        <v>0.86710765624999986</v>
      </c>
      <c r="L435">
        <f>+J435/I435</f>
        <v>7.3289606444796609E-2</v>
      </c>
      <c r="M435">
        <f>+(L435-$L$931)/$L$932</f>
        <v>2.0560535832946902</v>
      </c>
      <c r="N435">
        <f>+N431+M435</f>
        <v>12.886483854445842</v>
      </c>
      <c r="Z435">
        <f>+(I435-$F$931)/$F$932</f>
        <v>0.75106942881106808</v>
      </c>
      <c r="AA435">
        <f>+AA431+Z435</f>
        <v>34.139415090031271</v>
      </c>
    </row>
    <row r="436" spans="1:27">
      <c r="A436" s="15">
        <v>5</v>
      </c>
      <c r="B436" s="75">
        <v>40799</v>
      </c>
      <c r="C436" s="15">
        <v>2011</v>
      </c>
      <c r="D436" s="11" t="s">
        <v>41</v>
      </c>
      <c r="E436" s="15">
        <v>9</v>
      </c>
      <c r="F436" s="26">
        <v>7.4850000000000003</v>
      </c>
      <c r="G436" s="27">
        <v>0.60072249999999994</v>
      </c>
    </row>
    <row r="437" spans="1:27">
      <c r="A437" s="15">
        <v>7</v>
      </c>
      <c r="B437" s="75">
        <v>40798</v>
      </c>
      <c r="C437" s="15">
        <v>2011</v>
      </c>
      <c r="D437" s="11" t="s">
        <v>41</v>
      </c>
      <c r="E437" s="15">
        <v>9</v>
      </c>
      <c r="F437" s="26">
        <v>3.5179999999999998</v>
      </c>
      <c r="G437" s="27">
        <v>0.16611975000000001</v>
      </c>
      <c r="I437" s="27"/>
      <c r="J437" s="27"/>
    </row>
    <row r="438" spans="1:27">
      <c r="A438" s="15">
        <v>14</v>
      </c>
      <c r="B438" s="75">
        <v>40798</v>
      </c>
      <c r="C438" s="15">
        <v>2011</v>
      </c>
      <c r="D438" s="11" t="s">
        <v>41</v>
      </c>
      <c r="E438" s="15">
        <v>9</v>
      </c>
      <c r="F438" s="26">
        <v>5.4429999999999996</v>
      </c>
      <c r="G438" s="27">
        <v>0.40626849999999998</v>
      </c>
      <c r="I438" s="27">
        <f>AVERAGE(F436:F438)</f>
        <v>5.4819999999999993</v>
      </c>
      <c r="J438" s="27">
        <f>AVERAGE(G436:G438)</f>
        <v>0.39103691666666668</v>
      </c>
      <c r="L438">
        <f>+J438/I438</f>
        <v>7.1331068344886311E-2</v>
      </c>
      <c r="M438">
        <f>+(L438-$L$931)/$L$932</f>
        <v>1.9796965712168115</v>
      </c>
      <c r="N438">
        <f>+N435+M438</f>
        <v>14.866180425662654</v>
      </c>
      <c r="Z438">
        <f>+(I438-$F$931)/$F$932</f>
        <v>-0.11823025982536686</v>
      </c>
      <c r="AA438">
        <f>+AA435+Z438</f>
        <v>34.021184830205904</v>
      </c>
    </row>
    <row r="439" spans="1:27">
      <c r="A439" s="15">
        <v>5</v>
      </c>
      <c r="B439" s="75">
        <v>40827</v>
      </c>
      <c r="C439" s="15">
        <v>2011</v>
      </c>
      <c r="D439" s="11" t="s">
        <v>37</v>
      </c>
      <c r="E439" s="15">
        <v>10</v>
      </c>
      <c r="F439" s="28">
        <v>2.77</v>
      </c>
      <c r="G439" s="27">
        <v>8.1500749999999997E-2</v>
      </c>
    </row>
    <row r="440" spans="1:27">
      <c r="A440" s="15">
        <v>7</v>
      </c>
      <c r="B440" s="75">
        <v>40829</v>
      </c>
      <c r="C440" s="15">
        <v>2011</v>
      </c>
      <c r="D440" s="11" t="s">
        <v>37</v>
      </c>
      <c r="E440" s="15">
        <v>10</v>
      </c>
      <c r="F440" s="28">
        <v>2.016</v>
      </c>
      <c r="G440" s="27">
        <v>7.5169999999999994E-3</v>
      </c>
    </row>
    <row r="441" spans="1:27">
      <c r="A441" s="15">
        <v>14</v>
      </c>
      <c r="B441" s="75">
        <v>40829</v>
      </c>
      <c r="C441" s="15">
        <v>2011</v>
      </c>
      <c r="D441" s="11" t="s">
        <v>37</v>
      </c>
      <c r="E441" s="15">
        <v>10</v>
      </c>
      <c r="F441" s="28">
        <v>1.399</v>
      </c>
      <c r="G441" s="27">
        <v>0</v>
      </c>
      <c r="I441" s="27">
        <f>AVERAGE(F439:F441)</f>
        <v>2.0616666666666665</v>
      </c>
      <c r="J441" s="27">
        <f>AVERAGE(G439:G441)</f>
        <v>2.9672583333333332E-2</v>
      </c>
      <c r="L441">
        <f>+J441/I441</f>
        <v>1.4392522231204527E-2</v>
      </c>
      <c r="M441">
        <f>+(L441-$L$931)/$L$932</f>
        <v>-0.24015161733687906</v>
      </c>
      <c r="N441">
        <f>+N438+M441</f>
        <v>14.626028808325774</v>
      </c>
      <c r="Z441">
        <f>+(I441-$F$931)/$F$932</f>
        <v>-0.5865209558445007</v>
      </c>
      <c r="AA441">
        <f>+AA438+Z441</f>
        <v>33.434663874361405</v>
      </c>
    </row>
    <row r="442" spans="1:27">
      <c r="A442" s="15">
        <v>5</v>
      </c>
      <c r="B442" s="76">
        <v>40862</v>
      </c>
      <c r="C442" s="15">
        <v>2011</v>
      </c>
      <c r="D442" s="11" t="s">
        <v>38</v>
      </c>
      <c r="E442" s="15">
        <v>11</v>
      </c>
      <c r="F442" s="28">
        <v>4.5650000000000004</v>
      </c>
      <c r="G442" s="27">
        <v>5.5803999999999992E-2</v>
      </c>
    </row>
    <row r="443" spans="1:27">
      <c r="A443" s="15">
        <v>7</v>
      </c>
      <c r="B443" s="76">
        <v>40865</v>
      </c>
      <c r="C443" s="15">
        <v>2011</v>
      </c>
      <c r="D443" s="11" t="s">
        <v>38</v>
      </c>
      <c r="E443" s="15">
        <v>11</v>
      </c>
      <c r="F443" s="28">
        <v>1.5209999999999999</v>
      </c>
      <c r="G443" s="27">
        <v>0</v>
      </c>
    </row>
    <row r="444" spans="1:27">
      <c r="A444" s="15">
        <v>14</v>
      </c>
      <c r="B444" s="76">
        <v>40877</v>
      </c>
      <c r="C444" s="15">
        <v>2011</v>
      </c>
      <c r="D444" s="11" t="s">
        <v>38</v>
      </c>
      <c r="E444" s="15">
        <v>11</v>
      </c>
      <c r="F444" s="28">
        <v>1.0429999999999999</v>
      </c>
      <c r="G444" s="27">
        <v>0</v>
      </c>
      <c r="I444" s="27">
        <f>AVERAGE(F442:F444)</f>
        <v>2.3763333333333336</v>
      </c>
      <c r="J444" s="27">
        <f>AVERAGE(G442:G444)</f>
        <v>1.8601333333333331E-2</v>
      </c>
      <c r="L444">
        <f>+J444/I444</f>
        <v>7.8277458269041915E-3</v>
      </c>
      <c r="M444">
        <f>+(L444-$L$931)/$L$932</f>
        <v>-0.49609083609126181</v>
      </c>
      <c r="N444">
        <f>+N441+M444</f>
        <v>14.129937972234512</v>
      </c>
      <c r="Z444">
        <f>+(I444-$F$931)/$F$932</f>
        <v>-0.54343875946577913</v>
      </c>
      <c r="AA444">
        <f>+AA441+Z444</f>
        <v>32.891225114895626</v>
      </c>
    </row>
    <row r="445" spans="1:27">
      <c r="A445" s="15">
        <v>5</v>
      </c>
      <c r="B445" s="76">
        <v>40891</v>
      </c>
      <c r="C445" s="15">
        <v>2011</v>
      </c>
      <c r="D445" s="11" t="s">
        <v>39</v>
      </c>
      <c r="E445" s="15">
        <v>12</v>
      </c>
      <c r="F445" s="28">
        <v>2.3290000000000002</v>
      </c>
      <c r="G445" s="27">
        <v>1.4347999999999998E-2</v>
      </c>
    </row>
    <row r="446" spans="1:27">
      <c r="A446" s="15">
        <v>7</v>
      </c>
      <c r="B446" s="76">
        <v>40891</v>
      </c>
      <c r="C446" s="15">
        <v>2011</v>
      </c>
      <c r="D446" s="11" t="s">
        <v>39</v>
      </c>
      <c r="E446" s="15">
        <v>12</v>
      </c>
      <c r="F446" s="28">
        <v>1.361</v>
      </c>
      <c r="G446" s="27">
        <v>0</v>
      </c>
    </row>
    <row r="447" spans="1:27">
      <c r="A447" s="15">
        <v>14</v>
      </c>
      <c r="B447" s="76">
        <v>40891</v>
      </c>
      <c r="C447" s="15">
        <v>2011</v>
      </c>
      <c r="D447" s="11" t="s">
        <v>39</v>
      </c>
      <c r="E447" s="15">
        <v>12</v>
      </c>
      <c r="F447" s="28">
        <v>0.53100000000000003</v>
      </c>
      <c r="G447" s="27">
        <v>0</v>
      </c>
      <c r="I447" s="27">
        <f>AVERAGE(F445:F447)</f>
        <v>1.407</v>
      </c>
      <c r="J447" s="27">
        <f>AVERAGE(G445:G447)</f>
        <v>4.782666666666666E-3</v>
      </c>
      <c r="L447">
        <f>+J447/I447</f>
        <v>3.3991945036721152E-3</v>
      </c>
      <c r="M447">
        <f>+(L447-$L$931)/$L$932</f>
        <v>-0.66874560695889285</v>
      </c>
      <c r="N447">
        <f>+N444+M447</f>
        <v>13.461192365275618</v>
      </c>
      <c r="Z447">
        <f>+(I447-$F$931)/$F$932</f>
        <v>-0.67615383051379019</v>
      </c>
      <c r="AA447">
        <f>+AA444+Z447</f>
        <v>32.215071284381835</v>
      </c>
    </row>
    <row r="448" spans="1:27">
      <c r="A448" s="15">
        <v>5</v>
      </c>
      <c r="B448" s="75">
        <v>40919</v>
      </c>
      <c r="C448" s="15">
        <v>2012</v>
      </c>
      <c r="D448" s="11" t="s">
        <v>40</v>
      </c>
      <c r="E448" s="15">
        <v>1</v>
      </c>
      <c r="F448" s="30">
        <v>11.461</v>
      </c>
      <c r="G448" s="27">
        <v>5.3899749999999996E-2</v>
      </c>
    </row>
    <row r="449" spans="1:27">
      <c r="A449" s="15">
        <v>7</v>
      </c>
      <c r="B449" s="75">
        <v>40919</v>
      </c>
      <c r="C449" s="15">
        <v>2012</v>
      </c>
      <c r="D449" s="11" t="s">
        <v>40</v>
      </c>
      <c r="E449" s="15">
        <v>1</v>
      </c>
      <c r="F449" s="30">
        <v>2.4740000000000002</v>
      </c>
      <c r="G449" s="27">
        <v>1.6233499999999998E-2</v>
      </c>
    </row>
    <row r="450" spans="1:27">
      <c r="A450" s="15">
        <v>7</v>
      </c>
      <c r="B450" s="75">
        <v>40919</v>
      </c>
      <c r="C450" s="15">
        <v>2012</v>
      </c>
      <c r="D450" s="11" t="s">
        <v>40</v>
      </c>
      <c r="E450" s="15">
        <v>1</v>
      </c>
      <c r="F450" s="30">
        <v>2.4740000000000002</v>
      </c>
      <c r="G450" s="27">
        <v>1.5305249999999998E-2</v>
      </c>
      <c r="H450" t="s">
        <v>13</v>
      </c>
      <c r="I450" s="27"/>
      <c r="J450" s="27"/>
    </row>
    <row r="451" spans="1:27">
      <c r="A451" s="15">
        <v>14</v>
      </c>
      <c r="B451" s="75">
        <v>40919</v>
      </c>
      <c r="C451" s="15">
        <v>2012</v>
      </c>
      <c r="D451" s="11" t="s">
        <v>40</v>
      </c>
      <c r="E451" s="15">
        <v>1</v>
      </c>
      <c r="F451" s="30">
        <v>1.694</v>
      </c>
      <c r="G451" s="27">
        <v>8.1355000000000021E-3</v>
      </c>
      <c r="I451" s="27">
        <f>AVERAGE(F448:F451)</f>
        <v>4.5257499999999995</v>
      </c>
      <c r="J451" s="27">
        <f>AVERAGE(G448:G451)</f>
        <v>2.3393499999999998E-2</v>
      </c>
      <c r="L451">
        <f>+J451/I451</f>
        <v>5.1689775175385293E-3</v>
      </c>
      <c r="M451">
        <f>+(L451-$L$931)/$L$932</f>
        <v>-0.59974753999700336</v>
      </c>
      <c r="N451">
        <f>+N447+M451</f>
        <v>12.861444825278614</v>
      </c>
      <c r="Z451">
        <f>+(I451-$F$931)/$F$932</f>
        <v>-0.24915404251758891</v>
      </c>
      <c r="AA451">
        <f>+AA447+Z451</f>
        <v>31.965917241864247</v>
      </c>
    </row>
    <row r="452" spans="1:27">
      <c r="A452" s="15">
        <v>5</v>
      </c>
      <c r="B452" s="75">
        <v>40962</v>
      </c>
      <c r="C452" s="15">
        <v>2012</v>
      </c>
      <c r="D452" s="11" t="s">
        <v>29</v>
      </c>
      <c r="E452" s="15">
        <v>2</v>
      </c>
      <c r="F452" s="30">
        <v>3.3820000000000001</v>
      </c>
      <c r="G452" s="27">
        <v>2.8702125000000002E-2</v>
      </c>
    </row>
    <row r="453" spans="1:27">
      <c r="A453" s="15">
        <v>7</v>
      </c>
      <c r="B453" s="75">
        <v>40960</v>
      </c>
      <c r="C453" s="15">
        <v>2012</v>
      </c>
      <c r="D453" s="11" t="s">
        <v>29</v>
      </c>
      <c r="E453" s="15">
        <v>2</v>
      </c>
      <c r="F453" s="30">
        <v>1.637</v>
      </c>
      <c r="G453" s="27">
        <v>1.4260874999999999E-2</v>
      </c>
    </row>
    <row r="454" spans="1:27">
      <c r="A454" s="15">
        <v>14</v>
      </c>
      <c r="B454" s="75">
        <v>40960</v>
      </c>
      <c r="C454" s="15">
        <v>2012</v>
      </c>
      <c r="D454" s="11" t="s">
        <v>29</v>
      </c>
      <c r="E454" s="15">
        <v>2</v>
      </c>
      <c r="F454" s="30">
        <v>1.046</v>
      </c>
      <c r="G454" s="27">
        <v>1.0724625E-2</v>
      </c>
    </row>
    <row r="455" spans="1:27">
      <c r="A455" s="15">
        <v>14</v>
      </c>
      <c r="B455" s="75">
        <v>40960</v>
      </c>
      <c r="C455" s="15">
        <v>2012</v>
      </c>
      <c r="D455" s="11" t="s">
        <v>29</v>
      </c>
      <c r="E455" s="15">
        <v>2</v>
      </c>
      <c r="F455" s="30">
        <v>1.046</v>
      </c>
      <c r="G455" s="27">
        <v>1.0570625E-2</v>
      </c>
      <c r="H455" t="s">
        <v>13</v>
      </c>
      <c r="I455" s="27">
        <f>AVERAGE(F452:F455)</f>
        <v>1.7777500000000002</v>
      </c>
      <c r="J455" s="27">
        <f>AVERAGE(G452:G455)</f>
        <v>1.6064562500000001E-2</v>
      </c>
      <c r="L455">
        <f>+J455/I455</f>
        <v>9.0364576009000133E-3</v>
      </c>
      <c r="M455">
        <f>+(L455-$L$931)/$L$932</f>
        <v>-0.44896710664739731</v>
      </c>
      <c r="N455">
        <f>+N451+M455</f>
        <v>12.412477718631216</v>
      </c>
      <c r="Z455">
        <f>+(I455-$F$931)/$F$932</f>
        <v>-0.62539305411311952</v>
      </c>
      <c r="AA455">
        <f>+AA451+Z455</f>
        <v>31.340524187751129</v>
      </c>
    </row>
    <row r="456" spans="1:27">
      <c r="A456" s="15">
        <v>5</v>
      </c>
      <c r="B456" s="75">
        <v>40980</v>
      </c>
      <c r="C456" s="15">
        <v>2012</v>
      </c>
      <c r="D456" s="11" t="s">
        <v>30</v>
      </c>
      <c r="E456" s="15">
        <v>3</v>
      </c>
      <c r="F456" s="30">
        <v>3.1850000000000001</v>
      </c>
      <c r="G456" s="27">
        <v>3.0171875000000004E-2</v>
      </c>
    </row>
    <row r="457" spans="1:27">
      <c r="A457" s="15">
        <v>7</v>
      </c>
      <c r="B457" s="75">
        <v>40982</v>
      </c>
      <c r="C457" s="15">
        <v>2012</v>
      </c>
      <c r="D457" s="11" t="s">
        <v>30</v>
      </c>
      <c r="E457" s="15">
        <v>3</v>
      </c>
      <c r="F457" s="30">
        <v>2.8159999999999998</v>
      </c>
      <c r="G457" s="27">
        <v>1.6994499999999999E-2</v>
      </c>
    </row>
    <row r="458" spans="1:27">
      <c r="A458" s="15">
        <v>14</v>
      </c>
      <c r="B458" s="75">
        <v>40982</v>
      </c>
      <c r="C458" s="15">
        <v>2012</v>
      </c>
      <c r="D458" s="11" t="s">
        <v>30</v>
      </c>
      <c r="E458" s="15">
        <v>3</v>
      </c>
      <c r="F458" s="30">
        <v>1.1919999999999999</v>
      </c>
      <c r="G458" s="27">
        <v>0</v>
      </c>
      <c r="I458" s="27">
        <f>AVERAGE(F455:F458)</f>
        <v>2.0597499999999997</v>
      </c>
      <c r="J458" s="27">
        <f>AVERAGE(G455:G458)</f>
        <v>1.4434249999999999E-2</v>
      </c>
      <c r="L458">
        <f>+J458/I458</f>
        <v>7.0077679330015786E-3</v>
      </c>
      <c r="M458">
        <f>+(L458-$L$931)/$L$932</f>
        <v>-0.5280590995379536</v>
      </c>
      <c r="N458">
        <f>+N455+M458</f>
        <v>11.884418619093262</v>
      </c>
      <c r="Z458">
        <f>+(I458-$F$931)/$F$932</f>
        <v>-0.58678337388388391</v>
      </c>
      <c r="AA458">
        <f>+AA455+Z458</f>
        <v>30.753740813867246</v>
      </c>
    </row>
    <row r="459" spans="1:27">
      <c r="A459" s="15">
        <v>5</v>
      </c>
      <c r="B459" s="75">
        <v>41015</v>
      </c>
      <c r="C459" s="15">
        <v>2012</v>
      </c>
      <c r="D459" s="11" t="s">
        <v>31</v>
      </c>
      <c r="E459" s="15">
        <v>4</v>
      </c>
      <c r="F459" s="26">
        <v>1.6759999999999999</v>
      </c>
      <c r="G459" s="27">
        <v>1.7430250000000001E-2</v>
      </c>
    </row>
    <row r="460" spans="1:27">
      <c r="A460" s="15">
        <v>7</v>
      </c>
      <c r="B460" s="75">
        <v>41016</v>
      </c>
      <c r="C460" s="15">
        <v>2012</v>
      </c>
      <c r="D460" s="11" t="s">
        <v>31</v>
      </c>
      <c r="E460" s="15">
        <v>4</v>
      </c>
      <c r="F460" s="26">
        <v>1.776</v>
      </c>
      <c r="G460" s="27">
        <v>2.0931624999999995E-2</v>
      </c>
      <c r="I460" s="27"/>
      <c r="J460" s="27"/>
    </row>
    <row r="461" spans="1:27">
      <c r="A461" s="15">
        <v>14</v>
      </c>
      <c r="B461" s="75">
        <v>41016</v>
      </c>
      <c r="C461" s="15">
        <v>2012</v>
      </c>
      <c r="D461" s="11" t="s">
        <v>31</v>
      </c>
      <c r="E461" s="15">
        <v>4</v>
      </c>
      <c r="F461" s="26">
        <v>1.0149999999999999</v>
      </c>
      <c r="G461" s="27">
        <v>2.0936499999999997E-2</v>
      </c>
      <c r="I461" s="27">
        <f>AVERAGE(F459:F461)</f>
        <v>1.4889999999999999</v>
      </c>
      <c r="J461" s="27">
        <f>AVERAGE(G459:G461)</f>
        <v>1.9766124999999999E-2</v>
      </c>
      <c r="L461">
        <f>+J461/I461</f>
        <v>1.3274764942914708E-2</v>
      </c>
      <c r="M461">
        <f>+(L461-$L$931)/$L$932</f>
        <v>-0.2837293280620326</v>
      </c>
      <c r="N461">
        <f>+N458+M461</f>
        <v>11.60068929103123</v>
      </c>
      <c r="Z461">
        <f>+(I461-$F$931)/$F$932</f>
        <v>-0.66492690222018269</v>
      </c>
      <c r="AA461">
        <f>+AA458+Z461</f>
        <v>30.088813911647062</v>
      </c>
    </row>
    <row r="462" spans="1:27">
      <c r="A462" s="15">
        <v>5</v>
      </c>
      <c r="B462" s="75">
        <v>41045</v>
      </c>
      <c r="C462" s="15">
        <v>2012</v>
      </c>
      <c r="D462" s="11" t="s">
        <v>32</v>
      </c>
      <c r="E462" s="15">
        <v>5</v>
      </c>
      <c r="F462" s="26">
        <v>3.4529999999999998</v>
      </c>
      <c r="G462" s="27">
        <v>2.0098375000000002E-2</v>
      </c>
    </row>
    <row r="463" spans="1:27">
      <c r="A463" s="15">
        <v>7</v>
      </c>
      <c r="B463" s="75">
        <v>41046</v>
      </c>
      <c r="C463" s="15">
        <v>2012</v>
      </c>
      <c r="D463" s="11" t="s">
        <v>32</v>
      </c>
      <c r="E463" s="15">
        <v>5</v>
      </c>
      <c r="F463" s="26">
        <v>6.641</v>
      </c>
      <c r="G463" s="27">
        <v>0.10121724999999998</v>
      </c>
    </row>
    <row r="464" spans="1:27">
      <c r="A464" s="15">
        <v>14</v>
      </c>
      <c r="B464" s="75">
        <v>41046</v>
      </c>
      <c r="C464" s="15">
        <v>2012</v>
      </c>
      <c r="D464" s="11" t="s">
        <v>32</v>
      </c>
      <c r="E464" s="15">
        <v>5</v>
      </c>
      <c r="F464" s="26">
        <v>4.2300000000000004</v>
      </c>
      <c r="G464" s="27">
        <v>1.5044999999999999E-2</v>
      </c>
      <c r="I464" s="27">
        <f>AVERAGE(F462:F464)</f>
        <v>4.7746666666666666</v>
      </c>
      <c r="J464" s="27">
        <f>AVERAGE(G462:G464)</f>
        <v>4.5453541666666659E-2</v>
      </c>
      <c r="L464">
        <f>+J464/I464</f>
        <v>9.5197308712650086E-3</v>
      </c>
      <c r="M464">
        <f>+(L464-$L$931)/$L$932</f>
        <v>-0.43012585819587823</v>
      </c>
      <c r="N464">
        <f>+N461+M464</f>
        <v>11.170563432835351</v>
      </c>
      <c r="Z464">
        <f>+(I464-$F$931)/$F$932</f>
        <v>-0.21507392583770496</v>
      </c>
      <c r="AA464">
        <f>+AA461+Z464</f>
        <v>29.873739985809358</v>
      </c>
    </row>
    <row r="465" spans="1:27">
      <c r="A465" s="15">
        <v>5</v>
      </c>
      <c r="B465" s="75">
        <v>41073</v>
      </c>
      <c r="C465" s="15">
        <v>2012</v>
      </c>
      <c r="D465" s="11" t="s">
        <v>33</v>
      </c>
      <c r="E465" s="15">
        <v>6</v>
      </c>
      <c r="F465" s="26">
        <v>8.7240000000000002</v>
      </c>
      <c r="G465" s="27">
        <v>0.12665750000000001</v>
      </c>
    </row>
    <row r="466" spans="1:27">
      <c r="A466" s="15">
        <v>7</v>
      </c>
      <c r="B466" s="75">
        <v>41080</v>
      </c>
      <c r="C466" s="15">
        <v>2012</v>
      </c>
      <c r="D466" s="11" t="s">
        <v>33</v>
      </c>
      <c r="E466" s="15">
        <v>6</v>
      </c>
      <c r="F466" s="26">
        <v>6.5609999999999999</v>
      </c>
      <c r="G466" s="27">
        <v>0.46401162499999993</v>
      </c>
    </row>
    <row r="467" spans="1:27">
      <c r="A467" s="15">
        <v>7</v>
      </c>
      <c r="B467" s="75">
        <v>41080</v>
      </c>
      <c r="C467" s="15">
        <v>2012</v>
      </c>
      <c r="D467" s="11" t="s">
        <v>33</v>
      </c>
      <c r="E467" s="15">
        <v>6</v>
      </c>
      <c r="F467" s="26">
        <v>6.5609999999999999</v>
      </c>
      <c r="G467" s="27">
        <v>0.48233562500000005</v>
      </c>
      <c r="H467" t="s">
        <v>13</v>
      </c>
      <c r="I467" s="27"/>
      <c r="J467" s="27"/>
    </row>
    <row r="468" spans="1:27">
      <c r="A468" s="15">
        <v>14</v>
      </c>
      <c r="B468" s="75">
        <v>41080</v>
      </c>
      <c r="C468" s="15">
        <v>2012</v>
      </c>
      <c r="D468" s="11" t="s">
        <v>33</v>
      </c>
      <c r="E468" s="15">
        <v>6</v>
      </c>
      <c r="F468" s="26">
        <v>1.976</v>
      </c>
      <c r="G468" s="27">
        <v>0.11574399999999999</v>
      </c>
      <c r="I468" s="27">
        <f>AVERAGE(F465:F468)</f>
        <v>5.9554999999999998</v>
      </c>
      <c r="J468" s="27">
        <f>AVERAGE(G465:G468)</f>
        <v>0.29718718750000001</v>
      </c>
      <c r="L468">
        <f>+J468/I468</f>
        <v>4.990129921920914E-2</v>
      </c>
      <c r="M468">
        <f>+(L468-$L$931)/$L$932</f>
        <v>1.1442197734815869</v>
      </c>
      <c r="N468">
        <f>+N464+M468</f>
        <v>12.314783206316939</v>
      </c>
      <c r="Z468">
        <f>+(I468-$F$931)/$F$932</f>
        <v>-5.340159461776716E-2</v>
      </c>
      <c r="AA468">
        <f>+AA464+Z468</f>
        <v>29.820338391191591</v>
      </c>
    </row>
    <row r="469" spans="1:27">
      <c r="A469" s="15">
        <v>5</v>
      </c>
      <c r="B469" s="75">
        <v>41107</v>
      </c>
      <c r="C469" s="15">
        <v>2012</v>
      </c>
      <c r="D469" s="11" t="s">
        <v>34</v>
      </c>
      <c r="E469" s="15">
        <v>7</v>
      </c>
      <c r="F469" s="26">
        <v>13.635999999999999</v>
      </c>
      <c r="G469" s="27">
        <v>1.2550624999999996E-2</v>
      </c>
    </row>
    <row r="470" spans="1:27">
      <c r="A470" s="15">
        <v>7</v>
      </c>
      <c r="B470" s="75">
        <v>41106</v>
      </c>
      <c r="C470" s="15">
        <v>2012</v>
      </c>
      <c r="D470" s="11" t="s">
        <v>34</v>
      </c>
      <c r="E470" s="15">
        <v>7</v>
      </c>
      <c r="F470" s="26">
        <v>10.025</v>
      </c>
      <c r="G470" s="27">
        <v>0.26002174999999994</v>
      </c>
      <c r="I470" s="27"/>
      <c r="J470" s="27"/>
    </row>
    <row r="471" spans="1:27">
      <c r="A471" s="15">
        <v>14</v>
      </c>
      <c r="B471" s="75">
        <v>41106</v>
      </c>
      <c r="C471" s="15">
        <v>2012</v>
      </c>
      <c r="D471" s="11" t="s">
        <v>34</v>
      </c>
      <c r="E471" s="15">
        <v>7</v>
      </c>
      <c r="F471" s="26">
        <v>7.0940000000000003</v>
      </c>
      <c r="G471" s="27">
        <v>0.11426099999999999</v>
      </c>
      <c r="I471" s="27">
        <f>AVERAGE(F469:F471)</f>
        <v>10.251666666666667</v>
      </c>
      <c r="J471" s="27">
        <f>AVERAGE(G469:G471)</f>
        <v>0.12894445833333332</v>
      </c>
      <c r="L471">
        <f>+J471/I471</f>
        <v>1.257790196715981E-2</v>
      </c>
      <c r="M471">
        <f>+(L471-$L$931)/$L$932</f>
        <v>-0.3108977424312912</v>
      </c>
      <c r="N471">
        <f>+N468+M471</f>
        <v>12.003885463885648</v>
      </c>
      <c r="Z471">
        <f>+(I471-$F$931)/$F$932</f>
        <v>0.53480273591947181</v>
      </c>
      <c r="AA471">
        <f>+AA468+Z471</f>
        <v>30.355141127111061</v>
      </c>
    </row>
    <row r="472" spans="1:27">
      <c r="A472" s="15">
        <v>5</v>
      </c>
      <c r="B472" s="75">
        <v>41135</v>
      </c>
      <c r="C472" s="15">
        <v>2012</v>
      </c>
      <c r="D472" s="11" t="s">
        <v>35</v>
      </c>
      <c r="E472" s="15">
        <v>8</v>
      </c>
      <c r="F472" s="26">
        <v>57.398000000000003</v>
      </c>
      <c r="G472" s="27">
        <v>0.10055837500000001</v>
      </c>
    </row>
    <row r="473" spans="1:27">
      <c r="A473" s="15">
        <v>7</v>
      </c>
      <c r="B473" s="75">
        <v>41137</v>
      </c>
      <c r="C473" s="15">
        <v>2012</v>
      </c>
      <c r="D473" s="11" t="s">
        <v>35</v>
      </c>
      <c r="E473" s="15">
        <v>8</v>
      </c>
      <c r="F473" s="26">
        <v>21.312999999999999</v>
      </c>
      <c r="G473" s="27">
        <v>0.27001974999999995</v>
      </c>
    </row>
    <row r="474" spans="1:27">
      <c r="A474" s="15">
        <v>14</v>
      </c>
      <c r="B474" s="75">
        <v>41137</v>
      </c>
      <c r="C474" s="15">
        <v>2012</v>
      </c>
      <c r="D474" s="11" t="s">
        <v>35</v>
      </c>
      <c r="E474" s="15">
        <v>8</v>
      </c>
      <c r="F474" s="26">
        <v>3.71</v>
      </c>
      <c r="G474" s="27">
        <v>8.2683500000000007E-2</v>
      </c>
      <c r="I474" s="27">
        <f>AVERAGE(F472:F474)</f>
        <v>27.473666666666663</v>
      </c>
      <c r="J474" s="27">
        <f>AVERAGE(G472:G474)</f>
        <v>0.15108720833333333</v>
      </c>
      <c r="L474">
        <f>+J474/I474</f>
        <v>5.4993463437716123E-3</v>
      </c>
      <c r="M474">
        <f>+(L474-$L$931)/$L$932</f>
        <v>-0.58686753707237838</v>
      </c>
      <c r="N474">
        <f>+N471+M474</f>
        <v>11.417017926813269</v>
      </c>
      <c r="Z474">
        <f>+(I474-$F$931)/$F$932</f>
        <v>2.8927315050964104</v>
      </c>
      <c r="AA474">
        <f>+AA471+Z474</f>
        <v>33.247872632207475</v>
      </c>
    </row>
    <row r="475" spans="1:27">
      <c r="A475" s="15">
        <v>5</v>
      </c>
      <c r="B475" s="75">
        <v>41164</v>
      </c>
      <c r="C475" s="15">
        <v>2012</v>
      </c>
      <c r="D475" s="11" t="s">
        <v>41</v>
      </c>
      <c r="E475" s="15">
        <v>9</v>
      </c>
      <c r="F475" s="26">
        <v>13.07</v>
      </c>
      <c r="G475" s="27">
        <v>0.28563712499999999</v>
      </c>
    </row>
    <row r="476" spans="1:27">
      <c r="A476" s="15">
        <v>7</v>
      </c>
      <c r="B476" s="75">
        <v>41163</v>
      </c>
      <c r="C476" s="15">
        <v>2012</v>
      </c>
      <c r="D476" s="11" t="s">
        <v>41</v>
      </c>
      <c r="E476" s="15">
        <v>9</v>
      </c>
      <c r="F476" s="26">
        <v>20.484999999999999</v>
      </c>
      <c r="G476" s="27">
        <v>0.34916787499999996</v>
      </c>
    </row>
    <row r="477" spans="1:27">
      <c r="A477" s="15">
        <v>14</v>
      </c>
      <c r="B477" s="75">
        <v>41163</v>
      </c>
      <c r="C477" s="15">
        <v>2012</v>
      </c>
      <c r="D477" s="11" t="s">
        <v>41</v>
      </c>
      <c r="E477" s="15">
        <v>9</v>
      </c>
      <c r="F477" s="26">
        <v>2.7469999999999999</v>
      </c>
      <c r="G477" s="27">
        <v>0.156534125</v>
      </c>
      <c r="I477" s="27">
        <f>AVERAGE(F475:F477)</f>
        <v>12.100666666666667</v>
      </c>
      <c r="J477" s="27">
        <f>AVERAGE(G475:G477)</f>
        <v>0.26377970833333331</v>
      </c>
      <c r="L477">
        <f>+J477/I477</f>
        <v>2.1798774860889204E-2</v>
      </c>
      <c r="M477">
        <f>+(L477-$L$931)/$L$932</f>
        <v>4.8594014684553606E-2</v>
      </c>
      <c r="N477">
        <f>+N474+M477</f>
        <v>11.465611941497823</v>
      </c>
      <c r="Z477">
        <f>+(I477-$F$931)/$F$932</f>
        <v>0.78795627756435405</v>
      </c>
      <c r="AA477">
        <f>+AA474+Z477</f>
        <v>34.03582890977183</v>
      </c>
    </row>
    <row r="478" spans="1:27">
      <c r="A478" s="15">
        <v>5</v>
      </c>
      <c r="B478" s="75">
        <v>41199</v>
      </c>
      <c r="C478" s="15">
        <v>2012</v>
      </c>
      <c r="D478" s="11" t="s">
        <v>37</v>
      </c>
      <c r="E478" s="15">
        <v>10</v>
      </c>
      <c r="F478" s="26">
        <v>3.6970000000000001</v>
      </c>
      <c r="G478" s="27">
        <v>7.5140999999999999E-2</v>
      </c>
    </row>
    <row r="479" spans="1:27">
      <c r="A479" s="15">
        <v>7</v>
      </c>
      <c r="B479" s="75">
        <v>41199</v>
      </c>
      <c r="C479" s="15">
        <v>2012</v>
      </c>
      <c r="D479" s="11" t="s">
        <v>37</v>
      </c>
      <c r="E479" s="15">
        <v>10</v>
      </c>
      <c r="F479" s="26">
        <v>1.903</v>
      </c>
      <c r="G479" s="27">
        <v>9.5239999999999995E-3</v>
      </c>
    </row>
    <row r="480" spans="1:27">
      <c r="A480" s="15">
        <v>14</v>
      </c>
      <c r="B480" s="75">
        <v>41199</v>
      </c>
      <c r="C480" s="15">
        <v>2012</v>
      </c>
      <c r="D480" s="11" t="s">
        <v>37</v>
      </c>
      <c r="E480" s="15">
        <v>10</v>
      </c>
      <c r="F480" s="26">
        <v>1.704</v>
      </c>
      <c r="G480" s="27">
        <v>0</v>
      </c>
      <c r="I480" s="27">
        <f>AVERAGE(F478:F480)</f>
        <v>2.4346666666666663</v>
      </c>
      <c r="J480" s="27">
        <f>AVERAGE(G478:G480)</f>
        <v>2.8221666666666669E-2</v>
      </c>
      <c r="L480">
        <f>+J480/I480</f>
        <v>1.1591593647316541E-2</v>
      </c>
      <c r="M480">
        <f>+(L480-$L$931)/$L$932</f>
        <v>-0.34935068664219737</v>
      </c>
      <c r="N480">
        <f>+N477+M480</f>
        <v>11.116261254855626</v>
      </c>
      <c r="Z480">
        <f>+(I480-$F$931)/$F$932</f>
        <v>-0.53545212348455429</v>
      </c>
      <c r="AA480">
        <f>+AA477+Z480</f>
        <v>33.500376786287276</v>
      </c>
    </row>
    <row r="481" spans="1:27">
      <c r="A481" s="15">
        <v>5</v>
      </c>
      <c r="B481" s="75">
        <v>41225</v>
      </c>
      <c r="C481" s="15">
        <v>2012</v>
      </c>
      <c r="D481" s="11" t="s">
        <v>38</v>
      </c>
      <c r="E481" s="15">
        <v>11</v>
      </c>
      <c r="F481" s="26">
        <v>4.7450000000000001</v>
      </c>
      <c r="G481" s="27">
        <v>5.1626249999999992E-2</v>
      </c>
    </row>
    <row r="482" spans="1:27">
      <c r="A482" s="15">
        <v>7</v>
      </c>
      <c r="B482" s="75">
        <v>41225</v>
      </c>
      <c r="C482" s="15">
        <v>2012</v>
      </c>
      <c r="D482" s="11" t="s">
        <v>38</v>
      </c>
      <c r="E482" s="15">
        <v>11</v>
      </c>
      <c r="F482" s="26">
        <v>4.2389999999999999</v>
      </c>
      <c r="G482" s="27">
        <v>3.4691124999999996E-2</v>
      </c>
    </row>
    <row r="483" spans="1:27">
      <c r="A483" s="15">
        <v>14</v>
      </c>
      <c r="B483" s="75">
        <v>41225</v>
      </c>
      <c r="C483" s="15">
        <v>2012</v>
      </c>
      <c r="D483" s="11" t="s">
        <v>38</v>
      </c>
      <c r="E483" s="15">
        <v>11</v>
      </c>
      <c r="F483" s="26">
        <v>1.831</v>
      </c>
      <c r="G483" s="27">
        <v>1.0420499999999999E-2</v>
      </c>
    </row>
    <row r="484" spans="1:27">
      <c r="A484" s="15">
        <v>14</v>
      </c>
      <c r="B484" s="75">
        <v>41225</v>
      </c>
      <c r="C484" s="15">
        <v>2012</v>
      </c>
      <c r="D484" s="11" t="s">
        <v>38</v>
      </c>
      <c r="E484" s="15">
        <v>11</v>
      </c>
      <c r="F484" s="26">
        <v>1.831</v>
      </c>
      <c r="G484" s="27">
        <v>1.7376874999999996E-2</v>
      </c>
      <c r="H484" t="s">
        <v>13</v>
      </c>
      <c r="I484" s="27">
        <f>AVERAGE(F481:F484)</f>
        <v>3.1614999999999998</v>
      </c>
      <c r="J484" s="27">
        <f>AVERAGE(G481:G484)</f>
        <v>2.8528687499999997E-2</v>
      </c>
      <c r="L484">
        <f>+J484/I484</f>
        <v>9.0237822236280251E-3</v>
      </c>
      <c r="M484">
        <f>+(L484-$L$931)/$L$932</f>
        <v>-0.44946127826218141</v>
      </c>
      <c r="N484">
        <f>+N480+M484</f>
        <v>10.666799976593445</v>
      </c>
      <c r="Z484">
        <f>+(I484-$F$931)/$F$932</f>
        <v>-0.43593863915849235</v>
      </c>
      <c r="AA484">
        <f>+AA480+Z484</f>
        <v>33.064438147128783</v>
      </c>
    </row>
    <row r="485" spans="1:27">
      <c r="A485" s="15">
        <v>5</v>
      </c>
      <c r="B485" s="75">
        <v>41254</v>
      </c>
      <c r="C485" s="15">
        <v>2012</v>
      </c>
      <c r="D485" s="11" t="s">
        <v>39</v>
      </c>
      <c r="E485" s="15">
        <v>12</v>
      </c>
      <c r="F485" s="26">
        <v>2.2109999999999999</v>
      </c>
      <c r="G485" s="27">
        <v>0</v>
      </c>
    </row>
    <row r="486" spans="1:27">
      <c r="A486" s="15">
        <v>7</v>
      </c>
      <c r="B486" s="75">
        <v>41255</v>
      </c>
      <c r="C486" s="15">
        <v>2012</v>
      </c>
      <c r="D486" s="11" t="s">
        <v>39</v>
      </c>
      <c r="E486" s="15">
        <v>12</v>
      </c>
      <c r="F486" s="26">
        <v>3.383</v>
      </c>
      <c r="G486" s="27">
        <v>7.5126250000000011E-3</v>
      </c>
    </row>
    <row r="487" spans="1:27">
      <c r="A487" s="15">
        <v>14</v>
      </c>
      <c r="B487" s="75">
        <v>41255</v>
      </c>
      <c r="C487" s="15">
        <v>2012</v>
      </c>
      <c r="D487" s="11" t="s">
        <v>39</v>
      </c>
      <c r="E487" s="15">
        <v>12</v>
      </c>
      <c r="F487" s="26">
        <v>1.1919999999999999</v>
      </c>
      <c r="G487" s="27">
        <v>0</v>
      </c>
      <c r="I487" s="27">
        <f>AVERAGE(F485:F487)</f>
        <v>2.262</v>
      </c>
      <c r="J487" s="27">
        <f>AVERAGE(G485:G487)</f>
        <v>2.5042083333333335E-3</v>
      </c>
      <c r="L487">
        <f>+J487/I487</f>
        <v>1.1070770704391395E-3</v>
      </c>
      <c r="M487">
        <f>+(L487-$L$931)/$L$932</f>
        <v>-0.75810778916066013</v>
      </c>
      <c r="N487">
        <f>+N484+M487</f>
        <v>9.908692187432786</v>
      </c>
      <c r="Z487">
        <f>+(I487-$F$931)/$F$932</f>
        <v>-0.55909256598897983</v>
      </c>
      <c r="AA487">
        <f>+AA484+Z487</f>
        <v>32.505345581139807</v>
      </c>
    </row>
    <row r="488" spans="1:27">
      <c r="A488" s="15">
        <v>5</v>
      </c>
      <c r="B488" s="75">
        <v>41288</v>
      </c>
      <c r="C488" s="15">
        <v>2013</v>
      </c>
      <c r="D488" s="11" t="s">
        <v>40</v>
      </c>
      <c r="E488" s="15">
        <v>1</v>
      </c>
      <c r="F488" s="26">
        <v>2.3490000000000002</v>
      </c>
      <c r="G488" s="27">
        <v>0</v>
      </c>
    </row>
    <row r="489" spans="1:27">
      <c r="A489" s="15">
        <v>7</v>
      </c>
      <c r="B489" s="75">
        <v>41297</v>
      </c>
      <c r="C489" s="15">
        <v>2013</v>
      </c>
      <c r="D489" s="11" t="s">
        <v>40</v>
      </c>
      <c r="E489" s="15">
        <v>1</v>
      </c>
      <c r="F489" s="26">
        <v>2.6680000000000001</v>
      </c>
      <c r="G489" s="27">
        <v>1.1120875000000001E-2</v>
      </c>
    </row>
    <row r="490" spans="1:27">
      <c r="A490" s="15">
        <v>7</v>
      </c>
      <c r="B490" s="75">
        <v>41297</v>
      </c>
      <c r="C490" s="15">
        <v>2013</v>
      </c>
      <c r="D490" s="11" t="s">
        <v>40</v>
      </c>
      <c r="E490" s="15">
        <v>1</v>
      </c>
      <c r="F490" s="26">
        <v>2.6680000000000001</v>
      </c>
      <c r="G490" s="27">
        <v>1.3276874999999999E-2</v>
      </c>
      <c r="H490" t="s">
        <v>13</v>
      </c>
    </row>
    <row r="491" spans="1:27">
      <c r="A491" s="15">
        <v>14</v>
      </c>
      <c r="B491" s="75">
        <v>41297</v>
      </c>
      <c r="C491" s="15">
        <v>2013</v>
      </c>
      <c r="D491" s="11" t="s">
        <v>40</v>
      </c>
      <c r="E491" s="15">
        <v>1</v>
      </c>
      <c r="F491" s="26">
        <v>1.38</v>
      </c>
      <c r="G491" s="27">
        <v>1.1739874999999999E-2</v>
      </c>
      <c r="I491" s="27">
        <f>AVERAGE(F488:F491)</f>
        <v>2.2662500000000003</v>
      </c>
      <c r="J491" s="27">
        <f>AVERAGE(G488:G491)</f>
        <v>9.0344062499999999E-3</v>
      </c>
      <c r="L491">
        <f>+J491/I491</f>
        <v>3.9865002757859891E-3</v>
      </c>
      <c r="M491">
        <f>+(L491-$L$931)/$L$932</f>
        <v>-0.64584847060154504</v>
      </c>
      <c r="N491">
        <f>+N487+M491</f>
        <v>9.2628437168312416</v>
      </c>
      <c r="Z491">
        <f>+(I491-$F$931)/$F$932</f>
        <v>-0.55851068251034774</v>
      </c>
      <c r="AA491">
        <f>+AA487+Z491</f>
        <v>31.946834898629458</v>
      </c>
    </row>
    <row r="492" spans="1:27">
      <c r="A492" s="15">
        <v>5</v>
      </c>
      <c r="B492" s="75">
        <v>41318</v>
      </c>
      <c r="C492" s="15">
        <v>2013</v>
      </c>
      <c r="D492" s="11" t="s">
        <v>29</v>
      </c>
      <c r="E492" s="15">
        <v>2</v>
      </c>
      <c r="F492" s="31">
        <v>8.3369999999999997</v>
      </c>
      <c r="G492" s="27">
        <v>2.5176125000000001E-2</v>
      </c>
    </row>
    <row r="493" spans="1:27">
      <c r="A493" s="15">
        <v>7</v>
      </c>
      <c r="B493" s="75">
        <v>41319</v>
      </c>
      <c r="C493" s="15">
        <v>2013</v>
      </c>
      <c r="D493" s="11" t="s">
        <v>29</v>
      </c>
      <c r="E493" s="15">
        <v>2</v>
      </c>
      <c r="F493" s="31">
        <v>5.2880000000000003</v>
      </c>
      <c r="G493" s="27">
        <v>1.0161E-2</v>
      </c>
    </row>
    <row r="494" spans="1:27">
      <c r="A494" s="15">
        <v>14</v>
      </c>
      <c r="B494" s="75">
        <v>41319</v>
      </c>
      <c r="C494" s="15">
        <v>2013</v>
      </c>
      <c r="D494" s="11" t="s">
        <v>29</v>
      </c>
      <c r="E494" s="15">
        <v>2</v>
      </c>
      <c r="F494" s="31">
        <v>6.0389999999999997</v>
      </c>
      <c r="G494" s="27">
        <v>0</v>
      </c>
    </row>
    <row r="495" spans="1:27">
      <c r="A495" s="15">
        <v>14</v>
      </c>
      <c r="B495" s="75">
        <v>41319</v>
      </c>
      <c r="C495" s="15">
        <v>2013</v>
      </c>
      <c r="D495" s="11" t="s">
        <v>29</v>
      </c>
      <c r="E495" s="15">
        <v>2</v>
      </c>
      <c r="F495" s="31">
        <v>6.0389999999999997</v>
      </c>
      <c r="G495" s="27">
        <v>1.7468125000000001E-2</v>
      </c>
      <c r="H495" t="s">
        <v>13</v>
      </c>
      <c r="I495" s="27">
        <f>AVERAGE(F492:F495)</f>
        <v>6.4257500000000007</v>
      </c>
      <c r="J495" s="27">
        <f>AVERAGE(G492:G495)</f>
        <v>1.32013125E-2</v>
      </c>
      <c r="L495">
        <f>+J495/I495</f>
        <v>2.0544391705248411E-3</v>
      </c>
      <c r="M495">
        <f>+(L495-$L$931)/$L$932</f>
        <v>-0.72117323102176978</v>
      </c>
      <c r="N495">
        <f>+N491+M495</f>
        <v>8.5416704858094725</v>
      </c>
      <c r="Z495">
        <f>+(I495-$F$931)/$F$932</f>
        <v>1.098210087087864E-2</v>
      </c>
      <c r="AA495">
        <f>+AA491+Z495</f>
        <v>31.957816999500338</v>
      </c>
    </row>
    <row r="496" spans="1:27">
      <c r="A496" s="15">
        <v>5</v>
      </c>
      <c r="B496" s="75">
        <v>41344</v>
      </c>
      <c r="C496" s="15">
        <v>2013</v>
      </c>
      <c r="D496" s="11" t="s">
        <v>30</v>
      </c>
      <c r="E496" s="15">
        <v>3</v>
      </c>
      <c r="F496" s="31">
        <v>6.8650000000000002</v>
      </c>
      <c r="G496" s="27">
        <v>4.4098999999999999E-2</v>
      </c>
    </row>
    <row r="497" spans="1:27">
      <c r="A497" s="15">
        <v>7</v>
      </c>
      <c r="B497" s="75">
        <v>41346</v>
      </c>
      <c r="C497" s="15">
        <v>2013</v>
      </c>
      <c r="D497" s="11" t="s">
        <v>30</v>
      </c>
      <c r="E497" s="15">
        <v>3</v>
      </c>
      <c r="F497" s="31">
        <v>10.744</v>
      </c>
      <c r="G497" s="27">
        <v>4.7323625000000001E-2</v>
      </c>
    </row>
    <row r="498" spans="1:27">
      <c r="A498" s="15">
        <v>14</v>
      </c>
      <c r="B498" s="75">
        <v>41346</v>
      </c>
      <c r="C498" s="15">
        <v>2013</v>
      </c>
      <c r="D498" s="11" t="s">
        <v>30</v>
      </c>
      <c r="E498" s="15">
        <v>3</v>
      </c>
      <c r="F498" s="31">
        <v>8.9760000000000009</v>
      </c>
      <c r="G498" s="27">
        <v>5.1243625000000001E-2</v>
      </c>
      <c r="I498" s="27">
        <f>AVERAGE(F496:F498)</f>
        <v>8.8616666666666664</v>
      </c>
      <c r="J498" s="27">
        <f>AVERAGE(G496:G498)</f>
        <v>4.7555416666666663E-2</v>
      </c>
      <c r="L498">
        <f>+J498/I498</f>
        <v>5.3664190332894483E-3</v>
      </c>
      <c r="M498">
        <f>+(L498-$L$931)/$L$932</f>
        <v>-0.59204993932047933</v>
      </c>
      <c r="N498">
        <f>+N495+M498</f>
        <v>7.9496205464889931</v>
      </c>
      <c r="Z498">
        <f>+(I498-$F$931)/$F$932</f>
        <v>0.3444926099668561</v>
      </c>
      <c r="AA498">
        <f>+AA495+Z498</f>
        <v>32.302309609467194</v>
      </c>
    </row>
    <row r="499" spans="1:27">
      <c r="A499" s="15">
        <v>5</v>
      </c>
      <c r="B499" s="75">
        <v>41379</v>
      </c>
      <c r="C499" s="15">
        <v>2013</v>
      </c>
      <c r="D499" s="11" t="s">
        <v>31</v>
      </c>
      <c r="E499" s="15">
        <v>4</v>
      </c>
      <c r="F499" s="32">
        <v>2.5430000000000001</v>
      </c>
      <c r="G499" s="27">
        <v>7.2653750000000003E-2</v>
      </c>
    </row>
    <row r="500" spans="1:27">
      <c r="A500" s="15">
        <v>7</v>
      </c>
      <c r="B500" s="75">
        <v>41380</v>
      </c>
      <c r="C500" s="15">
        <v>2013</v>
      </c>
      <c r="D500" s="11" t="s">
        <v>31</v>
      </c>
      <c r="E500" s="15">
        <v>4</v>
      </c>
      <c r="F500" s="32">
        <v>5.2409999999999997</v>
      </c>
      <c r="G500" s="27">
        <v>2.3915374999999996E-2</v>
      </c>
    </row>
    <row r="501" spans="1:27">
      <c r="A501" s="15">
        <v>14</v>
      </c>
      <c r="B501" s="75">
        <v>41380</v>
      </c>
      <c r="C501" s="15">
        <v>2013</v>
      </c>
      <c r="D501" s="11" t="s">
        <v>31</v>
      </c>
      <c r="E501" s="15">
        <v>4</v>
      </c>
      <c r="F501" s="32">
        <v>0.433</v>
      </c>
      <c r="G501" s="27">
        <v>0</v>
      </c>
      <c r="I501" s="27">
        <f>AVERAGE(F499:F501)</f>
        <v>2.7390000000000003</v>
      </c>
      <c r="J501" s="27">
        <f>AVERAGE(G499:G501)</f>
        <v>3.2189708333333338E-2</v>
      </c>
      <c r="L501">
        <f>+J501/I501</f>
        <v>1.1752357916514543E-2</v>
      </c>
      <c r="M501">
        <f>+(L501-$L$931)/$L$932</f>
        <v>-0.34308301217346715</v>
      </c>
      <c r="N501">
        <f>+N498+M501</f>
        <v>7.6065375343155264</v>
      </c>
      <c r="Z501">
        <f>+(I501-$F$931)/$F$932</f>
        <v>-0.49378470262250673</v>
      </c>
      <c r="AA501">
        <f>+AA498+Z501</f>
        <v>31.808524906844688</v>
      </c>
    </row>
    <row r="502" spans="1:27">
      <c r="A502" s="15">
        <v>5</v>
      </c>
      <c r="B502" s="75">
        <v>41407</v>
      </c>
      <c r="C502" s="15">
        <v>2013</v>
      </c>
      <c r="D502" s="11" t="s">
        <v>32</v>
      </c>
      <c r="E502" s="15">
        <v>5</v>
      </c>
      <c r="F502" s="32">
        <v>1.2370000000000001</v>
      </c>
      <c r="G502" s="27">
        <v>1.4489374999999999E-2</v>
      </c>
    </row>
    <row r="503" spans="1:27">
      <c r="A503" s="15">
        <v>7</v>
      </c>
      <c r="B503" s="75">
        <v>41407</v>
      </c>
      <c r="C503" s="15">
        <v>2013</v>
      </c>
      <c r="D503" s="11" t="s">
        <v>32</v>
      </c>
      <c r="E503" s="15">
        <v>5</v>
      </c>
      <c r="F503" s="32">
        <v>1.2390000000000001</v>
      </c>
      <c r="G503" s="27">
        <v>0</v>
      </c>
    </row>
    <row r="504" spans="1:27">
      <c r="A504" s="15">
        <v>14</v>
      </c>
      <c r="B504" s="75">
        <v>41407</v>
      </c>
      <c r="C504" s="15">
        <v>2013</v>
      </c>
      <c r="D504" s="11" t="s">
        <v>32</v>
      </c>
      <c r="E504" s="15">
        <v>5</v>
      </c>
      <c r="F504" s="32">
        <v>0.63600000000000001</v>
      </c>
      <c r="G504" s="27">
        <v>0</v>
      </c>
      <c r="I504" s="27">
        <f>AVERAGE(F502:F504)</f>
        <v>1.0373333333333334</v>
      </c>
      <c r="J504" s="27">
        <f>AVERAGE(G502:G504)</f>
        <v>4.8297916666666663E-3</v>
      </c>
      <c r="L504">
        <f>+J504/I504</f>
        <v>4.6559688303341893E-3</v>
      </c>
      <c r="M504">
        <f>+(L504-$L$931)/$L$932</f>
        <v>-0.61974807535892074</v>
      </c>
      <c r="N504">
        <f>+N501+M504</f>
        <v>6.986789458956606</v>
      </c>
      <c r="Z504">
        <f>+(I504-$F$931)/$F$932</f>
        <v>-0.72676628367480944</v>
      </c>
      <c r="AA504">
        <f>+AA501+Z504</f>
        <v>31.081758623169879</v>
      </c>
    </row>
    <row r="505" spans="1:27">
      <c r="A505" s="15">
        <v>5</v>
      </c>
      <c r="B505" s="75">
        <v>41436</v>
      </c>
      <c r="C505" s="15">
        <v>2013</v>
      </c>
      <c r="D505" s="11" t="s">
        <v>33</v>
      </c>
      <c r="E505" s="15">
        <v>6</v>
      </c>
      <c r="F505" s="32">
        <v>6.915</v>
      </c>
      <c r="G505" s="27">
        <v>4.9302124999999995E-2</v>
      </c>
    </row>
    <row r="506" spans="1:27">
      <c r="A506" s="15">
        <v>5</v>
      </c>
      <c r="B506" s="75">
        <v>41436</v>
      </c>
      <c r="C506" s="15">
        <v>2013</v>
      </c>
      <c r="D506" s="11" t="s">
        <v>33</v>
      </c>
      <c r="E506" s="15">
        <v>6</v>
      </c>
      <c r="F506" s="32">
        <v>6.915</v>
      </c>
      <c r="G506" s="27">
        <v>4.6367874999999996E-2</v>
      </c>
      <c r="H506" t="s">
        <v>13</v>
      </c>
    </row>
    <row r="507" spans="1:27">
      <c r="A507" s="15">
        <v>7</v>
      </c>
      <c r="B507" s="75">
        <v>41437</v>
      </c>
      <c r="C507" s="15">
        <v>2013</v>
      </c>
      <c r="D507" s="11" t="s">
        <v>33</v>
      </c>
      <c r="E507" s="15">
        <v>6</v>
      </c>
      <c r="F507" s="32">
        <v>7.1859999999999999</v>
      </c>
      <c r="G507" s="27">
        <v>8.9196374999999994E-2</v>
      </c>
      <c r="I507" s="27"/>
      <c r="J507" s="27"/>
    </row>
    <row r="508" spans="1:27">
      <c r="A508" s="15">
        <v>14</v>
      </c>
      <c r="B508" s="75">
        <v>41437</v>
      </c>
      <c r="C508" s="15">
        <v>2013</v>
      </c>
      <c r="D508" s="11" t="s">
        <v>33</v>
      </c>
      <c r="E508" s="15">
        <v>6</v>
      </c>
      <c r="F508" s="32">
        <v>5.2770000000000001</v>
      </c>
      <c r="G508" s="27">
        <v>3.4667125E-2</v>
      </c>
      <c r="I508" s="27">
        <f>AVERAGE(F505:F508)</f>
        <v>6.5732499999999998</v>
      </c>
      <c r="J508" s="27">
        <f>AVERAGE(G505:G508)</f>
        <v>5.4883374999999991E-2</v>
      </c>
      <c r="L508">
        <f>+J508/I508</f>
        <v>8.349503670178374E-3</v>
      </c>
      <c r="M508">
        <f>+(L508-$L$931)/$L$932</f>
        <v>-0.4757491996725271</v>
      </c>
      <c r="N508">
        <f>+N504+M508</f>
        <v>6.511040259284079</v>
      </c>
      <c r="Z508">
        <f>+(I508-$F$931)/$F$932</f>
        <v>3.1176880423404271E-2</v>
      </c>
      <c r="AA508">
        <f>+AA504+Z508</f>
        <v>31.112935503593285</v>
      </c>
    </row>
    <row r="509" spans="1:27">
      <c r="A509" s="15">
        <v>5</v>
      </c>
      <c r="B509" s="75">
        <v>41470</v>
      </c>
      <c r="C509" s="15">
        <v>2013</v>
      </c>
      <c r="D509" s="11" t="s">
        <v>34</v>
      </c>
      <c r="E509" s="15">
        <v>7</v>
      </c>
      <c r="F509" s="32">
        <v>6.6029999999999998</v>
      </c>
      <c r="G509" s="27">
        <v>1.593345375</v>
      </c>
    </row>
    <row r="510" spans="1:27">
      <c r="A510" s="15">
        <v>7</v>
      </c>
      <c r="B510" s="75">
        <v>41470</v>
      </c>
      <c r="C510" s="15">
        <v>2013</v>
      </c>
      <c r="D510" s="11" t="s">
        <v>34</v>
      </c>
      <c r="E510" s="15">
        <v>7</v>
      </c>
      <c r="F510" s="32">
        <v>9.8219999999999992</v>
      </c>
      <c r="G510" s="27">
        <v>0.37281312499999997</v>
      </c>
    </row>
    <row r="511" spans="1:27">
      <c r="A511" s="15">
        <v>14</v>
      </c>
      <c r="B511" s="75">
        <v>41470</v>
      </c>
      <c r="C511" s="15">
        <v>2013</v>
      </c>
      <c r="D511" s="11" t="s">
        <v>34</v>
      </c>
      <c r="E511" s="15">
        <v>7</v>
      </c>
      <c r="F511" s="32">
        <v>4.4320000000000004</v>
      </c>
      <c r="G511" s="27">
        <v>0.17482662499999999</v>
      </c>
      <c r="I511" s="27">
        <f>AVERAGE(F509:F511)</f>
        <v>6.9523333333333328</v>
      </c>
      <c r="J511" s="27">
        <f>AVERAGE(G509:G511)</f>
        <v>0.71366170833333331</v>
      </c>
      <c r="L511">
        <f>+J511/I511</f>
        <v>0.10265067483338927</v>
      </c>
      <c r="M511">
        <f>+(L511-$L$931)/$L$932</f>
        <v>3.200745868662985</v>
      </c>
      <c r="N511">
        <f>+N508+M511</f>
        <v>9.7117861279470645</v>
      </c>
      <c r="Z511">
        <f>+(I511-$F$931)/$F$932</f>
        <v>8.3078604821392732E-2</v>
      </c>
      <c r="AA511">
        <f>+AA508+Z511</f>
        <v>31.196014108414676</v>
      </c>
    </row>
    <row r="512" spans="1:27">
      <c r="A512" s="15">
        <v>5</v>
      </c>
      <c r="B512" s="75">
        <v>41498</v>
      </c>
      <c r="C512" s="15">
        <v>2013</v>
      </c>
      <c r="D512" s="11" t="s">
        <v>35</v>
      </c>
      <c r="E512" s="15">
        <v>8</v>
      </c>
      <c r="F512" s="32">
        <v>6.9290000000000003</v>
      </c>
      <c r="G512" s="27">
        <v>1.2639043750000001</v>
      </c>
    </row>
    <row r="513" spans="1:27">
      <c r="A513" s="15">
        <v>7</v>
      </c>
      <c r="B513" s="75">
        <v>41498</v>
      </c>
      <c r="C513" s="15">
        <v>2013</v>
      </c>
      <c r="D513" s="11" t="s">
        <v>35</v>
      </c>
      <c r="E513" s="15">
        <v>8</v>
      </c>
      <c r="F513" s="32">
        <v>5.9130000000000003</v>
      </c>
      <c r="G513" s="27">
        <v>0.21506762500000001</v>
      </c>
    </row>
    <row r="514" spans="1:27">
      <c r="A514" s="15">
        <v>14</v>
      </c>
      <c r="B514" s="75">
        <v>41498</v>
      </c>
      <c r="C514" s="15">
        <v>2013</v>
      </c>
      <c r="D514" s="11" t="s">
        <v>35</v>
      </c>
      <c r="E514" s="15">
        <v>8</v>
      </c>
      <c r="F514" s="32">
        <v>4.3970000000000002</v>
      </c>
      <c r="G514" s="27">
        <v>2.7241499999999995E-2</v>
      </c>
      <c r="I514" s="27">
        <f>AVERAGE(F512:F514)</f>
        <v>5.7463333333333333</v>
      </c>
      <c r="J514" s="27">
        <f>AVERAGE(G512:G514)</f>
        <v>0.50207116666666673</v>
      </c>
      <c r="L514">
        <f>+J514/I514</f>
        <v>8.7372440396774761E-2</v>
      </c>
      <c r="M514">
        <f>+(L514-$L$931)/$L$932</f>
        <v>2.6050973431333215</v>
      </c>
      <c r="N514">
        <f>+N511+M514</f>
        <v>12.316883471080386</v>
      </c>
      <c r="Z514">
        <f>+(I514-$F$931)/$F$932</f>
        <v>-8.20393893504449E-2</v>
      </c>
      <c r="AA514">
        <f>+AA511+Z514</f>
        <v>31.113974719064231</v>
      </c>
    </row>
    <row r="515" spans="1:27">
      <c r="A515" s="15">
        <v>5</v>
      </c>
      <c r="B515" s="75">
        <v>41533</v>
      </c>
      <c r="C515" s="15">
        <v>2013</v>
      </c>
      <c r="D515" s="11" t="s">
        <v>41</v>
      </c>
      <c r="E515" s="15">
        <v>9</v>
      </c>
      <c r="F515" s="32">
        <v>3.4</v>
      </c>
      <c r="G515" s="27">
        <v>6.9370874999999999E-2</v>
      </c>
    </row>
    <row r="516" spans="1:27">
      <c r="A516" s="15">
        <v>7</v>
      </c>
      <c r="B516" s="75">
        <v>41535</v>
      </c>
      <c r="C516" s="15">
        <v>2013</v>
      </c>
      <c r="D516" s="11" t="s">
        <v>41</v>
      </c>
      <c r="E516" s="15">
        <v>9</v>
      </c>
      <c r="F516" s="32">
        <v>7.87</v>
      </c>
      <c r="G516" s="27">
        <v>6.3457E-2</v>
      </c>
    </row>
    <row r="517" spans="1:27">
      <c r="A517" s="15">
        <v>14</v>
      </c>
      <c r="B517" s="75">
        <v>41535</v>
      </c>
      <c r="C517" s="15">
        <v>2013</v>
      </c>
      <c r="D517" s="11" t="s">
        <v>41</v>
      </c>
      <c r="E517" s="15">
        <v>9</v>
      </c>
      <c r="F517" s="32">
        <v>0.88300000000000001</v>
      </c>
      <c r="G517" s="27">
        <v>0</v>
      </c>
      <c r="I517" s="27">
        <f>AVERAGE(F515:F517)</f>
        <v>4.0509999999999993</v>
      </c>
      <c r="J517" s="27">
        <f>AVERAGE(G515:G517)</f>
        <v>4.427595833333333E-2</v>
      </c>
      <c r="L517">
        <f>+J517/I517</f>
        <v>1.0929636715214351E-2</v>
      </c>
      <c r="M517">
        <f>+(L517-$L$931)/$L$932</f>
        <v>-0.37515822822736111</v>
      </c>
      <c r="N517">
        <f>+N514+M517</f>
        <v>11.941725242853025</v>
      </c>
      <c r="Z517">
        <f>+(I517-$F$931)/$F$932</f>
        <v>-0.31415384992478623</v>
      </c>
      <c r="AA517">
        <f>+AA514+Z517</f>
        <v>30.799820869139445</v>
      </c>
    </row>
    <row r="518" spans="1:27">
      <c r="A518" s="15">
        <v>5</v>
      </c>
      <c r="B518" s="75">
        <v>41569</v>
      </c>
      <c r="C518" s="15">
        <v>2013</v>
      </c>
      <c r="D518" s="11" t="s">
        <v>37</v>
      </c>
      <c r="E518" s="15">
        <v>10</v>
      </c>
      <c r="F518" s="26">
        <v>2.6429999999999998</v>
      </c>
      <c r="G518" s="27">
        <v>0</v>
      </c>
    </row>
    <row r="519" spans="1:27">
      <c r="A519" s="15">
        <v>7</v>
      </c>
      <c r="B519" s="75">
        <v>406810</v>
      </c>
      <c r="C519" s="15">
        <v>2013</v>
      </c>
      <c r="D519" s="11" t="s">
        <v>37</v>
      </c>
      <c r="E519" s="15">
        <v>10</v>
      </c>
      <c r="F519" s="26">
        <v>3.2120000000000002</v>
      </c>
      <c r="G519" s="27">
        <v>2.6587999999999997E-2</v>
      </c>
    </row>
    <row r="520" spans="1:27">
      <c r="A520" s="15">
        <v>14</v>
      </c>
      <c r="B520" s="75">
        <v>406810</v>
      </c>
      <c r="C520" s="15">
        <v>2013</v>
      </c>
      <c r="D520" s="11" t="s">
        <v>37</v>
      </c>
      <c r="E520" s="15">
        <v>10</v>
      </c>
      <c r="F520" s="26">
        <v>1.133</v>
      </c>
      <c r="G520" s="27">
        <v>8.1957499999999982E-3</v>
      </c>
      <c r="I520" s="27">
        <f>AVERAGE(F518:F520)</f>
        <v>2.3293333333333335</v>
      </c>
      <c r="J520" s="27">
        <f>AVERAGE(G518:G520)</f>
        <v>1.1594583333333332E-2</v>
      </c>
      <c r="L520">
        <f>+J520/I520</f>
        <v>4.977640240412134E-3</v>
      </c>
      <c r="M520">
        <f>+(L520-$L$931)/$L$932</f>
        <v>-0.60720715632060607</v>
      </c>
      <c r="N520">
        <f>+N517+M520</f>
        <v>11.33451808653242</v>
      </c>
      <c r="Z520">
        <f>+(I520-$F$931)/$F$932</f>
        <v>-0.54987370617065168</v>
      </c>
      <c r="AA520">
        <f>+AA517+Z520</f>
        <v>30.249947162968795</v>
      </c>
    </row>
    <row r="521" spans="1:27">
      <c r="A521" s="15">
        <v>5</v>
      </c>
      <c r="B521" s="75">
        <v>41597</v>
      </c>
      <c r="C521" s="15">
        <v>2013</v>
      </c>
      <c r="D521" s="11" t="s">
        <v>38</v>
      </c>
      <c r="E521" s="15">
        <v>11</v>
      </c>
      <c r="F521" s="26">
        <v>0.70799999999999996</v>
      </c>
      <c r="G521" s="27">
        <v>0</v>
      </c>
    </row>
    <row r="522" spans="1:27">
      <c r="A522" s="15">
        <v>7</v>
      </c>
      <c r="B522" s="75">
        <v>41599</v>
      </c>
      <c r="C522" s="15">
        <v>2013</v>
      </c>
      <c r="D522" s="11" t="s">
        <v>38</v>
      </c>
      <c r="E522" s="15">
        <v>11</v>
      </c>
      <c r="F522" s="26">
        <v>0.64800000000000002</v>
      </c>
      <c r="G522" s="27">
        <v>0</v>
      </c>
    </row>
    <row r="523" spans="1:27">
      <c r="A523" s="15">
        <v>14</v>
      </c>
      <c r="B523" s="75">
        <v>41599</v>
      </c>
      <c r="C523" s="15">
        <v>2013</v>
      </c>
      <c r="D523" s="11" t="s">
        <v>38</v>
      </c>
      <c r="E523" s="15">
        <v>11</v>
      </c>
      <c r="F523" s="26">
        <v>0.48199999999999998</v>
      </c>
      <c r="G523" s="27">
        <v>5.8508749999999993E-3</v>
      </c>
    </row>
    <row r="524" spans="1:27">
      <c r="A524" s="15">
        <v>14</v>
      </c>
      <c r="B524" s="75">
        <v>41599</v>
      </c>
      <c r="C524" s="15">
        <v>2013</v>
      </c>
      <c r="D524" s="11" t="s">
        <v>38</v>
      </c>
      <c r="E524" s="15">
        <v>11</v>
      </c>
      <c r="F524" s="26">
        <v>0.48199999999999998</v>
      </c>
      <c r="G524" s="27">
        <v>0</v>
      </c>
      <c r="H524" t="s">
        <v>13</v>
      </c>
      <c r="I524" s="27">
        <f>AVERAGE(F521:F524)</f>
        <v>0.57999999999999996</v>
      </c>
      <c r="J524" s="27">
        <f>AVERAGE(G521:G524)</f>
        <v>1.4627187499999998E-3</v>
      </c>
      <c r="L524">
        <f>+J524/I524</f>
        <v>2.5219288793103447E-3</v>
      </c>
      <c r="M524">
        <f>+(L524-$L$931)/$L$932</f>
        <v>-0.70294733215278493</v>
      </c>
      <c r="N524">
        <f>+N520+M524</f>
        <v>10.631570754379634</v>
      </c>
      <c r="Z524">
        <f>+(I524-$F$931)/$F$932</f>
        <v>-0.78938150976761257</v>
      </c>
      <c r="AA524">
        <f>+AA520+Z524</f>
        <v>29.460565653201183</v>
      </c>
    </row>
    <row r="525" spans="1:27">
      <c r="A525" s="15">
        <v>5</v>
      </c>
      <c r="B525" s="75">
        <v>41624</v>
      </c>
      <c r="C525" s="15">
        <v>2013</v>
      </c>
      <c r="D525" s="11" t="s">
        <v>39</v>
      </c>
      <c r="E525" s="15">
        <v>12</v>
      </c>
      <c r="F525" s="26">
        <v>3.2549999999999999</v>
      </c>
      <c r="G525" s="27">
        <v>0</v>
      </c>
    </row>
    <row r="526" spans="1:27">
      <c r="A526" s="15">
        <v>7</v>
      </c>
      <c r="B526" s="75">
        <v>41627</v>
      </c>
      <c r="C526" s="15">
        <v>2013</v>
      </c>
      <c r="D526" s="11" t="s">
        <v>39</v>
      </c>
      <c r="E526" s="15">
        <v>12</v>
      </c>
      <c r="F526" s="26">
        <v>6.6989999999999998</v>
      </c>
      <c r="G526" s="27">
        <v>3.7646249999999992E-2</v>
      </c>
    </row>
    <row r="527" spans="1:27">
      <c r="A527" s="15">
        <v>14</v>
      </c>
      <c r="B527" s="75">
        <v>41627</v>
      </c>
      <c r="C527" s="15">
        <v>2013</v>
      </c>
      <c r="D527" s="11" t="s">
        <v>39</v>
      </c>
      <c r="E527" s="15">
        <v>12</v>
      </c>
      <c r="F527" s="26">
        <v>2.052</v>
      </c>
      <c r="G527" s="27">
        <v>9.3231249999999998E-3</v>
      </c>
    </row>
    <row r="528" spans="1:27">
      <c r="A528" s="15">
        <v>14</v>
      </c>
      <c r="B528" s="75">
        <v>41627</v>
      </c>
      <c r="C528" s="15">
        <v>2013</v>
      </c>
      <c r="D528" s="11" t="s">
        <v>39</v>
      </c>
      <c r="E528" s="15">
        <v>12</v>
      </c>
      <c r="F528" s="26">
        <v>2.052</v>
      </c>
      <c r="G528" s="27">
        <v>1.1582624999999996E-2</v>
      </c>
      <c r="H528" t="s">
        <v>13</v>
      </c>
      <c r="I528" s="27">
        <f>AVERAGE(F525:F528)</f>
        <v>3.5145</v>
      </c>
      <c r="J528" s="27">
        <f>AVERAGE(G525:G528)</f>
        <v>1.4637999999999998E-2</v>
      </c>
      <c r="L528">
        <f>+J528/I528</f>
        <v>4.1650305875657982E-3</v>
      </c>
      <c r="M528">
        <f>+(L528-$L$931)/$L$932</f>
        <v>-0.6388881560825358</v>
      </c>
      <c r="N528">
        <f>+N524+M528</f>
        <v>9.9926825982970993</v>
      </c>
      <c r="Z528">
        <f>+(I528-$F$931)/$F$932</f>
        <v>-0.38760808199210861</v>
      </c>
      <c r="AA528">
        <f>+AA524+Z528</f>
        <v>29.072957571209074</v>
      </c>
    </row>
    <row r="529" spans="1:27">
      <c r="A529" s="15">
        <v>5</v>
      </c>
      <c r="B529" s="75">
        <v>41654</v>
      </c>
      <c r="C529" s="15">
        <v>2014</v>
      </c>
      <c r="D529" s="11" t="s">
        <v>40</v>
      </c>
      <c r="E529" s="15">
        <v>1</v>
      </c>
      <c r="F529" s="26">
        <v>2.7160000000000002</v>
      </c>
      <c r="G529" s="27">
        <v>0</v>
      </c>
    </row>
    <row r="530" spans="1:27">
      <c r="A530" s="15">
        <v>7</v>
      </c>
      <c r="B530" s="75">
        <v>41655</v>
      </c>
      <c r="C530" s="15">
        <v>2014</v>
      </c>
      <c r="D530" s="11" t="s">
        <v>40</v>
      </c>
      <c r="E530" s="15">
        <v>1</v>
      </c>
      <c r="F530" s="26">
        <v>4.1989999999999998</v>
      </c>
      <c r="G530" s="27">
        <v>1.6791749999999998E-2</v>
      </c>
    </row>
    <row r="531" spans="1:27">
      <c r="A531" s="15">
        <v>14</v>
      </c>
      <c r="B531" s="75">
        <v>41655</v>
      </c>
      <c r="C531" s="15">
        <v>2014</v>
      </c>
      <c r="D531" s="11" t="s">
        <v>40</v>
      </c>
      <c r="E531" s="15">
        <v>1</v>
      </c>
      <c r="F531" s="26">
        <v>2.839</v>
      </c>
      <c r="G531" s="27">
        <v>1.8850749999999996E-2</v>
      </c>
      <c r="I531" s="27">
        <f>AVERAGE(F528:F531)</f>
        <v>2.9515000000000002</v>
      </c>
      <c r="J531" s="27">
        <f>AVERAGE(G528:G531)</f>
        <v>1.1806281249999998E-2</v>
      </c>
      <c r="L531">
        <f>+J531/I531</f>
        <v>4.0000952905302383E-3</v>
      </c>
      <c r="M531">
        <f>+(L531-$L$931)/$L$932</f>
        <v>-0.64531844532142768</v>
      </c>
      <c r="N531">
        <f>+N528+M531</f>
        <v>9.3473641529756719</v>
      </c>
      <c r="Z531">
        <f>+(I531-$F$931)/$F$932</f>
        <v>-0.46469052869090183</v>
      </c>
      <c r="AA531">
        <f>+AA528+Z531</f>
        <v>28.608267042518172</v>
      </c>
    </row>
    <row r="532" spans="1:27">
      <c r="A532" s="15">
        <v>5</v>
      </c>
      <c r="B532" s="75">
        <v>41688</v>
      </c>
      <c r="C532" s="15">
        <v>2014</v>
      </c>
      <c r="D532" s="11" t="s">
        <v>29</v>
      </c>
      <c r="E532" s="15">
        <v>2</v>
      </c>
      <c r="F532" s="26">
        <v>2.9209999999999998</v>
      </c>
      <c r="G532" s="27">
        <v>2.0174374999999994E-2</v>
      </c>
    </row>
    <row r="533" spans="1:27">
      <c r="A533" s="15">
        <v>7</v>
      </c>
      <c r="B533" s="75">
        <v>41690</v>
      </c>
      <c r="C533" s="15">
        <v>2014</v>
      </c>
      <c r="D533" s="11" t="s">
        <v>29</v>
      </c>
      <c r="E533" s="15">
        <v>2</v>
      </c>
      <c r="F533" s="26">
        <v>3.8149999999999999</v>
      </c>
      <c r="G533" s="27">
        <v>1.9064874999999995E-2</v>
      </c>
    </row>
    <row r="534" spans="1:27">
      <c r="A534" s="15">
        <v>7</v>
      </c>
      <c r="B534" s="75">
        <v>41690</v>
      </c>
      <c r="C534" s="15">
        <v>2014</v>
      </c>
      <c r="D534" s="11" t="s">
        <v>29</v>
      </c>
      <c r="E534" s="15">
        <v>2</v>
      </c>
      <c r="F534" s="26">
        <v>3.8149999999999999</v>
      </c>
      <c r="G534" s="27">
        <v>1.9231374999999995E-2</v>
      </c>
    </row>
    <row r="535" spans="1:27">
      <c r="A535" s="15">
        <v>14</v>
      </c>
      <c r="B535" s="75">
        <v>41690</v>
      </c>
      <c r="C535" s="15">
        <v>2014</v>
      </c>
      <c r="D535" s="11" t="s">
        <v>29</v>
      </c>
      <c r="E535" s="15">
        <v>2</v>
      </c>
      <c r="F535" s="26">
        <v>4.59</v>
      </c>
      <c r="G535" s="27">
        <v>1.9884249999999999E-2</v>
      </c>
      <c r="I535" s="27">
        <f>AVERAGE(F532:F535)</f>
        <v>3.78525</v>
      </c>
      <c r="J535" s="27">
        <f>AVERAGE(G532:G535)</f>
        <v>1.9588718749999998E-2</v>
      </c>
      <c r="L535">
        <f>+J535/I535</f>
        <v>5.175013209167161E-3</v>
      </c>
      <c r="M535">
        <f>+(L535-$L$931)/$L$932</f>
        <v>-0.59951222806786242</v>
      </c>
      <c r="N535">
        <f>+N531+M535</f>
        <v>8.7478519249078097</v>
      </c>
      <c r="Z535">
        <f>+(I535-$F$931)/$F$932</f>
        <v>-0.35053868155925205</v>
      </c>
      <c r="AA535">
        <f>+AA531+Z535</f>
        <v>28.257728360958918</v>
      </c>
    </row>
    <row r="536" spans="1:27">
      <c r="A536" s="15">
        <v>5</v>
      </c>
      <c r="B536" s="75">
        <v>41718</v>
      </c>
      <c r="C536" s="15">
        <v>2014</v>
      </c>
      <c r="D536" s="11" t="s">
        <v>30</v>
      </c>
      <c r="E536" s="15">
        <v>3</v>
      </c>
      <c r="F536" s="26">
        <v>5.923</v>
      </c>
      <c r="G536" s="27">
        <v>2.3510625E-2</v>
      </c>
    </row>
    <row r="537" spans="1:27">
      <c r="A537" s="15">
        <v>7</v>
      </c>
      <c r="B537" s="75">
        <v>41718</v>
      </c>
      <c r="C537" s="15">
        <v>2014</v>
      </c>
      <c r="D537" s="11" t="s">
        <v>30</v>
      </c>
      <c r="E537" s="15">
        <v>3</v>
      </c>
      <c r="F537" s="26">
        <v>3.7069999999999999</v>
      </c>
      <c r="G537" s="27">
        <v>2.1393624999999999E-2</v>
      </c>
    </row>
    <row r="538" spans="1:27">
      <c r="A538" s="15">
        <v>14</v>
      </c>
      <c r="B538" s="75">
        <v>41718</v>
      </c>
      <c r="C538" s="15">
        <v>2014</v>
      </c>
      <c r="D538" s="11" t="s">
        <v>30</v>
      </c>
      <c r="E538" s="15">
        <v>3</v>
      </c>
      <c r="F538" s="26">
        <v>5.3289999999999997</v>
      </c>
      <c r="G538" s="27">
        <v>1.9279749999999998E-2</v>
      </c>
      <c r="I538" s="27">
        <f>AVERAGE(F535:F538)</f>
        <v>4.8872499999999999</v>
      </c>
      <c r="J538" s="27">
        <f>AVERAGE(G535:G538)</f>
        <v>2.1017062499999999E-2</v>
      </c>
      <c r="L538">
        <f>+J538/I538</f>
        <v>4.3003862090132483E-3</v>
      </c>
      <c r="M538">
        <f>+(L538-$L$931)/$L$932</f>
        <v>-0.63361108191065985</v>
      </c>
      <c r="N538">
        <f>+N535+M538</f>
        <v>8.11424084299715</v>
      </c>
      <c r="Z538">
        <f>+(I538-$F$931)/$F$932</f>
        <v>-0.19965971839394098</v>
      </c>
      <c r="AA538">
        <f>+AA535+Z538</f>
        <v>28.058068642564976</v>
      </c>
    </row>
    <row r="539" spans="1:27">
      <c r="A539" s="15">
        <v>5</v>
      </c>
      <c r="B539" s="75">
        <v>41747</v>
      </c>
      <c r="C539" s="15">
        <v>2014</v>
      </c>
      <c r="D539" s="11" t="s">
        <v>31</v>
      </c>
      <c r="E539" s="15">
        <v>4</v>
      </c>
      <c r="F539" s="33">
        <v>5.7229999999999999</v>
      </c>
      <c r="G539" s="27">
        <v>5.7789E-2</v>
      </c>
    </row>
    <row r="540" spans="1:27">
      <c r="A540" s="15">
        <v>7</v>
      </c>
      <c r="B540" s="75">
        <v>41750</v>
      </c>
      <c r="C540" s="15">
        <v>2014</v>
      </c>
      <c r="D540" s="11" t="s">
        <v>31</v>
      </c>
      <c r="E540" s="15">
        <v>4</v>
      </c>
      <c r="F540" s="33">
        <v>2.2210000000000001</v>
      </c>
      <c r="G540" s="27">
        <v>1.4537749999999999E-2</v>
      </c>
    </row>
    <row r="541" spans="1:27">
      <c r="A541" s="15">
        <v>7</v>
      </c>
      <c r="B541" s="75">
        <v>41750</v>
      </c>
      <c r="C541" s="15">
        <v>2014</v>
      </c>
      <c r="D541" s="11" t="s">
        <v>31</v>
      </c>
      <c r="E541" s="15">
        <v>4</v>
      </c>
      <c r="F541" s="33">
        <v>2.2210000000000001</v>
      </c>
      <c r="G541" s="27">
        <v>2.0955624999999999E-2</v>
      </c>
      <c r="H541" t="s">
        <v>13</v>
      </c>
      <c r="I541" s="27">
        <f>AVERAGE(F538:F541)</f>
        <v>3.8734999999999999</v>
      </c>
      <c r="J541" s="27">
        <f>AVERAGE(G538:G541)</f>
        <v>2.8140531249999996E-2</v>
      </c>
      <c r="L541">
        <f>+J541/I541</f>
        <v>7.2648847941138494E-3</v>
      </c>
      <c r="M541">
        <f>+(L541-$L$931)/$L$932</f>
        <v>-0.51803495179720993</v>
      </c>
      <c r="N541">
        <f>+N538+M541</f>
        <v>7.5962058911999399</v>
      </c>
      <c r="Z541">
        <f>+(I541-$F$931)/$F$932</f>
        <v>-0.33845604226765613</v>
      </c>
      <c r="AA541">
        <f>+AA538+Z541</f>
        <v>27.719612600297321</v>
      </c>
    </row>
    <row r="542" spans="1:27">
      <c r="A542" s="15">
        <v>14</v>
      </c>
      <c r="B542" s="75">
        <v>41750</v>
      </c>
      <c r="C542" s="15">
        <v>2014</v>
      </c>
      <c r="D542" s="11" t="s">
        <v>31</v>
      </c>
      <c r="E542" s="15">
        <v>4</v>
      </c>
      <c r="F542" s="34">
        <v>2.3580000000000001</v>
      </c>
      <c r="G542" s="27">
        <v>0</v>
      </c>
    </row>
    <row r="543" spans="1:27">
      <c r="A543" s="15">
        <v>5</v>
      </c>
      <c r="B543" s="75">
        <v>41772</v>
      </c>
      <c r="C543" s="15">
        <v>2014</v>
      </c>
      <c r="D543" s="11" t="s">
        <v>32</v>
      </c>
      <c r="E543" s="15">
        <v>5</v>
      </c>
      <c r="F543" s="33">
        <v>1.1399999999999999</v>
      </c>
      <c r="G543" s="27">
        <v>1.1648374999999999E-2</v>
      </c>
    </row>
    <row r="544" spans="1:27">
      <c r="A544" s="15">
        <v>7</v>
      </c>
      <c r="B544" s="75">
        <v>41406</v>
      </c>
      <c r="C544" s="15">
        <v>2014</v>
      </c>
      <c r="D544" s="11" t="s">
        <v>32</v>
      </c>
      <c r="E544" s="15">
        <v>5</v>
      </c>
      <c r="F544" s="33">
        <v>2.476</v>
      </c>
      <c r="G544" s="27">
        <v>1.4841750000000001E-2</v>
      </c>
      <c r="I544" s="27">
        <f>AVERAGE(F541:F544)</f>
        <v>2.0487500000000001</v>
      </c>
      <c r="J544" s="27">
        <f>AVERAGE(G541:G544)</f>
        <v>1.1861437499999999E-2</v>
      </c>
      <c r="L544">
        <f>+J544/I544</f>
        <v>5.789597315436241E-3</v>
      </c>
      <c r="M544">
        <f>+(L544-$L$931)/$L$932</f>
        <v>-0.57555159843936066</v>
      </c>
      <c r="N544">
        <f>+N541+M544</f>
        <v>7.0206542927605788</v>
      </c>
      <c r="Z544">
        <f>+(I544-$F$931)/$F$932</f>
        <v>-0.58828942524034333</v>
      </c>
      <c r="AA544">
        <f>+AA541+Z544</f>
        <v>27.131323175056977</v>
      </c>
    </row>
    <row r="545" spans="1:27">
      <c r="A545" s="15">
        <v>14</v>
      </c>
      <c r="B545" s="75">
        <v>41406</v>
      </c>
      <c r="C545" s="15">
        <v>2014</v>
      </c>
      <c r="D545" s="11" t="s">
        <v>32</v>
      </c>
      <c r="E545" s="15">
        <v>5</v>
      </c>
      <c r="F545" s="33">
        <v>1.5740000000000001</v>
      </c>
      <c r="G545" s="27">
        <v>2.8773499999999997E-2</v>
      </c>
    </row>
    <row r="546" spans="1:27">
      <c r="A546" s="15">
        <v>5</v>
      </c>
      <c r="B546" s="75">
        <v>41808</v>
      </c>
      <c r="C546" s="15">
        <v>2014</v>
      </c>
      <c r="D546" s="11" t="s">
        <v>33</v>
      </c>
      <c r="E546" s="15">
        <v>6</v>
      </c>
      <c r="F546" s="33">
        <v>4.274</v>
      </c>
      <c r="G546" s="27">
        <v>0.19684787500000001</v>
      </c>
    </row>
    <row r="547" spans="1:27">
      <c r="A547" s="15">
        <v>7</v>
      </c>
      <c r="B547" s="75">
        <v>41807</v>
      </c>
      <c r="C547" s="15">
        <v>2014</v>
      </c>
      <c r="D547" s="11" t="s">
        <v>33</v>
      </c>
      <c r="E547" s="15">
        <v>6</v>
      </c>
      <c r="F547" s="33">
        <v>1.589</v>
      </c>
      <c r="G547" s="27">
        <v>6.28605E-2</v>
      </c>
    </row>
    <row r="548" spans="1:27">
      <c r="A548" s="15">
        <v>14</v>
      </c>
      <c r="B548" s="75">
        <v>41807</v>
      </c>
      <c r="C548" s="15">
        <v>2014</v>
      </c>
      <c r="D548" s="11" t="s">
        <v>33</v>
      </c>
      <c r="E548" s="15">
        <v>6</v>
      </c>
      <c r="F548" s="33">
        <v>1.0229999999999999</v>
      </c>
      <c r="G548" s="27">
        <v>4.9441375000000003E-2</v>
      </c>
      <c r="I548" s="27">
        <f>AVERAGE(F545:F548)</f>
        <v>2.1149999999999998</v>
      </c>
      <c r="J548" s="27">
        <f>AVERAGE(G545:G548)</f>
        <v>8.4480812500000002E-2</v>
      </c>
      <c r="L548">
        <f>+J548/I548</f>
        <v>3.9943646572104023E-2</v>
      </c>
      <c r="M548">
        <f>+(L548-$L$931)/$L$932</f>
        <v>0.75600337703918352</v>
      </c>
      <c r="N548">
        <f>+N544+M548</f>
        <v>7.7766576697997625</v>
      </c>
      <c r="Z548">
        <f>+(I548-$F$931)/$F$932</f>
        <v>-0.57921888866166649</v>
      </c>
      <c r="AA548">
        <f>+AA544+Z548</f>
        <v>26.552104286395309</v>
      </c>
    </row>
    <row r="549" spans="1:27">
      <c r="A549" s="15">
        <v>5</v>
      </c>
      <c r="B549" s="75">
        <v>41834</v>
      </c>
      <c r="C549" s="15">
        <v>2014</v>
      </c>
      <c r="D549" s="11" t="s">
        <v>34</v>
      </c>
      <c r="E549" s="15">
        <v>7</v>
      </c>
      <c r="F549" s="33">
        <v>10.997999999999999</v>
      </c>
      <c r="G549" s="27">
        <v>0.75023187499999999</v>
      </c>
    </row>
    <row r="550" spans="1:27">
      <c r="A550" s="15">
        <v>5</v>
      </c>
      <c r="B550" s="75">
        <v>41834</v>
      </c>
      <c r="C550" s="15">
        <v>2014</v>
      </c>
      <c r="D550" s="11" t="s">
        <v>34</v>
      </c>
      <c r="E550" s="15">
        <v>7</v>
      </c>
      <c r="F550" s="33">
        <v>10.997999999999999</v>
      </c>
      <c r="G550" s="27">
        <v>0.75386787499999997</v>
      </c>
      <c r="H550" t="s">
        <v>13</v>
      </c>
    </row>
    <row r="551" spans="1:27">
      <c r="A551" s="15">
        <v>7</v>
      </c>
      <c r="B551" s="75">
        <v>41837</v>
      </c>
      <c r="C551" s="15">
        <v>2014</v>
      </c>
      <c r="D551" s="11" t="s">
        <v>34</v>
      </c>
      <c r="E551" s="15">
        <v>7</v>
      </c>
      <c r="F551" s="33">
        <v>5.3529999999999998</v>
      </c>
      <c r="G551" s="27">
        <v>5.0934249999999993E-2</v>
      </c>
    </row>
    <row r="552" spans="1:27">
      <c r="A552" s="15">
        <v>14</v>
      </c>
      <c r="B552" s="75">
        <v>41837</v>
      </c>
      <c r="C552" s="15">
        <v>2014</v>
      </c>
      <c r="D552" s="11" t="s">
        <v>34</v>
      </c>
      <c r="E552" s="15">
        <v>7</v>
      </c>
      <c r="F552" s="33">
        <v>3.3460000000000001</v>
      </c>
      <c r="G552" s="27">
        <v>1.8154625000000004E-2</v>
      </c>
      <c r="I552" s="27">
        <f>AVERAGE(F549:F552)</f>
        <v>7.6737499999999992</v>
      </c>
      <c r="J552" s="27">
        <f>AVERAGE(G549:G552)</f>
        <v>0.39329715625</v>
      </c>
      <c r="L552">
        <f>+J552/I552</f>
        <v>5.1252276429385901E-2</v>
      </c>
      <c r="M552">
        <f>+(L552-$L$931)/$L$932</f>
        <v>1.1968899682350771</v>
      </c>
      <c r="N552">
        <f>+N548+M552</f>
        <v>8.9735476380348391</v>
      </c>
      <c r="Z552">
        <f>+(I552-$F$931)/$F$932</f>
        <v>0.18185047294919804</v>
      </c>
      <c r="AA552">
        <f>+AA548+Z552</f>
        <v>26.733954759344506</v>
      </c>
    </row>
    <row r="553" spans="1:27">
      <c r="A553" s="15">
        <v>5</v>
      </c>
      <c r="B553" s="75">
        <v>41864</v>
      </c>
      <c r="C553" s="15">
        <v>2014</v>
      </c>
      <c r="D553" s="11" t="s">
        <v>35</v>
      </c>
      <c r="E553" s="15">
        <v>8</v>
      </c>
      <c r="F553" s="33">
        <v>3.7149999999999999</v>
      </c>
      <c r="G553" s="27">
        <v>0.24712112500000002</v>
      </c>
    </row>
    <row r="554" spans="1:27">
      <c r="A554" s="15">
        <v>7</v>
      </c>
      <c r="B554" s="75">
        <v>41862</v>
      </c>
      <c r="C554" s="15">
        <v>2014</v>
      </c>
      <c r="D554" s="11" t="s">
        <v>35</v>
      </c>
      <c r="E554" s="15">
        <v>8</v>
      </c>
      <c r="F554" s="33">
        <v>9.3279999999999994</v>
      </c>
      <c r="G554" s="27">
        <v>0.11665475000000002</v>
      </c>
    </row>
    <row r="555" spans="1:27">
      <c r="A555" s="15">
        <v>14</v>
      </c>
      <c r="B555" s="75">
        <v>41862</v>
      </c>
      <c r="C555" s="15">
        <v>2014</v>
      </c>
      <c r="D555" s="11" t="s">
        <v>35</v>
      </c>
      <c r="E555" s="15">
        <v>8</v>
      </c>
      <c r="F555" s="33">
        <v>2.9540000000000002</v>
      </c>
      <c r="G555" s="27">
        <v>3.5728499999999996E-2</v>
      </c>
    </row>
    <row r="556" spans="1:27">
      <c r="A556" s="15">
        <v>14</v>
      </c>
      <c r="B556" s="75">
        <v>41862</v>
      </c>
      <c r="C556" s="15">
        <v>2014</v>
      </c>
      <c r="D556" s="11" t="s">
        <v>35</v>
      </c>
      <c r="E556" s="15">
        <v>8</v>
      </c>
      <c r="F556" s="33">
        <v>2.9540000000000002</v>
      </c>
      <c r="G556" s="27">
        <v>3.5531124999999997E-2</v>
      </c>
      <c r="H556" t="s">
        <v>13</v>
      </c>
      <c r="I556" s="27">
        <f>AVERAGE(F553:F556)</f>
        <v>4.7377500000000001</v>
      </c>
      <c r="J556" s="27">
        <f>AVERAGE(G553:G556)</f>
        <v>0.108758875</v>
      </c>
      <c r="L556">
        <f>+J556/I556</f>
        <v>2.2955807081420507E-2</v>
      </c>
      <c r="M556">
        <f>+(L556-$L$931)/$L$932</f>
        <v>9.3702926909263518E-2</v>
      </c>
      <c r="N556">
        <f>+N552+M556</f>
        <v>9.0672505649441035</v>
      </c>
      <c r="Z556">
        <f>+(I556-$F$931)/$F$932</f>
        <v>-0.22012832546582298</v>
      </c>
      <c r="AA556">
        <f>+AA552+Z556</f>
        <v>26.513826433878684</v>
      </c>
    </row>
    <row r="557" spans="1:27">
      <c r="A557" s="15">
        <v>5</v>
      </c>
      <c r="B557" s="75">
        <v>41898</v>
      </c>
      <c r="C557" s="15">
        <v>2014</v>
      </c>
      <c r="D557" s="11" t="s">
        <v>41</v>
      </c>
      <c r="E557" s="15">
        <v>9</v>
      </c>
      <c r="F557" s="33">
        <v>4.335</v>
      </c>
      <c r="G557" s="27">
        <v>5.4866875000000002E-2</v>
      </c>
    </row>
    <row r="558" spans="1:27">
      <c r="A558" s="15">
        <v>7</v>
      </c>
      <c r="B558" s="75">
        <v>41897</v>
      </c>
      <c r="C558" s="15">
        <v>2014</v>
      </c>
      <c r="D558" s="11" t="s">
        <v>41</v>
      </c>
      <c r="E558" s="15">
        <v>9</v>
      </c>
      <c r="F558" s="33">
        <v>1.879</v>
      </c>
      <c r="G558" s="27">
        <v>3.0365500000000004E-2</v>
      </c>
    </row>
    <row r="559" spans="1:27">
      <c r="A559" s="15">
        <v>14</v>
      </c>
      <c r="B559" s="75">
        <v>41897</v>
      </c>
      <c r="C559" s="15">
        <v>2014</v>
      </c>
      <c r="D559" s="11" t="s">
        <v>41</v>
      </c>
      <c r="E559" s="15">
        <v>9</v>
      </c>
      <c r="F559" s="33">
        <v>1.1180000000000001</v>
      </c>
      <c r="G559" s="27">
        <v>0</v>
      </c>
      <c r="I559" s="27">
        <f>AVERAGE(F556:F559)</f>
        <v>2.5714999999999999</v>
      </c>
      <c r="J559" s="27">
        <f>AVERAGE(G556:G559)</f>
        <v>3.0190875000000002E-2</v>
      </c>
      <c r="L559">
        <f>+J559/I559</f>
        <v>1.1740569706397046E-2</v>
      </c>
      <c r="M559">
        <f>+(L559-$L$931)/$L$932</f>
        <v>-0.34354259603469484</v>
      </c>
      <c r="N559">
        <f>+N556+M559</f>
        <v>8.7237079689094088</v>
      </c>
      <c r="Z559">
        <f>+(I559-$F$931)/$F$932</f>
        <v>-0.51671775736859538</v>
      </c>
      <c r="AA559">
        <f>+AA556+Z559</f>
        <v>25.997108676510088</v>
      </c>
    </row>
    <row r="560" spans="1:27">
      <c r="A560" s="15">
        <v>5</v>
      </c>
      <c r="B560" s="75">
        <v>41929</v>
      </c>
      <c r="C560" s="15">
        <v>2014</v>
      </c>
      <c r="D560" s="11" t="s">
        <v>37</v>
      </c>
      <c r="E560" s="15">
        <v>10</v>
      </c>
      <c r="F560" s="26">
        <v>1.516</v>
      </c>
      <c r="G560" s="27">
        <v>1.3757625000000001E-2</v>
      </c>
    </row>
    <row r="561" spans="1:27">
      <c r="A561" s="15">
        <v>7</v>
      </c>
      <c r="B561" s="75">
        <v>41928</v>
      </c>
      <c r="C561" s="15">
        <v>2014</v>
      </c>
      <c r="D561" s="11" t="s">
        <v>37</v>
      </c>
      <c r="E561" s="15">
        <v>10</v>
      </c>
      <c r="F561" s="26">
        <v>1.3819999999999999</v>
      </c>
      <c r="G561" s="27">
        <v>1.3314124999999998E-2</v>
      </c>
    </row>
    <row r="562" spans="1:27">
      <c r="A562" s="15">
        <v>14</v>
      </c>
      <c r="B562" s="75">
        <v>41928</v>
      </c>
      <c r="C562" s="15">
        <v>2014</v>
      </c>
      <c r="D562" s="11" t="s">
        <v>37</v>
      </c>
      <c r="E562" s="15">
        <v>10</v>
      </c>
      <c r="F562" s="26">
        <v>1.58</v>
      </c>
      <c r="G562" s="27">
        <v>1.3265749999999998E-2</v>
      </c>
      <c r="I562" s="27">
        <f>AVERAGE(F559:F562)</f>
        <v>1.399</v>
      </c>
      <c r="J562" s="27">
        <f>AVERAGE(G559:G562)</f>
        <v>1.0084375E-2</v>
      </c>
      <c r="L562">
        <f>+J562/I562</f>
        <v>7.2082737669764115E-3</v>
      </c>
      <c r="M562">
        <f>+(L562-$L$931)/$L$932</f>
        <v>-0.52024203108919442</v>
      </c>
      <c r="N562">
        <f>+N559+M562</f>
        <v>8.2034659378202139</v>
      </c>
      <c r="Z562">
        <f>+(I562-$F$931)/$F$932</f>
        <v>-0.67724914059121533</v>
      </c>
      <c r="AA562">
        <f>+AA559+Z562</f>
        <v>25.319859535918873</v>
      </c>
    </row>
    <row r="563" spans="1:27">
      <c r="A563" s="15">
        <v>5</v>
      </c>
      <c r="B563" s="75">
        <v>41953</v>
      </c>
      <c r="C563" s="15">
        <v>2014</v>
      </c>
      <c r="D563" s="11" t="s">
        <v>38</v>
      </c>
      <c r="E563" s="15">
        <v>11</v>
      </c>
      <c r="F563" s="26">
        <v>1.988</v>
      </c>
      <c r="G563" s="27">
        <v>9.7029999999999998E-3</v>
      </c>
    </row>
    <row r="564" spans="1:27">
      <c r="A564" s="15">
        <v>7</v>
      </c>
      <c r="B564" s="75">
        <v>41955</v>
      </c>
      <c r="C564" s="15">
        <v>2014</v>
      </c>
      <c r="D564" s="11" t="s">
        <v>38</v>
      </c>
      <c r="E564" s="15">
        <v>11</v>
      </c>
      <c r="F564" s="26">
        <v>1.7809999999999999</v>
      </c>
      <c r="G564" s="27">
        <v>9.1649999999999995E-3</v>
      </c>
    </row>
    <row r="565" spans="1:27">
      <c r="A565" s="15">
        <v>14</v>
      </c>
      <c r="B565" s="75">
        <v>41955</v>
      </c>
      <c r="C565" s="15">
        <v>2014</v>
      </c>
      <c r="D565" s="11" t="s">
        <v>38</v>
      </c>
      <c r="E565" s="15">
        <v>11</v>
      </c>
      <c r="F565" s="26">
        <v>1.137</v>
      </c>
      <c r="G565" s="27">
        <v>0</v>
      </c>
      <c r="I565" s="27">
        <f>AVERAGE(F562:F565)</f>
        <v>1.6215000000000002</v>
      </c>
      <c r="J565" s="27">
        <f>AVERAGE(G562:G565)</f>
        <v>8.0334374999999989E-3</v>
      </c>
      <c r="L565">
        <f>+J565/I565</f>
        <v>4.9543246993524505E-3</v>
      </c>
      <c r="M565">
        <f>+(L565-$L$931)/$L$932</f>
        <v>-0.60811615321496215</v>
      </c>
      <c r="N565">
        <f>+N562+M565</f>
        <v>7.5953497846052516</v>
      </c>
      <c r="Z565">
        <f>+(I565-$F$931)/$F$932</f>
        <v>-0.646785829062829</v>
      </c>
      <c r="AA565">
        <f>+AA562+Z565</f>
        <v>24.673073706856044</v>
      </c>
    </row>
    <row r="566" spans="1:27">
      <c r="A566" s="15">
        <v>5</v>
      </c>
      <c r="B566" s="75">
        <v>41988</v>
      </c>
      <c r="C566" s="15">
        <v>2014</v>
      </c>
      <c r="D566" s="11" t="s">
        <v>39</v>
      </c>
      <c r="E566" s="15">
        <v>12</v>
      </c>
      <c r="F566" s="26">
        <v>3.3159999999999998</v>
      </c>
      <c r="G566" s="27">
        <v>0</v>
      </c>
    </row>
    <row r="567" spans="1:27">
      <c r="A567" s="15">
        <v>7</v>
      </c>
      <c r="B567" s="75">
        <v>41992</v>
      </c>
      <c r="C567" s="15">
        <v>2014</v>
      </c>
      <c r="D567" s="11" t="s">
        <v>39</v>
      </c>
      <c r="E567" s="15">
        <v>12</v>
      </c>
      <c r="F567" s="26">
        <v>1.2729999999999999</v>
      </c>
      <c r="G567" s="27">
        <v>0</v>
      </c>
    </row>
    <row r="568" spans="1:27">
      <c r="A568" s="15">
        <v>14</v>
      </c>
      <c r="B568" s="75">
        <v>41992</v>
      </c>
      <c r="C568" s="15">
        <v>2014</v>
      </c>
      <c r="D568" s="11" t="s">
        <v>39</v>
      </c>
      <c r="E568" s="15">
        <v>12</v>
      </c>
      <c r="F568" s="26">
        <v>1.286</v>
      </c>
      <c r="G568" s="27">
        <v>0</v>
      </c>
      <c r="I568" s="27">
        <f>AVERAGE(F565:F568)</f>
        <v>1.7529999999999997</v>
      </c>
      <c r="J568" s="27">
        <f>AVERAGE(G565:G568)</f>
        <v>0</v>
      </c>
      <c r="L568">
        <f>+J568/I568</f>
        <v>0</v>
      </c>
      <c r="M568">
        <f>+(L568-$L$931)/$L$932</f>
        <v>-0.80126911302897585</v>
      </c>
      <c r="N568">
        <f>+N565+M568</f>
        <v>6.7940806715762756</v>
      </c>
      <c r="Z568">
        <f>+(I568-$F$931)/$F$932</f>
        <v>-0.62878166966515348</v>
      </c>
      <c r="AA568">
        <f>+AA565+Z568</f>
        <v>24.044292037190893</v>
      </c>
    </row>
    <row r="569" spans="1:27">
      <c r="A569" s="15">
        <v>5</v>
      </c>
      <c r="B569" s="72">
        <v>42014</v>
      </c>
      <c r="E569" s="10">
        <v>1</v>
      </c>
      <c r="F569" s="81">
        <v>4.4349999999999996</v>
      </c>
      <c r="G569" s="81">
        <v>1.7000000000000001E-2</v>
      </c>
    </row>
    <row r="570" spans="1:27">
      <c r="A570" s="15">
        <v>7</v>
      </c>
      <c r="B570" s="72">
        <v>42009</v>
      </c>
      <c r="E570" s="10">
        <v>1</v>
      </c>
      <c r="F570" s="81">
        <v>5.681</v>
      </c>
      <c r="G570" s="81">
        <v>9.4E-2</v>
      </c>
    </row>
    <row r="571" spans="1:27">
      <c r="A571" s="15">
        <v>14</v>
      </c>
      <c r="B571" s="72">
        <v>42009</v>
      </c>
      <c r="E571" s="10">
        <v>1</v>
      </c>
      <c r="F571" s="81">
        <v>3.4119999999999999</v>
      </c>
      <c r="G571" s="81">
        <v>4.7E-2</v>
      </c>
      <c r="I571" s="27">
        <f>AVERAGE(F569:F571)</f>
        <v>4.5093333333333332</v>
      </c>
      <c r="J571" s="27">
        <f>AVERAGE(G569:G571)</f>
        <v>5.2666666666666667E-2</v>
      </c>
      <c r="L571">
        <f>+J571/I571</f>
        <v>1.1679479597871082E-2</v>
      </c>
      <c r="M571">
        <f>+(L571-$L$931)/$L$932</f>
        <v>-0.34592430009997166</v>
      </c>
      <c r="N571">
        <f>+N568+M571</f>
        <v>6.4481563714763039</v>
      </c>
      <c r="Z571">
        <f>+(I571-$F$931)/$F$932</f>
        <v>-0.251401710072305</v>
      </c>
      <c r="AA571">
        <f>+AA568+Z571</f>
        <v>23.792890327118588</v>
      </c>
    </row>
    <row r="572" spans="1:27">
      <c r="A572" s="15">
        <v>5</v>
      </c>
      <c r="B572" s="77">
        <v>42036</v>
      </c>
      <c r="E572" s="12">
        <v>2</v>
      </c>
    </row>
    <row r="573" spans="1:27">
      <c r="A573" s="15">
        <v>7</v>
      </c>
      <c r="B573" s="77">
        <v>42036</v>
      </c>
      <c r="E573" s="12">
        <v>2</v>
      </c>
    </row>
    <row r="574" spans="1:27">
      <c r="A574" s="15">
        <v>14</v>
      </c>
      <c r="B574" s="77">
        <v>42036</v>
      </c>
      <c r="E574" s="12">
        <v>2</v>
      </c>
      <c r="I574" s="27"/>
      <c r="J574" s="27"/>
    </row>
    <row r="575" spans="1:27">
      <c r="A575" s="15">
        <v>5</v>
      </c>
      <c r="B575" s="77">
        <v>42064</v>
      </c>
      <c r="E575" s="12">
        <v>3</v>
      </c>
      <c r="F575" s="81">
        <v>9.5150000000000006</v>
      </c>
      <c r="G575" s="81">
        <v>2.5999999999999999E-2</v>
      </c>
    </row>
    <row r="576" spans="1:27">
      <c r="A576" s="15">
        <v>7</v>
      </c>
      <c r="B576" s="77">
        <v>42064</v>
      </c>
      <c r="E576" s="12">
        <v>3</v>
      </c>
      <c r="F576" s="81">
        <v>3</v>
      </c>
      <c r="G576" s="81">
        <v>3.6999999999999998E-2</v>
      </c>
    </row>
    <row r="577" spans="1:27">
      <c r="A577" s="15">
        <v>14</v>
      </c>
      <c r="B577" s="77">
        <v>42064</v>
      </c>
      <c r="E577" s="12">
        <v>3</v>
      </c>
      <c r="F577" s="81">
        <v>4.8070000000000004</v>
      </c>
      <c r="G577" s="81">
        <v>3.5000000000000003E-2</v>
      </c>
      <c r="I577" s="27">
        <f>AVERAGE(F575:F577)</f>
        <v>5.7740000000000009</v>
      </c>
      <c r="J577" s="27">
        <f>AVERAGE(G575:G577)</f>
        <v>3.266666666666667E-2</v>
      </c>
      <c r="L577">
        <f>+J577/I577</f>
        <v>5.6575453180925991E-3</v>
      </c>
      <c r="M577">
        <f>+(L577-$L$931)/$L$932</f>
        <v>-0.58069987508332188</v>
      </c>
      <c r="N577">
        <f>+N571+M577</f>
        <v>5.8674564963929825</v>
      </c>
      <c r="Z577">
        <f>+(I577-$F$931)/$F$932</f>
        <v>-7.8251441999349552E-2</v>
      </c>
      <c r="AA577">
        <f>+AA571+Z577</f>
        <v>23.714638885119239</v>
      </c>
    </row>
    <row r="578" spans="1:27">
      <c r="A578" s="15">
        <v>5</v>
      </c>
      <c r="B578" s="77">
        <v>42095</v>
      </c>
      <c r="E578" s="12">
        <v>4</v>
      </c>
      <c r="F578" s="81">
        <v>3.8610000000000002</v>
      </c>
      <c r="G578" s="81">
        <v>3.2000000000000001E-2</v>
      </c>
    </row>
    <row r="579" spans="1:27">
      <c r="A579" s="15">
        <v>7</v>
      </c>
      <c r="B579" s="77">
        <v>42095</v>
      </c>
      <c r="E579" s="12">
        <v>4</v>
      </c>
      <c r="F579" s="81">
        <v>1.1739999999999999</v>
      </c>
      <c r="G579" s="81">
        <v>8.0000000000000002E-3</v>
      </c>
    </row>
    <row r="580" spans="1:27">
      <c r="A580" s="15">
        <v>14</v>
      </c>
      <c r="B580" s="77">
        <v>42095</v>
      </c>
      <c r="E580" s="12">
        <v>4</v>
      </c>
      <c r="F580" s="81">
        <v>1.194</v>
      </c>
      <c r="G580" s="81">
        <v>1.6E-2</v>
      </c>
      <c r="I580" s="27">
        <f>AVERAGE(F578:F580)</f>
        <v>2.0763333333333334</v>
      </c>
      <c r="J580" s="27">
        <f>AVERAGE(G578:G580)</f>
        <v>1.8666666666666668E-2</v>
      </c>
      <c r="L580">
        <f>+J580/I580</f>
        <v>8.9902070958420306E-3</v>
      </c>
      <c r="M580">
        <f>+(L580-$L$931)/$L$932</f>
        <v>-0.45077026297786754</v>
      </c>
      <c r="N580">
        <f>+N577+M580</f>
        <v>5.4166862334151151</v>
      </c>
      <c r="Z580">
        <f>+(I580-$F$931)/$F$932</f>
        <v>-0.58451288736922136</v>
      </c>
      <c r="AA580">
        <f>+AA577+Z580</f>
        <v>23.130125997750017</v>
      </c>
    </row>
    <row r="581" spans="1:27">
      <c r="A581" s="15">
        <v>5</v>
      </c>
      <c r="B581" s="77">
        <v>42125</v>
      </c>
      <c r="E581" s="12">
        <v>5</v>
      </c>
      <c r="F581" s="81">
        <v>4.5069999999999997</v>
      </c>
      <c r="G581" s="81">
        <v>1.2999999999999999E-2</v>
      </c>
    </row>
    <row r="582" spans="1:27">
      <c r="A582" s="15">
        <v>7</v>
      </c>
      <c r="B582" s="77">
        <v>42125</v>
      </c>
      <c r="E582" s="12">
        <v>5</v>
      </c>
      <c r="F582" s="81">
        <v>3.887</v>
      </c>
      <c r="G582" s="81">
        <v>4.9000000000000002E-2</v>
      </c>
    </row>
    <row r="583" spans="1:27">
      <c r="A583" s="15">
        <v>14</v>
      </c>
      <c r="B583" s="77">
        <v>42125</v>
      </c>
      <c r="E583" s="12">
        <v>5</v>
      </c>
      <c r="F583" s="81">
        <v>2.5880000000000001</v>
      </c>
      <c r="G583" s="81">
        <v>1.2999999999999999E-2</v>
      </c>
      <c r="I583" s="27">
        <f>AVERAGE(F581:F583)</f>
        <v>3.6606666666666663</v>
      </c>
      <c r="J583" s="27">
        <f>AVERAGE(G581:G583)</f>
        <v>2.4999999999999998E-2</v>
      </c>
      <c r="L583">
        <f>+J583/I583</f>
        <v>6.8293571298488438E-3</v>
      </c>
      <c r="M583">
        <f>+(L583-$L$931)/$L$932</f>
        <v>-0.53501475480541105</v>
      </c>
      <c r="N583">
        <f>+N580+M583</f>
        <v>4.8816714786097037</v>
      </c>
      <c r="Z583">
        <f>+(I583-$F$931)/$F$932</f>
        <v>-0.3675958541191538</v>
      </c>
      <c r="AA583">
        <f>+AA580+Z583</f>
        <v>22.762530143630862</v>
      </c>
    </row>
    <row r="584" spans="1:27">
      <c r="A584" s="15">
        <v>5</v>
      </c>
      <c r="B584" s="77">
        <v>42156</v>
      </c>
      <c r="E584" s="12">
        <v>6</v>
      </c>
      <c r="F584" s="81">
        <v>6.4160000000000004</v>
      </c>
      <c r="G584" s="81">
        <v>0.11700000000000001</v>
      </c>
    </row>
    <row r="585" spans="1:27">
      <c r="A585" s="15">
        <v>7</v>
      </c>
      <c r="B585" s="77">
        <v>42156</v>
      </c>
      <c r="E585" s="12">
        <v>6</v>
      </c>
      <c r="F585" s="81">
        <v>4.3869999999999996</v>
      </c>
      <c r="G585" s="81">
        <v>0.14499999999999999</v>
      </c>
    </row>
    <row r="586" spans="1:27">
      <c r="A586" s="15">
        <v>14</v>
      </c>
      <c r="B586" s="77">
        <v>42156</v>
      </c>
      <c r="E586" s="12">
        <v>6</v>
      </c>
      <c r="F586" s="81">
        <v>2.8580000000000001</v>
      </c>
      <c r="G586" s="81">
        <v>0.10100000000000001</v>
      </c>
      <c r="I586" s="27">
        <f>AVERAGE(F584:F586)</f>
        <v>4.5536666666666674</v>
      </c>
      <c r="J586" s="27">
        <f>AVERAGE(G584:G586)</f>
        <v>0.121</v>
      </c>
      <c r="L586">
        <f>+J586/I586</f>
        <v>2.6571993265500325E-2</v>
      </c>
      <c r="M586">
        <f>+(L586-$L$931)/$L$932</f>
        <v>0.23468623080633236</v>
      </c>
      <c r="N586">
        <f>+N583+M586</f>
        <v>5.116357709416036</v>
      </c>
      <c r="Z586">
        <f>+(I586-$F$931)/$F$932</f>
        <v>-0.24533186672657395</v>
      </c>
      <c r="AA586">
        <f>+AA583+Z586</f>
        <v>22.517198276904288</v>
      </c>
    </row>
    <row r="587" spans="1:27">
      <c r="A587" s="15">
        <v>5</v>
      </c>
      <c r="B587" s="77">
        <v>42186</v>
      </c>
      <c r="E587" s="12">
        <v>7</v>
      </c>
      <c r="F587" s="81">
        <v>8.3529999999999998</v>
      </c>
      <c r="G587" s="81">
        <v>0.82299999999999995</v>
      </c>
    </row>
    <row r="588" spans="1:27">
      <c r="A588" s="15">
        <v>7</v>
      </c>
      <c r="B588" s="77">
        <v>42186</v>
      </c>
      <c r="E588" s="12">
        <v>7</v>
      </c>
      <c r="F588" s="81">
        <v>15.036</v>
      </c>
      <c r="G588" s="81">
        <v>0.161</v>
      </c>
    </row>
    <row r="589" spans="1:27">
      <c r="A589" s="15">
        <v>14</v>
      </c>
      <c r="B589" s="77">
        <v>42186</v>
      </c>
      <c r="E589" s="12">
        <v>7</v>
      </c>
      <c r="F589" s="81">
        <v>6.8049999999999997</v>
      </c>
      <c r="G589" s="81">
        <v>6.2E-2</v>
      </c>
      <c r="I589" s="27">
        <f>AVERAGE(F587:F589)</f>
        <v>10.064666666666666</v>
      </c>
      <c r="J589" s="27">
        <f>AVERAGE(G587:G589)</f>
        <v>0.34866666666666668</v>
      </c>
      <c r="L589">
        <f>+J589/I589</f>
        <v>3.4642644233953773E-2</v>
      </c>
      <c r="M589">
        <f>+(L589-$L$931)/$L$932</f>
        <v>0.54933458689538117</v>
      </c>
      <c r="N589">
        <f>+N586+M589</f>
        <v>5.6656922963114171</v>
      </c>
      <c r="Z589">
        <f>+(I589-$F$931)/$F$932</f>
        <v>0.50919986285965935</v>
      </c>
      <c r="AA589">
        <f>+AA586+Z589</f>
        <v>23.026398139763948</v>
      </c>
    </row>
    <row r="590" spans="1:27">
      <c r="A590" s="15">
        <v>5</v>
      </c>
      <c r="B590" s="77">
        <v>42217</v>
      </c>
      <c r="E590" s="12">
        <v>8</v>
      </c>
      <c r="F590" s="81">
        <v>12.521000000000001</v>
      </c>
      <c r="G590" s="81">
        <v>0.215</v>
      </c>
    </row>
    <row r="591" spans="1:27">
      <c r="A591" s="15">
        <v>7</v>
      </c>
      <c r="B591" s="77">
        <v>42217</v>
      </c>
      <c r="E591" s="12">
        <v>8</v>
      </c>
      <c r="F591" s="81">
        <v>25.341000000000001</v>
      </c>
      <c r="G591" s="81">
        <v>0.52500000000000002</v>
      </c>
    </row>
    <row r="592" spans="1:27">
      <c r="A592" s="15">
        <v>14</v>
      </c>
      <c r="B592" s="77">
        <v>42217</v>
      </c>
      <c r="E592" s="12">
        <v>8</v>
      </c>
      <c r="F592" s="81">
        <v>10.223000000000001</v>
      </c>
      <c r="G592" s="81">
        <v>0.15</v>
      </c>
      <c r="I592" s="27">
        <f>AVERAGE(F590:F592)</f>
        <v>16.028333333333332</v>
      </c>
      <c r="J592" s="27">
        <f>AVERAGE(G590:G592)</f>
        <v>0.29666666666666669</v>
      </c>
      <c r="L592">
        <f>+J592/I592</f>
        <v>1.850889050639493E-2</v>
      </c>
      <c r="M592">
        <f>+(L592-$L$931)/$L$932</f>
        <v>-7.9667845221286018E-2</v>
      </c>
      <c r="N592">
        <f>+N589+M592</f>
        <v>5.5860244510901307</v>
      </c>
      <c r="Z592">
        <f>+(I592-$F$931)/$F$932</f>
        <v>1.3257078876601978</v>
      </c>
      <c r="AA592">
        <f>+AA589+Z592</f>
        <v>24.352106027424146</v>
      </c>
    </row>
    <row r="593" spans="1:27">
      <c r="A593" s="15">
        <v>5</v>
      </c>
      <c r="B593" s="77">
        <v>42248</v>
      </c>
      <c r="E593" s="12">
        <v>9</v>
      </c>
      <c r="F593" s="81">
        <v>2.331</v>
      </c>
      <c r="G593" s="81">
        <v>6.9000000000000006E-2</v>
      </c>
    </row>
    <row r="594" spans="1:27">
      <c r="A594" s="15">
        <v>7</v>
      </c>
      <c r="B594" s="77">
        <v>42248</v>
      </c>
      <c r="E594" s="12">
        <v>9</v>
      </c>
      <c r="F594" s="81">
        <v>16.768000000000001</v>
      </c>
      <c r="G594" s="81">
        <v>0.34699999999999998</v>
      </c>
    </row>
    <row r="595" spans="1:27">
      <c r="A595" s="15">
        <v>14</v>
      </c>
      <c r="B595" s="77">
        <v>42248</v>
      </c>
      <c r="E595" s="12">
        <v>9</v>
      </c>
      <c r="F595" s="81">
        <v>6.8369999999999997</v>
      </c>
      <c r="G595" s="81">
        <v>0.19500000000000001</v>
      </c>
      <c r="I595" s="27">
        <f>AVERAGE(F593:F595)</f>
        <v>8.6453333333333333</v>
      </c>
      <c r="J595" s="27">
        <f>AVERAGE(G593:G595)</f>
        <v>0.20366666666666666</v>
      </c>
      <c r="L595">
        <f>+J595/I595</f>
        <v>2.3557988895743367E-2</v>
      </c>
      <c r="M595">
        <f>+(L595-$L$931)/$L$932</f>
        <v>0.1171800316290724</v>
      </c>
      <c r="N595">
        <f>+N592+M595</f>
        <v>5.7032044827192028</v>
      </c>
      <c r="Z595">
        <f>+(I595-$F$931)/$F$932</f>
        <v>0.31487359995648506</v>
      </c>
      <c r="AA595">
        <f>+AA592+Z595</f>
        <v>24.666979627380631</v>
      </c>
    </row>
    <row r="596" spans="1:27">
      <c r="A596" s="15">
        <v>5</v>
      </c>
      <c r="B596" s="77">
        <v>42278</v>
      </c>
      <c r="E596" s="12">
        <v>10</v>
      </c>
      <c r="F596" s="81">
        <v>4.4619999999999997</v>
      </c>
      <c r="G596" s="81">
        <v>7.0000000000000001E-3</v>
      </c>
    </row>
    <row r="597" spans="1:27">
      <c r="A597" s="15">
        <v>7</v>
      </c>
      <c r="B597" s="77">
        <v>42278</v>
      </c>
      <c r="E597" s="12">
        <v>10</v>
      </c>
      <c r="F597" s="81">
        <v>5.4770000000000003</v>
      </c>
      <c r="G597" s="81">
        <v>5.3999999999999999E-2</v>
      </c>
    </row>
    <row r="598" spans="1:27">
      <c r="A598" s="15">
        <v>14</v>
      </c>
      <c r="B598" s="77">
        <v>42278</v>
      </c>
      <c r="E598" s="12">
        <v>10</v>
      </c>
      <c r="F598" s="81">
        <v>1.6850000000000001</v>
      </c>
      <c r="G598" s="81">
        <v>4.0000000000000001E-3</v>
      </c>
      <c r="I598" s="27">
        <f>AVERAGE(F596:F598)</f>
        <v>3.8746666666666667</v>
      </c>
      <c r="J598" s="27">
        <f>AVERAGE(G596:G598)</f>
        <v>2.1666666666666667E-2</v>
      </c>
      <c r="L598">
        <f>+J598/I598</f>
        <v>5.591878871300757E-3</v>
      </c>
      <c r="M598">
        <f>+(L598-$L$931)/$L$932</f>
        <v>-0.58325999565030273</v>
      </c>
      <c r="N598">
        <f>+N595+M598</f>
        <v>5.1199444870689002</v>
      </c>
      <c r="Z598">
        <f>+(I598-$F$931)/$F$932</f>
        <v>-0.33829630954803158</v>
      </c>
      <c r="AA598">
        <f>+AA595+Z598</f>
        <v>24.328683317832599</v>
      </c>
    </row>
    <row r="599" spans="1:27">
      <c r="A599" s="15">
        <v>5</v>
      </c>
      <c r="B599" s="77">
        <v>42309</v>
      </c>
      <c r="E599" s="12">
        <v>11</v>
      </c>
      <c r="F599" s="81">
        <v>0.39600000000000002</v>
      </c>
      <c r="G599" s="81">
        <v>4.0000000000000001E-3</v>
      </c>
    </row>
    <row r="600" spans="1:27">
      <c r="A600" s="15">
        <v>7</v>
      </c>
      <c r="B600" s="77">
        <v>42309</v>
      </c>
      <c r="E600" s="12">
        <v>11</v>
      </c>
      <c r="F600" s="81">
        <v>1.89</v>
      </c>
      <c r="G600" s="81">
        <v>8.0000000000000002E-3</v>
      </c>
    </row>
    <row r="601" spans="1:27">
      <c r="A601" s="15">
        <v>14</v>
      </c>
      <c r="B601" s="77">
        <v>42309</v>
      </c>
      <c r="E601" s="12">
        <v>11</v>
      </c>
      <c r="F601" s="81">
        <v>0.78500000000000003</v>
      </c>
      <c r="G601" s="81">
        <v>9.9989999999999996E-4</v>
      </c>
    </row>
    <row r="602" spans="1:27">
      <c r="A602" s="15">
        <v>5</v>
      </c>
      <c r="B602" s="78">
        <v>42339</v>
      </c>
      <c r="E602" s="12">
        <v>12</v>
      </c>
      <c r="F602" s="81">
        <v>1.883</v>
      </c>
      <c r="G602" s="81">
        <v>9.9989999999999996E-4</v>
      </c>
      <c r="I602" s="27">
        <f>AVERAGE(F600:F602)</f>
        <v>1.5193333333333332</v>
      </c>
      <c r="J602" s="27">
        <f>AVERAGE(G600:G602)</f>
        <v>3.3332666666666664E-3</v>
      </c>
      <c r="L602">
        <f>+J602/I602</f>
        <v>2.1939008336989908E-3</v>
      </c>
      <c r="M602">
        <f>+(L602-$L$931)/$L$932</f>
        <v>-0.71573607567622033</v>
      </c>
      <c r="N602">
        <f>+N598+M602</f>
        <v>4.4042084113926796</v>
      </c>
      <c r="Z602">
        <f>+(I602-$F$931)/$F$932</f>
        <v>-0.66077385150994572</v>
      </c>
      <c r="AA602">
        <f>+AA598+Z602</f>
        <v>23.667909466322655</v>
      </c>
    </row>
    <row r="603" spans="1:27">
      <c r="A603" s="15">
        <v>7</v>
      </c>
      <c r="B603" s="77">
        <v>42339</v>
      </c>
      <c r="E603" s="12">
        <v>12</v>
      </c>
      <c r="F603" s="81">
        <v>1.6990000000000001</v>
      </c>
      <c r="G603" s="81">
        <v>6.0000000000000001E-3</v>
      </c>
    </row>
    <row r="604" spans="1:27">
      <c r="A604" s="15">
        <v>14</v>
      </c>
      <c r="B604" s="77">
        <v>42339</v>
      </c>
      <c r="E604" s="12">
        <v>12</v>
      </c>
      <c r="F604" s="81">
        <v>1.4910000000000001</v>
      </c>
      <c r="G604" s="81">
        <v>7.0000000000000001E-3</v>
      </c>
    </row>
    <row r="605" spans="1:27">
      <c r="A605" s="15">
        <v>5</v>
      </c>
      <c r="B605" s="72">
        <v>42379</v>
      </c>
      <c r="E605" s="10">
        <v>1</v>
      </c>
      <c r="F605" s="83">
        <v>1.357</v>
      </c>
      <c r="G605" s="83">
        <v>7.0000000000000001E-3</v>
      </c>
      <c r="I605" s="27">
        <f>AVERAGE(F603:F605)</f>
        <v>1.5156666666666669</v>
      </c>
      <c r="J605" s="27">
        <f>AVERAGE(G603:G605)</f>
        <v>6.6666666666666671E-3</v>
      </c>
      <c r="L605">
        <f>+J605/I605</f>
        <v>4.398504508467121E-3</v>
      </c>
      <c r="M605">
        <f>+(L605-$L$931)/$L$932</f>
        <v>-0.62978576946113263</v>
      </c>
      <c r="N605">
        <f>+N602+M605</f>
        <v>3.774422641931547</v>
      </c>
      <c r="Z605">
        <f>+(I605-$F$931)/$F$932</f>
        <v>-0.66127586862876553</v>
      </c>
      <c r="AA605">
        <f>+AA602+Z605</f>
        <v>23.006633597693888</v>
      </c>
    </row>
    <row r="606" spans="1:27">
      <c r="A606" s="15">
        <v>7</v>
      </c>
      <c r="B606" s="72">
        <v>42374</v>
      </c>
      <c r="E606" s="10">
        <v>1</v>
      </c>
      <c r="F606" s="83">
        <v>1.921</v>
      </c>
      <c r="G606" s="83">
        <v>5.0000000000000001E-3</v>
      </c>
    </row>
    <row r="607" spans="1:27">
      <c r="A607" s="15">
        <v>14</v>
      </c>
      <c r="B607" s="72">
        <v>42374</v>
      </c>
      <c r="E607" s="10">
        <v>1</v>
      </c>
      <c r="F607" s="83">
        <v>1.569</v>
      </c>
      <c r="G607" s="83">
        <v>5.0000000000000001E-3</v>
      </c>
    </row>
    <row r="608" spans="1:27">
      <c r="A608" s="15">
        <v>5</v>
      </c>
      <c r="B608" s="77">
        <v>42401</v>
      </c>
      <c r="E608" s="12">
        <v>2</v>
      </c>
      <c r="F608" s="83">
        <v>6.2510000000000003</v>
      </c>
      <c r="G608" s="83">
        <v>2.5000000000000001E-2</v>
      </c>
      <c r="I608" s="27">
        <f>AVERAGE(F606:F608)</f>
        <v>3.2469999999999999</v>
      </c>
      <c r="J608" s="27">
        <f>AVERAGE(G606:G608)</f>
        <v>1.1666666666666667E-2</v>
      </c>
      <c r="L608">
        <f>+J608/I608</f>
        <v>3.5930602607535164E-3</v>
      </c>
      <c r="M608">
        <f>+(L608-$L$931)/$L$932</f>
        <v>-0.66118741344934118</v>
      </c>
      <c r="N608">
        <f>+N605+M608</f>
        <v>3.113235228482206</v>
      </c>
      <c r="Z608">
        <f>+(I608-$F$931)/$F$932</f>
        <v>-0.42423251270601131</v>
      </c>
      <c r="AA608">
        <f>+AA605+Z608</f>
        <v>22.582401084987875</v>
      </c>
    </row>
    <row r="609" spans="1:27">
      <c r="A609" s="15">
        <v>7</v>
      </c>
      <c r="B609" s="77">
        <v>42401</v>
      </c>
      <c r="E609" s="12">
        <v>2</v>
      </c>
      <c r="F609" s="84">
        <v>5.2869999999999999</v>
      </c>
      <c r="G609" s="84">
        <v>2.5999999999999999E-2</v>
      </c>
    </row>
    <row r="610" spans="1:27">
      <c r="A610" s="15">
        <v>14</v>
      </c>
      <c r="B610" s="77">
        <v>42401</v>
      </c>
      <c r="E610" s="12">
        <v>2</v>
      </c>
      <c r="F610" s="83">
        <v>3.1019999999999999</v>
      </c>
      <c r="G610" s="83">
        <v>1.6E-2</v>
      </c>
    </row>
    <row r="611" spans="1:27">
      <c r="A611" s="15">
        <v>5</v>
      </c>
      <c r="B611" s="77">
        <v>42430</v>
      </c>
      <c r="E611" s="12">
        <v>3</v>
      </c>
      <c r="F611" s="83">
        <v>4.0209999999999999</v>
      </c>
      <c r="G611" s="83">
        <v>1.2999999999999999E-2</v>
      </c>
      <c r="I611" s="27">
        <f>AVERAGE(F609:F611)</f>
        <v>4.1366666666666667</v>
      </c>
      <c r="J611" s="27">
        <f>AVERAGE(G609:G611)</f>
        <v>1.833333333333333E-2</v>
      </c>
      <c r="L611">
        <f>+J611/I611</f>
        <v>4.4319097502014499E-3</v>
      </c>
      <c r="M611">
        <f>+(L611-$L$931)/$L$932</f>
        <v>-0.62848340804845981</v>
      </c>
      <c r="N611">
        <f>+N608+M611</f>
        <v>2.484751820433746</v>
      </c>
      <c r="Z611">
        <f>+(I611-$F$931)/$F$932</f>
        <v>-0.30242490451235876</v>
      </c>
      <c r="AA611">
        <f>+AA608+Z611</f>
        <v>22.279976180475515</v>
      </c>
    </row>
    <row r="612" spans="1:27">
      <c r="A612" s="15">
        <v>7</v>
      </c>
      <c r="B612" s="77">
        <v>42430</v>
      </c>
      <c r="E612" s="12">
        <v>3</v>
      </c>
      <c r="F612" s="83">
        <v>3.9</v>
      </c>
      <c r="G612" s="83">
        <v>4.4999999999999998E-2</v>
      </c>
    </row>
    <row r="613" spans="1:27">
      <c r="A613" s="15">
        <v>14</v>
      </c>
      <c r="B613" s="77">
        <v>42430</v>
      </c>
      <c r="E613" s="12">
        <v>3</v>
      </c>
      <c r="F613" s="83">
        <v>1.583</v>
      </c>
      <c r="G613" s="83">
        <v>2.8000000000000001E-2</v>
      </c>
    </row>
    <row r="614" spans="1:27">
      <c r="A614" s="15">
        <v>5</v>
      </c>
      <c r="B614" s="77">
        <v>42461</v>
      </c>
      <c r="E614" s="12">
        <v>4</v>
      </c>
      <c r="F614" s="83">
        <v>3.6829999999999998</v>
      </c>
      <c r="G614" s="83">
        <v>1.6E-2</v>
      </c>
      <c r="I614" s="27">
        <f>AVERAGE(F612:F614)</f>
        <v>3.0553333333333335</v>
      </c>
      <c r="J614" s="27">
        <f>AVERAGE(G612:G614)</f>
        <v>2.9666666666666664E-2</v>
      </c>
      <c r="L614">
        <f>+J614/I614</f>
        <v>9.7097970761509909E-3</v>
      </c>
      <c r="M614">
        <f>+(L614-$L$931)/$L$932</f>
        <v>-0.42271579683289517</v>
      </c>
      <c r="N614">
        <f>+N611+M614</f>
        <v>2.062036023600851</v>
      </c>
      <c r="Z614">
        <f>+(I614-$F$931)/$F$932</f>
        <v>-0.45047431664432158</v>
      </c>
      <c r="AA614">
        <f>+AA611+Z614</f>
        <v>21.829501863831194</v>
      </c>
    </row>
    <row r="615" spans="1:27">
      <c r="A615" s="15">
        <v>7</v>
      </c>
      <c r="B615" s="77">
        <v>42461</v>
      </c>
      <c r="E615" s="12">
        <v>4</v>
      </c>
      <c r="F615" s="83">
        <v>4.1120000000000001</v>
      </c>
      <c r="G615" s="83">
        <v>3.6999999999999998E-2</v>
      </c>
    </row>
    <row r="616" spans="1:27">
      <c r="A616" s="15">
        <v>14</v>
      </c>
      <c r="B616" s="77">
        <v>42461</v>
      </c>
      <c r="E616" s="12">
        <v>4</v>
      </c>
      <c r="F616" s="83">
        <v>1.421</v>
      </c>
      <c r="G616" s="83">
        <v>2.4E-2</v>
      </c>
    </row>
    <row r="617" spans="1:27">
      <c r="A617" s="15">
        <v>5</v>
      </c>
      <c r="B617" s="77">
        <v>42491</v>
      </c>
      <c r="E617" s="12">
        <v>5</v>
      </c>
      <c r="F617" s="83">
        <v>9.234</v>
      </c>
      <c r="G617" s="83">
        <v>8.8999999999999996E-2</v>
      </c>
    </row>
    <row r="618" spans="1:27">
      <c r="A618" s="15">
        <v>7</v>
      </c>
      <c r="B618" s="77">
        <v>42491</v>
      </c>
      <c r="E618" s="12">
        <v>5</v>
      </c>
      <c r="F618" s="83">
        <v>10.819000000000001</v>
      </c>
      <c r="G618" s="83">
        <v>6.5000000000000002E-2</v>
      </c>
      <c r="I618" s="27">
        <f>AVERAGE(F616:F618)</f>
        <v>7.1580000000000004</v>
      </c>
      <c r="J618" s="27">
        <f>AVERAGE(G616:G618)</f>
        <v>5.9333333333333328E-2</v>
      </c>
      <c r="L618">
        <f>+J618/I618</f>
        <v>8.2890937878364514E-3</v>
      </c>
      <c r="M618">
        <f>+(L618-$L$931)/$L$932</f>
        <v>-0.47810438393767707</v>
      </c>
      <c r="N618">
        <f>+N614+M618</f>
        <v>1.583931639663174</v>
      </c>
      <c r="Z618">
        <f>+(I618-$F$931)/$F$932</f>
        <v>0.11123720139519713</v>
      </c>
      <c r="AA618">
        <f>+AA614+Z618</f>
        <v>21.940739065226392</v>
      </c>
    </row>
    <row r="619" spans="1:27">
      <c r="A619" s="15">
        <v>14</v>
      </c>
      <c r="B619" s="77">
        <v>42491</v>
      </c>
      <c r="E619" s="12">
        <v>5</v>
      </c>
      <c r="F619" s="83">
        <v>4.843</v>
      </c>
      <c r="G619" s="83">
        <v>5.2999999999999999E-2</v>
      </c>
    </row>
    <row r="620" spans="1:27">
      <c r="A620" s="15">
        <v>5</v>
      </c>
      <c r="B620" s="77">
        <v>42522</v>
      </c>
      <c r="E620" s="12">
        <v>6</v>
      </c>
      <c r="F620" s="83">
        <v>10.271000000000001</v>
      </c>
      <c r="G620" s="83">
        <v>0.41099999999999998</v>
      </c>
    </row>
    <row r="621" spans="1:27">
      <c r="A621" s="15">
        <v>7</v>
      </c>
      <c r="B621" s="77">
        <v>42522</v>
      </c>
      <c r="E621" s="12">
        <v>6</v>
      </c>
      <c r="F621" s="83">
        <v>10.773</v>
      </c>
      <c r="G621" s="83">
        <v>0.17199999999999999</v>
      </c>
      <c r="I621" s="27">
        <f>AVERAGE(F619:F621)</f>
        <v>8.6289999999999996</v>
      </c>
      <c r="J621" s="27">
        <f>AVERAGE(G619:G621)</f>
        <v>0.21199999999999997</v>
      </c>
      <c r="L621">
        <f>+J621/I621</f>
        <v>2.4568316143237914E-2</v>
      </c>
      <c r="M621">
        <f>+(L621-$L$931)/$L$932</f>
        <v>0.15656939548320656</v>
      </c>
      <c r="N621">
        <f>+N618+M621</f>
        <v>1.7405010351463805</v>
      </c>
      <c r="Z621">
        <f>+(I621-$F$931)/$F$932</f>
        <v>0.31263734188174203</v>
      </c>
      <c r="AA621">
        <f>+AA618+Z621</f>
        <v>22.253376407108135</v>
      </c>
    </row>
    <row r="622" spans="1:27">
      <c r="A622" s="15">
        <v>14</v>
      </c>
      <c r="B622" s="77">
        <v>42522</v>
      </c>
      <c r="E622" s="12">
        <v>6</v>
      </c>
      <c r="F622" s="83">
        <v>11.180999999999999</v>
      </c>
      <c r="G622" s="83">
        <v>0.13900000000000001</v>
      </c>
    </row>
    <row r="623" spans="1:27">
      <c r="A623" s="15">
        <v>5</v>
      </c>
      <c r="B623" s="77">
        <v>42552</v>
      </c>
      <c r="E623" s="12">
        <v>7</v>
      </c>
      <c r="F623" s="83">
        <v>10.353</v>
      </c>
      <c r="G623" s="83">
        <v>1.167</v>
      </c>
    </row>
    <row r="624" spans="1:27">
      <c r="A624" s="15">
        <v>7</v>
      </c>
      <c r="B624" s="77">
        <v>42552</v>
      </c>
      <c r="E624" s="12">
        <v>7</v>
      </c>
      <c r="F624" s="83">
        <v>14.101000000000001</v>
      </c>
      <c r="G624" s="83">
        <v>0.86</v>
      </c>
      <c r="I624" s="27">
        <f>AVERAGE(F622:F624)</f>
        <v>11.878333333333332</v>
      </c>
      <c r="J624" s="27">
        <f>AVERAGE(G622:G624)</f>
        <v>0.72199999999999998</v>
      </c>
      <c r="L624">
        <f>+J624/I624</f>
        <v>6.0782938122632246E-2</v>
      </c>
      <c r="M624">
        <f>+(L624-$L$931)/$L$932</f>
        <v>1.5684593801626363</v>
      </c>
      <c r="N624">
        <f>+N621+M624</f>
        <v>3.3089604153090169</v>
      </c>
      <c r="Z624">
        <f>+(I624-$F$931)/$F$932</f>
        <v>0.75751578499591377</v>
      </c>
      <c r="AA624">
        <f>+AA621+Z624</f>
        <v>23.010892192104048</v>
      </c>
    </row>
    <row r="625" spans="1:27">
      <c r="A625" s="15">
        <v>14</v>
      </c>
      <c r="B625" s="77">
        <v>42552</v>
      </c>
      <c r="E625" s="12">
        <v>7</v>
      </c>
      <c r="F625" s="83">
        <v>5.9050000000000002</v>
      </c>
      <c r="G625" s="83">
        <v>0.32900000000000001</v>
      </c>
    </row>
    <row r="626" spans="1:27">
      <c r="A626" s="15">
        <v>5</v>
      </c>
      <c r="B626" s="77">
        <v>42583</v>
      </c>
      <c r="E626" s="12">
        <v>8</v>
      </c>
      <c r="F626" s="83">
        <v>14.885999999999999</v>
      </c>
      <c r="G626" s="83">
        <v>0.75700000000000001</v>
      </c>
    </row>
    <row r="627" spans="1:27">
      <c r="A627" s="15">
        <v>7</v>
      </c>
      <c r="B627" s="77">
        <v>42583</v>
      </c>
      <c r="E627" s="12">
        <v>8</v>
      </c>
      <c r="F627" s="83">
        <v>11.77</v>
      </c>
      <c r="G627" s="83">
        <v>0.78100000000000003</v>
      </c>
      <c r="I627" s="27">
        <f>AVERAGE(F625:F627)</f>
        <v>10.853666666666667</v>
      </c>
      <c r="J627" s="27">
        <f>AVERAGE(G625:G627)</f>
        <v>0.62233333333333329</v>
      </c>
      <c r="L627">
        <f>+J627/I627</f>
        <v>5.7338533828813605E-2</v>
      </c>
      <c r="M627">
        <f>+(L627-$L$931)/$L$932</f>
        <v>1.4341732918418355</v>
      </c>
      <c r="N627">
        <f>+N624+M627</f>
        <v>4.7431337071508519</v>
      </c>
      <c r="Z627">
        <f>+(I627-$F$931)/$F$932</f>
        <v>0.61722481924571249</v>
      </c>
      <c r="AA627">
        <f>+AA624+Z627</f>
        <v>23.628117011349762</v>
      </c>
    </row>
    <row r="628" spans="1:27">
      <c r="A628" s="15">
        <v>14</v>
      </c>
      <c r="B628" s="77">
        <v>42583</v>
      </c>
      <c r="E628" s="12">
        <v>8</v>
      </c>
      <c r="F628" s="83">
        <v>2.694</v>
      </c>
      <c r="G628" s="83">
        <v>5.7000000000000002E-2</v>
      </c>
    </row>
    <row r="629" spans="1:27">
      <c r="A629" s="15">
        <v>5</v>
      </c>
      <c r="B629" s="77">
        <v>42614</v>
      </c>
      <c r="E629" s="12">
        <v>9</v>
      </c>
      <c r="F629" s="83">
        <v>8.5429999999999993</v>
      </c>
      <c r="G629" s="83">
        <v>0.247</v>
      </c>
    </row>
    <row r="630" spans="1:27">
      <c r="A630" s="15">
        <v>7</v>
      </c>
      <c r="B630" s="77">
        <v>42614</v>
      </c>
      <c r="E630" s="12">
        <v>9</v>
      </c>
      <c r="F630" s="83">
        <v>22.082999999999998</v>
      </c>
      <c r="G630" s="83">
        <v>0.32</v>
      </c>
      <c r="I630" s="27">
        <f>AVERAGE(F628:F630)</f>
        <v>11.106666666666664</v>
      </c>
      <c r="J630" s="27">
        <f>AVERAGE(G628:G630)</f>
        <v>0.20799999999999999</v>
      </c>
      <c r="L630">
        <f>+J630/I630</f>
        <v>1.8727490996398564E-2</v>
      </c>
      <c r="M630">
        <f>+(L630-$L$931)/$L$932</f>
        <v>-7.1145325155834022E-2</v>
      </c>
      <c r="N630">
        <f>+N627+M630</f>
        <v>4.6719883819950176</v>
      </c>
      <c r="Z630">
        <f>+(I630-$F$931)/$F$932</f>
        <v>0.65186400044428172</v>
      </c>
      <c r="AA630">
        <f>+AA627+Z630</f>
        <v>24.279981011794042</v>
      </c>
    </row>
    <row r="631" spans="1:27">
      <c r="A631" s="15">
        <v>14</v>
      </c>
      <c r="B631" s="77">
        <v>42614</v>
      </c>
      <c r="E631" s="12">
        <v>9</v>
      </c>
      <c r="F631" s="83">
        <v>1.5660000000000001</v>
      </c>
      <c r="G631" s="83">
        <v>1.7000000000000001E-2</v>
      </c>
    </row>
    <row r="632" spans="1:27">
      <c r="A632" s="15">
        <v>5</v>
      </c>
      <c r="B632" s="77">
        <v>42644</v>
      </c>
      <c r="E632" s="12">
        <v>10</v>
      </c>
      <c r="F632" s="83">
        <v>1.851</v>
      </c>
      <c r="G632" s="83">
        <v>1.6E-2</v>
      </c>
    </row>
    <row r="633" spans="1:27">
      <c r="A633" s="15">
        <v>7</v>
      </c>
      <c r="B633" s="77">
        <v>42644</v>
      </c>
      <c r="E633" s="12">
        <v>10</v>
      </c>
      <c r="F633" s="83">
        <v>2.5150000000000001</v>
      </c>
      <c r="G633" s="83">
        <v>1.2E-2</v>
      </c>
    </row>
    <row r="634" spans="1:27">
      <c r="A634" s="15">
        <v>14</v>
      </c>
      <c r="B634" s="77">
        <v>42644</v>
      </c>
      <c r="E634" s="12">
        <v>10</v>
      </c>
      <c r="F634" s="84">
        <v>1.171</v>
      </c>
      <c r="G634" s="84">
        <v>1.0999999999999999E-2</v>
      </c>
      <c r="I634" s="27">
        <f>AVERAGE(F632:F634)</f>
        <v>1.8456666666666666</v>
      </c>
      <c r="J634" s="27">
        <f>AVERAGE(G632:G634)</f>
        <v>1.2999999999999999E-2</v>
      </c>
      <c r="L634">
        <f>+J634/I634</f>
        <v>7.0435253747516708E-3</v>
      </c>
      <c r="M634">
        <f>+(L634-$L$931)/$L$932</f>
        <v>-0.52666503351916594</v>
      </c>
      <c r="N634">
        <f>+N630+M634</f>
        <v>4.145323348475852</v>
      </c>
      <c r="Z634">
        <f>+(I634-$F$931)/$F$932</f>
        <v>-0.6160943279349792</v>
      </c>
      <c r="AA634">
        <f>+AA630+Z634</f>
        <v>23.663886683859062</v>
      </c>
    </row>
    <row r="635" spans="1:27">
      <c r="A635" s="15">
        <v>5</v>
      </c>
      <c r="B635" s="77">
        <v>42675</v>
      </c>
      <c r="E635" s="12">
        <v>11</v>
      </c>
      <c r="F635" s="83">
        <v>0.311</v>
      </c>
      <c r="G635" s="83">
        <v>9.9989999999999996E-4</v>
      </c>
    </row>
    <row r="636" spans="1:27">
      <c r="A636" s="15">
        <v>7</v>
      </c>
      <c r="B636" s="77">
        <v>42675</v>
      </c>
      <c r="E636" s="12">
        <v>11</v>
      </c>
      <c r="F636" s="83">
        <v>1.7270000000000001</v>
      </c>
      <c r="G636" s="83">
        <v>1.0999999999999999E-2</v>
      </c>
    </row>
    <row r="637" spans="1:27">
      <c r="A637" s="15">
        <v>14</v>
      </c>
      <c r="B637" s="77">
        <v>42675</v>
      </c>
      <c r="E637" s="12">
        <v>11</v>
      </c>
      <c r="F637" s="83">
        <v>0.38400000000000001</v>
      </c>
      <c r="G637" s="83">
        <v>4.0000000000000001E-3</v>
      </c>
      <c r="I637" s="27">
        <f>AVERAGE(F635:F637)</f>
        <v>0.80733333333333335</v>
      </c>
      <c r="J637" s="27">
        <f>AVERAGE(G635:G637)</f>
        <v>5.3332999999999992E-3</v>
      </c>
      <c r="L637">
        <f>+J637/I637</f>
        <v>6.6060693641618482E-3</v>
      </c>
      <c r="M637">
        <f>+(L637-$L$931)/$L$932</f>
        <v>-0.54372001646061474</v>
      </c>
      <c r="N637">
        <f>+N634+M637</f>
        <v>3.6016033320152374</v>
      </c>
      <c r="Z637">
        <f>+(I637-$F$931)/$F$932</f>
        <v>-0.75825644840078188</v>
      </c>
      <c r="AA637">
        <f>+AA634+Z637</f>
        <v>22.905630235458279</v>
      </c>
    </row>
    <row r="638" spans="1:27">
      <c r="A638" s="15">
        <v>5</v>
      </c>
      <c r="B638" s="78">
        <v>42705</v>
      </c>
      <c r="E638" s="12">
        <v>12</v>
      </c>
      <c r="F638" s="83">
        <v>1.5609999999999999</v>
      </c>
      <c r="G638" s="83">
        <v>7.0000000000000001E-3</v>
      </c>
    </row>
    <row r="639" spans="1:27">
      <c r="A639" s="15">
        <v>7</v>
      </c>
      <c r="B639" s="77">
        <v>42705</v>
      </c>
      <c r="E639" s="12">
        <v>12</v>
      </c>
      <c r="F639" s="83">
        <v>2.3180000000000001</v>
      </c>
      <c r="G639" s="83">
        <v>8.0000000000000002E-3</v>
      </c>
    </row>
    <row r="640" spans="1:27">
      <c r="A640" s="15">
        <v>14</v>
      </c>
      <c r="B640" s="77">
        <v>42705</v>
      </c>
      <c r="E640" s="12">
        <v>12</v>
      </c>
      <c r="F640" s="83">
        <v>1.1519999999999999</v>
      </c>
      <c r="G640" s="83">
        <v>3.0000000000000001E-3</v>
      </c>
      <c r="I640" s="27">
        <f>AVERAGE(F638:F640)</f>
        <v>1.6769999999999998</v>
      </c>
      <c r="J640" s="27">
        <f>AVERAGE(G638:G640)</f>
        <v>5.9999999999999993E-3</v>
      </c>
      <c r="L640">
        <f>+J640/I640</f>
        <v>3.5778175313059034E-3</v>
      </c>
      <c r="M640">
        <f>+(L640-$L$931)/$L$932</f>
        <v>-0.66178167775116137</v>
      </c>
      <c r="N640">
        <f>+N637+M640</f>
        <v>2.939821654264076</v>
      </c>
      <c r="Z640">
        <f>+(I640-$F$931)/$F$932</f>
        <v>-0.63918711540069229</v>
      </c>
      <c r="AA640">
        <f>+AA637+Z640</f>
        <v>22.266443120057588</v>
      </c>
    </row>
    <row r="641" spans="1:27">
      <c r="A641" s="15">
        <v>5</v>
      </c>
      <c r="B641" s="72">
        <v>42745</v>
      </c>
      <c r="E641" s="10">
        <v>1</v>
      </c>
    </row>
    <row r="642" spans="1:27">
      <c r="A642" s="15">
        <v>7</v>
      </c>
      <c r="B642" s="72">
        <v>42740</v>
      </c>
      <c r="E642" s="10">
        <v>1</v>
      </c>
    </row>
    <row r="643" spans="1:27">
      <c r="A643" s="15">
        <v>14</v>
      </c>
      <c r="B643" s="72">
        <v>42740</v>
      </c>
      <c r="E643" s="10">
        <v>1</v>
      </c>
      <c r="I643" s="27" t="e">
        <f>AVERAGE(F641:F643)</f>
        <v>#DIV/0!</v>
      </c>
      <c r="J643" s="27" t="e">
        <f>AVERAGE(G641:G643)</f>
        <v>#DIV/0!</v>
      </c>
    </row>
    <row r="644" spans="1:27">
      <c r="A644" s="15">
        <v>5</v>
      </c>
      <c r="B644" s="77">
        <v>42767</v>
      </c>
      <c r="E644" s="12">
        <v>2</v>
      </c>
    </row>
    <row r="645" spans="1:27">
      <c r="A645" s="15">
        <v>7</v>
      </c>
      <c r="B645" s="77">
        <v>42767</v>
      </c>
      <c r="E645" s="12">
        <v>2</v>
      </c>
    </row>
    <row r="646" spans="1:27">
      <c r="A646" s="15">
        <v>14</v>
      </c>
      <c r="B646" s="77">
        <v>42767</v>
      </c>
      <c r="E646" s="12">
        <v>2</v>
      </c>
      <c r="I646" s="27" t="e">
        <f>AVERAGE(F644:F646)</f>
        <v>#DIV/0!</v>
      </c>
      <c r="J646" s="27" t="e">
        <f>AVERAGE(G644:G646)</f>
        <v>#DIV/0!</v>
      </c>
    </row>
    <row r="647" spans="1:27">
      <c r="A647" s="15">
        <v>5</v>
      </c>
      <c r="B647" s="77">
        <v>42795</v>
      </c>
      <c r="E647" s="12">
        <v>3</v>
      </c>
      <c r="F647" s="83">
        <v>1.772</v>
      </c>
      <c r="G647" s="83">
        <v>1.6E-2</v>
      </c>
    </row>
    <row r="648" spans="1:27">
      <c r="A648" s="15">
        <v>7</v>
      </c>
      <c r="B648" s="77">
        <v>42795</v>
      </c>
      <c r="E648" s="12">
        <v>3</v>
      </c>
      <c r="F648" s="83">
        <v>2.4049999999999998</v>
      </c>
      <c r="G648" s="83">
        <v>1.2999999999999999E-2</v>
      </c>
    </row>
    <row r="649" spans="1:27">
      <c r="A649" s="15">
        <v>14</v>
      </c>
      <c r="B649" s="77">
        <v>42795</v>
      </c>
      <c r="E649" s="12">
        <v>3</v>
      </c>
      <c r="F649" s="83">
        <v>0.74399999999999999</v>
      </c>
      <c r="G649" s="83">
        <v>5.0000000000000001E-3</v>
      </c>
      <c r="I649" s="27">
        <f>AVERAGE(F647:F649)</f>
        <v>1.6403333333333332</v>
      </c>
      <c r="J649" s="27">
        <f>AVERAGE(G647:G649)</f>
        <v>1.1333333333333332E-2</v>
      </c>
      <c r="L649">
        <f>+J649/I649</f>
        <v>6.9091648039016464E-3</v>
      </c>
      <c r="M649">
        <f>+(L649-$L$931)/$L$932</f>
        <v>-0.53190331391394408</v>
      </c>
      <c r="N649">
        <f>+N640+M649</f>
        <v>2.4079183403501321</v>
      </c>
      <c r="Z649">
        <f>+(I649-$F$931)/$F$932</f>
        <v>-0.6442072865888907</v>
      </c>
      <c r="AA649">
        <f>+AA640+Z649</f>
        <v>21.622235833468697</v>
      </c>
    </row>
    <row r="650" spans="1:27">
      <c r="A650" s="15">
        <v>5</v>
      </c>
      <c r="B650" s="77">
        <v>42826</v>
      </c>
      <c r="E650" s="12">
        <v>4</v>
      </c>
    </row>
    <row r="651" spans="1:27">
      <c r="A651" s="15">
        <v>7</v>
      </c>
      <c r="B651" s="77">
        <v>42826</v>
      </c>
      <c r="E651" s="12">
        <v>4</v>
      </c>
      <c r="F651" s="83">
        <v>2.4369999999999998</v>
      </c>
      <c r="G651" s="83">
        <v>2.1000000000000001E-2</v>
      </c>
    </row>
    <row r="652" spans="1:27">
      <c r="A652" s="15">
        <v>14</v>
      </c>
      <c r="B652" s="77">
        <v>42826</v>
      </c>
      <c r="E652" s="12">
        <v>4</v>
      </c>
      <c r="F652" s="83">
        <v>0.60899999999999999</v>
      </c>
      <c r="G652" s="83">
        <v>8.9999999999999993E-3</v>
      </c>
      <c r="I652" s="27">
        <f>AVERAGE(F650:F652)</f>
        <v>1.5229999999999999</v>
      </c>
      <c r="J652" s="27">
        <f>AVERAGE(G650:G652)</f>
        <v>1.4999999999999999E-2</v>
      </c>
      <c r="L652">
        <f>+J652/I652</f>
        <v>9.8489822718319103E-3</v>
      </c>
      <c r="M652">
        <f>+(L652-$L$931)/$L$932</f>
        <v>-0.41728942005311409</v>
      </c>
      <c r="N652">
        <f>+N649+M652</f>
        <v>1.990628920297018</v>
      </c>
      <c r="Z652">
        <f>+(I652-$F$931)/$F$932</f>
        <v>-0.66027183439112591</v>
      </c>
      <c r="AA652">
        <f>+AA649+Z652</f>
        <v>20.961963999077572</v>
      </c>
    </row>
    <row r="653" spans="1:27">
      <c r="A653" s="15">
        <v>5</v>
      </c>
      <c r="B653" s="77">
        <v>42856</v>
      </c>
      <c r="E653" s="12">
        <v>5</v>
      </c>
      <c r="F653" s="83">
        <v>16.995999999999999</v>
      </c>
      <c r="G653" s="83">
        <v>0.13600000000000001</v>
      </c>
    </row>
    <row r="654" spans="1:27">
      <c r="A654" s="15">
        <v>7</v>
      </c>
      <c r="B654" s="77">
        <v>42856</v>
      </c>
      <c r="E654" s="12">
        <v>5</v>
      </c>
      <c r="F654" s="83">
        <v>3.274</v>
      </c>
      <c r="G654" s="83">
        <v>2.5000000000000001E-2</v>
      </c>
    </row>
    <row r="655" spans="1:27">
      <c r="A655" s="15">
        <v>14</v>
      </c>
      <c r="B655" s="77">
        <v>42856</v>
      </c>
      <c r="E655" s="12">
        <v>5</v>
      </c>
      <c r="F655" s="83">
        <v>2.7749999999999999</v>
      </c>
      <c r="G655" s="83">
        <v>3.2000000000000001E-2</v>
      </c>
      <c r="I655" s="27">
        <f>AVERAGE(F653:F655)</f>
        <v>7.6816666666666658</v>
      </c>
      <c r="J655" s="27">
        <f>AVERAGE(G653:G655)</f>
        <v>6.433333333333334E-2</v>
      </c>
      <c r="L655">
        <f>+J655/I655</f>
        <v>8.3749186374484728E-3</v>
      </c>
      <c r="M655">
        <f>+(L655-$L$931)/$L$932</f>
        <v>-0.474758352998219</v>
      </c>
      <c r="N655">
        <f>+N652+M655</f>
        <v>1.5158705672987991</v>
      </c>
      <c r="Z655">
        <f>+(I655-$F$931)/$F$932</f>
        <v>0.18293437354664999</v>
      </c>
      <c r="AA655">
        <f>+AA652+Z655</f>
        <v>21.144898372624223</v>
      </c>
    </row>
    <row r="656" spans="1:27">
      <c r="A656" s="15">
        <v>5</v>
      </c>
      <c r="B656" s="77">
        <v>42887</v>
      </c>
      <c r="E656" s="12">
        <v>6</v>
      </c>
      <c r="F656" s="83">
        <v>12.574</v>
      </c>
      <c r="G656" s="83">
        <v>1.349</v>
      </c>
    </row>
    <row r="657" spans="1:27">
      <c r="A657" s="15">
        <v>7</v>
      </c>
      <c r="B657" s="77">
        <v>42887</v>
      </c>
      <c r="E657" s="12">
        <v>6</v>
      </c>
      <c r="F657" s="83">
        <v>6.6470000000000002</v>
      </c>
      <c r="G657" s="83">
        <v>0.23499999999999999</v>
      </c>
    </row>
    <row r="658" spans="1:27">
      <c r="A658" s="15">
        <v>14</v>
      </c>
      <c r="B658" s="77">
        <v>42887</v>
      </c>
      <c r="E658" s="12">
        <v>6</v>
      </c>
      <c r="F658" s="83">
        <v>2.3959999999999999</v>
      </c>
      <c r="G658" s="83">
        <v>4.5999999999999999E-2</v>
      </c>
      <c r="I658" s="27">
        <f>AVERAGE(F656:F658)</f>
        <v>7.2056666666666667</v>
      </c>
      <c r="J658" s="27">
        <f>AVERAGE(G656:G658)</f>
        <v>0.54333333333333333</v>
      </c>
      <c r="L658">
        <f>+J658/I658</f>
        <v>7.5403617523245592E-2</v>
      </c>
      <c r="M658">
        <f>+(L658-$L$931)/$L$932</f>
        <v>2.1384719796778353</v>
      </c>
      <c r="N658">
        <f>+N655+M658</f>
        <v>3.6543425469766344</v>
      </c>
      <c r="Z658">
        <f>+(I658-$F$931)/$F$932</f>
        <v>0.11776342393985512</v>
      </c>
      <c r="AA658">
        <f>+AA655+Z658</f>
        <v>21.262661796564078</v>
      </c>
    </row>
    <row r="659" spans="1:27">
      <c r="A659" s="15">
        <v>5</v>
      </c>
      <c r="B659" s="77">
        <v>42917</v>
      </c>
      <c r="E659" s="12">
        <v>7</v>
      </c>
      <c r="F659" s="83">
        <v>6.5910000000000002</v>
      </c>
      <c r="G659" s="83">
        <v>1.018</v>
      </c>
    </row>
    <row r="660" spans="1:27">
      <c r="A660" s="15">
        <v>7</v>
      </c>
      <c r="B660" s="77">
        <v>42917</v>
      </c>
      <c r="E660" s="12">
        <v>7</v>
      </c>
      <c r="F660" s="83">
        <v>8.4939999999999998</v>
      </c>
      <c r="G660" s="83">
        <v>0.245</v>
      </c>
    </row>
    <row r="661" spans="1:27">
      <c r="A661" s="15">
        <v>14</v>
      </c>
      <c r="B661" s="77">
        <v>42917</v>
      </c>
      <c r="E661" s="12">
        <v>7</v>
      </c>
      <c r="F661" s="83">
        <v>1.4570000000000001</v>
      </c>
      <c r="G661" s="83">
        <v>2.1999999999999999E-2</v>
      </c>
      <c r="I661" s="27">
        <f>AVERAGE(F659:F661)</f>
        <v>5.5140000000000002</v>
      </c>
      <c r="J661" s="27">
        <f>AVERAGE(G659:G661)</f>
        <v>0.42833333333333329</v>
      </c>
      <c r="L661">
        <f>+J661/I661</f>
        <v>7.7681054286059717E-2</v>
      </c>
      <c r="M661">
        <f>+(L661-$L$931)/$L$932</f>
        <v>2.2272618104259676</v>
      </c>
      <c r="N661">
        <f>+N658+M661</f>
        <v>5.881604357402602</v>
      </c>
      <c r="Z661">
        <f>+(I661-$F$931)/$F$932</f>
        <v>-0.11384901951566623</v>
      </c>
      <c r="AA661">
        <f>+AA658+Z661</f>
        <v>21.148812777048413</v>
      </c>
    </row>
    <row r="662" spans="1:27">
      <c r="A662" s="15">
        <v>5</v>
      </c>
      <c r="B662" s="77">
        <v>42948</v>
      </c>
      <c r="E662" s="12">
        <v>8</v>
      </c>
    </row>
    <row r="663" spans="1:27">
      <c r="A663" s="15">
        <v>7</v>
      </c>
      <c r="B663" s="77">
        <v>42948</v>
      </c>
      <c r="E663" s="12">
        <v>8</v>
      </c>
    </row>
    <row r="664" spans="1:27">
      <c r="A664" s="15">
        <v>14</v>
      </c>
      <c r="B664" s="77">
        <v>42948</v>
      </c>
      <c r="E664" s="12">
        <v>8</v>
      </c>
      <c r="I664" s="27"/>
      <c r="J664" s="27"/>
    </row>
    <row r="665" spans="1:27">
      <c r="A665" s="15">
        <v>5</v>
      </c>
      <c r="B665" s="77">
        <v>42979</v>
      </c>
      <c r="E665" s="12">
        <v>9</v>
      </c>
      <c r="F665" s="83">
        <v>1.8979999999999999</v>
      </c>
      <c r="G665" s="83">
        <v>3.4000000000000002E-2</v>
      </c>
    </row>
    <row r="666" spans="1:27">
      <c r="A666" s="15">
        <v>7</v>
      </c>
      <c r="B666" s="77">
        <v>42979</v>
      </c>
      <c r="E666" s="12">
        <v>9</v>
      </c>
      <c r="F666" s="83">
        <v>3.137</v>
      </c>
      <c r="G666" s="83">
        <v>0.04</v>
      </c>
    </row>
    <row r="667" spans="1:27">
      <c r="A667" s="15">
        <v>14</v>
      </c>
      <c r="B667" s="77">
        <v>42979</v>
      </c>
      <c r="E667" s="12">
        <v>9</v>
      </c>
      <c r="F667" s="84">
        <v>0.66800000000000004</v>
      </c>
      <c r="G667" s="84">
        <v>8.9999999999999993E-3</v>
      </c>
      <c r="I667" s="27">
        <f>AVERAGE(F665:F667)</f>
        <v>1.901</v>
      </c>
      <c r="J667" s="27">
        <f>AVERAGE(G665:G667)</f>
        <v>2.7666666666666669E-2</v>
      </c>
      <c r="L667">
        <f>+J667/I667</f>
        <v>1.4553743643696302E-2</v>
      </c>
      <c r="M667">
        <f>+(L667-$L$931)/$L$932</f>
        <v>-0.23386612034225285</v>
      </c>
      <c r="N667">
        <f>+N661+M667</f>
        <v>5.6477382370603495</v>
      </c>
      <c r="Z667">
        <f>+(I667-$F$931)/$F$932</f>
        <v>-0.60851843323278876</v>
      </c>
      <c r="AA667">
        <f>+AA661+Z667</f>
        <v>20.540294343815624</v>
      </c>
    </row>
    <row r="668" spans="1:27">
      <c r="A668" s="15">
        <v>5</v>
      </c>
      <c r="B668" s="77">
        <v>43009</v>
      </c>
      <c r="E668" s="12">
        <v>10</v>
      </c>
    </row>
    <row r="669" spans="1:27">
      <c r="A669" s="15">
        <v>7</v>
      </c>
      <c r="B669" s="77">
        <v>43009</v>
      </c>
      <c r="E669" s="12">
        <v>10</v>
      </c>
    </row>
    <row r="670" spans="1:27">
      <c r="A670" s="15">
        <v>14</v>
      </c>
      <c r="B670" s="77">
        <v>43009</v>
      </c>
      <c r="E670" s="12">
        <v>10</v>
      </c>
      <c r="I670" s="27"/>
      <c r="J670" s="27"/>
    </row>
    <row r="671" spans="1:27">
      <c r="A671" s="15">
        <v>5</v>
      </c>
      <c r="B671" s="77">
        <v>43040</v>
      </c>
      <c r="E671" s="12">
        <v>11</v>
      </c>
      <c r="F671" s="83">
        <v>0.70399999999999996</v>
      </c>
      <c r="G671" s="83">
        <v>5.0000000000000001E-3</v>
      </c>
    </row>
    <row r="672" spans="1:27">
      <c r="A672" s="15">
        <v>7</v>
      </c>
      <c r="B672" s="77">
        <v>43040</v>
      </c>
      <c r="E672" s="12">
        <v>11</v>
      </c>
      <c r="F672" s="83">
        <v>0.96899999999999997</v>
      </c>
      <c r="G672" s="83">
        <v>9.9989999999999996E-4</v>
      </c>
    </row>
    <row r="673" spans="1:27">
      <c r="A673" s="15">
        <v>14</v>
      </c>
      <c r="B673" s="77">
        <v>43040</v>
      </c>
      <c r="E673" s="12">
        <v>11</v>
      </c>
      <c r="F673" s="83">
        <v>0.40600000000000003</v>
      </c>
      <c r="G673" s="83">
        <v>9.9989999999999996E-4</v>
      </c>
      <c r="I673" s="27">
        <f>AVERAGE(F671:F673)</f>
        <v>0.69300000000000006</v>
      </c>
      <c r="J673" s="27">
        <f>AVERAGE(G671:G673)</f>
        <v>2.3332666666666664E-3</v>
      </c>
      <c r="L673">
        <f>+J673/I673</f>
        <v>3.3669071669071662E-3</v>
      </c>
      <c r="M673">
        <f>+(L673-$L$931)/$L$932</f>
        <v>-0.67000438490323644</v>
      </c>
      <c r="N673">
        <f>+N667+M673</f>
        <v>4.9777338521571135</v>
      </c>
      <c r="Z673">
        <f>+(I673-$F$931)/$F$932</f>
        <v>-0.77391025492398269</v>
      </c>
      <c r="AA673">
        <f>+AA667+Z673</f>
        <v>19.766384088891641</v>
      </c>
    </row>
    <row r="674" spans="1:27">
      <c r="A674" s="15">
        <v>5</v>
      </c>
      <c r="B674" s="78">
        <v>43070</v>
      </c>
      <c r="E674" s="12">
        <v>12</v>
      </c>
      <c r="F674" s="83">
        <v>1.8959999999999999</v>
      </c>
      <c r="G674" s="83">
        <v>9.9989999999999996E-4</v>
      </c>
    </row>
    <row r="675" spans="1:27">
      <c r="A675" s="15">
        <v>7</v>
      </c>
      <c r="B675" s="77">
        <v>43070</v>
      </c>
      <c r="E675" s="12">
        <v>12</v>
      </c>
      <c r="F675" s="83">
        <v>3.827</v>
      </c>
      <c r="G675" s="83">
        <v>4.0000000000000001E-3</v>
      </c>
    </row>
    <row r="676" spans="1:27">
      <c r="A676" s="15">
        <v>14</v>
      </c>
      <c r="B676" s="77">
        <v>43070</v>
      </c>
      <c r="E676" s="12">
        <v>12</v>
      </c>
      <c r="F676" s="83">
        <v>1.651</v>
      </c>
      <c r="G676" s="83">
        <v>1.2E-2</v>
      </c>
      <c r="I676" s="27">
        <f>AVERAGE(F674:F676)</f>
        <v>2.4579999999999997</v>
      </c>
      <c r="J676" s="27">
        <f>AVERAGE(G674:G676)</f>
        <v>5.6666333333333331E-3</v>
      </c>
      <c r="L676">
        <f>+J676/I676</f>
        <v>2.305383780851641E-3</v>
      </c>
      <c r="M676">
        <f>+(L676-$L$931)/$L$932</f>
        <v>-0.71138971920625815</v>
      </c>
      <c r="N676">
        <f>+N673+M676</f>
        <v>4.2663441329508558</v>
      </c>
      <c r="Z676">
        <f>+(I676-$F$931)/$F$932</f>
        <v>-0.53225746909206428</v>
      </c>
      <c r="AA676">
        <f>+AA673+Z676</f>
        <v>19.234126619799575</v>
      </c>
    </row>
    <row r="677" spans="1:27">
      <c r="A677" s="15">
        <v>5</v>
      </c>
      <c r="B677" s="72">
        <v>43110</v>
      </c>
      <c r="E677" s="10">
        <v>1</v>
      </c>
      <c r="F677" s="79">
        <v>3.125</v>
      </c>
      <c r="G677" s="79">
        <v>7.0000000000000001E-3</v>
      </c>
    </row>
    <row r="678" spans="1:27">
      <c r="A678" s="15">
        <v>7</v>
      </c>
      <c r="B678" s="72">
        <v>43105</v>
      </c>
      <c r="E678" s="10">
        <v>1</v>
      </c>
      <c r="F678" s="79">
        <v>5.2939999999999996</v>
      </c>
      <c r="G678" s="79">
        <v>1.7999999999999999E-2</v>
      </c>
    </row>
    <row r="679" spans="1:27">
      <c r="A679" s="15">
        <v>14</v>
      </c>
      <c r="B679" s="72">
        <v>43105</v>
      </c>
      <c r="E679" s="10">
        <v>1</v>
      </c>
      <c r="F679" s="79">
        <v>5.2080000000000002</v>
      </c>
      <c r="G679" s="79">
        <v>1.2E-2</v>
      </c>
      <c r="I679">
        <v>4.5423333333333336</v>
      </c>
      <c r="J679">
        <v>1.2333333333333333E-2</v>
      </c>
      <c r="L679">
        <v>2.7151977691348057E-3</v>
      </c>
      <c r="M679">
        <f>+(L679-$L$931)/$L$932</f>
        <v>-0.69541240855069597</v>
      </c>
      <c r="N679">
        <f>+N676+M679</f>
        <v>3.5709317244001597</v>
      </c>
      <c r="Z679">
        <f>+(I679-$F$931)/$F$932</f>
        <v>-0.2468835560029263</v>
      </c>
      <c r="AA679">
        <f>+AA676+Z679</f>
        <v>18.987243063796647</v>
      </c>
    </row>
    <row r="680" spans="1:27">
      <c r="A680" s="15">
        <v>5</v>
      </c>
      <c r="B680" s="77">
        <v>43132</v>
      </c>
      <c r="E680" s="12">
        <v>2</v>
      </c>
      <c r="F680" s="79">
        <v>3.33</v>
      </c>
      <c r="G680" s="79">
        <v>1.4999999999999999E-2</v>
      </c>
    </row>
    <row r="681" spans="1:27">
      <c r="A681" s="15">
        <v>7</v>
      </c>
      <c r="B681" s="77">
        <v>43132</v>
      </c>
      <c r="E681" s="12">
        <v>2</v>
      </c>
      <c r="F681" s="79">
        <v>3.649</v>
      </c>
      <c r="G681" s="79">
        <v>8.9999999999999993E-3</v>
      </c>
    </row>
    <row r="682" spans="1:27">
      <c r="A682" s="15">
        <v>14</v>
      </c>
      <c r="B682" s="77">
        <v>43132</v>
      </c>
      <c r="E682" s="12">
        <v>2</v>
      </c>
      <c r="F682" s="79">
        <v>0.86699999999999999</v>
      </c>
      <c r="G682" s="79">
        <v>7.0000000000000001E-3</v>
      </c>
      <c r="I682">
        <v>2.6153333333333335</v>
      </c>
      <c r="J682">
        <v>1.0333333333333333E-2</v>
      </c>
      <c r="L682">
        <v>3.9510578638796839E-3</v>
      </c>
      <c r="M682">
        <f>+(L682-$L$931)/$L$932</f>
        <v>-0.64723025463430028</v>
      </c>
      <c r="N682">
        <f>+N679+M682</f>
        <v>2.9237014697658594</v>
      </c>
      <c r="Z682">
        <f>+(I682-$F$931)/$F$932</f>
        <v>-0.5107163709027035</v>
      </c>
      <c r="AA682">
        <f>+AA679+Z682</f>
        <v>18.476526692893945</v>
      </c>
    </row>
    <row r="683" spans="1:27">
      <c r="A683" s="15">
        <v>5</v>
      </c>
      <c r="B683" s="77">
        <v>43160</v>
      </c>
      <c r="E683" s="12">
        <v>3</v>
      </c>
      <c r="F683" s="79">
        <v>5.3890000000000002</v>
      </c>
      <c r="G683" s="79">
        <v>1.9E-2</v>
      </c>
    </row>
    <row r="684" spans="1:27">
      <c r="A684" s="15">
        <v>7</v>
      </c>
      <c r="B684" s="77">
        <v>43160</v>
      </c>
      <c r="E684" s="12">
        <v>3</v>
      </c>
      <c r="F684" s="79">
        <v>3.4910000000000001</v>
      </c>
      <c r="G684" s="79">
        <v>3.4000000000000002E-2</v>
      </c>
    </row>
    <row r="685" spans="1:27">
      <c r="A685" s="15">
        <v>14</v>
      </c>
      <c r="B685" s="77">
        <v>43160</v>
      </c>
      <c r="E685" s="12">
        <v>3</v>
      </c>
      <c r="F685" s="79">
        <v>2.0699999999999998</v>
      </c>
      <c r="G685" s="79">
        <v>1.9E-2</v>
      </c>
      <c r="I685">
        <v>3.6500000000000004</v>
      </c>
      <c r="J685">
        <v>2.4000000000000004E-2</v>
      </c>
      <c r="L685">
        <v>6.5753424657534251E-3</v>
      </c>
      <c r="M685">
        <f>+(L685-$L$931)/$L$932</f>
        <v>-0.54491795800333742</v>
      </c>
      <c r="N685">
        <f>+N682+M685</f>
        <v>2.378783511762522</v>
      </c>
      <c r="Z685">
        <f>+(I685-$F$931)/$F$932</f>
        <v>-0.36905626755572052</v>
      </c>
      <c r="AA685">
        <f>+AA682+Z685</f>
        <v>18.107470425338224</v>
      </c>
    </row>
    <row r="686" spans="1:27">
      <c r="A686" s="15">
        <v>5</v>
      </c>
      <c r="B686" s="77">
        <v>43191</v>
      </c>
      <c r="E686" s="12">
        <v>4</v>
      </c>
      <c r="F686" s="79">
        <v>1.431</v>
      </c>
      <c r="G686" s="79">
        <v>1.2E-2</v>
      </c>
    </row>
    <row r="687" spans="1:27">
      <c r="A687" s="15">
        <v>7</v>
      </c>
      <c r="B687" s="77">
        <v>43191</v>
      </c>
      <c r="E687" s="12">
        <v>4</v>
      </c>
      <c r="F687" s="79">
        <v>2.3180000000000001</v>
      </c>
      <c r="G687" s="79">
        <v>1.4E-2</v>
      </c>
    </row>
    <row r="688" spans="1:27">
      <c r="A688" s="15">
        <v>14</v>
      </c>
      <c r="B688" s="77">
        <v>43191</v>
      </c>
      <c r="E688" s="12">
        <v>4</v>
      </c>
      <c r="F688" s="80">
        <v>0.88800000000000001</v>
      </c>
      <c r="G688" s="80">
        <v>6.0000000000000001E-3</v>
      </c>
      <c r="I688">
        <v>1.5456666666666667</v>
      </c>
      <c r="J688">
        <v>1.0666666666666666E-2</v>
      </c>
      <c r="L688">
        <v>6.9010135863704974E-3</v>
      </c>
      <c r="M688">
        <f>+(L688-$L$931)/$L$932</f>
        <v>-0.53222110329751726</v>
      </c>
      <c r="N688">
        <f>+N685+M688</f>
        <v>1.8465624084650047</v>
      </c>
      <c r="Z688">
        <f>+(I688-$F$931)/$F$932</f>
        <v>-0.65716845583842132</v>
      </c>
      <c r="AA688">
        <f>+AA685+Z688</f>
        <v>17.450301969499804</v>
      </c>
    </row>
    <row r="689" spans="1:27">
      <c r="A689" s="15">
        <v>5</v>
      </c>
      <c r="B689" s="77">
        <v>43221</v>
      </c>
      <c r="E689" s="12">
        <v>5</v>
      </c>
      <c r="F689" s="80">
        <v>17.451000000000001</v>
      </c>
      <c r="G689" s="80">
        <v>8.3000000000000004E-2</v>
      </c>
    </row>
    <row r="690" spans="1:27">
      <c r="A690" s="15">
        <v>7</v>
      </c>
      <c r="B690" s="77">
        <v>43221</v>
      </c>
      <c r="E690" s="12">
        <v>5</v>
      </c>
      <c r="F690" s="80">
        <v>6.1669999999999998</v>
      </c>
      <c r="G690" s="80">
        <v>7.3999999999999996E-2</v>
      </c>
    </row>
    <row r="691" spans="1:27">
      <c r="A691" s="15">
        <v>14</v>
      </c>
      <c r="B691" s="77">
        <v>43221</v>
      </c>
      <c r="E691" s="12">
        <v>5</v>
      </c>
      <c r="F691" s="80">
        <v>1.347</v>
      </c>
      <c r="G691" s="80">
        <v>8.0000000000000002E-3</v>
      </c>
      <c r="I691">
        <v>8.3216666666666672</v>
      </c>
      <c r="J691">
        <v>5.5E-2</v>
      </c>
      <c r="L691">
        <v>6.6092529541357898E-3</v>
      </c>
      <c r="M691">
        <f>+(L691-$L$931)/$L$932</f>
        <v>-0.5435958986718914</v>
      </c>
      <c r="N691">
        <f>+N688+M691</f>
        <v>1.3029665097931133</v>
      </c>
      <c r="Z691">
        <f>+(I691-$F$931)/$F$932</f>
        <v>0.27055917974066024</v>
      </c>
      <c r="AA691">
        <f>+AA688+Z691</f>
        <v>17.720861149240466</v>
      </c>
    </row>
    <row r="692" spans="1:27">
      <c r="A692" s="15">
        <v>5</v>
      </c>
      <c r="B692" s="77">
        <v>43252</v>
      </c>
      <c r="E692" s="12">
        <v>6</v>
      </c>
      <c r="F692" s="80">
        <v>5.9429999999999996</v>
      </c>
      <c r="G692" s="80">
        <v>0.95799999999999996</v>
      </c>
    </row>
    <row r="693" spans="1:27">
      <c r="A693" s="15">
        <v>7</v>
      </c>
      <c r="B693" s="77">
        <v>43252</v>
      </c>
      <c r="E693" s="12">
        <v>6</v>
      </c>
      <c r="F693" s="80">
        <v>13.451000000000001</v>
      </c>
      <c r="G693" s="80">
        <v>0.23200000000000001</v>
      </c>
    </row>
    <row r="694" spans="1:27">
      <c r="A694" s="15">
        <v>14</v>
      </c>
      <c r="B694" s="77">
        <v>43252</v>
      </c>
      <c r="E694" s="12">
        <v>6</v>
      </c>
      <c r="F694" s="80">
        <v>2.2999999999999998</v>
      </c>
      <c r="G694" s="80">
        <v>0.16900000000000001</v>
      </c>
      <c r="I694">
        <v>7.2313333333333327</v>
      </c>
      <c r="J694">
        <v>0.45300000000000001</v>
      </c>
      <c r="L694">
        <v>6.2644049045819133E-2</v>
      </c>
      <c r="M694">
        <f>+(L694-$L$931)/$L$932</f>
        <v>1.641018024411917</v>
      </c>
      <c r="N694">
        <f>+N691+M694</f>
        <v>2.9439845342050304</v>
      </c>
      <c r="Z694">
        <f>+(I694-$F$931)/$F$932</f>
        <v>0.12127754377159398</v>
      </c>
      <c r="AA694">
        <f>+AA691+Z694</f>
        <v>17.84213869301206</v>
      </c>
    </row>
    <row r="695" spans="1:27">
      <c r="A695" s="15">
        <v>5</v>
      </c>
      <c r="B695" s="77">
        <v>43282</v>
      </c>
      <c r="E695" s="12">
        <v>7</v>
      </c>
      <c r="F695" s="80">
        <v>19.792999999999999</v>
      </c>
      <c r="G695" s="80">
        <v>1.554</v>
      </c>
    </row>
    <row r="696" spans="1:27">
      <c r="A696" s="15">
        <v>7</v>
      </c>
      <c r="B696" s="77">
        <v>43282</v>
      </c>
      <c r="E696" s="12">
        <v>7</v>
      </c>
      <c r="F696" s="80">
        <v>15.863</v>
      </c>
      <c r="G696" s="80">
        <v>0.66</v>
      </c>
    </row>
    <row r="697" spans="1:27">
      <c r="A697" s="15">
        <v>14</v>
      </c>
      <c r="B697" s="77">
        <v>43282</v>
      </c>
      <c r="E697" s="12">
        <v>7</v>
      </c>
      <c r="F697" s="80">
        <v>3.9430000000000001</v>
      </c>
      <c r="G697" s="80">
        <v>0.17100000000000001</v>
      </c>
      <c r="I697">
        <v>13.199666666666666</v>
      </c>
      <c r="J697">
        <v>0.79499999999999993</v>
      </c>
      <c r="L697">
        <v>6.0228793656405467E-2</v>
      </c>
      <c r="M697">
        <f>+(L697-$L$931)/$L$932</f>
        <v>1.5468550949549573</v>
      </c>
      <c r="N697">
        <f>+N694+M697</f>
        <v>4.4908396291599875</v>
      </c>
      <c r="Z697">
        <f>+(I697-$F$931)/$F$932</f>
        <v>0.93842449945063044</v>
      </c>
      <c r="AA697">
        <f>+AA694+Z697</f>
        <v>18.78056319246269</v>
      </c>
    </row>
    <row r="698" spans="1:27">
      <c r="A698" s="15">
        <v>5</v>
      </c>
      <c r="B698" s="77">
        <v>43313</v>
      </c>
      <c r="E698" s="12">
        <v>8</v>
      </c>
      <c r="F698" s="80">
        <v>7.8440000000000003</v>
      </c>
      <c r="G698" s="80">
        <v>1.639</v>
      </c>
    </row>
    <row r="699" spans="1:27">
      <c r="A699" s="15">
        <v>7</v>
      </c>
      <c r="B699" s="77">
        <v>43313</v>
      </c>
      <c r="E699" s="12">
        <v>8</v>
      </c>
      <c r="F699" s="80">
        <v>14.576000000000001</v>
      </c>
      <c r="G699" s="80">
        <v>0.59899999999999998</v>
      </c>
    </row>
    <row r="700" spans="1:27">
      <c r="A700" s="15">
        <v>14</v>
      </c>
      <c r="B700" s="77">
        <v>43313</v>
      </c>
      <c r="E700" s="12">
        <v>8</v>
      </c>
      <c r="F700" s="80">
        <v>3.74</v>
      </c>
      <c r="G700" s="80">
        <v>0.104</v>
      </c>
      <c r="I700">
        <v>8.7200000000000006</v>
      </c>
      <c r="J700">
        <v>0.78066666666666673</v>
      </c>
      <c r="L700">
        <v>8.9525993883792052E-2</v>
      </c>
      <c r="M700">
        <f>+(L700-$L$931)/$L$932</f>
        <v>2.6890573690455408</v>
      </c>
      <c r="N700">
        <f>+N697+M700</f>
        <v>7.1798969982055283</v>
      </c>
      <c r="Z700">
        <f>+(I700-$F$931)/$F$932</f>
        <v>0.32509649401245294</v>
      </c>
      <c r="AA700">
        <f>+AA697+Z700</f>
        <v>19.105659686475143</v>
      </c>
    </row>
    <row r="701" spans="1:27">
      <c r="A701" s="15">
        <v>5</v>
      </c>
      <c r="B701" s="77">
        <v>43344</v>
      </c>
      <c r="E701" s="12">
        <v>9</v>
      </c>
      <c r="F701" s="80">
        <v>11.523999999999999</v>
      </c>
      <c r="G701" s="80">
        <v>0.20100000000000001</v>
      </c>
    </row>
    <row r="702" spans="1:27">
      <c r="A702" s="15">
        <v>7</v>
      </c>
      <c r="B702" s="77">
        <v>43344</v>
      </c>
      <c r="E702" s="12">
        <v>9</v>
      </c>
      <c r="F702" s="80">
        <v>15.547000000000001</v>
      </c>
      <c r="G702" s="80">
        <v>0.121</v>
      </c>
    </row>
    <row r="703" spans="1:27">
      <c r="A703" s="15">
        <v>14</v>
      </c>
      <c r="B703" s="77">
        <v>43344</v>
      </c>
      <c r="E703" s="12">
        <v>9</v>
      </c>
      <c r="F703" s="80">
        <v>1.5720000000000001</v>
      </c>
      <c r="G703" s="80">
        <v>1.2E-2</v>
      </c>
      <c r="I703">
        <v>9.5476666666666663</v>
      </c>
      <c r="J703">
        <v>0.11133333333333334</v>
      </c>
      <c r="L703">
        <v>1.1660789721747025E-2</v>
      </c>
      <c r="M703">
        <f>+(L703-$L$931)/$L$932</f>
        <v>-0.34665295740666596</v>
      </c>
      <c r="N703">
        <f>+N700+M703</f>
        <v>6.8332440407988626</v>
      </c>
      <c r="Z703">
        <f>+(I703-$F$931)/$F$932</f>
        <v>0.43841544910606062</v>
      </c>
      <c r="AA703">
        <f>+AA700+Z703</f>
        <v>19.544075135581203</v>
      </c>
    </row>
    <row r="704" spans="1:27">
      <c r="A704" s="15">
        <v>5</v>
      </c>
      <c r="B704" s="77">
        <v>43374</v>
      </c>
      <c r="E704" s="12">
        <v>10</v>
      </c>
      <c r="F704" s="80">
        <v>0.59199999999999997</v>
      </c>
      <c r="G704" s="80">
        <v>9.9989999999999996E-4</v>
      </c>
    </row>
    <row r="705" spans="1:27">
      <c r="A705" s="15">
        <v>7</v>
      </c>
      <c r="B705" s="77">
        <v>43374</v>
      </c>
      <c r="E705" s="12">
        <v>10</v>
      </c>
      <c r="F705" s="80">
        <v>1.4810000000000001</v>
      </c>
      <c r="G705" s="80">
        <v>1.2999999999999999E-2</v>
      </c>
    </row>
    <row r="706" spans="1:27">
      <c r="A706" s="15">
        <v>14</v>
      </c>
      <c r="B706" s="77">
        <v>43374</v>
      </c>
      <c r="E706" s="12">
        <v>10</v>
      </c>
      <c r="F706" s="80">
        <v>0.39700000000000002</v>
      </c>
      <c r="G706" s="80">
        <v>9.9989999999999996E-4</v>
      </c>
      <c r="I706">
        <v>0.82333333333333325</v>
      </c>
      <c r="J706">
        <v>4.999933333333333E-3</v>
      </c>
      <c r="L706">
        <v>6.0727935222672069E-3</v>
      </c>
      <c r="M706">
        <f>+(L706-$L$931)/$L$932</f>
        <v>-0.5645107020756942</v>
      </c>
      <c r="N706">
        <f>+N703+M706</f>
        <v>6.2687333387231687</v>
      </c>
      <c r="Z706">
        <f>+(I706-$F$931)/$F$932</f>
        <v>-0.75606582824593171</v>
      </c>
      <c r="AA706">
        <f>+AA703+Z706</f>
        <v>18.788009307335273</v>
      </c>
    </row>
    <row r="707" spans="1:27">
      <c r="A707" s="15">
        <v>5</v>
      </c>
      <c r="B707" s="77">
        <v>43405</v>
      </c>
      <c r="E707" s="12">
        <v>11</v>
      </c>
      <c r="F707" s="80">
        <v>1.294</v>
      </c>
      <c r="G707" s="80">
        <v>9.9989999999999996E-4</v>
      </c>
      <c r="I707">
        <v>1.294</v>
      </c>
      <c r="J707">
        <v>9.9989999999999996E-4</v>
      </c>
      <c r="L707">
        <v>7.7272024729520858E-4</v>
      </c>
      <c r="M707">
        <f>+(L707-$L$931)/$L$932</f>
        <v>-0.77114327107663183</v>
      </c>
      <c r="N707">
        <f>+N706+M707</f>
        <v>5.497590067646537</v>
      </c>
      <c r="Z707">
        <f>+(I707-$F$931)/$F$932</f>
        <v>-0.69162508535742007</v>
      </c>
      <c r="AA707">
        <f>+AA706+Z707</f>
        <v>18.096384221977853</v>
      </c>
    </row>
    <row r="708" spans="1:27">
      <c r="A708" s="15">
        <v>7</v>
      </c>
      <c r="B708" s="77">
        <v>43405</v>
      </c>
      <c r="E708" s="12">
        <v>11</v>
      </c>
    </row>
    <row r="709" spans="1:27">
      <c r="A709" s="15">
        <v>14</v>
      </c>
      <c r="B709" s="77">
        <v>43405</v>
      </c>
      <c r="E709" s="12">
        <v>11</v>
      </c>
    </row>
    <row r="710" spans="1:27">
      <c r="A710" s="15">
        <v>5</v>
      </c>
      <c r="B710" s="78">
        <v>43435</v>
      </c>
      <c r="E710" s="12">
        <v>12</v>
      </c>
    </row>
    <row r="711" spans="1:27">
      <c r="A711" s="15">
        <v>7</v>
      </c>
      <c r="B711" s="77">
        <v>43435</v>
      </c>
      <c r="E711" s="12">
        <v>12</v>
      </c>
    </row>
    <row r="712" spans="1:27">
      <c r="A712" s="15">
        <v>14</v>
      </c>
      <c r="B712" s="77">
        <v>43435</v>
      </c>
      <c r="E712" s="12">
        <v>12</v>
      </c>
    </row>
    <row r="713" spans="1:27">
      <c r="A713" s="15">
        <v>5</v>
      </c>
      <c r="B713" s="72">
        <v>43475</v>
      </c>
      <c r="E713" s="10">
        <v>1</v>
      </c>
    </row>
    <row r="714" spans="1:27">
      <c r="A714" s="15">
        <v>7</v>
      </c>
      <c r="B714" s="72">
        <v>43470</v>
      </c>
      <c r="E714" s="10">
        <v>1</v>
      </c>
    </row>
    <row r="715" spans="1:27">
      <c r="A715" s="15">
        <v>14</v>
      </c>
      <c r="B715" s="72">
        <v>43470</v>
      </c>
      <c r="E715" s="10">
        <v>1</v>
      </c>
    </row>
    <row r="716" spans="1:27">
      <c r="A716" s="15">
        <v>5</v>
      </c>
      <c r="B716" s="77">
        <v>43497</v>
      </c>
      <c r="E716" s="12">
        <v>2</v>
      </c>
    </row>
    <row r="717" spans="1:27">
      <c r="A717" s="15">
        <v>7</v>
      </c>
      <c r="B717" s="77">
        <v>43497</v>
      </c>
      <c r="E717" s="12">
        <v>2</v>
      </c>
    </row>
    <row r="718" spans="1:27">
      <c r="A718" s="15">
        <v>14</v>
      </c>
      <c r="B718" s="77">
        <v>43497</v>
      </c>
      <c r="E718" s="12">
        <v>2</v>
      </c>
    </row>
    <row r="719" spans="1:27">
      <c r="A719" s="15">
        <v>5</v>
      </c>
      <c r="B719" s="77">
        <v>43525</v>
      </c>
      <c r="E719" s="12">
        <v>3</v>
      </c>
      <c r="F719" s="85">
        <v>0.61199999999999999</v>
      </c>
      <c r="G719" s="85">
        <v>6.0000000000000001E-3</v>
      </c>
    </row>
    <row r="720" spans="1:27">
      <c r="A720" s="15">
        <v>7</v>
      </c>
      <c r="B720" s="77">
        <v>43525</v>
      </c>
      <c r="E720" s="12">
        <v>3</v>
      </c>
      <c r="F720" s="85">
        <v>1.581</v>
      </c>
      <c r="G720" s="85">
        <v>1.4E-2</v>
      </c>
    </row>
    <row r="721" spans="1:27">
      <c r="A721" s="15">
        <v>14</v>
      </c>
      <c r="B721" s="77">
        <v>43525</v>
      </c>
      <c r="E721" s="12">
        <v>3</v>
      </c>
      <c r="F721" s="85">
        <v>0.52500000000000002</v>
      </c>
      <c r="G721" s="85">
        <v>9.9989999999999996E-4</v>
      </c>
      <c r="I721" s="27">
        <f>AVERAGE(F719:F721)</f>
        <v>0.90600000000000003</v>
      </c>
      <c r="J721" s="27">
        <f>AVERAGE(G719:G721)</f>
        <v>6.999966666666667E-3</v>
      </c>
      <c r="L721">
        <f>+J721/I721</f>
        <v>7.726232523914643E-3</v>
      </c>
      <c r="M721">
        <f>+(L721-$L$931)/$L$932</f>
        <v>-0.5000485086546872</v>
      </c>
      <c r="N721">
        <f>+N707+M721</f>
        <v>4.9975415589918502</v>
      </c>
      <c r="Z721">
        <f>+(I721-$F$931)/$F$932</f>
        <v>-0.7447476241125387</v>
      </c>
      <c r="AA721">
        <f>+AA707+Z721</f>
        <v>17.351636597865316</v>
      </c>
    </row>
    <row r="722" spans="1:27">
      <c r="A722" s="15">
        <v>5</v>
      </c>
      <c r="B722" s="77">
        <v>43556</v>
      </c>
      <c r="E722" s="12">
        <v>4</v>
      </c>
      <c r="F722" s="79">
        <v>1.1439999999999999</v>
      </c>
      <c r="G722" s="79">
        <v>3.2000000000000001E-2</v>
      </c>
    </row>
    <row r="723" spans="1:27">
      <c r="A723" s="15">
        <v>7</v>
      </c>
      <c r="B723" s="77">
        <v>43556</v>
      </c>
      <c r="E723" s="12">
        <v>4</v>
      </c>
      <c r="F723" s="79">
        <v>2.0779999999999998</v>
      </c>
      <c r="G723" s="79">
        <v>8.0000000000000002E-3</v>
      </c>
    </row>
    <row r="724" spans="1:27">
      <c r="A724" s="15">
        <v>14</v>
      </c>
      <c r="B724" s="77">
        <v>43556</v>
      </c>
      <c r="E724" s="12">
        <v>4</v>
      </c>
      <c r="F724" s="79">
        <v>0.91</v>
      </c>
      <c r="G724" s="79">
        <v>4.0000000000000001E-3</v>
      </c>
      <c r="I724" s="27">
        <f>AVERAGE(F722:F724)</f>
        <v>1.3773333333333333</v>
      </c>
      <c r="J724" s="27">
        <f>AVERAGE(G722:G724)</f>
        <v>1.4666666666666666E-2</v>
      </c>
      <c r="L724">
        <f>+J724/I724</f>
        <v>1.0648596321393998E-2</v>
      </c>
      <c r="M724">
        <f>+(L724-$L$931)/$L$932</f>
        <v>-0.38611507647366045</v>
      </c>
      <c r="N724">
        <f>+N721+M724</f>
        <v>4.6114264825181897</v>
      </c>
      <c r="Z724">
        <f>+(I724-$F$931)/$F$932</f>
        <v>-0.68021560538424164</v>
      </c>
      <c r="AA724">
        <f>+AA721+Z724</f>
        <v>16.671420992481075</v>
      </c>
    </row>
    <row r="725" spans="1:27">
      <c r="A725" s="15">
        <v>5</v>
      </c>
      <c r="B725" s="77">
        <v>43586</v>
      </c>
      <c r="E725" s="12">
        <v>5</v>
      </c>
      <c r="F725" s="79">
        <v>4.585</v>
      </c>
      <c r="G725" s="79">
        <v>6.5000000000000002E-2</v>
      </c>
    </row>
    <row r="726" spans="1:27">
      <c r="A726" s="15">
        <v>7</v>
      </c>
      <c r="B726" s="77">
        <v>43586</v>
      </c>
      <c r="E726" s="12">
        <v>5</v>
      </c>
      <c r="F726" s="79">
        <v>1.4370000000000001</v>
      </c>
      <c r="G726" s="79">
        <v>0.03</v>
      </c>
    </row>
    <row r="727" spans="1:27">
      <c r="A727" s="15">
        <v>14</v>
      </c>
      <c r="B727" s="77">
        <v>43586</v>
      </c>
      <c r="E727" s="12">
        <v>5</v>
      </c>
      <c r="F727" s="79">
        <v>0.255</v>
      </c>
      <c r="G727" s="79">
        <v>9.9989999999999996E-4</v>
      </c>
      <c r="I727" s="27">
        <f>AVERAGE(F725:F727)</f>
        <v>2.0923333333333334</v>
      </c>
      <c r="J727" s="27">
        <f>AVERAGE(G725:G727)</f>
        <v>3.1999966666666664E-2</v>
      </c>
      <c r="L727">
        <f>+J727/I727</f>
        <v>1.529391429026605E-2</v>
      </c>
      <c r="M727">
        <f>+(L727-$L$931)/$L$932</f>
        <v>-0.20500928115060979</v>
      </c>
      <c r="N727">
        <f>+N724+M727</f>
        <v>4.4064172013675798</v>
      </c>
      <c r="Z727">
        <f>+(I727-$F$931)/$F$932</f>
        <v>-0.58232226721437108</v>
      </c>
      <c r="AA727">
        <f>+AA724+Z727</f>
        <v>16.089098725266702</v>
      </c>
    </row>
    <row r="728" spans="1:27">
      <c r="A728" s="15">
        <v>5</v>
      </c>
      <c r="B728" s="77">
        <v>43617</v>
      </c>
      <c r="E728" s="12">
        <v>6</v>
      </c>
      <c r="F728" s="79">
        <v>10.612</v>
      </c>
      <c r="G728" s="79">
        <v>0.72299999999999998</v>
      </c>
    </row>
    <row r="729" spans="1:27">
      <c r="A729" s="15">
        <v>7</v>
      </c>
      <c r="B729" s="77">
        <v>43617</v>
      </c>
      <c r="E729" s="12">
        <v>6</v>
      </c>
      <c r="F729" s="80">
        <v>6.093</v>
      </c>
      <c r="G729" s="80">
        <v>1.165</v>
      </c>
    </row>
    <row r="730" spans="1:27">
      <c r="A730" s="15">
        <v>14</v>
      </c>
      <c r="B730" s="77">
        <v>43617</v>
      </c>
      <c r="E730" s="12">
        <v>6</v>
      </c>
      <c r="F730" s="80">
        <v>2.7280000000000002</v>
      </c>
      <c r="G730" s="80">
        <v>6.0999999999999999E-2</v>
      </c>
      <c r="I730" s="27">
        <f>AVERAGE(F728:F730)</f>
        <v>6.4776666666666669</v>
      </c>
      <c r="J730" s="27">
        <f>AVERAGE(G728:G730)</f>
        <v>0.64966666666666661</v>
      </c>
      <c r="L730">
        <f>+J730/I730</f>
        <v>0.10029331549426232</v>
      </c>
      <c r="M730">
        <f>+(L730-$L$931)/$L$932</f>
        <v>3.1088401173590605</v>
      </c>
      <c r="N730">
        <f>+N727+M730</f>
        <v>7.5152573187266398</v>
      </c>
      <c r="Z730">
        <f>+(I730-$F$931)/$F$932</f>
        <v>1.8090206894168709E-2</v>
      </c>
      <c r="AA730">
        <f>+AA727+Z730</f>
        <v>16.10718893216087</v>
      </c>
    </row>
    <row r="731" spans="1:27">
      <c r="A731" s="15">
        <v>5</v>
      </c>
      <c r="B731" s="77">
        <v>43647</v>
      </c>
      <c r="E731" s="12">
        <v>7</v>
      </c>
      <c r="F731" s="80">
        <v>8.6959999999999997</v>
      </c>
      <c r="G731" s="80">
        <v>0.57599999999999996</v>
      </c>
    </row>
    <row r="732" spans="1:27">
      <c r="A732" s="15">
        <v>7</v>
      </c>
      <c r="B732" s="77">
        <v>43647</v>
      </c>
      <c r="E732" s="12">
        <v>7</v>
      </c>
      <c r="F732" s="80">
        <v>7.12</v>
      </c>
      <c r="G732" s="80">
        <v>0.70599999999999996</v>
      </c>
    </row>
    <row r="733" spans="1:27">
      <c r="A733" s="15">
        <v>14</v>
      </c>
      <c r="B733" s="77">
        <v>43647</v>
      </c>
      <c r="E733" s="12">
        <v>7</v>
      </c>
      <c r="F733" s="80">
        <v>2.173</v>
      </c>
      <c r="G733" s="80">
        <v>7.3999999999999996E-2</v>
      </c>
      <c r="I733" s="27">
        <f>AVERAGE(F731:F733)</f>
        <v>5.9963333333333324</v>
      </c>
      <c r="J733" s="27">
        <f>AVERAGE(G731:G733)</f>
        <v>0.45200000000000001</v>
      </c>
      <c r="L733">
        <f>+J733/I733</f>
        <v>7.53793985213186E-2</v>
      </c>
      <c r="M733">
        <f>+(L733-$L$931)/$L$932</f>
        <v>2.1375277597912077</v>
      </c>
      <c r="N733">
        <f>+N730+M733</f>
        <v>9.6527850785178479</v>
      </c>
      <c r="Z733">
        <f>+(I733-$F$931)/$F$932</f>
        <v>-4.7810949430909848E-2</v>
      </c>
      <c r="AA733">
        <f>+AA730+Z733</f>
        <v>16.059377982729959</v>
      </c>
    </row>
    <row r="734" spans="1:27">
      <c r="A734" s="15">
        <v>5</v>
      </c>
      <c r="B734" s="77">
        <v>43678</v>
      </c>
      <c r="E734" s="12">
        <v>8</v>
      </c>
      <c r="F734" s="80">
        <v>3.7749999999999999</v>
      </c>
      <c r="G734" s="80">
        <v>0.255</v>
      </c>
    </row>
    <row r="735" spans="1:27">
      <c r="A735" s="15">
        <v>7</v>
      </c>
      <c r="B735" s="77">
        <v>43678</v>
      </c>
      <c r="E735" s="12">
        <v>8</v>
      </c>
    </row>
    <row r="736" spans="1:27">
      <c r="A736" s="15">
        <v>14</v>
      </c>
      <c r="B736" s="77">
        <v>43678</v>
      </c>
      <c r="E736" s="12">
        <v>8</v>
      </c>
      <c r="I736" s="27">
        <f>AVERAGE(F734:F736)</f>
        <v>3.7749999999999999</v>
      </c>
      <c r="J736" s="27">
        <f>AVERAGE(G734:G736)</f>
        <v>0.255</v>
      </c>
      <c r="L736">
        <f>+J736/I736</f>
        <v>6.7549668874172186E-2</v>
      </c>
      <c r="M736">
        <f>+(L736-$L$931)/$L$932</f>
        <v>1.8322721401731532</v>
      </c>
      <c r="N736">
        <f>+N733+M736</f>
        <v>11.485057218691001</v>
      </c>
      <c r="Z736">
        <f>+(I736-$F$931)/$F$932</f>
        <v>-0.35194204759595299</v>
      </c>
      <c r="AA736">
        <f>+AA733+Z736</f>
        <v>15.707435935134006</v>
      </c>
    </row>
    <row r="737" spans="1:27">
      <c r="A737" s="15">
        <v>5</v>
      </c>
      <c r="B737" s="77">
        <v>43709</v>
      </c>
      <c r="E737" s="12">
        <v>9</v>
      </c>
      <c r="F737" s="80">
        <v>2.1040000000000001</v>
      </c>
      <c r="G737" s="80">
        <v>0.154</v>
      </c>
    </row>
    <row r="738" spans="1:27">
      <c r="A738" s="15">
        <v>7</v>
      </c>
      <c r="B738" s="77">
        <v>43709</v>
      </c>
      <c r="E738" s="12">
        <v>9</v>
      </c>
      <c r="F738" s="80">
        <v>6.9580000000000002</v>
      </c>
      <c r="G738" s="80">
        <v>7.6999999999999999E-2</v>
      </c>
    </row>
    <row r="739" spans="1:27">
      <c r="A739" s="15">
        <v>14</v>
      </c>
      <c r="B739" s="77">
        <v>43709</v>
      </c>
      <c r="E739" s="12">
        <v>9</v>
      </c>
      <c r="F739" s="80">
        <v>0.69899999999999995</v>
      </c>
      <c r="G739" s="80">
        <v>9.9989999999999996E-4</v>
      </c>
      <c r="I739" s="27">
        <f>AVERAGE(F737:F739)</f>
        <v>3.2536666666666672</v>
      </c>
      <c r="J739" s="27">
        <f>AVERAGE(G737:G739)</f>
        <v>7.7333299999999994E-2</v>
      </c>
      <c r="L739">
        <f>+J739/I739</f>
        <v>2.3768046306730864E-2</v>
      </c>
      <c r="M739">
        <f>+(L739-$L$931)/$L$932</f>
        <v>0.12536948490984079</v>
      </c>
      <c r="N739">
        <f>+N736+M739</f>
        <v>11.610426703600842</v>
      </c>
      <c r="Z739">
        <f>+(I739-$F$931)/$F$932</f>
        <v>-0.42331975430815694</v>
      </c>
      <c r="AA739">
        <f>+AA736+Z739</f>
        <v>15.284116180825849</v>
      </c>
    </row>
    <row r="740" spans="1:27">
      <c r="A740" s="15">
        <v>5</v>
      </c>
      <c r="B740" s="77">
        <v>43739</v>
      </c>
      <c r="E740" s="12">
        <v>10</v>
      </c>
      <c r="F740" s="80">
        <v>2.677</v>
      </c>
      <c r="G740" s="80">
        <v>9.9989999999999996E-4</v>
      </c>
    </row>
    <row r="741" spans="1:27">
      <c r="A741" s="15">
        <v>7</v>
      </c>
      <c r="B741" s="77">
        <v>43739</v>
      </c>
      <c r="E741" s="12">
        <v>10</v>
      </c>
      <c r="F741" s="80">
        <v>2.3660000000000001</v>
      </c>
      <c r="G741" s="80">
        <v>9.9989999999999996E-4</v>
      </c>
    </row>
    <row r="742" spans="1:27">
      <c r="A742" s="15">
        <v>14</v>
      </c>
      <c r="B742" s="77">
        <v>43739</v>
      </c>
      <c r="E742" s="12">
        <v>10</v>
      </c>
      <c r="F742" s="80">
        <v>2.4550000000000001</v>
      </c>
      <c r="G742" s="80">
        <v>9.9989999999999996E-4</v>
      </c>
      <c r="I742" s="27">
        <f>AVERAGE(F740:F742)</f>
        <v>2.4993333333333334</v>
      </c>
      <c r="J742" s="27">
        <f>AVERAGE(G740:G742)</f>
        <v>9.9989999999999996E-4</v>
      </c>
      <c r="L742">
        <f>+J742/I742</f>
        <v>4.0006668444918643E-4</v>
      </c>
      <c r="M742">
        <f>+(L742-$L$931)/$L$932</f>
        <v>-0.78567181795575636</v>
      </c>
      <c r="N742">
        <f>+N739+M742</f>
        <v>10.824754885645085</v>
      </c>
      <c r="Z742">
        <f>+(I742-$F$931)/$F$932</f>
        <v>-0.52659836702536778</v>
      </c>
      <c r="AA742">
        <f>+AA739+Z742</f>
        <v>14.757517813800481</v>
      </c>
    </row>
    <row r="743" spans="1:27">
      <c r="A743" s="15">
        <v>5</v>
      </c>
      <c r="B743" s="77">
        <v>43770</v>
      </c>
      <c r="E743" s="12">
        <v>11</v>
      </c>
    </row>
    <row r="744" spans="1:27">
      <c r="A744" s="15">
        <v>7</v>
      </c>
      <c r="B744" s="77">
        <v>43770</v>
      </c>
      <c r="E744" s="12">
        <v>11</v>
      </c>
    </row>
    <row r="745" spans="1:27">
      <c r="A745" s="15">
        <v>14</v>
      </c>
      <c r="B745" s="77">
        <v>43770</v>
      </c>
      <c r="E745" s="12">
        <v>11</v>
      </c>
    </row>
    <row r="746" spans="1:27">
      <c r="A746" s="15">
        <v>5</v>
      </c>
      <c r="B746" s="78">
        <v>43800</v>
      </c>
      <c r="E746" s="12">
        <v>12</v>
      </c>
      <c r="F746" s="80">
        <v>0.69099999999999995</v>
      </c>
      <c r="G746" s="80">
        <v>9.9989999999999996E-4</v>
      </c>
    </row>
    <row r="747" spans="1:27">
      <c r="A747" s="15">
        <v>7</v>
      </c>
      <c r="B747" s="77">
        <v>43800</v>
      </c>
      <c r="E747" s="12">
        <v>12</v>
      </c>
      <c r="F747" s="80">
        <v>1.2250000000000001</v>
      </c>
      <c r="G747" s="80">
        <v>0.01</v>
      </c>
    </row>
    <row r="748" spans="1:27">
      <c r="A748" s="15">
        <v>14</v>
      </c>
      <c r="B748" s="77">
        <v>43800</v>
      </c>
      <c r="E748" s="12">
        <v>12</v>
      </c>
      <c r="F748" s="80">
        <v>1.129</v>
      </c>
      <c r="G748" s="80">
        <v>0.01</v>
      </c>
      <c r="I748" s="27">
        <f>AVERAGE(F746:F748)</f>
        <v>1.0149999999999999</v>
      </c>
      <c r="J748" s="27">
        <f>AVERAGE(G746:G748)</f>
        <v>6.999966666666667E-3</v>
      </c>
      <c r="L748">
        <f>+J748/I748</f>
        <v>6.8965188834154362E-3</v>
      </c>
      <c r="M748">
        <f>+(L748-$L$931)/$L$932</f>
        <v>-0.532396337104734</v>
      </c>
      <c r="N748">
        <f>+N742+M748</f>
        <v>10.292358548540351</v>
      </c>
      <c r="Z748">
        <f>+(I748-$F$931)/$F$932</f>
        <v>-0.72982402430762139</v>
      </c>
      <c r="AA748">
        <f>+AA742+Z748</f>
        <v>14.02769378949286</v>
      </c>
    </row>
    <row r="749" spans="1:27">
      <c r="A749" s="93">
        <v>5</v>
      </c>
      <c r="B749" s="90">
        <v>43840</v>
      </c>
      <c r="C749" s="91">
        <v>2020</v>
      </c>
      <c r="D749" s="92" t="s">
        <v>40</v>
      </c>
      <c r="E749" s="93">
        <v>1</v>
      </c>
    </row>
    <row r="750" spans="1:27">
      <c r="A750" s="15">
        <v>7</v>
      </c>
      <c r="B750" s="73">
        <v>43835</v>
      </c>
      <c r="C750">
        <v>2020</v>
      </c>
      <c r="D750" s="11" t="s">
        <v>40</v>
      </c>
      <c r="E750" s="15">
        <v>1</v>
      </c>
    </row>
    <row r="751" spans="1:27">
      <c r="A751" s="15">
        <v>14</v>
      </c>
      <c r="B751" s="73">
        <v>43835</v>
      </c>
      <c r="C751">
        <v>2020</v>
      </c>
      <c r="D751" s="11" t="s">
        <v>40</v>
      </c>
      <c r="E751" s="15">
        <v>1</v>
      </c>
    </row>
    <row r="752" spans="1:27">
      <c r="A752" s="15">
        <v>5</v>
      </c>
      <c r="B752" s="77">
        <v>43862</v>
      </c>
      <c r="C752">
        <v>2020</v>
      </c>
      <c r="D752" s="11" t="s">
        <v>29</v>
      </c>
      <c r="E752" s="15">
        <v>2</v>
      </c>
      <c r="F752" s="95">
        <v>0.373</v>
      </c>
      <c r="G752" s="95">
        <v>9.9989999999999996E-4</v>
      </c>
    </row>
    <row r="753" spans="1:14">
      <c r="A753" s="15">
        <v>7</v>
      </c>
      <c r="B753" s="77">
        <v>43862</v>
      </c>
      <c r="C753">
        <v>2020</v>
      </c>
      <c r="D753" s="11" t="s">
        <v>29</v>
      </c>
      <c r="E753" s="15">
        <v>2</v>
      </c>
      <c r="F753" s="95">
        <v>0.80500000000000005</v>
      </c>
      <c r="G753" s="95">
        <v>9.9989999999999996E-4</v>
      </c>
      <c r="I753" s="27"/>
      <c r="J753" s="27"/>
    </row>
    <row r="754" spans="1:14">
      <c r="A754" s="15">
        <v>14</v>
      </c>
      <c r="B754" s="77">
        <v>43862</v>
      </c>
      <c r="C754">
        <v>2020</v>
      </c>
      <c r="D754" s="11" t="s">
        <v>29</v>
      </c>
      <c r="E754" s="15">
        <v>2</v>
      </c>
      <c r="I754" s="27">
        <f>AVERAGE(F752:F754)</f>
        <v>0.58899999999999997</v>
      </c>
      <c r="J754" s="27">
        <f>AVERAGE(G752:G754)</f>
        <v>9.9989999999999996E-4</v>
      </c>
      <c r="L754">
        <f>+J754/I754</f>
        <v>1.697623089983022E-3</v>
      </c>
      <c r="M754">
        <f>+(L754-$L$931)/$L$932</f>
        <v>-0.73508432612518437</v>
      </c>
      <c r="N754">
        <f>+N748+M754</f>
        <v>9.5572742224151668</v>
      </c>
    </row>
    <row r="755" spans="1:14">
      <c r="A755" s="15">
        <v>5</v>
      </c>
      <c r="B755" s="77">
        <v>43891</v>
      </c>
      <c r="C755">
        <v>2020</v>
      </c>
      <c r="D755" s="11" t="s">
        <v>30</v>
      </c>
      <c r="E755" s="15">
        <v>3</v>
      </c>
    </row>
    <row r="756" spans="1:14">
      <c r="A756" s="15">
        <v>7</v>
      </c>
      <c r="B756" s="77">
        <v>43891</v>
      </c>
      <c r="C756">
        <v>2020</v>
      </c>
      <c r="D756" s="11" t="s">
        <v>30</v>
      </c>
      <c r="E756" s="15">
        <v>3</v>
      </c>
    </row>
    <row r="757" spans="1:14">
      <c r="A757" s="15">
        <v>14</v>
      </c>
      <c r="B757" s="77">
        <v>43891</v>
      </c>
      <c r="C757">
        <v>2020</v>
      </c>
      <c r="D757" s="11" t="s">
        <v>30</v>
      </c>
      <c r="E757" s="15">
        <v>3</v>
      </c>
    </row>
    <row r="758" spans="1:14">
      <c r="A758" s="15">
        <v>5</v>
      </c>
      <c r="B758" s="77">
        <v>43922</v>
      </c>
      <c r="C758">
        <v>2020</v>
      </c>
      <c r="D758" s="11" t="s">
        <v>31</v>
      </c>
      <c r="E758" s="15">
        <v>4</v>
      </c>
    </row>
    <row r="759" spans="1:14">
      <c r="A759" s="15">
        <v>7</v>
      </c>
      <c r="B759" s="77">
        <v>43922</v>
      </c>
      <c r="C759">
        <v>2020</v>
      </c>
      <c r="D759" s="11" t="s">
        <v>31</v>
      </c>
      <c r="E759" s="15">
        <v>4</v>
      </c>
    </row>
    <row r="760" spans="1:14">
      <c r="A760" s="15">
        <v>14</v>
      </c>
      <c r="B760" s="77">
        <v>43922</v>
      </c>
      <c r="C760">
        <v>2020</v>
      </c>
      <c r="D760" s="11" t="s">
        <v>31</v>
      </c>
      <c r="E760" s="15">
        <v>4</v>
      </c>
    </row>
    <row r="761" spans="1:14">
      <c r="A761" s="15">
        <v>5</v>
      </c>
      <c r="B761" s="77">
        <v>43952</v>
      </c>
      <c r="C761">
        <v>2020</v>
      </c>
      <c r="D761" s="11" t="s">
        <v>32</v>
      </c>
      <c r="E761" s="15">
        <v>5</v>
      </c>
    </row>
    <row r="762" spans="1:14">
      <c r="A762" s="15">
        <v>7</v>
      </c>
      <c r="B762" s="77">
        <v>43952</v>
      </c>
      <c r="C762">
        <v>2020</v>
      </c>
      <c r="D762" s="11" t="s">
        <v>32</v>
      </c>
      <c r="E762" s="15">
        <v>5</v>
      </c>
    </row>
    <row r="763" spans="1:14">
      <c r="A763" s="15">
        <v>14</v>
      </c>
      <c r="B763" s="77">
        <v>43952</v>
      </c>
      <c r="C763">
        <v>2020</v>
      </c>
      <c r="D763" s="11" t="s">
        <v>32</v>
      </c>
      <c r="E763" s="15">
        <v>5</v>
      </c>
    </row>
    <row r="764" spans="1:14">
      <c r="A764" s="15">
        <v>5</v>
      </c>
      <c r="B764" s="77">
        <v>43983</v>
      </c>
      <c r="C764">
        <v>2020</v>
      </c>
      <c r="D764" s="11" t="s">
        <v>33</v>
      </c>
      <c r="E764" s="15">
        <v>6</v>
      </c>
      <c r="F764" s="95">
        <v>1.6439999999999999</v>
      </c>
      <c r="G764" s="95">
        <v>6.4000000000000001E-2</v>
      </c>
    </row>
    <row r="765" spans="1:14">
      <c r="A765" s="15">
        <v>7</v>
      </c>
      <c r="B765" s="77">
        <v>43983</v>
      </c>
      <c r="C765">
        <v>2020</v>
      </c>
      <c r="D765" s="11" t="s">
        <v>33</v>
      </c>
      <c r="E765" s="15">
        <v>6</v>
      </c>
      <c r="F765" s="95">
        <v>6.1440000000000001</v>
      </c>
      <c r="G765" s="95">
        <v>0.12</v>
      </c>
    </row>
    <row r="766" spans="1:14">
      <c r="A766" s="15">
        <v>14</v>
      </c>
      <c r="B766" s="77">
        <v>43983</v>
      </c>
      <c r="C766">
        <v>2020</v>
      </c>
      <c r="D766" s="11" t="s">
        <v>33</v>
      </c>
      <c r="E766" s="15">
        <v>6</v>
      </c>
      <c r="F766" s="95">
        <v>2.0430000000000001</v>
      </c>
      <c r="G766" s="95">
        <v>8.9999999999999993E-3</v>
      </c>
      <c r="I766" s="27">
        <f>AVERAGE(F764:F766)</f>
        <v>3.2769999999999997</v>
      </c>
      <c r="J766" s="27">
        <f>AVERAGE(G764:G766)</f>
        <v>6.433333333333334E-2</v>
      </c>
      <c r="L766">
        <f>+J766/I766</f>
        <v>1.9631777031838066E-2</v>
      </c>
      <c r="M766">
        <f>+(L766-$L$931)/$L$932</f>
        <v>-3.5890162270274757E-2</v>
      </c>
      <c r="N766">
        <f>+N754+M766</f>
        <v>9.5213840601448911</v>
      </c>
    </row>
    <row r="767" spans="1:14">
      <c r="A767" s="15">
        <v>5</v>
      </c>
      <c r="B767" s="77">
        <v>44013</v>
      </c>
      <c r="C767">
        <v>2020</v>
      </c>
      <c r="D767" s="11" t="s">
        <v>34</v>
      </c>
      <c r="E767" s="15">
        <v>7</v>
      </c>
      <c r="F767" s="99">
        <v>15.592000000000001</v>
      </c>
      <c r="G767" s="99">
        <v>1.087</v>
      </c>
      <c r="H767" s="98" t="s">
        <v>102</v>
      </c>
    </row>
    <row r="768" spans="1:14">
      <c r="A768" s="15">
        <v>7</v>
      </c>
      <c r="B768" s="77">
        <v>44013</v>
      </c>
      <c r="C768">
        <v>2020</v>
      </c>
      <c r="D768" s="11" t="s">
        <v>34</v>
      </c>
      <c r="E768" s="15">
        <v>7</v>
      </c>
      <c r="F768" s="95">
        <v>10.538</v>
      </c>
      <c r="G768" s="95">
        <v>0.57299999999999995</v>
      </c>
    </row>
    <row r="769" spans="1:14">
      <c r="A769" s="15">
        <v>14</v>
      </c>
      <c r="B769" s="77">
        <v>44013</v>
      </c>
      <c r="C769">
        <v>2020</v>
      </c>
      <c r="D769" s="11" t="s">
        <v>34</v>
      </c>
      <c r="E769" s="15">
        <v>7</v>
      </c>
      <c r="F769" s="95">
        <v>5.3460000000000001</v>
      </c>
      <c r="G769" s="95">
        <v>3.9E-2</v>
      </c>
      <c r="I769" s="27">
        <f t="shared" ref="I769:J769" si="0">AVERAGE(F767:F769)</f>
        <v>10.492000000000001</v>
      </c>
      <c r="J769" s="27">
        <f t="shared" si="0"/>
        <v>0.56633333333333324</v>
      </c>
      <c r="L769">
        <f t="shared" ref="L769" si="1">+J769/I769</f>
        <v>5.3977633752700455E-2</v>
      </c>
      <c r="M769">
        <f t="shared" ref="M769" si="2">+(L769-$L$931)/$L$932</f>
        <v>1.3031427605919865</v>
      </c>
      <c r="N769">
        <f>+N766+M769</f>
        <v>10.824526820736878</v>
      </c>
    </row>
    <row r="770" spans="1:14">
      <c r="A770" s="15">
        <v>5</v>
      </c>
      <c r="B770" s="77">
        <v>44044</v>
      </c>
      <c r="C770">
        <v>2020</v>
      </c>
      <c r="D770" s="11" t="s">
        <v>35</v>
      </c>
      <c r="E770" s="15">
        <v>8</v>
      </c>
      <c r="F770" s="95">
        <v>3.669</v>
      </c>
      <c r="G770" s="95">
        <v>0.14099999999999999</v>
      </c>
    </row>
    <row r="771" spans="1:14">
      <c r="A771" s="15">
        <v>7</v>
      </c>
      <c r="B771" s="77">
        <v>44044</v>
      </c>
      <c r="C771">
        <v>2020</v>
      </c>
      <c r="D771" s="11" t="s">
        <v>35</v>
      </c>
      <c r="E771" s="15">
        <v>8</v>
      </c>
      <c r="F771" s="95">
        <v>17.402999999999999</v>
      </c>
      <c r="G771" s="95">
        <v>0.23699999999999999</v>
      </c>
    </row>
    <row r="772" spans="1:14">
      <c r="A772" s="15">
        <v>14</v>
      </c>
      <c r="B772" s="77">
        <v>44044</v>
      </c>
      <c r="C772">
        <v>2020</v>
      </c>
      <c r="D772" s="11" t="s">
        <v>35</v>
      </c>
      <c r="E772" s="15">
        <v>8</v>
      </c>
      <c r="F772" s="95">
        <v>5.0720000000000001</v>
      </c>
      <c r="G772" s="95">
        <v>5.5E-2</v>
      </c>
      <c r="I772" s="27">
        <f t="shared" ref="I772:J772" si="3">AVERAGE(F770:F772)</f>
        <v>8.7146666666666661</v>
      </c>
      <c r="J772" s="27">
        <f t="shared" si="3"/>
        <v>0.14433333333333334</v>
      </c>
      <c r="L772">
        <f t="shared" ref="L772" si="4">+J772/I772</f>
        <v>1.6562117503059977E-2</v>
      </c>
      <c r="M772">
        <f t="shared" ref="M772" si="5">+(L772-$L$931)/$L$932</f>
        <v>-0.15556617455955302</v>
      </c>
      <c r="N772">
        <f t="shared" ref="N772" si="6">+N769+M772</f>
        <v>10.668960646177325</v>
      </c>
    </row>
    <row r="773" spans="1:14">
      <c r="A773" s="15">
        <v>5</v>
      </c>
      <c r="B773" s="77">
        <v>44075</v>
      </c>
      <c r="C773">
        <v>2020</v>
      </c>
      <c r="D773" s="11" t="s">
        <v>41</v>
      </c>
      <c r="E773" s="15">
        <v>9</v>
      </c>
      <c r="F773" s="95">
        <v>1.829</v>
      </c>
      <c r="G773" s="95">
        <v>0.01</v>
      </c>
    </row>
    <row r="774" spans="1:14">
      <c r="A774" s="15">
        <v>7</v>
      </c>
      <c r="B774" s="77">
        <v>44075</v>
      </c>
      <c r="C774">
        <v>2020</v>
      </c>
      <c r="D774" s="11" t="s">
        <v>41</v>
      </c>
      <c r="E774" s="15">
        <v>9</v>
      </c>
      <c r="F774" s="95">
        <v>2.294</v>
      </c>
      <c r="G774" s="95">
        <v>2.9000000000000001E-2</v>
      </c>
    </row>
    <row r="775" spans="1:14">
      <c r="A775" s="15">
        <v>14</v>
      </c>
      <c r="B775" s="77">
        <v>44075</v>
      </c>
      <c r="C775">
        <v>2020</v>
      </c>
      <c r="D775" s="11" t="s">
        <v>41</v>
      </c>
      <c r="E775" s="15">
        <v>9</v>
      </c>
      <c r="F775" s="95">
        <v>0.78200000000000003</v>
      </c>
      <c r="G775" s="95">
        <v>1.0999999999999999E-2</v>
      </c>
      <c r="I775" s="27">
        <f t="shared" ref="I775:J775" si="7">AVERAGE(F773:F775)</f>
        <v>1.635</v>
      </c>
      <c r="J775" s="27">
        <f t="shared" si="7"/>
        <v>1.6666666666666666E-2</v>
      </c>
      <c r="L775">
        <f t="shared" ref="L775" si="8">+J775/I775</f>
        <v>1.0193679918450561E-2</v>
      </c>
      <c r="M775">
        <f t="shared" ref="M775" si="9">+(L775-$L$931)/$L$932</f>
        <v>-0.40385078315997308</v>
      </c>
      <c r="N775">
        <f t="shared" ref="N775" si="10">+N772+M775</f>
        <v>10.265109863017353</v>
      </c>
    </row>
    <row r="776" spans="1:14">
      <c r="A776" s="15">
        <v>5</v>
      </c>
      <c r="B776" s="77">
        <v>44105</v>
      </c>
      <c r="C776">
        <v>2020</v>
      </c>
      <c r="D776" s="11" t="s">
        <v>37</v>
      </c>
      <c r="E776" s="15">
        <v>10</v>
      </c>
      <c r="F776" s="95">
        <v>1.798</v>
      </c>
      <c r="G776" s="95">
        <v>9.9989999999999996E-4</v>
      </c>
    </row>
    <row r="777" spans="1:14">
      <c r="A777" s="15">
        <v>7</v>
      </c>
      <c r="B777" s="77">
        <v>44105</v>
      </c>
      <c r="C777">
        <v>2020</v>
      </c>
      <c r="D777" s="11" t="s">
        <v>37</v>
      </c>
      <c r="E777" s="15">
        <v>10</v>
      </c>
      <c r="F777" s="95">
        <v>4.4989999999999997</v>
      </c>
      <c r="G777" s="95">
        <v>1.7000000000000001E-2</v>
      </c>
    </row>
    <row r="778" spans="1:14">
      <c r="A778" s="15">
        <v>14</v>
      </c>
      <c r="B778" s="77">
        <v>44105</v>
      </c>
      <c r="C778">
        <v>2020</v>
      </c>
      <c r="D778" s="11" t="s">
        <v>37</v>
      </c>
      <c r="E778" s="15">
        <v>10</v>
      </c>
      <c r="F778" s="95">
        <v>1.04</v>
      </c>
      <c r="G778" s="95">
        <v>9.9989999999999996E-4</v>
      </c>
      <c r="I778" s="27">
        <f t="shared" ref="I778:J778" si="11">AVERAGE(F776:F778)</f>
        <v>2.4456666666666664</v>
      </c>
      <c r="J778" s="27">
        <f t="shared" si="11"/>
        <v>6.3332666666666678E-3</v>
      </c>
      <c r="L778">
        <f t="shared" ref="L778" si="12">+J778/I778</f>
        <v>2.5895870246694843E-3</v>
      </c>
      <c r="M778">
        <f t="shared" ref="M778" si="13">+(L778-$L$931)/$L$932</f>
        <v>-0.70030956175526682</v>
      </c>
      <c r="N778">
        <f t="shared" ref="N778" si="14">+N775+M778</f>
        <v>9.5648003012620855</v>
      </c>
    </row>
    <row r="779" spans="1:14">
      <c r="A779" s="15">
        <v>5</v>
      </c>
      <c r="B779" s="77">
        <v>44136</v>
      </c>
      <c r="C779">
        <v>2020</v>
      </c>
      <c r="D779" s="11" t="s">
        <v>38</v>
      </c>
      <c r="E779" s="15">
        <v>11</v>
      </c>
      <c r="F779" s="95">
        <v>0.88</v>
      </c>
      <c r="G779" s="95">
        <v>6.0000000000000001E-3</v>
      </c>
    </row>
    <row r="780" spans="1:14">
      <c r="A780" s="15">
        <v>7</v>
      </c>
      <c r="B780" s="77">
        <v>44136</v>
      </c>
      <c r="C780">
        <v>2020</v>
      </c>
      <c r="D780" s="11" t="s">
        <v>38</v>
      </c>
      <c r="E780" s="15">
        <v>11</v>
      </c>
      <c r="F780" s="95">
        <v>2.1760000000000002</v>
      </c>
      <c r="G780" s="95">
        <v>9.9989999999999996E-4</v>
      </c>
    </row>
    <row r="781" spans="1:14">
      <c r="A781" s="15">
        <v>14</v>
      </c>
      <c r="B781" s="77">
        <v>44136</v>
      </c>
      <c r="C781">
        <v>2020</v>
      </c>
      <c r="D781" s="11" t="s">
        <v>38</v>
      </c>
      <c r="E781" s="15">
        <v>11</v>
      </c>
      <c r="F781" s="95">
        <v>0.85499999999999998</v>
      </c>
      <c r="G781" s="95">
        <v>9.9989999999999996E-4</v>
      </c>
      <c r="I781" s="27">
        <f t="shared" ref="I781:J781" si="15">AVERAGE(F779:F781)</f>
        <v>1.3036666666666668</v>
      </c>
      <c r="J781" s="27">
        <f t="shared" si="15"/>
        <v>2.6665999999999999E-3</v>
      </c>
      <c r="L781">
        <f t="shared" ref="L781" si="16">+J781/I781</f>
        <v>2.0454615187931475E-3</v>
      </c>
      <c r="M781">
        <f t="shared" ref="M781" si="17">+(L781-$L$931)/$L$932</f>
        <v>-0.72152324037912641</v>
      </c>
      <c r="N781">
        <f t="shared" ref="N781" si="18">+N778+M781</f>
        <v>8.8432770608829596</v>
      </c>
    </row>
    <row r="782" spans="1:14">
      <c r="A782" s="15">
        <v>5</v>
      </c>
      <c r="B782" s="78">
        <v>44166</v>
      </c>
      <c r="C782">
        <v>2020</v>
      </c>
      <c r="D782" s="11" t="s">
        <v>39</v>
      </c>
      <c r="E782" s="15">
        <v>12</v>
      </c>
    </row>
    <row r="783" spans="1:14">
      <c r="A783" s="15">
        <v>7</v>
      </c>
      <c r="B783" s="77">
        <v>44166</v>
      </c>
      <c r="C783">
        <v>2020</v>
      </c>
      <c r="D783" s="11" t="s">
        <v>39</v>
      </c>
      <c r="E783" s="15">
        <v>12</v>
      </c>
    </row>
    <row r="784" spans="1:14">
      <c r="A784" s="15">
        <v>14</v>
      </c>
      <c r="B784" s="77">
        <v>44166</v>
      </c>
      <c r="C784">
        <v>2020</v>
      </c>
      <c r="D784" s="11" t="s">
        <v>39</v>
      </c>
      <c r="E784" s="15">
        <v>12</v>
      </c>
      <c r="I784" s="27"/>
      <c r="J784" s="27"/>
    </row>
    <row r="785" spans="1:14">
      <c r="A785" s="93">
        <v>5</v>
      </c>
      <c r="B785" s="90">
        <v>44206</v>
      </c>
      <c r="C785" s="91">
        <v>2021</v>
      </c>
      <c r="D785" s="92" t="s">
        <v>40</v>
      </c>
      <c r="E785" s="93">
        <v>1</v>
      </c>
    </row>
    <row r="786" spans="1:14">
      <c r="A786" s="15">
        <v>7</v>
      </c>
      <c r="B786" s="73">
        <v>44201</v>
      </c>
      <c r="C786">
        <v>2021</v>
      </c>
      <c r="D786" s="11" t="s">
        <v>40</v>
      </c>
      <c r="E786" s="15">
        <v>1</v>
      </c>
    </row>
    <row r="787" spans="1:14">
      <c r="A787" s="15">
        <v>14</v>
      </c>
      <c r="B787" s="73">
        <v>44201</v>
      </c>
      <c r="C787">
        <v>2021</v>
      </c>
      <c r="D787" s="11" t="s">
        <v>40</v>
      </c>
      <c r="E787" s="15">
        <v>1</v>
      </c>
      <c r="I787" s="27"/>
      <c r="J787" s="27"/>
    </row>
    <row r="788" spans="1:14">
      <c r="A788" s="15">
        <v>5</v>
      </c>
      <c r="B788" s="77">
        <v>44228</v>
      </c>
      <c r="C788">
        <v>2021</v>
      </c>
      <c r="D788" s="11" t="s">
        <v>29</v>
      </c>
      <c r="E788" s="15">
        <v>2</v>
      </c>
      <c r="F788" s="95">
        <v>4.7380000000000004</v>
      </c>
      <c r="G788" s="95">
        <v>8.0000000000000002E-3</v>
      </c>
    </row>
    <row r="789" spans="1:14">
      <c r="A789" s="15">
        <v>7</v>
      </c>
      <c r="B789" s="77">
        <v>44228</v>
      </c>
      <c r="C789">
        <v>2021</v>
      </c>
      <c r="D789" s="11" t="s">
        <v>29</v>
      </c>
      <c r="E789" s="15">
        <v>2</v>
      </c>
      <c r="F789" s="95">
        <v>2.7160000000000002</v>
      </c>
      <c r="G789" s="95">
        <v>1.4999999999999999E-2</v>
      </c>
    </row>
    <row r="790" spans="1:14">
      <c r="A790" s="15">
        <v>14</v>
      </c>
      <c r="B790" s="77">
        <v>44228</v>
      </c>
      <c r="C790">
        <v>2021</v>
      </c>
      <c r="D790" s="11" t="s">
        <v>29</v>
      </c>
      <c r="E790" s="15">
        <v>2</v>
      </c>
      <c r="F790" s="95">
        <v>2.9409999999999998</v>
      </c>
      <c r="G790" s="95">
        <v>1.2999999999999999E-2</v>
      </c>
      <c r="I790" s="27">
        <f t="shared" ref="I790:J790" si="19">AVERAGE(F788:F790)</f>
        <v>3.4649999999999999</v>
      </c>
      <c r="J790" s="27">
        <f t="shared" si="19"/>
        <v>1.1999999999999999E-2</v>
      </c>
      <c r="L790">
        <f t="shared" ref="L790" si="20">+J790/I790</f>
        <v>3.4632034632034628E-3</v>
      </c>
      <c r="M790">
        <f t="shared" ref="M790" si="21">+(L790-$L$931)/$L$932</f>
        <v>-0.66625010641374061</v>
      </c>
      <c r="N790">
        <f>+N781+M790</f>
        <v>8.1770269544692198</v>
      </c>
    </row>
    <row r="791" spans="1:14">
      <c r="A791" s="15">
        <v>5</v>
      </c>
      <c r="B791" s="77">
        <v>44256</v>
      </c>
      <c r="C791">
        <v>2021</v>
      </c>
      <c r="D791" s="11" t="s">
        <v>30</v>
      </c>
      <c r="E791" s="15">
        <v>3</v>
      </c>
      <c r="F791" s="95">
        <v>2.9289999999999998</v>
      </c>
      <c r="G791" s="95">
        <v>0.01</v>
      </c>
    </row>
    <row r="792" spans="1:14">
      <c r="A792" s="15">
        <v>7</v>
      </c>
      <c r="B792" s="77">
        <v>44256</v>
      </c>
      <c r="C792">
        <v>2021</v>
      </c>
      <c r="D792" s="11" t="s">
        <v>30</v>
      </c>
      <c r="E792" s="15">
        <v>3</v>
      </c>
      <c r="F792" s="95">
        <v>1.3540000000000001</v>
      </c>
      <c r="G792" s="95">
        <v>8.9999999999999993E-3</v>
      </c>
    </row>
    <row r="793" spans="1:14">
      <c r="A793" s="15">
        <v>14</v>
      </c>
      <c r="B793" s="77">
        <v>44256</v>
      </c>
      <c r="C793">
        <v>2021</v>
      </c>
      <c r="D793" s="11" t="s">
        <v>30</v>
      </c>
      <c r="E793" s="15">
        <v>3</v>
      </c>
      <c r="F793" s="95">
        <v>1.39</v>
      </c>
      <c r="G793" s="95">
        <v>8.9999999999999993E-3</v>
      </c>
      <c r="I793" s="27">
        <f t="shared" ref="I793:J793" si="22">AVERAGE(F791:F793)</f>
        <v>1.8909999999999998</v>
      </c>
      <c r="J793" s="27">
        <f t="shared" si="22"/>
        <v>9.3333333333333324E-3</v>
      </c>
      <c r="L793">
        <f t="shared" ref="L793" si="23">+J793/I793</f>
        <v>4.9356601445443328E-3</v>
      </c>
      <c r="M793">
        <f t="shared" ref="M793" si="24">+(L793-$L$931)/$L$932</f>
        <v>-0.60884382332614195</v>
      </c>
      <c r="N793">
        <f t="shared" ref="N793" si="25">+N790+M793</f>
        <v>7.5681831311430781</v>
      </c>
    </row>
    <row r="794" spans="1:14">
      <c r="A794" s="15">
        <v>5</v>
      </c>
      <c r="B794" s="77">
        <v>44287</v>
      </c>
      <c r="C794">
        <v>2021</v>
      </c>
      <c r="D794" s="11" t="s">
        <v>31</v>
      </c>
      <c r="E794" s="15">
        <v>4</v>
      </c>
      <c r="F794" s="95">
        <v>1.0609999999999999</v>
      </c>
      <c r="G794" s="95">
        <v>5.0000000000000001E-3</v>
      </c>
    </row>
    <row r="795" spans="1:14">
      <c r="A795" s="15">
        <v>7</v>
      </c>
      <c r="B795" s="77">
        <v>44287</v>
      </c>
      <c r="C795">
        <v>2021</v>
      </c>
      <c r="D795" s="11" t="s">
        <v>31</v>
      </c>
      <c r="E795" s="15">
        <v>4</v>
      </c>
      <c r="F795" s="95">
        <v>1.3049999999999999</v>
      </c>
      <c r="G795" s="95">
        <v>1.2E-2</v>
      </c>
    </row>
    <row r="796" spans="1:14">
      <c r="A796" s="15">
        <v>14</v>
      </c>
      <c r="B796" s="77">
        <v>44287</v>
      </c>
      <c r="C796">
        <v>2021</v>
      </c>
      <c r="D796" s="11" t="s">
        <v>31</v>
      </c>
      <c r="E796" s="15">
        <v>4</v>
      </c>
      <c r="F796" s="95">
        <v>0.66200000000000003</v>
      </c>
      <c r="G796" s="95">
        <v>8.0000000000000002E-3</v>
      </c>
      <c r="I796" s="27">
        <f t="shared" ref="I796:J796" si="26">AVERAGE(F794:F796)</f>
        <v>1.0093333333333332</v>
      </c>
      <c r="J796" s="27">
        <f t="shared" si="26"/>
        <v>8.3333333333333332E-3</v>
      </c>
      <c r="L796">
        <f t="shared" ref="L796" si="27">+J796/I796</f>
        <v>8.2562747688243072E-3</v>
      </c>
      <c r="M796">
        <f t="shared" ref="M796" si="28">+(L796-$L$931)/$L$932</f>
        <v>-0.47938389043857649</v>
      </c>
      <c r="N796">
        <f t="shared" ref="N796" si="29">+N793+M796</f>
        <v>7.0887992407045015</v>
      </c>
    </row>
    <row r="797" spans="1:14">
      <c r="A797" s="15">
        <v>5</v>
      </c>
      <c r="B797" s="77">
        <v>44317</v>
      </c>
      <c r="C797">
        <v>2021</v>
      </c>
      <c r="D797" s="11" t="s">
        <v>32</v>
      </c>
      <c r="E797" s="15">
        <v>5</v>
      </c>
      <c r="F797" s="95">
        <v>1.105</v>
      </c>
      <c r="G797" s="95">
        <v>1.2E-2</v>
      </c>
    </row>
    <row r="798" spans="1:14">
      <c r="A798" s="15">
        <v>7</v>
      </c>
      <c r="B798" s="77">
        <v>44317</v>
      </c>
      <c r="C798">
        <v>2021</v>
      </c>
      <c r="D798" s="11" t="s">
        <v>32</v>
      </c>
      <c r="E798" s="15">
        <v>5</v>
      </c>
      <c r="F798" s="95">
        <v>3.7360000000000002</v>
      </c>
      <c r="G798" s="95">
        <v>8.9999999999999993E-3</v>
      </c>
    </row>
    <row r="799" spans="1:14">
      <c r="A799" s="15">
        <v>14</v>
      </c>
      <c r="B799" s="77">
        <v>44317</v>
      </c>
      <c r="C799">
        <v>2021</v>
      </c>
      <c r="D799" s="11" t="s">
        <v>32</v>
      </c>
      <c r="E799" s="15">
        <v>5</v>
      </c>
      <c r="F799" s="95">
        <v>0.89200000000000002</v>
      </c>
      <c r="G799" s="95">
        <v>1.2999999999999999E-2</v>
      </c>
      <c r="I799" s="27">
        <f t="shared" ref="I799:J799" si="30">AVERAGE(F797:F799)</f>
        <v>1.9110000000000003</v>
      </c>
      <c r="J799" s="27">
        <f t="shared" si="30"/>
        <v>1.1333333333333332E-2</v>
      </c>
      <c r="L799">
        <f t="shared" ref="L799" si="31">+J799/I799</f>
        <v>5.9305773591487865E-3</v>
      </c>
      <c r="M799">
        <f t="shared" ref="M799" si="32">+(L799-$L$931)/$L$932</f>
        <v>-0.57005524638933314</v>
      </c>
      <c r="N799">
        <f t="shared" ref="N799" si="33">+N796+M799</f>
        <v>6.5187439943151686</v>
      </c>
    </row>
    <row r="800" spans="1:14">
      <c r="A800" s="15">
        <v>5</v>
      </c>
      <c r="B800" s="77">
        <v>44348</v>
      </c>
      <c r="C800">
        <v>2021</v>
      </c>
      <c r="D800" s="11" t="s">
        <v>33</v>
      </c>
      <c r="E800" s="15">
        <v>6</v>
      </c>
      <c r="F800" s="95">
        <v>5.8959999999999999</v>
      </c>
      <c r="G800" s="95">
        <v>0.189</v>
      </c>
    </row>
    <row r="801" spans="1:14">
      <c r="A801" s="15">
        <v>7</v>
      </c>
      <c r="B801" s="77">
        <v>44348</v>
      </c>
      <c r="C801">
        <v>2021</v>
      </c>
      <c r="D801" s="11" t="s">
        <v>33</v>
      </c>
      <c r="E801" s="15">
        <v>6</v>
      </c>
      <c r="F801" s="95">
        <v>11.476000000000001</v>
      </c>
      <c r="G801" s="95">
        <v>1.4999999999999999E-2</v>
      </c>
    </row>
    <row r="802" spans="1:14">
      <c r="A802" s="15">
        <v>14</v>
      </c>
      <c r="B802" s="77">
        <v>44348</v>
      </c>
      <c r="C802">
        <v>2021</v>
      </c>
      <c r="D802" s="11" t="s">
        <v>33</v>
      </c>
      <c r="E802" s="15">
        <v>6</v>
      </c>
      <c r="F802" s="95">
        <v>3.0630000000000002</v>
      </c>
      <c r="G802" s="95">
        <v>0.17399999999999999</v>
      </c>
      <c r="I802" s="27">
        <f t="shared" ref="I802:J802" si="34">AVERAGE(F800:F802)</f>
        <v>6.8116666666666665</v>
      </c>
      <c r="J802" s="27">
        <f t="shared" si="34"/>
        <v>0.126</v>
      </c>
      <c r="L802">
        <f t="shared" ref="L802" si="35">+J802/I802</f>
        <v>1.8497675556643015E-2</v>
      </c>
      <c r="M802">
        <f t="shared" ref="M802" si="36">+(L802-$L$931)/$L$932</f>
        <v>-8.0105079530743153E-2</v>
      </c>
      <c r="N802">
        <f t="shared" ref="N802" si="37">+N799+M802</f>
        <v>6.4386389147844252</v>
      </c>
    </row>
    <row r="803" spans="1:14">
      <c r="A803" s="15">
        <v>5</v>
      </c>
      <c r="B803" s="77">
        <v>44378</v>
      </c>
      <c r="C803">
        <v>2021</v>
      </c>
      <c r="D803" s="11" t="s">
        <v>34</v>
      </c>
      <c r="E803" s="15">
        <v>7</v>
      </c>
      <c r="H803" s="98" t="s">
        <v>100</v>
      </c>
    </row>
    <row r="804" spans="1:14">
      <c r="A804" s="15">
        <v>7</v>
      </c>
      <c r="B804" s="77">
        <v>44378</v>
      </c>
      <c r="C804">
        <v>2021</v>
      </c>
      <c r="D804" s="11" t="s">
        <v>34</v>
      </c>
      <c r="E804" s="15">
        <v>7</v>
      </c>
      <c r="H804" s="98" t="s">
        <v>101</v>
      </c>
    </row>
    <row r="805" spans="1:14">
      <c r="A805" s="15">
        <v>14</v>
      </c>
      <c r="B805" s="77">
        <v>44378</v>
      </c>
      <c r="C805">
        <v>2021</v>
      </c>
      <c r="D805" s="11" t="s">
        <v>34</v>
      </c>
      <c r="E805" s="15">
        <v>7</v>
      </c>
      <c r="I805" s="27"/>
      <c r="J805" s="27"/>
    </row>
    <row r="806" spans="1:14">
      <c r="A806" s="15">
        <v>5</v>
      </c>
      <c r="B806" s="77">
        <v>44409</v>
      </c>
      <c r="C806">
        <v>2021</v>
      </c>
      <c r="D806" s="11" t="s">
        <v>35</v>
      </c>
      <c r="E806" s="15">
        <v>8</v>
      </c>
      <c r="F806" s="95">
        <v>4.2329999999999997</v>
      </c>
      <c r="G806" s="95">
        <v>4.8000000000000001E-2</v>
      </c>
    </row>
    <row r="807" spans="1:14">
      <c r="A807" s="15">
        <v>7</v>
      </c>
      <c r="B807" s="77">
        <v>44409</v>
      </c>
      <c r="C807">
        <v>2021</v>
      </c>
      <c r="D807" s="11" t="s">
        <v>35</v>
      </c>
      <c r="E807" s="15">
        <v>8</v>
      </c>
      <c r="F807" s="95">
        <v>10.93</v>
      </c>
      <c r="G807" s="95">
        <v>0.11899999999999999</v>
      </c>
    </row>
    <row r="808" spans="1:14">
      <c r="A808" s="15">
        <v>14</v>
      </c>
      <c r="B808" s="77">
        <v>44409</v>
      </c>
      <c r="C808">
        <v>2021</v>
      </c>
      <c r="D808" s="11" t="s">
        <v>35</v>
      </c>
      <c r="E808" s="15">
        <v>8</v>
      </c>
      <c r="F808" s="95">
        <v>2.1480000000000001</v>
      </c>
      <c r="G808" s="95">
        <v>0.02</v>
      </c>
      <c r="I808" s="27">
        <f t="shared" ref="I808:J808" si="38">AVERAGE(F806:F808)</f>
        <v>5.7703333333333333</v>
      </c>
      <c r="J808" s="27">
        <f t="shared" si="38"/>
        <v>6.2333333333333324E-2</v>
      </c>
      <c r="L808">
        <f t="shared" ref="L808" si="39">+J808/I808</f>
        <v>1.0802379989601986E-2</v>
      </c>
      <c r="M808">
        <f t="shared" ref="M808" si="40">+(L808-$L$931)/$L$932</f>
        <v>-0.38011955286792831</v>
      </c>
      <c r="N808">
        <f>+N802+M808</f>
        <v>6.0585193619164972</v>
      </c>
    </row>
    <row r="809" spans="1:14">
      <c r="A809" s="15">
        <v>5</v>
      </c>
      <c r="B809" s="77">
        <v>44440</v>
      </c>
      <c r="C809">
        <v>2021</v>
      </c>
      <c r="D809" s="11" t="s">
        <v>41</v>
      </c>
      <c r="E809" s="15">
        <v>9</v>
      </c>
      <c r="F809" s="95">
        <v>1.4059999999999999</v>
      </c>
      <c r="G809" s="95">
        <v>6.0000000000000001E-3</v>
      </c>
    </row>
    <row r="810" spans="1:14">
      <c r="A810" s="15">
        <v>7</v>
      </c>
      <c r="B810" s="77">
        <v>44440</v>
      </c>
      <c r="C810">
        <v>2021</v>
      </c>
      <c r="D810" s="11" t="s">
        <v>41</v>
      </c>
      <c r="E810" s="15">
        <v>9</v>
      </c>
      <c r="F810" s="95">
        <v>3.7690000000000001</v>
      </c>
      <c r="G810" s="95">
        <v>4.5999999999999999E-2</v>
      </c>
    </row>
    <row r="811" spans="1:14">
      <c r="A811" s="15">
        <v>14</v>
      </c>
      <c r="B811" s="77">
        <v>44440</v>
      </c>
      <c r="C811">
        <v>2021</v>
      </c>
      <c r="D811" s="11" t="s">
        <v>41</v>
      </c>
      <c r="E811" s="15">
        <v>9</v>
      </c>
      <c r="F811" s="95">
        <v>1.5569999999999999</v>
      </c>
      <c r="G811" s="95">
        <v>5.0000000000000001E-3</v>
      </c>
      <c r="I811" s="27">
        <f t="shared" ref="I811:J811" si="41">AVERAGE(F809:F811)</f>
        <v>2.2439999999999998</v>
      </c>
      <c r="J811" s="27">
        <f t="shared" si="41"/>
        <v>1.9E-2</v>
      </c>
      <c r="L811">
        <f t="shared" ref="L811" si="42">+J811/I811</f>
        <v>8.4670231729055273E-3</v>
      </c>
      <c r="M811">
        <f t="shared" ref="M811" si="43">+(L811-$L$931)/$L$932</f>
        <v>-0.47116749759099263</v>
      </c>
      <c r="N811">
        <f t="shared" ref="N811" si="44">+N808+M811</f>
        <v>5.5873518643255045</v>
      </c>
    </row>
    <row r="812" spans="1:14">
      <c r="A812" s="15">
        <v>5</v>
      </c>
      <c r="B812" s="77">
        <v>44470</v>
      </c>
      <c r="C812">
        <v>2021</v>
      </c>
      <c r="D812" s="11" t="s">
        <v>37</v>
      </c>
      <c r="E812" s="15">
        <v>10</v>
      </c>
      <c r="F812" s="95">
        <v>2.2650000000000001</v>
      </c>
      <c r="G812" s="95">
        <v>7.0000000000000001E-3</v>
      </c>
    </row>
    <row r="813" spans="1:14">
      <c r="A813" s="15">
        <v>7</v>
      </c>
      <c r="B813" s="77">
        <v>44470</v>
      </c>
      <c r="C813">
        <v>2021</v>
      </c>
      <c r="D813" s="11" t="s">
        <v>37</v>
      </c>
      <c r="E813" s="15">
        <v>10</v>
      </c>
      <c r="F813" s="95">
        <v>2.258</v>
      </c>
      <c r="G813" s="95">
        <v>7.0000000000000001E-3</v>
      </c>
    </row>
    <row r="814" spans="1:14">
      <c r="A814" s="15">
        <v>14</v>
      </c>
      <c r="B814" s="77">
        <v>44470</v>
      </c>
      <c r="C814">
        <v>2021</v>
      </c>
      <c r="D814" s="11" t="s">
        <v>37</v>
      </c>
      <c r="E814" s="15">
        <v>10</v>
      </c>
      <c r="F814" s="95">
        <v>2.2509999999999999</v>
      </c>
      <c r="G814" s="95">
        <v>5.0000000000000001E-3</v>
      </c>
      <c r="I814" s="27">
        <f t="shared" ref="I814:J814" si="45">AVERAGE(F812:F814)</f>
        <v>2.2579999999999996</v>
      </c>
      <c r="J814" s="27">
        <f t="shared" si="45"/>
        <v>6.3333333333333332E-3</v>
      </c>
      <c r="L814">
        <f t="shared" ref="L814" si="46">+J814/I814</f>
        <v>2.8048420431059941E-3</v>
      </c>
      <c r="M814">
        <f t="shared" ref="M814" si="47">+(L814-$L$931)/$L$932</f>
        <v>-0.6919174707138247</v>
      </c>
      <c r="N814">
        <f t="shared" ref="N814" si="48">+N811+M814</f>
        <v>4.89543439361168</v>
      </c>
    </row>
    <row r="815" spans="1:14">
      <c r="A815" s="15">
        <v>5</v>
      </c>
      <c r="B815" s="77">
        <v>44501</v>
      </c>
      <c r="C815">
        <v>2021</v>
      </c>
      <c r="D815" s="11" t="s">
        <v>38</v>
      </c>
      <c r="E815" s="15">
        <v>11</v>
      </c>
      <c r="F815" s="95">
        <v>0.85899999999999999</v>
      </c>
      <c r="G815" s="95">
        <v>9.9989999999999996E-4</v>
      </c>
    </row>
    <row r="816" spans="1:14">
      <c r="A816" s="15">
        <v>7</v>
      </c>
      <c r="B816" s="77">
        <v>44501</v>
      </c>
      <c r="C816">
        <v>2021</v>
      </c>
      <c r="D816" s="11" t="s">
        <v>38</v>
      </c>
      <c r="E816" s="15">
        <v>11</v>
      </c>
      <c r="F816" s="95">
        <v>0.83199999999999996</v>
      </c>
      <c r="G816" s="95">
        <v>9.9989999999999996E-4</v>
      </c>
    </row>
    <row r="817" spans="1:14">
      <c r="A817" s="15">
        <v>14</v>
      </c>
      <c r="B817" s="77">
        <v>44501</v>
      </c>
      <c r="C817">
        <v>2021</v>
      </c>
      <c r="D817" s="11" t="s">
        <v>38</v>
      </c>
      <c r="E817" s="15">
        <v>11</v>
      </c>
      <c r="F817" s="95">
        <v>0.39700000000000002</v>
      </c>
      <c r="G817" s="95">
        <v>9.9989999999999996E-4</v>
      </c>
      <c r="I817" s="27">
        <f t="shared" ref="I817:J817" si="49">AVERAGE(F815:F817)</f>
        <v>0.69600000000000006</v>
      </c>
      <c r="J817" s="27">
        <f t="shared" si="49"/>
        <v>9.9989999999999996E-4</v>
      </c>
      <c r="L817">
        <f t="shared" ref="L817" si="50">+J817/I817</f>
        <v>1.4366379310344825E-3</v>
      </c>
      <c r="M817">
        <f t="shared" ref="M817" si="51">+(L817-$L$931)/$L$932</f>
        <v>-0.74525928618079595</v>
      </c>
      <c r="N817">
        <f t="shared" ref="N817" si="52">+N814+M817</f>
        <v>4.1501751074308837</v>
      </c>
    </row>
    <row r="818" spans="1:14">
      <c r="A818" s="15">
        <v>5</v>
      </c>
      <c r="B818" s="78">
        <v>44531</v>
      </c>
      <c r="C818">
        <v>2021</v>
      </c>
      <c r="D818" s="11" t="s">
        <v>39</v>
      </c>
      <c r="E818" s="15">
        <v>12</v>
      </c>
      <c r="F818" s="95">
        <v>0.73899999999999999</v>
      </c>
      <c r="G818" s="95">
        <v>9.9989999999999996E-4</v>
      </c>
    </row>
    <row r="819" spans="1:14">
      <c r="A819" s="15">
        <v>7</v>
      </c>
      <c r="B819" s="77">
        <v>44531</v>
      </c>
      <c r="C819">
        <v>2021</v>
      </c>
      <c r="D819" s="11" t="s">
        <v>39</v>
      </c>
      <c r="E819" s="15">
        <v>12</v>
      </c>
      <c r="F819" s="95">
        <v>0.71899999999999997</v>
      </c>
      <c r="G819" s="95">
        <v>9.9989999999999996E-4</v>
      </c>
    </row>
    <row r="820" spans="1:14">
      <c r="A820" s="15">
        <v>14</v>
      </c>
      <c r="B820" s="77">
        <v>44531</v>
      </c>
      <c r="C820">
        <v>2021</v>
      </c>
      <c r="D820" s="11" t="s">
        <v>39</v>
      </c>
      <c r="E820" s="15">
        <v>12</v>
      </c>
      <c r="F820" s="95">
        <v>0.72899999999999998</v>
      </c>
      <c r="G820" s="95">
        <v>9.9989999999999996E-4</v>
      </c>
      <c r="I820" s="27">
        <f t="shared" ref="I820:J820" si="53">AVERAGE(F818:F820)</f>
        <v>0.72899999999999998</v>
      </c>
      <c r="J820" s="27">
        <f t="shared" si="53"/>
        <v>9.9989999999999996E-4</v>
      </c>
      <c r="L820">
        <f t="shared" ref="L820" si="54">+J820/I820</f>
        <v>1.371604938271605E-3</v>
      </c>
      <c r="M820">
        <f t="shared" ref="M820" si="55">+(L820-$L$931)/$L$932</f>
        <v>-0.74779471044141321</v>
      </c>
      <c r="N820">
        <f t="shared" ref="N820" si="56">+N817+M820</f>
        <v>3.4023803969894706</v>
      </c>
    </row>
    <row r="821" spans="1:14">
      <c r="A821" s="93">
        <v>5</v>
      </c>
      <c r="B821" s="90">
        <v>44571</v>
      </c>
      <c r="C821" s="91">
        <v>2022</v>
      </c>
      <c r="D821" s="92" t="s">
        <v>40</v>
      </c>
      <c r="E821" s="93">
        <v>1</v>
      </c>
      <c r="H821" s="98" t="s">
        <v>97</v>
      </c>
    </row>
    <row r="822" spans="1:14">
      <c r="A822" s="15">
        <v>7</v>
      </c>
      <c r="B822" s="73">
        <v>44566</v>
      </c>
      <c r="C822">
        <v>2022</v>
      </c>
      <c r="D822" s="11" t="s">
        <v>40</v>
      </c>
      <c r="E822" s="15">
        <v>1</v>
      </c>
      <c r="H822" s="98" t="s">
        <v>98</v>
      </c>
    </row>
    <row r="823" spans="1:14">
      <c r="A823" s="15">
        <v>14</v>
      </c>
      <c r="B823" s="73">
        <v>44566</v>
      </c>
      <c r="C823">
        <v>2022</v>
      </c>
      <c r="D823" s="11" t="s">
        <v>40</v>
      </c>
      <c r="E823" s="15">
        <v>1</v>
      </c>
      <c r="H823" s="98" t="s">
        <v>99</v>
      </c>
    </row>
    <row r="824" spans="1:14">
      <c r="A824" s="15">
        <v>5</v>
      </c>
      <c r="B824" s="77">
        <v>44593</v>
      </c>
      <c r="C824">
        <v>2022</v>
      </c>
      <c r="D824" s="11" t="s">
        <v>29</v>
      </c>
      <c r="E824" s="15">
        <v>2</v>
      </c>
    </row>
    <row r="825" spans="1:14">
      <c r="A825" s="15">
        <v>7</v>
      </c>
      <c r="B825" s="77">
        <v>44593</v>
      </c>
      <c r="C825">
        <v>2022</v>
      </c>
      <c r="D825" s="11" t="s">
        <v>29</v>
      </c>
      <c r="E825" s="15">
        <v>2</v>
      </c>
    </row>
    <row r="826" spans="1:14">
      <c r="A826" s="15">
        <v>14</v>
      </c>
      <c r="B826" s="77">
        <v>44593</v>
      </c>
      <c r="C826">
        <v>2022</v>
      </c>
      <c r="D826" s="11" t="s">
        <v>29</v>
      </c>
      <c r="E826" s="15">
        <v>2</v>
      </c>
    </row>
    <row r="827" spans="1:14">
      <c r="A827" s="15">
        <v>5</v>
      </c>
      <c r="B827" s="77">
        <v>44621</v>
      </c>
      <c r="C827">
        <v>2022</v>
      </c>
      <c r="D827" s="11" t="s">
        <v>30</v>
      </c>
      <c r="E827" s="15">
        <v>3</v>
      </c>
    </row>
    <row r="828" spans="1:14">
      <c r="A828" s="15">
        <v>7</v>
      </c>
      <c r="B828" s="77">
        <v>44621</v>
      </c>
      <c r="C828">
        <v>2022</v>
      </c>
      <c r="D828" s="11" t="s">
        <v>30</v>
      </c>
      <c r="E828" s="15">
        <v>3</v>
      </c>
    </row>
    <row r="829" spans="1:14">
      <c r="A829" s="15">
        <v>14</v>
      </c>
      <c r="B829" s="77">
        <v>44621</v>
      </c>
      <c r="C829">
        <v>2022</v>
      </c>
      <c r="D829" s="11" t="s">
        <v>30</v>
      </c>
      <c r="E829" s="15">
        <v>3</v>
      </c>
    </row>
    <row r="830" spans="1:14">
      <c r="A830" s="15">
        <v>5</v>
      </c>
      <c r="B830" s="77">
        <v>44652</v>
      </c>
      <c r="C830">
        <v>2022</v>
      </c>
      <c r="D830" s="11" t="s">
        <v>31</v>
      </c>
      <c r="E830" s="15">
        <v>4</v>
      </c>
    </row>
    <row r="831" spans="1:14">
      <c r="A831" s="15">
        <v>7</v>
      </c>
      <c r="B831" s="77">
        <v>44652</v>
      </c>
      <c r="C831">
        <v>2022</v>
      </c>
      <c r="D831" s="11" t="s">
        <v>31</v>
      </c>
      <c r="E831" s="15">
        <v>4</v>
      </c>
    </row>
    <row r="832" spans="1:14">
      <c r="A832" s="15">
        <v>14</v>
      </c>
      <c r="B832" s="77">
        <v>44652</v>
      </c>
      <c r="C832">
        <v>2022</v>
      </c>
      <c r="D832" s="11" t="s">
        <v>31</v>
      </c>
      <c r="E832" s="15">
        <v>4</v>
      </c>
    </row>
    <row r="833" spans="1:5">
      <c r="A833" s="15">
        <v>5</v>
      </c>
      <c r="B833" s="77">
        <v>44682</v>
      </c>
      <c r="C833">
        <v>2022</v>
      </c>
      <c r="D833" s="11" t="s">
        <v>32</v>
      </c>
      <c r="E833" s="15">
        <v>5</v>
      </c>
    </row>
    <row r="834" spans="1:5">
      <c r="A834" s="15">
        <v>7</v>
      </c>
      <c r="B834" s="77">
        <v>44682</v>
      </c>
      <c r="C834">
        <v>2022</v>
      </c>
      <c r="D834" s="11" t="s">
        <v>32</v>
      </c>
      <c r="E834" s="15">
        <v>5</v>
      </c>
    </row>
    <row r="835" spans="1:5">
      <c r="A835" s="15">
        <v>14</v>
      </c>
      <c r="B835" s="77">
        <v>44682</v>
      </c>
      <c r="C835">
        <v>2022</v>
      </c>
      <c r="D835" s="11" t="s">
        <v>32</v>
      </c>
      <c r="E835" s="15">
        <v>5</v>
      </c>
    </row>
    <row r="836" spans="1:5">
      <c r="A836" s="15">
        <v>5</v>
      </c>
      <c r="B836" s="77">
        <v>44713</v>
      </c>
      <c r="C836">
        <v>2022</v>
      </c>
      <c r="D836" s="11" t="s">
        <v>33</v>
      </c>
      <c r="E836" s="15">
        <v>6</v>
      </c>
    </row>
    <row r="837" spans="1:5">
      <c r="A837" s="15">
        <v>7</v>
      </c>
      <c r="B837" s="77">
        <v>44713</v>
      </c>
      <c r="C837">
        <v>2022</v>
      </c>
      <c r="D837" s="11" t="s">
        <v>33</v>
      </c>
      <c r="E837" s="15">
        <v>6</v>
      </c>
    </row>
    <row r="838" spans="1:5">
      <c r="A838" s="15">
        <v>14</v>
      </c>
      <c r="B838" s="77">
        <v>44713</v>
      </c>
      <c r="C838">
        <v>2022</v>
      </c>
      <c r="D838" s="11" t="s">
        <v>33</v>
      </c>
      <c r="E838" s="15">
        <v>6</v>
      </c>
    </row>
    <row r="839" spans="1:5">
      <c r="A839" s="15">
        <v>5</v>
      </c>
      <c r="B839" s="77">
        <v>44743</v>
      </c>
      <c r="C839">
        <v>2022</v>
      </c>
      <c r="D839" s="11" t="s">
        <v>34</v>
      </c>
      <c r="E839" s="15">
        <v>7</v>
      </c>
    </row>
    <row r="840" spans="1:5">
      <c r="A840" s="15">
        <v>7</v>
      </c>
      <c r="B840" s="77">
        <v>44743</v>
      </c>
      <c r="C840">
        <v>2022</v>
      </c>
      <c r="D840" s="11" t="s">
        <v>34</v>
      </c>
      <c r="E840" s="15">
        <v>7</v>
      </c>
    </row>
    <row r="841" spans="1:5">
      <c r="A841" s="15">
        <v>14</v>
      </c>
      <c r="B841" s="77">
        <v>44743</v>
      </c>
      <c r="C841">
        <v>2022</v>
      </c>
      <c r="D841" s="11" t="s">
        <v>34</v>
      </c>
      <c r="E841" s="15">
        <v>7</v>
      </c>
    </row>
    <row r="842" spans="1:5">
      <c r="A842" s="15">
        <v>5</v>
      </c>
      <c r="B842" s="77">
        <v>44774</v>
      </c>
      <c r="C842">
        <v>2022</v>
      </c>
      <c r="D842" s="11" t="s">
        <v>35</v>
      </c>
      <c r="E842" s="15">
        <v>8</v>
      </c>
    </row>
    <row r="843" spans="1:5">
      <c r="A843" s="15">
        <v>7</v>
      </c>
      <c r="B843" s="77">
        <v>44774</v>
      </c>
      <c r="C843">
        <v>2022</v>
      </c>
      <c r="D843" s="11" t="s">
        <v>35</v>
      </c>
      <c r="E843" s="15">
        <v>8</v>
      </c>
    </row>
    <row r="844" spans="1:5">
      <c r="A844" s="15">
        <v>14</v>
      </c>
      <c r="B844" s="77">
        <v>44774</v>
      </c>
      <c r="C844">
        <v>2022</v>
      </c>
      <c r="D844" s="11" t="s">
        <v>35</v>
      </c>
      <c r="E844" s="15">
        <v>8</v>
      </c>
    </row>
    <row r="845" spans="1:5">
      <c r="A845" s="15">
        <v>5</v>
      </c>
      <c r="B845" s="77">
        <v>44805</v>
      </c>
      <c r="C845">
        <v>2022</v>
      </c>
      <c r="D845" s="11" t="s">
        <v>41</v>
      </c>
      <c r="E845" s="15">
        <v>9</v>
      </c>
    </row>
    <row r="846" spans="1:5">
      <c r="A846" s="15">
        <v>7</v>
      </c>
      <c r="B846" s="77">
        <v>44805</v>
      </c>
      <c r="C846">
        <v>2022</v>
      </c>
      <c r="D846" s="11" t="s">
        <v>41</v>
      </c>
      <c r="E846" s="15">
        <v>9</v>
      </c>
    </row>
    <row r="847" spans="1:5">
      <c r="A847" s="15">
        <v>14</v>
      </c>
      <c r="B847" s="77">
        <v>44805</v>
      </c>
      <c r="C847">
        <v>2022</v>
      </c>
      <c r="D847" s="11" t="s">
        <v>41</v>
      </c>
      <c r="E847" s="15">
        <v>9</v>
      </c>
    </row>
    <row r="848" spans="1:5">
      <c r="A848" s="15">
        <v>5</v>
      </c>
      <c r="B848" s="77">
        <v>44835</v>
      </c>
      <c r="C848">
        <v>2022</v>
      </c>
      <c r="D848" s="11" t="s">
        <v>37</v>
      </c>
      <c r="E848" s="15">
        <v>10</v>
      </c>
    </row>
    <row r="849" spans="1:14">
      <c r="A849" s="15">
        <v>7</v>
      </c>
      <c r="B849" s="77">
        <v>44835</v>
      </c>
      <c r="C849">
        <v>2022</v>
      </c>
      <c r="D849" s="11" t="s">
        <v>37</v>
      </c>
      <c r="E849" s="15">
        <v>10</v>
      </c>
    </row>
    <row r="850" spans="1:14">
      <c r="A850" s="15">
        <v>14</v>
      </c>
      <c r="B850" s="77">
        <v>44835</v>
      </c>
      <c r="C850">
        <v>2022</v>
      </c>
      <c r="D850" s="11" t="s">
        <v>37</v>
      </c>
      <c r="E850" s="15">
        <v>10</v>
      </c>
    </row>
    <row r="851" spans="1:14">
      <c r="A851" s="15">
        <v>5</v>
      </c>
      <c r="B851" s="77">
        <v>44866</v>
      </c>
      <c r="C851">
        <v>2022</v>
      </c>
      <c r="D851" s="11" t="s">
        <v>38</v>
      </c>
      <c r="E851" s="15">
        <v>11</v>
      </c>
    </row>
    <row r="852" spans="1:14">
      <c r="A852" s="15">
        <v>7</v>
      </c>
      <c r="B852" s="77">
        <v>44866</v>
      </c>
      <c r="C852">
        <v>2022</v>
      </c>
      <c r="D852" s="11" t="s">
        <v>38</v>
      </c>
      <c r="E852" s="15">
        <v>11</v>
      </c>
    </row>
    <row r="853" spans="1:14">
      <c r="A853" s="15">
        <v>14</v>
      </c>
      <c r="B853" s="77">
        <v>44866</v>
      </c>
      <c r="C853">
        <v>2022</v>
      </c>
      <c r="D853" s="11" t="s">
        <v>38</v>
      </c>
      <c r="E853" s="15">
        <v>11</v>
      </c>
    </row>
    <row r="854" spans="1:14">
      <c r="A854" s="15">
        <v>5</v>
      </c>
      <c r="B854" s="78">
        <v>44896</v>
      </c>
      <c r="C854">
        <v>2022</v>
      </c>
      <c r="D854" s="11" t="s">
        <v>39</v>
      </c>
      <c r="E854" s="15">
        <v>12</v>
      </c>
    </row>
    <row r="855" spans="1:14">
      <c r="A855" s="15">
        <v>7</v>
      </c>
      <c r="B855" s="77">
        <v>44896</v>
      </c>
      <c r="C855">
        <v>2022</v>
      </c>
      <c r="D855" s="11" t="s">
        <v>39</v>
      </c>
      <c r="E855" s="15">
        <v>12</v>
      </c>
    </row>
    <row r="856" spans="1:14">
      <c r="A856" s="15">
        <v>14</v>
      </c>
      <c r="B856" s="77">
        <v>44896</v>
      </c>
      <c r="C856">
        <v>2022</v>
      </c>
      <c r="D856" s="11" t="s">
        <v>39</v>
      </c>
      <c r="E856" s="15">
        <v>12</v>
      </c>
    </row>
    <row r="857" spans="1:14">
      <c r="A857" s="93">
        <v>5</v>
      </c>
      <c r="B857" s="90">
        <v>44936</v>
      </c>
      <c r="C857" s="91">
        <v>2023</v>
      </c>
      <c r="D857" s="92" t="s">
        <v>40</v>
      </c>
      <c r="E857" s="93">
        <v>1</v>
      </c>
      <c r="F857" s="96">
        <v>6.3940000000000001</v>
      </c>
      <c r="G857" s="95">
        <v>2.4E-2</v>
      </c>
    </row>
    <row r="858" spans="1:14">
      <c r="A858" s="15">
        <v>7</v>
      </c>
      <c r="B858" s="73">
        <v>44931</v>
      </c>
      <c r="C858">
        <v>2023</v>
      </c>
      <c r="D858" s="11" t="s">
        <v>40</v>
      </c>
      <c r="E858" s="15">
        <v>1</v>
      </c>
      <c r="F858" s="96">
        <v>7.2549999999999999</v>
      </c>
      <c r="G858" s="95">
        <v>1.2E-2</v>
      </c>
    </row>
    <row r="859" spans="1:14">
      <c r="A859" s="15">
        <v>14</v>
      </c>
      <c r="B859" s="73">
        <v>44931</v>
      </c>
      <c r="C859">
        <v>2023</v>
      </c>
      <c r="D859" s="11" t="s">
        <v>40</v>
      </c>
      <c r="E859" s="15">
        <v>1</v>
      </c>
      <c r="F859" s="96">
        <v>5.67</v>
      </c>
      <c r="G859" s="95">
        <v>0.01</v>
      </c>
      <c r="I859" s="27">
        <f>AVERAGE(F857:F859)</f>
        <v>6.4396666666666675</v>
      </c>
      <c r="J859" s="27">
        <f>AVERAGE(G857:G859)</f>
        <v>1.5333333333333336E-2</v>
      </c>
      <c r="L859">
        <f>+J859/I859</f>
        <v>2.3810756250323517E-3</v>
      </c>
      <c r="M859">
        <f>+(L859-$L$931)/$L$932</f>
        <v>-0.70843874109632599</v>
      </c>
      <c r="N859">
        <f>+N820+M859</f>
        <v>2.6939416558931448</v>
      </c>
    </row>
    <row r="860" spans="1:14">
      <c r="A860" s="15">
        <v>5</v>
      </c>
      <c r="B860" s="77">
        <v>44958</v>
      </c>
      <c r="C860">
        <v>2023</v>
      </c>
      <c r="D860" s="11" t="s">
        <v>29</v>
      </c>
      <c r="E860" s="15">
        <v>2</v>
      </c>
      <c r="F860" s="80">
        <v>0.93</v>
      </c>
      <c r="G860" s="80">
        <v>1.4999999999999999E-2</v>
      </c>
    </row>
    <row r="861" spans="1:14">
      <c r="A861" s="15">
        <v>7</v>
      </c>
      <c r="B861" s="77">
        <v>44958</v>
      </c>
      <c r="C861">
        <v>2023</v>
      </c>
      <c r="D861" s="11" t="s">
        <v>29</v>
      </c>
      <c r="E861" s="15">
        <v>2</v>
      </c>
      <c r="F861" s="80">
        <v>1.798</v>
      </c>
      <c r="G861" s="80">
        <v>8.0000000000000002E-3</v>
      </c>
    </row>
    <row r="862" spans="1:14">
      <c r="A862" s="15">
        <v>14</v>
      </c>
      <c r="B862" s="77">
        <v>44958</v>
      </c>
      <c r="C862">
        <v>2023</v>
      </c>
      <c r="D862" s="11" t="s">
        <v>29</v>
      </c>
      <c r="E862" s="15">
        <v>2</v>
      </c>
      <c r="F862" s="80">
        <v>1.34</v>
      </c>
      <c r="G862" s="80">
        <v>0.01</v>
      </c>
      <c r="I862" s="27">
        <f t="shared" ref="I862:J862" si="57">AVERAGE(F860:F862)</f>
        <v>1.3560000000000001</v>
      </c>
      <c r="J862" s="27">
        <f t="shared" si="57"/>
        <v>1.1000000000000001E-2</v>
      </c>
      <c r="L862">
        <f t="shared" ref="L862" si="58">+J862/I862</f>
        <v>8.1120943952802359E-3</v>
      </c>
      <c r="M862">
        <f t="shared" ref="M862" si="59">+(L862-$L$931)/$L$932</f>
        <v>-0.48500501290977172</v>
      </c>
      <c r="N862">
        <f>+N859+M862</f>
        <v>2.2089366429833732</v>
      </c>
    </row>
    <row r="863" spans="1:14">
      <c r="A863" s="15">
        <v>5</v>
      </c>
      <c r="B863" s="77">
        <v>44986</v>
      </c>
      <c r="C863">
        <v>2023</v>
      </c>
      <c r="D863" s="11" t="s">
        <v>30</v>
      </c>
      <c r="E863" s="15">
        <v>3</v>
      </c>
      <c r="F863" s="80">
        <v>0.79900000000000004</v>
      </c>
      <c r="G863" s="80">
        <v>8.0000000000000002E-3</v>
      </c>
    </row>
    <row r="864" spans="1:14">
      <c r="A864" s="15">
        <v>7</v>
      </c>
      <c r="B864" s="77">
        <v>44986</v>
      </c>
      <c r="C864">
        <v>2023</v>
      </c>
      <c r="D864" s="11" t="s">
        <v>30</v>
      </c>
      <c r="E864" s="15">
        <v>3</v>
      </c>
      <c r="F864" s="80">
        <v>1.361</v>
      </c>
      <c r="G864" s="80">
        <v>8.0000000000000002E-3</v>
      </c>
    </row>
    <row r="865" spans="1:14">
      <c r="A865" s="15">
        <v>14</v>
      </c>
      <c r="B865" s="77">
        <v>44986</v>
      </c>
      <c r="C865">
        <v>2023</v>
      </c>
      <c r="D865" s="11" t="s">
        <v>30</v>
      </c>
      <c r="E865" s="15">
        <v>3</v>
      </c>
      <c r="F865" s="80">
        <v>2.032</v>
      </c>
      <c r="G865" s="80">
        <v>8.9999999999999993E-3</v>
      </c>
      <c r="I865" s="27">
        <f t="shared" ref="I865:J865" si="60">AVERAGE(F863:F865)</f>
        <v>1.3973333333333333</v>
      </c>
      <c r="J865" s="27">
        <f t="shared" si="60"/>
        <v>8.3333333333333332E-3</v>
      </c>
      <c r="L865">
        <f t="shared" ref="L865" si="61">+J865/I865</f>
        <v>5.9637404580152676E-3</v>
      </c>
      <c r="M865">
        <f t="shared" ref="M865" si="62">+(L865-$L$931)/$L$932</f>
        <v>-0.56876232533724658</v>
      </c>
      <c r="N865">
        <f t="shared" ref="N865" si="63">+N862+M865</f>
        <v>1.6401743176461268</v>
      </c>
    </row>
    <row r="866" spans="1:14">
      <c r="A866" s="15">
        <v>5</v>
      </c>
      <c r="B866" s="77">
        <v>45017</v>
      </c>
      <c r="C866">
        <v>2023</v>
      </c>
      <c r="D866" s="11" t="s">
        <v>31</v>
      </c>
      <c r="E866" s="15">
        <v>4</v>
      </c>
      <c r="F866" s="80">
        <v>0.82499999999999996</v>
      </c>
      <c r="G866" s="80">
        <v>8.9999999999999993E-3</v>
      </c>
    </row>
    <row r="867" spans="1:14">
      <c r="A867" s="15">
        <v>7</v>
      </c>
      <c r="B867" s="77">
        <v>45017</v>
      </c>
      <c r="C867">
        <v>2023</v>
      </c>
      <c r="D867" s="11" t="s">
        <v>31</v>
      </c>
      <c r="E867" s="15">
        <v>4</v>
      </c>
      <c r="F867" s="80">
        <v>1.524</v>
      </c>
      <c r="G867" s="80">
        <v>0.01</v>
      </c>
    </row>
    <row r="868" spans="1:14">
      <c r="A868" s="15">
        <v>14</v>
      </c>
      <c r="B868" s="77">
        <v>45017</v>
      </c>
      <c r="C868">
        <v>2023</v>
      </c>
      <c r="D868" s="11" t="s">
        <v>31</v>
      </c>
      <c r="E868" s="15">
        <v>4</v>
      </c>
      <c r="F868" s="80">
        <v>1.94</v>
      </c>
      <c r="G868" s="80">
        <v>8.9999999999999993E-3</v>
      </c>
      <c r="I868" s="27">
        <f t="shared" ref="I868:J868" si="64">AVERAGE(F866:F868)</f>
        <v>1.4296666666666666</v>
      </c>
      <c r="J868" s="27">
        <f t="shared" si="64"/>
        <v>9.3333333333333324E-3</v>
      </c>
      <c r="L868">
        <f t="shared" ref="L868" si="65">+J868/I868</f>
        <v>6.5283282816507339E-3</v>
      </c>
      <c r="M868">
        <f t="shared" ref="M868" si="66">+(L868-$L$931)/$L$932</f>
        <v>-0.54675088768876212</v>
      </c>
      <c r="N868">
        <f t="shared" ref="N868" si="67">+N865+M868</f>
        <v>1.0934234299573646</v>
      </c>
    </row>
    <row r="869" spans="1:14">
      <c r="A869" s="15">
        <v>5</v>
      </c>
      <c r="B869" s="77">
        <v>45047</v>
      </c>
      <c r="C869">
        <v>2023</v>
      </c>
      <c r="D869" s="11" t="s">
        <v>32</v>
      </c>
      <c r="E869" s="15">
        <v>5</v>
      </c>
      <c r="F869" s="80">
        <v>3.706</v>
      </c>
      <c r="G869" s="97">
        <v>4.1000000000000002E-2</v>
      </c>
    </row>
    <row r="870" spans="1:14">
      <c r="A870" s="15">
        <v>7</v>
      </c>
      <c r="B870" s="77">
        <v>45047</v>
      </c>
      <c r="C870">
        <v>2023</v>
      </c>
      <c r="D870" s="11" t="s">
        <v>32</v>
      </c>
      <c r="E870" s="15">
        <v>5</v>
      </c>
      <c r="F870" s="80">
        <v>2.5590000000000002</v>
      </c>
      <c r="G870" s="97">
        <v>3.6999999999999998E-2</v>
      </c>
    </row>
    <row r="871" spans="1:14">
      <c r="A871" s="15">
        <v>14</v>
      </c>
      <c r="B871" s="77">
        <v>45047</v>
      </c>
      <c r="C871">
        <v>2023</v>
      </c>
      <c r="D871" s="11" t="s">
        <v>32</v>
      </c>
      <c r="E871" s="15">
        <v>5</v>
      </c>
      <c r="F871" s="80">
        <v>3.8759999999999999</v>
      </c>
      <c r="G871" s="97">
        <v>2.1999999999999999E-2</v>
      </c>
      <c r="I871" s="27">
        <f t="shared" ref="I871:J871" si="68">AVERAGE(F869:F871)</f>
        <v>3.3803333333333332</v>
      </c>
      <c r="J871" s="27">
        <f t="shared" si="68"/>
        <v>3.3333333333333333E-2</v>
      </c>
      <c r="L871">
        <f t="shared" ref="L871" si="69">+J871/I871</f>
        <v>9.8609604575485652E-3</v>
      </c>
      <c r="M871">
        <f t="shared" ref="M871" si="70">+(L871-$L$931)/$L$932</f>
        <v>-0.41682242966294519</v>
      </c>
      <c r="N871">
        <f t="shared" ref="N871" si="71">+N868+M871</f>
        <v>0.67660100029441939</v>
      </c>
    </row>
    <row r="872" spans="1:14">
      <c r="A872" s="15">
        <v>5</v>
      </c>
      <c r="B872" s="77">
        <v>45078</v>
      </c>
      <c r="C872">
        <v>2023</v>
      </c>
      <c r="D872" s="11" t="s">
        <v>33</v>
      </c>
      <c r="E872" s="15">
        <v>6</v>
      </c>
      <c r="F872" s="80">
        <v>3.6909999999999998</v>
      </c>
      <c r="G872" s="97">
        <v>0.17699999999999999</v>
      </c>
    </row>
    <row r="873" spans="1:14">
      <c r="A873" s="15">
        <v>7</v>
      </c>
      <c r="B873" s="77">
        <v>45078</v>
      </c>
      <c r="C873">
        <v>2023</v>
      </c>
      <c r="D873" s="11" t="s">
        <v>33</v>
      </c>
      <c r="E873" s="15">
        <v>6</v>
      </c>
      <c r="F873" s="80">
        <v>15.792</v>
      </c>
      <c r="G873" s="97">
        <v>0.33300000000000002</v>
      </c>
    </row>
    <row r="874" spans="1:14">
      <c r="A874" s="15">
        <v>14</v>
      </c>
      <c r="B874" s="77">
        <v>45078</v>
      </c>
      <c r="C874">
        <v>2023</v>
      </c>
      <c r="D874" s="11" t="s">
        <v>33</v>
      </c>
      <c r="E874" s="15">
        <v>6</v>
      </c>
      <c r="F874" s="80">
        <v>16.486999999999998</v>
      </c>
      <c r="G874" s="97">
        <v>0.39200000000000002</v>
      </c>
      <c r="I874" s="27">
        <f t="shared" ref="I874:J874" si="72">AVERAGE(F872:F874)</f>
        <v>11.99</v>
      </c>
      <c r="J874" s="27">
        <f t="shared" si="72"/>
        <v>0.30066666666666669</v>
      </c>
      <c r="L874">
        <f t="shared" ref="L874" si="73">+J874/I874</f>
        <v>2.5076452599388382E-2</v>
      </c>
      <c r="M874">
        <f t="shared" ref="M874" si="74">+(L874-$L$931)/$L$932</f>
        <v>0.17637997844877093</v>
      </c>
      <c r="N874">
        <f t="shared" ref="N874" si="75">+N871+M874</f>
        <v>0.85298097874319034</v>
      </c>
    </row>
    <row r="875" spans="1:14">
      <c r="A875" s="15">
        <v>5</v>
      </c>
      <c r="B875" s="77">
        <v>45108</v>
      </c>
      <c r="C875">
        <v>2023</v>
      </c>
      <c r="D875" s="11" t="s">
        <v>34</v>
      </c>
      <c r="E875" s="15">
        <v>7</v>
      </c>
      <c r="F875" s="80">
        <v>5.4820000000000002</v>
      </c>
      <c r="G875" s="97">
        <v>0.10299999999999999</v>
      </c>
    </row>
    <row r="876" spans="1:14">
      <c r="A876" s="15">
        <v>7</v>
      </c>
      <c r="B876" s="77">
        <v>45108</v>
      </c>
      <c r="C876">
        <v>2023</v>
      </c>
      <c r="D876" s="11" t="s">
        <v>34</v>
      </c>
      <c r="E876" s="15">
        <v>7</v>
      </c>
      <c r="F876" s="80">
        <v>14.909000000000001</v>
      </c>
      <c r="G876" s="97">
        <v>0.74299999999999999</v>
      </c>
    </row>
    <row r="877" spans="1:14">
      <c r="A877" s="15">
        <v>14</v>
      </c>
      <c r="B877" s="77">
        <v>45108</v>
      </c>
      <c r="C877">
        <v>2023</v>
      </c>
      <c r="D877" s="11" t="s">
        <v>34</v>
      </c>
      <c r="E877" s="15">
        <v>7</v>
      </c>
      <c r="F877" s="80">
        <v>4.3810000000000002</v>
      </c>
      <c r="G877" s="97">
        <v>0.105</v>
      </c>
      <c r="I877" s="27">
        <f t="shared" ref="I877:J877" si="76">AVERAGE(F875:F877)</f>
        <v>8.2573333333333334</v>
      </c>
      <c r="J877" s="27">
        <f t="shared" si="76"/>
        <v>0.317</v>
      </c>
      <c r="L877">
        <f t="shared" ref="L877" si="77">+J877/I877</f>
        <v>3.8390117875020183E-2</v>
      </c>
      <c r="M877">
        <f t="shared" ref="M877" si="78">+(L877-$L$931)/$L$932</f>
        <v>0.6954363605016981</v>
      </c>
      <c r="N877">
        <f t="shared" ref="N877" si="79">+N874+M877</f>
        <v>1.5484173392448883</v>
      </c>
    </row>
    <row r="878" spans="1:14">
      <c r="A878" s="15">
        <v>5</v>
      </c>
      <c r="B878" s="77">
        <v>45139</v>
      </c>
      <c r="C878">
        <v>2023</v>
      </c>
      <c r="D878" s="11" t="s">
        <v>35</v>
      </c>
      <c r="E878" s="15">
        <v>8</v>
      </c>
      <c r="F878" s="80">
        <v>3.0329999999999999</v>
      </c>
      <c r="G878" s="97">
        <v>0.215</v>
      </c>
    </row>
    <row r="879" spans="1:14">
      <c r="A879" s="15">
        <v>7</v>
      </c>
      <c r="B879" s="77">
        <v>45139</v>
      </c>
      <c r="C879">
        <v>2023</v>
      </c>
      <c r="D879" s="11" t="s">
        <v>35</v>
      </c>
      <c r="E879" s="15">
        <v>8</v>
      </c>
      <c r="F879" s="80">
        <v>12.757</v>
      </c>
      <c r="G879" s="97">
        <v>0.29399999999999998</v>
      </c>
    </row>
    <row r="880" spans="1:14">
      <c r="A880" s="15">
        <v>14</v>
      </c>
      <c r="B880" s="77">
        <v>45139</v>
      </c>
      <c r="C880">
        <v>2023</v>
      </c>
      <c r="D880" s="11" t="s">
        <v>35</v>
      </c>
      <c r="E880" s="15">
        <v>8</v>
      </c>
      <c r="F880" s="80">
        <v>3.6960000000000002</v>
      </c>
      <c r="G880" s="97">
        <v>7.2999999999999995E-2</v>
      </c>
      <c r="I880" s="27">
        <f t="shared" ref="I880:J880" si="80">AVERAGE(F878:F880)</f>
        <v>6.4953333333333338</v>
      </c>
      <c r="J880" s="27">
        <f t="shared" si="80"/>
        <v>0.19399999999999998</v>
      </c>
      <c r="L880">
        <f t="shared" ref="L880" si="81">+J880/I880</f>
        <v>2.9867597249307189E-2</v>
      </c>
      <c r="M880">
        <f t="shared" ref="M880" si="82">+(L880-$L$931)/$L$932</f>
        <v>0.36317108040255502</v>
      </c>
      <c r="N880">
        <f t="shared" ref="N880" si="83">+N877+M880</f>
        <v>1.9115884196474433</v>
      </c>
    </row>
    <row r="881" spans="1:14">
      <c r="A881" s="15">
        <v>5</v>
      </c>
      <c r="B881" s="77">
        <v>45170</v>
      </c>
      <c r="C881">
        <v>2023</v>
      </c>
      <c r="D881" s="11" t="s">
        <v>41</v>
      </c>
      <c r="E881" s="15">
        <v>9</v>
      </c>
      <c r="F881" s="80">
        <v>4.7759999999999998</v>
      </c>
      <c r="G881" s="97">
        <v>3.2000000000000001E-2</v>
      </c>
    </row>
    <row r="882" spans="1:14">
      <c r="A882" s="15">
        <v>7</v>
      </c>
      <c r="B882" s="77">
        <v>45170</v>
      </c>
      <c r="C882">
        <v>2023</v>
      </c>
      <c r="D882" s="11" t="s">
        <v>41</v>
      </c>
      <c r="E882" s="15">
        <v>9</v>
      </c>
      <c r="F882" s="80">
        <v>4.3460000000000001</v>
      </c>
      <c r="G882" s="97">
        <v>3.2000000000000001E-2</v>
      </c>
    </row>
    <row r="883" spans="1:14">
      <c r="A883" s="15">
        <v>14</v>
      </c>
      <c r="B883" s="77">
        <v>45170</v>
      </c>
      <c r="C883">
        <v>2023</v>
      </c>
      <c r="D883" s="11" t="s">
        <v>41</v>
      </c>
      <c r="E883" s="15">
        <v>9</v>
      </c>
      <c r="F883" s="80">
        <v>2.02</v>
      </c>
      <c r="G883" s="97">
        <v>1.7999999999999999E-2</v>
      </c>
      <c r="I883" s="27">
        <f t="shared" ref="I883:J883" si="84">AVERAGE(F881:F883)</f>
        <v>3.714</v>
      </c>
      <c r="J883" s="27">
        <f t="shared" si="84"/>
        <v>2.7333333333333334E-2</v>
      </c>
      <c r="L883">
        <f t="shared" ref="L883" si="85">+J883/I883</f>
        <v>7.3595404774726269E-3</v>
      </c>
      <c r="M883">
        <f t="shared" ref="M883" si="86">+(L883-$L$931)/$L$932</f>
        <v>-0.51434463545473141</v>
      </c>
      <c r="N883">
        <f t="shared" ref="N883" si="87">+N880+M883</f>
        <v>1.3972437841927119</v>
      </c>
    </row>
    <row r="884" spans="1:14">
      <c r="A884" s="15">
        <v>5</v>
      </c>
      <c r="B884" s="77">
        <v>45200</v>
      </c>
      <c r="C884">
        <v>2023</v>
      </c>
      <c r="D884" s="11" t="s">
        <v>37</v>
      </c>
      <c r="E884" s="15">
        <v>10</v>
      </c>
      <c r="F884" s="97">
        <v>1.401</v>
      </c>
      <c r="G884" s="97">
        <v>9.9989999999999996E-4</v>
      </c>
    </row>
    <row r="885" spans="1:14">
      <c r="A885" s="15">
        <v>7</v>
      </c>
      <c r="B885" s="77">
        <v>45200</v>
      </c>
      <c r="C885">
        <v>2023</v>
      </c>
      <c r="D885" s="11" t="s">
        <v>37</v>
      </c>
      <c r="E885" s="15">
        <v>10</v>
      </c>
      <c r="F885" s="97">
        <v>1.2589999999999999</v>
      </c>
      <c r="G885" s="80">
        <v>8.0000000000000002E-3</v>
      </c>
    </row>
    <row r="886" spans="1:14">
      <c r="A886" s="15">
        <v>14</v>
      </c>
      <c r="B886" s="77">
        <v>45200</v>
      </c>
      <c r="C886">
        <v>2023</v>
      </c>
      <c r="D886" s="11" t="s">
        <v>37</v>
      </c>
      <c r="E886" s="15">
        <v>10</v>
      </c>
      <c r="F886" s="80">
        <v>1.1599999999999999</v>
      </c>
      <c r="G886" s="97">
        <v>9.9989999999999996E-4</v>
      </c>
      <c r="I886" s="27">
        <f t="shared" ref="I886:J886" si="88">AVERAGE(F884:F886)</f>
        <v>1.2733333333333334</v>
      </c>
      <c r="J886" s="27">
        <f t="shared" si="88"/>
        <v>3.3332666666666664E-3</v>
      </c>
      <c r="L886">
        <f t="shared" ref="L886" si="89">+J886/I886</f>
        <v>2.6177486910994759E-3</v>
      </c>
      <c r="M886">
        <f t="shared" ref="M886" si="90">+(L886-$L$931)/$L$932</f>
        <v>-0.69921163024000732</v>
      </c>
      <c r="N886">
        <f t="shared" ref="N886" si="91">+N883+M886</f>
        <v>0.69803215395270457</v>
      </c>
    </row>
    <row r="887" spans="1:14">
      <c r="A887" s="15">
        <v>5</v>
      </c>
      <c r="B887" s="77">
        <v>45231</v>
      </c>
      <c r="C887">
        <v>2023</v>
      </c>
      <c r="D887" s="11" t="s">
        <v>38</v>
      </c>
      <c r="E887" s="15">
        <v>11</v>
      </c>
      <c r="F887" s="80">
        <v>2.0880000000000001</v>
      </c>
      <c r="G887" s="97">
        <v>0.19400000000000001</v>
      </c>
    </row>
    <row r="888" spans="1:14">
      <c r="A888" s="15">
        <v>7</v>
      </c>
      <c r="B888" s="77">
        <v>45231</v>
      </c>
      <c r="C888">
        <v>2023</v>
      </c>
      <c r="D888" s="11" t="s">
        <v>38</v>
      </c>
      <c r="E888" s="15">
        <v>11</v>
      </c>
      <c r="F888" s="80">
        <v>0.88</v>
      </c>
      <c r="G888" s="97">
        <v>1.4E-2</v>
      </c>
    </row>
    <row r="889" spans="1:14">
      <c r="A889" s="15">
        <v>14</v>
      </c>
      <c r="B889" s="77">
        <v>45231</v>
      </c>
      <c r="C889">
        <v>2023</v>
      </c>
      <c r="D889" s="11" t="s">
        <v>38</v>
      </c>
      <c r="E889" s="15">
        <v>11</v>
      </c>
      <c r="F889" s="80">
        <v>0.66400000000000003</v>
      </c>
      <c r="G889" s="97">
        <v>9.9989999999999996E-4</v>
      </c>
      <c r="I889" s="27">
        <f t="shared" ref="I889:J889" si="92">AVERAGE(F887:F889)</f>
        <v>1.2106666666666668</v>
      </c>
      <c r="J889" s="27">
        <f t="shared" si="92"/>
        <v>6.9666633333333339E-2</v>
      </c>
      <c r="L889">
        <f t="shared" ref="L889" si="93">+J889/I889</f>
        <v>5.7544025330396473E-2</v>
      </c>
      <c r="M889">
        <f t="shared" ref="M889" si="94">+(L889-$L$931)/$L$932</f>
        <v>1.4421847352081825</v>
      </c>
      <c r="N889">
        <f t="shared" ref="N889" si="95">+N886+M889</f>
        <v>2.1402168891608868</v>
      </c>
    </row>
    <row r="890" spans="1:14">
      <c r="A890" s="15">
        <v>5</v>
      </c>
      <c r="B890" s="78">
        <v>45261</v>
      </c>
      <c r="C890">
        <v>2023</v>
      </c>
      <c r="D890" s="11" t="s">
        <v>39</v>
      </c>
      <c r="E890" s="15">
        <v>12</v>
      </c>
      <c r="F890" s="80">
        <v>0.63800000000000001</v>
      </c>
      <c r="G890" s="97">
        <v>8.0000000000000002E-3</v>
      </c>
    </row>
    <row r="891" spans="1:14">
      <c r="A891" s="15">
        <v>7</v>
      </c>
      <c r="B891" s="77">
        <v>45261</v>
      </c>
      <c r="C891">
        <v>2023</v>
      </c>
      <c r="D891" s="11" t="s">
        <v>39</v>
      </c>
      <c r="E891" s="15">
        <v>12</v>
      </c>
      <c r="F891" s="80">
        <v>1.714</v>
      </c>
      <c r="G891" s="97">
        <v>1.2E-2</v>
      </c>
    </row>
    <row r="892" spans="1:14">
      <c r="A892" s="15">
        <v>14</v>
      </c>
      <c r="B892" s="77">
        <v>45261</v>
      </c>
      <c r="C892">
        <v>2023</v>
      </c>
      <c r="D892" s="11" t="s">
        <v>39</v>
      </c>
      <c r="E892" s="15">
        <v>12</v>
      </c>
      <c r="F892" s="80">
        <v>1.41</v>
      </c>
      <c r="G892" s="97">
        <v>8.9999999999999993E-3</v>
      </c>
      <c r="I892" s="27">
        <f t="shared" ref="I892:J892" si="96">AVERAGE(F890:F892)</f>
        <v>1.2539999999999998</v>
      </c>
      <c r="J892" s="27">
        <f t="shared" si="96"/>
        <v>9.6666666666666654E-3</v>
      </c>
      <c r="L892">
        <f t="shared" ref="L892" si="97">+J892/I892</f>
        <v>7.708665603402446E-3</v>
      </c>
      <c r="M892">
        <f t="shared" ref="M892" si="98">+(L892-$L$931)/$L$932</f>
        <v>-0.50073338558497638</v>
      </c>
      <c r="N892">
        <f t="shared" ref="N892" si="99">+N889+M892</f>
        <v>1.6394835035759106</v>
      </c>
    </row>
    <row r="893" spans="1:14">
      <c r="A893" s="93">
        <v>5</v>
      </c>
      <c r="B893" s="90">
        <v>45292</v>
      </c>
      <c r="C893" s="91">
        <v>2024</v>
      </c>
      <c r="D893" s="92" t="s">
        <v>40</v>
      </c>
      <c r="E893" s="93">
        <v>1</v>
      </c>
      <c r="F893" s="80">
        <v>0.82399999999999995</v>
      </c>
      <c r="G893" s="97">
        <v>5.0000000000000001E-3</v>
      </c>
    </row>
    <row r="894" spans="1:14">
      <c r="A894" s="15">
        <v>7</v>
      </c>
      <c r="B894" s="73">
        <v>45292</v>
      </c>
      <c r="C894">
        <v>2024</v>
      </c>
      <c r="D894" s="11" t="s">
        <v>40</v>
      </c>
      <c r="E894" s="15">
        <v>1</v>
      </c>
      <c r="F894" s="80">
        <v>0.79500000000000004</v>
      </c>
      <c r="G894" s="97">
        <v>3.0000000000000001E-3</v>
      </c>
    </row>
    <row r="895" spans="1:14">
      <c r="A895" s="15">
        <v>14</v>
      </c>
      <c r="B895" s="73">
        <v>45292</v>
      </c>
      <c r="C895">
        <v>2024</v>
      </c>
      <c r="D895" s="11" t="s">
        <v>40</v>
      </c>
      <c r="E895" s="15">
        <v>1</v>
      </c>
      <c r="F895" s="80">
        <v>0.4</v>
      </c>
      <c r="G895" s="97">
        <v>9.9989999999999996E-4</v>
      </c>
      <c r="I895" s="27">
        <f t="shared" ref="I895:J895" si="100">AVERAGE(F893:F895)</f>
        <v>0.67300000000000004</v>
      </c>
      <c r="J895" s="27">
        <f t="shared" si="100"/>
        <v>2.9999666666666665E-3</v>
      </c>
      <c r="L895">
        <f t="shared" ref="L895" si="101">+J895/I895</f>
        <v>4.4576027736503215E-3</v>
      </c>
      <c r="M895">
        <f t="shared" ref="M895" si="102">+(L895-$L$931)/$L$932</f>
        <v>-0.62748172087071608</v>
      </c>
      <c r="N895">
        <f t="shared" ref="N895" si="103">+N892+M895</f>
        <v>1.0120017827051946</v>
      </c>
    </row>
    <row r="896" spans="1:14">
      <c r="A896" s="15">
        <v>5</v>
      </c>
      <c r="B896" s="77">
        <v>45323</v>
      </c>
      <c r="C896">
        <v>2024</v>
      </c>
      <c r="D896" s="11" t="s">
        <v>29</v>
      </c>
      <c r="E896" s="15">
        <v>2</v>
      </c>
    </row>
    <row r="897" spans="1:14">
      <c r="A897" s="15">
        <v>7</v>
      </c>
      <c r="B897" s="77">
        <v>45323</v>
      </c>
      <c r="C897">
        <v>2024</v>
      </c>
      <c r="D897" s="11" t="s">
        <v>29</v>
      </c>
      <c r="E897" s="15">
        <v>2</v>
      </c>
    </row>
    <row r="898" spans="1:14">
      <c r="A898" s="15">
        <v>14</v>
      </c>
      <c r="B898" s="77">
        <v>45323</v>
      </c>
      <c r="C898">
        <v>2024</v>
      </c>
      <c r="D898" s="11" t="s">
        <v>29</v>
      </c>
      <c r="E898" s="15">
        <v>2</v>
      </c>
      <c r="I898" s="27"/>
      <c r="J898" s="27"/>
    </row>
    <row r="899" spans="1:14">
      <c r="A899" s="15">
        <v>5</v>
      </c>
      <c r="B899" s="77">
        <v>45352</v>
      </c>
      <c r="C899">
        <v>2024</v>
      </c>
      <c r="D899" s="11" t="s">
        <v>30</v>
      </c>
      <c r="E899" s="15">
        <v>3</v>
      </c>
      <c r="F899" s="80">
        <v>0.36799999999999999</v>
      </c>
      <c r="G899" s="97">
        <v>8.0000000000000002E-3</v>
      </c>
    </row>
    <row r="900" spans="1:14">
      <c r="A900" s="15">
        <v>7</v>
      </c>
      <c r="B900" s="77">
        <v>45352</v>
      </c>
      <c r="C900">
        <v>2024</v>
      </c>
      <c r="D900" s="11" t="s">
        <v>30</v>
      </c>
      <c r="E900" s="15">
        <v>3</v>
      </c>
      <c r="F900" s="80">
        <v>0.78500000000000003</v>
      </c>
      <c r="G900" s="97">
        <v>1.4999999999999999E-2</v>
      </c>
    </row>
    <row r="901" spans="1:14">
      <c r="A901" s="15">
        <v>14</v>
      </c>
      <c r="B901" s="77">
        <v>45352</v>
      </c>
      <c r="C901">
        <v>2024</v>
      </c>
      <c r="D901" s="11" t="s">
        <v>30</v>
      </c>
      <c r="E901" s="15">
        <v>3</v>
      </c>
      <c r="F901" s="80">
        <v>0.66900000000000004</v>
      </c>
      <c r="G901" s="97">
        <v>1.2E-2</v>
      </c>
      <c r="I901" s="27">
        <f t="shared" ref="I901:J901" si="104">AVERAGE(F899:F901)</f>
        <v>0.60733333333333339</v>
      </c>
      <c r="J901" s="27">
        <f t="shared" si="104"/>
        <v>1.1666666666666667E-2</v>
      </c>
      <c r="L901">
        <f t="shared" ref="L901" si="105">+J901/I901</f>
        <v>1.9209659714599342E-2</v>
      </c>
      <c r="M901">
        <f t="shared" ref="M901" si="106">+(L901-$L$931)/$L$932</f>
        <v>-5.2347139590325532E-2</v>
      </c>
      <c r="N901">
        <f>+N895+M901</f>
        <v>0.95965464311486903</v>
      </c>
    </row>
    <row r="902" spans="1:14">
      <c r="A902" s="15">
        <v>5</v>
      </c>
      <c r="B902" s="77">
        <v>45383</v>
      </c>
      <c r="C902">
        <v>2024</v>
      </c>
      <c r="D902" s="11" t="s">
        <v>31</v>
      </c>
      <c r="E902" s="15">
        <v>4</v>
      </c>
      <c r="F902" s="80">
        <v>0.58799999999999997</v>
      </c>
      <c r="G902" s="97">
        <v>1.0999999999999999E-2</v>
      </c>
    </row>
    <row r="903" spans="1:14">
      <c r="A903" s="15">
        <v>7</v>
      </c>
      <c r="B903" s="77">
        <v>45383</v>
      </c>
      <c r="C903">
        <v>2024</v>
      </c>
      <c r="D903" s="11" t="s">
        <v>31</v>
      </c>
      <c r="E903" s="15">
        <v>4</v>
      </c>
      <c r="F903" s="80">
        <v>2.5880000000000001</v>
      </c>
      <c r="G903" s="97">
        <v>1.4E-2</v>
      </c>
    </row>
    <row r="904" spans="1:14">
      <c r="A904" s="15">
        <v>14</v>
      </c>
      <c r="B904" s="77">
        <v>45383</v>
      </c>
      <c r="C904">
        <v>2024</v>
      </c>
      <c r="D904" s="11" t="s">
        <v>31</v>
      </c>
      <c r="E904" s="15">
        <v>4</v>
      </c>
      <c r="I904" s="27">
        <f t="shared" ref="I904:J904" si="107">AVERAGE(F902:F904)</f>
        <v>1.5880000000000001</v>
      </c>
      <c r="J904" s="27">
        <f t="shared" si="107"/>
        <v>1.2500000000000001E-2</v>
      </c>
      <c r="L904">
        <f t="shared" ref="L904" si="108">+J904/I904</f>
        <v>7.8715365239294711E-3</v>
      </c>
      <c r="M904">
        <f t="shared" ref="M904" si="109">+(L904-$L$931)/$L$932</f>
        <v>-0.4943835796524868</v>
      </c>
      <c r="N904">
        <f t="shared" ref="N904" si="110">+N901+M904</f>
        <v>0.46527106346238223</v>
      </c>
    </row>
    <row r="905" spans="1:14">
      <c r="A905" s="15">
        <v>5</v>
      </c>
      <c r="B905" s="77">
        <v>45413</v>
      </c>
      <c r="C905">
        <v>2024</v>
      </c>
      <c r="D905" s="11" t="s">
        <v>32</v>
      </c>
      <c r="E905" s="15">
        <v>5</v>
      </c>
      <c r="F905" s="80">
        <v>0.57699999999999996</v>
      </c>
      <c r="G905" s="97">
        <v>9.9989999999999996E-4</v>
      </c>
    </row>
    <row r="906" spans="1:14">
      <c r="A906" s="15">
        <v>7</v>
      </c>
      <c r="B906" s="77">
        <v>45413</v>
      </c>
      <c r="C906">
        <v>2024</v>
      </c>
      <c r="D906" s="11" t="s">
        <v>32</v>
      </c>
      <c r="E906" s="15">
        <v>5</v>
      </c>
      <c r="F906" s="80">
        <v>1.8759999999999999</v>
      </c>
      <c r="G906" s="97">
        <v>1.4999999999999999E-2</v>
      </c>
    </row>
    <row r="907" spans="1:14">
      <c r="A907" s="15">
        <v>14</v>
      </c>
      <c r="B907" s="77">
        <v>45413</v>
      </c>
      <c r="C907">
        <v>2024</v>
      </c>
      <c r="D907" s="11" t="s">
        <v>32</v>
      </c>
      <c r="E907" s="15">
        <v>5</v>
      </c>
      <c r="F907" s="80">
        <v>1.1439999999999999</v>
      </c>
      <c r="G907" s="97">
        <v>1.4999999999999999E-2</v>
      </c>
      <c r="I907" s="27">
        <f t="shared" ref="I907:J907" si="111">AVERAGE(F905:F907)</f>
        <v>1.1989999999999998</v>
      </c>
      <c r="J907" s="27">
        <f t="shared" si="111"/>
        <v>1.03333E-2</v>
      </c>
      <c r="L907">
        <f t="shared" ref="L907" si="112">+J907/I907</f>
        <v>8.618265221017515E-3</v>
      </c>
      <c r="M907">
        <f t="shared" ref="M907" si="113">+(L907-$L$931)/$L$932</f>
        <v>-0.4652710634624459</v>
      </c>
      <c r="N907">
        <f t="shared" ref="N907" si="114">+N904+M907</f>
        <v>-6.3671290462252728E-14</v>
      </c>
    </row>
    <row r="908" spans="1:14">
      <c r="A908" s="15">
        <v>5</v>
      </c>
      <c r="B908" s="77">
        <v>45444</v>
      </c>
      <c r="C908">
        <v>2024</v>
      </c>
      <c r="D908" s="11" t="s">
        <v>33</v>
      </c>
      <c r="E908" s="15">
        <v>6</v>
      </c>
      <c r="H908" s="98" t="s">
        <v>95</v>
      </c>
    </row>
    <row r="909" spans="1:14">
      <c r="A909" s="15">
        <v>7</v>
      </c>
      <c r="B909" s="77">
        <v>45444</v>
      </c>
      <c r="C909">
        <v>2024</v>
      </c>
      <c r="D909" s="11" t="s">
        <v>33</v>
      </c>
      <c r="E909" s="15">
        <v>6</v>
      </c>
      <c r="H909" s="98" t="s">
        <v>96</v>
      </c>
    </row>
    <row r="910" spans="1:14">
      <c r="A910" s="15">
        <v>14</v>
      </c>
      <c r="B910" s="77">
        <v>45444</v>
      </c>
      <c r="C910">
        <v>2024</v>
      </c>
      <c r="D910" s="11" t="s">
        <v>33</v>
      </c>
      <c r="E910" s="15">
        <v>6</v>
      </c>
    </row>
    <row r="911" spans="1:14">
      <c r="A911" s="15">
        <v>5</v>
      </c>
      <c r="B911" s="77">
        <v>45474</v>
      </c>
      <c r="C911">
        <v>2024</v>
      </c>
      <c r="D911" s="11" t="s">
        <v>34</v>
      </c>
      <c r="E911" s="15">
        <v>7</v>
      </c>
    </row>
    <row r="912" spans="1:14">
      <c r="A912" s="15">
        <v>7</v>
      </c>
      <c r="B912" s="77">
        <v>45474</v>
      </c>
      <c r="C912">
        <v>2024</v>
      </c>
      <c r="D912" s="11" t="s">
        <v>34</v>
      </c>
      <c r="E912" s="15">
        <v>7</v>
      </c>
    </row>
    <row r="913" spans="1:5">
      <c r="A913" s="15">
        <v>14</v>
      </c>
      <c r="B913" s="77">
        <v>45474</v>
      </c>
      <c r="C913">
        <v>2024</v>
      </c>
      <c r="D913" s="11" t="s">
        <v>34</v>
      </c>
      <c r="E913" s="15">
        <v>7</v>
      </c>
    </row>
    <row r="914" spans="1:5">
      <c r="A914" s="15">
        <v>5</v>
      </c>
      <c r="B914" s="77">
        <v>45505</v>
      </c>
      <c r="C914">
        <v>2024</v>
      </c>
      <c r="D914" s="11" t="s">
        <v>35</v>
      </c>
      <c r="E914" s="15">
        <v>8</v>
      </c>
    </row>
    <row r="915" spans="1:5">
      <c r="A915" s="15">
        <v>7</v>
      </c>
      <c r="B915" s="77">
        <v>45505</v>
      </c>
      <c r="C915">
        <v>2024</v>
      </c>
      <c r="D915" s="11" t="s">
        <v>35</v>
      </c>
      <c r="E915" s="15">
        <v>8</v>
      </c>
    </row>
    <row r="916" spans="1:5">
      <c r="A916" s="15">
        <v>14</v>
      </c>
      <c r="B916" s="77">
        <v>45505</v>
      </c>
      <c r="C916">
        <v>2024</v>
      </c>
      <c r="D916" s="11" t="s">
        <v>35</v>
      </c>
      <c r="E916" s="15">
        <v>8</v>
      </c>
    </row>
    <row r="917" spans="1:5">
      <c r="A917" s="15">
        <v>5</v>
      </c>
      <c r="B917" s="77">
        <v>45536</v>
      </c>
      <c r="C917">
        <v>2024</v>
      </c>
      <c r="D917" s="11" t="s">
        <v>41</v>
      </c>
      <c r="E917" s="15">
        <v>9</v>
      </c>
    </row>
    <row r="918" spans="1:5">
      <c r="A918" s="15">
        <v>7</v>
      </c>
      <c r="B918" s="77">
        <v>45536</v>
      </c>
      <c r="C918">
        <v>2024</v>
      </c>
      <c r="D918" s="11" t="s">
        <v>41</v>
      </c>
      <c r="E918" s="15">
        <v>9</v>
      </c>
    </row>
    <row r="919" spans="1:5">
      <c r="A919" s="15">
        <v>14</v>
      </c>
      <c r="B919" s="77">
        <v>45536</v>
      </c>
      <c r="C919">
        <v>2024</v>
      </c>
      <c r="D919" s="11" t="s">
        <v>41</v>
      </c>
      <c r="E919" s="15">
        <v>9</v>
      </c>
    </row>
    <row r="920" spans="1:5">
      <c r="A920" s="15">
        <v>5</v>
      </c>
      <c r="B920" s="77">
        <v>45566</v>
      </c>
      <c r="C920">
        <v>2024</v>
      </c>
      <c r="D920" s="11" t="s">
        <v>37</v>
      </c>
      <c r="E920" s="15">
        <v>10</v>
      </c>
    </row>
    <row r="921" spans="1:5">
      <c r="A921" s="15">
        <v>7</v>
      </c>
      <c r="B921" s="77">
        <v>45566</v>
      </c>
      <c r="C921">
        <v>2024</v>
      </c>
      <c r="D921" s="11" t="s">
        <v>37</v>
      </c>
      <c r="E921" s="15">
        <v>10</v>
      </c>
    </row>
    <row r="922" spans="1:5">
      <c r="A922" s="15">
        <v>14</v>
      </c>
      <c r="B922" s="77">
        <v>45566</v>
      </c>
      <c r="C922">
        <v>2024</v>
      </c>
      <c r="D922" s="11" t="s">
        <v>37</v>
      </c>
      <c r="E922" s="15">
        <v>10</v>
      </c>
    </row>
    <row r="923" spans="1:5">
      <c r="A923" s="15">
        <v>5</v>
      </c>
      <c r="B923" s="77">
        <v>45597</v>
      </c>
      <c r="C923">
        <v>2024</v>
      </c>
      <c r="D923" s="11" t="s">
        <v>38</v>
      </c>
      <c r="E923" s="15">
        <v>11</v>
      </c>
    </row>
    <row r="924" spans="1:5">
      <c r="A924" s="15">
        <v>7</v>
      </c>
      <c r="B924" s="77">
        <v>45597</v>
      </c>
      <c r="C924">
        <v>2024</v>
      </c>
      <c r="D924" s="11" t="s">
        <v>38</v>
      </c>
      <c r="E924" s="15">
        <v>11</v>
      </c>
    </row>
    <row r="925" spans="1:5">
      <c r="A925" s="15">
        <v>14</v>
      </c>
      <c r="B925" s="77">
        <v>45597</v>
      </c>
      <c r="C925">
        <v>2024</v>
      </c>
      <c r="D925" s="11" t="s">
        <v>38</v>
      </c>
      <c r="E925" s="15">
        <v>11</v>
      </c>
    </row>
    <row r="926" spans="1:5">
      <c r="A926" s="15">
        <v>5</v>
      </c>
      <c r="B926" s="78">
        <v>45627</v>
      </c>
      <c r="C926">
        <v>2024</v>
      </c>
      <c r="D926" s="11" t="s">
        <v>39</v>
      </c>
      <c r="E926" s="15">
        <v>12</v>
      </c>
    </row>
    <row r="927" spans="1:5">
      <c r="A927" s="15">
        <v>7</v>
      </c>
      <c r="B927" s="77">
        <v>45627</v>
      </c>
      <c r="C927">
        <v>2024</v>
      </c>
      <c r="D927" s="11" t="s">
        <v>39</v>
      </c>
      <c r="E927" s="15">
        <v>12</v>
      </c>
    </row>
    <row r="928" spans="1:5">
      <c r="A928" s="15">
        <v>14</v>
      </c>
      <c r="B928" s="77">
        <v>45627</v>
      </c>
      <c r="C928">
        <v>2024</v>
      </c>
      <c r="D928" s="11" t="s">
        <v>39</v>
      </c>
      <c r="E928" s="15">
        <v>12</v>
      </c>
    </row>
    <row r="931" spans="5:12">
      <c r="E931" s="89" t="s">
        <v>91</v>
      </c>
      <c r="F931" s="94">
        <f>AVERAGE(F3:F928)</f>
        <v>6.3455381871281933</v>
      </c>
      <c r="K931" s="89" t="s">
        <v>91</v>
      </c>
      <c r="L931" s="89">
        <f>AVERAGE(L4:L928)</f>
        <v>2.0552350641326649E-2</v>
      </c>
    </row>
    <row r="932" spans="5:12">
      <c r="E932" s="89" t="s">
        <v>92</v>
      </c>
      <c r="F932" s="89">
        <f>STDEV(F3:F928)</f>
        <v>7.3038677949595252</v>
      </c>
      <c r="K932" s="89" t="s">
        <v>92</v>
      </c>
      <c r="L932" s="89">
        <f>STDEV(L4:L928)</f>
        <v>2.5649747765309688E-2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7A98-67EA-AE43-85A0-EB11CFC32718}">
  <sheetPr>
    <tabColor theme="9" tint="0.39997558519241921"/>
  </sheetPr>
  <dimension ref="A1:Q932"/>
  <sheetViews>
    <sheetView workbookViewId="0">
      <pane ySplit="2" topLeftCell="A742" activePane="bottomLeft" state="frozen"/>
      <selection pane="bottomLeft" activeCell="O750" sqref="O750"/>
    </sheetView>
  </sheetViews>
  <sheetFormatPr defaultColWidth="11.42578125" defaultRowHeight="15"/>
  <cols>
    <col min="2" max="2" width="10.85546875" style="72"/>
  </cols>
  <sheetData>
    <row r="1" spans="1:17" ht="18">
      <c r="F1" s="1" t="s">
        <v>0</v>
      </c>
      <c r="G1" s="1" t="s">
        <v>1</v>
      </c>
      <c r="I1" s="71" t="s">
        <v>83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10</v>
      </c>
      <c r="I2" s="6" t="s">
        <v>7</v>
      </c>
      <c r="J2" s="6" t="s">
        <v>10</v>
      </c>
      <c r="L2" s="70" t="s">
        <v>89</v>
      </c>
      <c r="M2" s="70" t="s">
        <v>86</v>
      </c>
      <c r="N2" s="70" t="s">
        <v>87</v>
      </c>
    </row>
    <row r="3" spans="1:17">
      <c r="A3" s="8">
        <v>5</v>
      </c>
      <c r="B3" s="74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0.61767045200000004</v>
      </c>
    </row>
    <row r="4" spans="1:17">
      <c r="A4" s="8">
        <v>7</v>
      </c>
      <c r="B4" s="74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0.38768184366666669</v>
      </c>
    </row>
    <row r="5" spans="1:17">
      <c r="A5" s="8">
        <v>14</v>
      </c>
      <c r="B5" s="74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0.20175154033333331</v>
      </c>
      <c r="I5" s="27">
        <f>AVERAGE(F3:F5)</f>
        <v>3.8350004868141387</v>
      </c>
      <c r="J5" s="27">
        <f>AVERAGE(G3:G5)</f>
        <v>0.40236794533333331</v>
      </c>
      <c r="L5">
        <f>+J5/I5</f>
        <v>0.10491992027557567</v>
      </c>
      <c r="M5">
        <f>+(L5-$L$931)/$L$932</f>
        <v>-1.121923982026521</v>
      </c>
      <c r="N5">
        <f>+M5</f>
        <v>-1.121923982026521</v>
      </c>
      <c r="Q5" t="s">
        <v>103</v>
      </c>
    </row>
    <row r="6" spans="1:17">
      <c r="A6" s="8">
        <v>5</v>
      </c>
      <c r="B6" s="74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4.0543138500000006E-2</v>
      </c>
    </row>
    <row r="7" spans="1:17">
      <c r="A7" s="8">
        <v>7</v>
      </c>
      <c r="B7" s="74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3.5184477833333332E-2</v>
      </c>
    </row>
    <row r="8" spans="1:17">
      <c r="A8" s="8">
        <v>14</v>
      </c>
      <c r="B8" s="74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4.4647677999999996E-2</v>
      </c>
      <c r="I8" s="27">
        <f>AVERAGE(F6:F8)</f>
        <v>0.77014041265829736</v>
      </c>
      <c r="J8" s="27">
        <f>AVERAGE(G6:G8)</f>
        <v>4.0125098111111111E-2</v>
      </c>
      <c r="L8">
        <f>+J8/I8</f>
        <v>5.210101619341221E-2</v>
      </c>
      <c r="M8">
        <f>+(L8-$L$931)/$L$932</f>
        <v>-1.6235277839439342</v>
      </c>
      <c r="N8">
        <f>+N5+M8</f>
        <v>-2.7454517659704551</v>
      </c>
    </row>
    <row r="9" spans="1:17">
      <c r="A9" s="8">
        <v>5</v>
      </c>
      <c r="B9" s="74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7.4320228833333349E-2</v>
      </c>
    </row>
    <row r="10" spans="1:17">
      <c r="A10" s="8">
        <v>7</v>
      </c>
      <c r="B10" s="74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0.11124053699999999</v>
      </c>
    </row>
    <row r="11" spans="1:17">
      <c r="A11" s="8">
        <v>14</v>
      </c>
      <c r="B11" s="74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0.31870416133333335</v>
      </c>
      <c r="I11" s="27">
        <f>AVERAGE(F9:F11)</f>
        <v>1.5490617878900848</v>
      </c>
      <c r="J11" s="27">
        <f>AVERAGE(G9:G11)</f>
        <v>0.16808830905555558</v>
      </c>
      <c r="L11">
        <f>+J11/I11</f>
        <v>0.10850975110844478</v>
      </c>
      <c r="M11">
        <f>+(L11-$L$931)/$L$932</f>
        <v>-1.0878325364485053</v>
      </c>
      <c r="N11">
        <f>+N8+M11</f>
        <v>-3.8332843024189605</v>
      </c>
    </row>
    <row r="12" spans="1:17">
      <c r="A12" s="8">
        <v>5</v>
      </c>
      <c r="B12" s="74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0.65526588683333331</v>
      </c>
    </row>
    <row r="13" spans="1:17">
      <c r="A13" s="8">
        <v>7</v>
      </c>
      <c r="B13" s="74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0.40100553133333328</v>
      </c>
    </row>
    <row r="14" spans="1:17">
      <c r="A14" s="8">
        <v>14</v>
      </c>
      <c r="B14" s="74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0.60627986616666674</v>
      </c>
      <c r="I14" s="27">
        <f>AVERAGE(F12:F14)</f>
        <v>3.2847373725269953</v>
      </c>
      <c r="J14" s="27">
        <f>AVERAGE(G12:G14)</f>
        <v>0.55418376144444448</v>
      </c>
      <c r="L14">
        <f>+J14/I14</f>
        <v>0.16871478556536865</v>
      </c>
      <c r="M14">
        <f>+(L14-$L$931)/$L$932</f>
        <v>-0.51608507778891033</v>
      </c>
      <c r="N14">
        <f>+N11+M14</f>
        <v>-4.3493693802078708</v>
      </c>
    </row>
    <row r="15" spans="1:17">
      <c r="A15" s="8">
        <v>5</v>
      </c>
      <c r="B15" s="74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1.4868349175</v>
      </c>
    </row>
    <row r="16" spans="1:17">
      <c r="A16" s="8">
        <v>7</v>
      </c>
      <c r="B16" s="74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0.63362377900000011</v>
      </c>
    </row>
    <row r="17" spans="1:14">
      <c r="A17" s="8">
        <v>14</v>
      </c>
      <c r="B17" s="74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1.2114384846666666</v>
      </c>
      <c r="I17" s="27">
        <f>AVERAGE(F15:F17)</f>
        <v>3.4698255354309997</v>
      </c>
      <c r="J17" s="27">
        <f>AVERAGE(G15:G17)</f>
        <v>1.1106323937222222</v>
      </c>
      <c r="L17">
        <f>+J17/I17</f>
        <v>0.32008306538220993</v>
      </c>
      <c r="M17">
        <f>+(L17-$L$931)/$L$932</f>
        <v>0.92140981092966001</v>
      </c>
      <c r="N17">
        <f>+N14+M17</f>
        <v>-3.4279595692782108</v>
      </c>
    </row>
    <row r="18" spans="1:14">
      <c r="A18" s="8">
        <v>5</v>
      </c>
      <c r="B18" s="74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1.3414158833333334</v>
      </c>
    </row>
    <row r="19" spans="1:14">
      <c r="A19" s="8">
        <v>7</v>
      </c>
      <c r="B19" s="74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0.46975512650000006</v>
      </c>
    </row>
    <row r="20" spans="1:14">
      <c r="A20" s="8">
        <v>14</v>
      </c>
      <c r="B20" s="74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0.60951599116666666</v>
      </c>
      <c r="I20" s="27">
        <f>AVERAGE(F18:F20)</f>
        <v>3.1518001303173935</v>
      </c>
      <c r="J20" s="27">
        <f>AVERAGE(G18:G20)</f>
        <v>0.80689566700000004</v>
      </c>
      <c r="L20">
        <f>+J20/I20</f>
        <v>0.25601105198213941</v>
      </c>
      <c r="M20">
        <f>+(L20-$L$931)/$L$932</f>
        <v>0.31293892202244733</v>
      </c>
      <c r="N20">
        <f>+N17+M20</f>
        <v>-3.1150206472557636</v>
      </c>
    </row>
    <row r="21" spans="1:14">
      <c r="A21" s="8">
        <v>5</v>
      </c>
      <c r="B21" s="74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1.0981972843333332</v>
      </c>
    </row>
    <row r="22" spans="1:14">
      <c r="A22" s="8">
        <v>7</v>
      </c>
      <c r="B22" s="74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1.6612509565000002</v>
      </c>
    </row>
    <row r="23" spans="1:14">
      <c r="A23" s="8">
        <v>14</v>
      </c>
      <c r="B23" s="74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0.19911519166666669</v>
      </c>
      <c r="I23" s="27">
        <f>AVERAGE(F21:F23)</f>
        <v>4.6253770759036277</v>
      </c>
      <c r="J23" s="27">
        <f>AVERAGE(G21:G23)</f>
        <v>0.9861878108333334</v>
      </c>
      <c r="L23">
        <f>+J23/I23</f>
        <v>0.21321241374481209</v>
      </c>
      <c r="M23">
        <f>+(L23-$L$931)/$L$932</f>
        <v>-9.350570286671088E-2</v>
      </c>
      <c r="N23">
        <f>+N20+M23</f>
        <v>-3.2085263501224746</v>
      </c>
    </row>
    <row r="24" spans="1:14">
      <c r="A24" s="8">
        <v>5</v>
      </c>
      <c r="B24" s="74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3.680431951833333</v>
      </c>
    </row>
    <row r="25" spans="1:14">
      <c r="A25" s="8">
        <v>7</v>
      </c>
      <c r="B25" s="74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0.18482494066666669</v>
      </c>
    </row>
    <row r="26" spans="1:14">
      <c r="A26" s="8">
        <v>14</v>
      </c>
      <c r="B26" s="74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8.1282315333333327E-2</v>
      </c>
      <c r="I26" s="27">
        <f>AVERAGE(F24:F26)</f>
        <v>3.6411893777364637</v>
      </c>
      <c r="J26" s="27">
        <f>AVERAGE(G24:G26)</f>
        <v>1.3155130692777777</v>
      </c>
      <c r="L26">
        <f>+J26/I26</f>
        <v>0.36128663818512047</v>
      </c>
      <c r="M26">
        <f>+(L26-$L$931)/$L$932</f>
        <v>1.3127066227372384</v>
      </c>
      <c r="N26">
        <f>+N23+M26</f>
        <v>-1.8958197273852362</v>
      </c>
    </row>
    <row r="27" spans="1:14">
      <c r="A27" s="8">
        <v>5</v>
      </c>
      <c r="B27" s="74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10.088649282666667</v>
      </c>
    </row>
    <row r="28" spans="1:14">
      <c r="A28" s="8">
        <v>7</v>
      </c>
      <c r="B28" s="74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9.0537022210000018</v>
      </c>
    </row>
    <row r="29" spans="1:14">
      <c r="A29" s="8">
        <v>14</v>
      </c>
      <c r="B29" s="74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4.5481529706666661</v>
      </c>
      <c r="I29" s="27">
        <f>AVERAGE(F27:F29)</f>
        <v>18.700563755464856</v>
      </c>
      <c r="J29" s="27">
        <f>AVERAGE(G27:G29)</f>
        <v>7.8968348247777778</v>
      </c>
      <c r="L29">
        <f>+J29/I29</f>
        <v>0.42227790178090702</v>
      </c>
      <c r="M29">
        <f>+(L29-$L$931)/$L$932</f>
        <v>1.8919206415628356</v>
      </c>
      <c r="N29">
        <f>+N26+M29</f>
        <v>-3.8990858224006164E-3</v>
      </c>
    </row>
    <row r="30" spans="1:14">
      <c r="A30" s="8">
        <v>5</v>
      </c>
      <c r="B30" s="74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2.8404941541666662</v>
      </c>
    </row>
    <row r="31" spans="1:14">
      <c r="A31" s="8">
        <v>7</v>
      </c>
      <c r="B31" s="74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1.7385050899999999</v>
      </c>
    </row>
    <row r="32" spans="1:14">
      <c r="A32" s="8">
        <v>14</v>
      </c>
      <c r="B32" s="74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1.172564188</v>
      </c>
      <c r="I32" s="27">
        <f>AVERAGE(F30:F32)</f>
        <v>12.95580481464267</v>
      </c>
      <c r="J32" s="27">
        <f>AVERAGE(G30:G32)</f>
        <v>1.917187810722222</v>
      </c>
      <c r="L32">
        <f>+J32/I32</f>
        <v>0.14797905943715772</v>
      </c>
      <c r="M32">
        <f>+(L32-$L$931)/$L$932</f>
        <v>-0.71300546533139286</v>
      </c>
      <c r="N32">
        <f>+N29+M32</f>
        <v>-0.71690455115379348</v>
      </c>
    </row>
    <row r="33" spans="1:14">
      <c r="A33" s="8">
        <v>5</v>
      </c>
      <c r="B33" s="74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2.8204126221666668</v>
      </c>
    </row>
    <row r="34" spans="1:14">
      <c r="A34" s="8">
        <v>7</v>
      </c>
      <c r="B34" s="74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5.390792817166667</v>
      </c>
    </row>
    <row r="35" spans="1:14">
      <c r="A35" s="8">
        <v>14</v>
      </c>
      <c r="B35" s="74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1.1982441613333334</v>
      </c>
      <c r="I35" s="27">
        <f>AVERAGE(F33:F35)</f>
        <v>12.079354975929611</v>
      </c>
      <c r="J35" s="27">
        <f>AVERAGE(G33:G35)</f>
        <v>3.1364832002222225</v>
      </c>
      <c r="L35">
        <f>+J35/I35</f>
        <v>0.25965651365261272</v>
      </c>
      <c r="M35">
        <f>+(L35-$L$931)/$L$932</f>
        <v>0.34755867541242935</v>
      </c>
      <c r="N35">
        <f>+N32+M35</f>
        <v>-0.36934587574136413</v>
      </c>
    </row>
    <row r="36" spans="1:14">
      <c r="A36" s="8">
        <v>5</v>
      </c>
      <c r="B36" s="74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2.4231018368333337</v>
      </c>
    </row>
    <row r="37" spans="1:14">
      <c r="A37" s="8">
        <v>7</v>
      </c>
      <c r="B37" s="74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5.3998350356666673</v>
      </c>
    </row>
    <row r="38" spans="1:14">
      <c r="A38" s="8">
        <v>14</v>
      </c>
      <c r="B38" s="74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0.63070951716666668</v>
      </c>
      <c r="I38" s="27">
        <f>AVERAGE(F36:F38)</f>
        <v>11.492512107833406</v>
      </c>
      <c r="J38" s="27">
        <f>AVERAGE(G36:G38)</f>
        <v>2.8178821298888894</v>
      </c>
      <c r="L38">
        <f>+J38/I38</f>
        <v>0.24519287893272648</v>
      </c>
      <c r="M38">
        <f>+(L38-$L$931)/$L$932</f>
        <v>0.21020228206973604</v>
      </c>
      <c r="N38">
        <f>+N35+M38</f>
        <v>-0.15914359367162809</v>
      </c>
    </row>
    <row r="39" spans="1:14">
      <c r="A39" s="8">
        <v>5</v>
      </c>
      <c r="B39" s="74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0.48715599216666661</v>
      </c>
    </row>
    <row r="40" spans="1:14">
      <c r="A40" s="8">
        <v>7</v>
      </c>
      <c r="B40" s="74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4.5633285356666669</v>
      </c>
    </row>
    <row r="41" spans="1:14">
      <c r="A41" s="8">
        <v>14</v>
      </c>
      <c r="B41" s="74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0.22293898599999998</v>
      </c>
      <c r="I41" s="27">
        <f>AVERAGE(F39:F41)</f>
        <v>6.8490543512505395</v>
      </c>
      <c r="J41" s="27">
        <f>AVERAGE(G39:G41)</f>
        <v>1.7578078379444444</v>
      </c>
      <c r="L41">
        <f>+J41/I41</f>
        <v>0.2566497136387148</v>
      </c>
      <c r="M41">
        <f>+(L41-$L$931)/$L$932</f>
        <v>0.31900408222680815</v>
      </c>
      <c r="N41">
        <f>+N38+M41</f>
        <v>0.15986048855518006</v>
      </c>
    </row>
    <row r="42" spans="1:14">
      <c r="A42" s="8">
        <v>5</v>
      </c>
      <c r="B42" s="74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0</v>
      </c>
    </row>
    <row r="43" spans="1:14">
      <c r="A43" s="8">
        <v>7</v>
      </c>
      <c r="B43" s="74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0.32511793933333338</v>
      </c>
    </row>
    <row r="44" spans="1:14">
      <c r="A44" s="8">
        <v>14</v>
      </c>
      <c r="B44" s="74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7.6417000333333332E-2</v>
      </c>
      <c r="I44" s="27">
        <f>AVERAGE(F42:F44)</f>
        <v>1.3523225807809862</v>
      </c>
      <c r="J44" s="27">
        <f>AVERAGE(G42:G44)</f>
        <v>0.13384497988888891</v>
      </c>
      <c r="L44">
        <f>+J44/I44</f>
        <v>9.8974151427384624E-2</v>
      </c>
      <c r="M44">
        <f>+(L44-$L$931)/$L$932</f>
        <v>-1.1783889979408115</v>
      </c>
      <c r="N44">
        <f>+N41+M44</f>
        <v>-1.0185285093856316</v>
      </c>
    </row>
    <row r="45" spans="1:14">
      <c r="A45" s="8">
        <v>5</v>
      </c>
      <c r="B45" s="74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0.13617158100000001</v>
      </c>
    </row>
    <row r="46" spans="1:14">
      <c r="A46" s="8">
        <v>7</v>
      </c>
      <c r="B46" s="74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0.147356459</v>
      </c>
    </row>
    <row r="47" spans="1:14">
      <c r="A47" s="8">
        <v>14</v>
      </c>
      <c r="B47" s="74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0.15314577499999998</v>
      </c>
      <c r="I47" s="27">
        <f>AVERAGE(F45:F47)</f>
        <v>2.3240791245816266</v>
      </c>
      <c r="J47" s="27">
        <f>AVERAGE(G45:G47)</f>
        <v>0.14555793833333333</v>
      </c>
      <c r="L47">
        <f>+J47/I47</f>
        <v>6.2630371226941858E-2</v>
      </c>
      <c r="M47">
        <f>+(L47-$L$931)/$L$932</f>
        <v>-1.5235339539254074</v>
      </c>
      <c r="N47">
        <f>+N44+M47</f>
        <v>-2.5420624633110389</v>
      </c>
    </row>
    <row r="48" spans="1:14">
      <c r="A48" s="8">
        <v>5</v>
      </c>
      <c r="B48" s="74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0.36231458816666662</v>
      </c>
    </row>
    <row r="49" spans="1:14">
      <c r="A49" s="8">
        <v>7</v>
      </c>
      <c r="B49" s="74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0.71640384816666669</v>
      </c>
    </row>
    <row r="50" spans="1:14">
      <c r="A50" s="8">
        <v>14</v>
      </c>
      <c r="B50" s="74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0.72236299416666672</v>
      </c>
      <c r="I50" s="27">
        <f>AVERAGE(F48:F50)</f>
        <v>5.1605916192358565</v>
      </c>
      <c r="J50" s="27">
        <f>AVERAGE(G48:G50)</f>
        <v>0.60036047683333338</v>
      </c>
      <c r="L50">
        <f>+J50/I50</f>
        <v>0.11633559117437595</v>
      </c>
      <c r="M50">
        <f>+(L50-$L$931)/$L$932</f>
        <v>-1.0135131010402594</v>
      </c>
      <c r="N50">
        <f>+N47+M50</f>
        <v>-3.5555755643512983</v>
      </c>
    </row>
    <row r="51" spans="1:14">
      <c r="A51" s="12">
        <v>5</v>
      </c>
      <c r="B51" s="74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0.26857566166666663</v>
      </c>
    </row>
    <row r="52" spans="1:14">
      <c r="A52" s="12">
        <v>7</v>
      </c>
      <c r="B52" s="74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0.57551288016666668</v>
      </c>
    </row>
    <row r="53" spans="1:14">
      <c r="A53" s="12">
        <v>14</v>
      </c>
      <c r="B53" s="74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1.2267358694999999</v>
      </c>
      <c r="I53" s="27">
        <f>AVERAGE(F51:F53)</f>
        <v>4.0769794100746513</v>
      </c>
      <c r="J53" s="27">
        <f>AVERAGE(G51:G53)</f>
        <v>0.69027480377777772</v>
      </c>
      <c r="L53">
        <f>+J53/I53</f>
        <v>0.16931034826225391</v>
      </c>
      <c r="M53">
        <f>+(L53-$L$931)/$L$932</f>
        <v>-0.510429214263739</v>
      </c>
      <c r="N53">
        <f>+N50+M53</f>
        <v>-4.0660047786150368</v>
      </c>
    </row>
    <row r="54" spans="1:14">
      <c r="A54" s="8">
        <v>5</v>
      </c>
      <c r="B54" s="74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1.5262234549333331</v>
      </c>
    </row>
    <row r="55" spans="1:14">
      <c r="A55" s="8">
        <v>7</v>
      </c>
      <c r="B55" s="74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1.4004971194999998</v>
      </c>
    </row>
    <row r="56" spans="1:14">
      <c r="A56" s="8">
        <v>14</v>
      </c>
      <c r="B56" s="74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2.3649093776000001</v>
      </c>
      <c r="I56" s="27">
        <f>AVERAGE(F54:F56)</f>
        <v>5.8227537277562291</v>
      </c>
      <c r="J56" s="27">
        <f>AVERAGE(G54:G56)</f>
        <v>1.7638766506777774</v>
      </c>
      <c r="L56">
        <f>+J56/I56</f>
        <v>0.3029282592306165</v>
      </c>
      <c r="M56">
        <f>+(L56-$L$931)/$L$932</f>
        <v>0.75849624548706873</v>
      </c>
      <c r="N56">
        <f>+N53+M56</f>
        <v>-3.3075085331279679</v>
      </c>
    </row>
    <row r="57" spans="1:14">
      <c r="A57" s="8">
        <v>5</v>
      </c>
      <c r="B57" s="74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0.42401707700000002</v>
      </c>
    </row>
    <row r="58" spans="1:14">
      <c r="A58" s="8">
        <v>7</v>
      </c>
      <c r="B58" s="74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0.45002423516666668</v>
      </c>
    </row>
    <row r="59" spans="1:14">
      <c r="A59" s="8">
        <v>14</v>
      </c>
      <c r="B59" s="74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0.7245479305000001</v>
      </c>
      <c r="I59" s="27">
        <f>AVERAGE(F57:F59)</f>
        <v>1.8377721677325185</v>
      </c>
      <c r="J59" s="27">
        <f>AVERAGE(G57:G59)</f>
        <v>0.5328630808888889</v>
      </c>
      <c r="L59">
        <f>+J59/I59</f>
        <v>0.28995056636772687</v>
      </c>
      <c r="M59">
        <f>+(L59-$L$931)/$L$932</f>
        <v>0.63525135441519631</v>
      </c>
      <c r="N59">
        <f>+N56+M59</f>
        <v>-2.6722571787127718</v>
      </c>
    </row>
    <row r="60" spans="1:14">
      <c r="A60" s="8">
        <v>5</v>
      </c>
      <c r="B60" s="74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1.7679434041666666</v>
      </c>
    </row>
    <row r="61" spans="1:14">
      <c r="A61" s="8">
        <v>7</v>
      </c>
      <c r="B61" s="74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0.86186607366666679</v>
      </c>
    </row>
    <row r="62" spans="1:14">
      <c r="A62" s="8">
        <v>14</v>
      </c>
      <c r="B62" s="74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0.76788833683333335</v>
      </c>
      <c r="I62" s="27">
        <f>AVERAGE(F60:F62)</f>
        <v>3.0659266594178849</v>
      </c>
      <c r="J62" s="27">
        <f>AVERAGE(G60:G62)</f>
        <v>1.1325659382222224</v>
      </c>
      <c r="L62">
        <f>+J62/I62</f>
        <v>0.36940411954839719</v>
      </c>
      <c r="M62">
        <f>+(L62-$L$931)/$L$932</f>
        <v>1.3897956798573832</v>
      </c>
      <c r="N62">
        <f>+N59+M62</f>
        <v>-1.2824614988553886</v>
      </c>
    </row>
    <row r="63" spans="1:14">
      <c r="A63" s="8">
        <v>5</v>
      </c>
      <c r="B63" s="74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9.0941062165000002</v>
      </c>
    </row>
    <row r="64" spans="1:14">
      <c r="A64" s="8">
        <v>7</v>
      </c>
      <c r="B64" s="74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0.71319112583333333</v>
      </c>
    </row>
    <row r="65" spans="1:14">
      <c r="A65" s="8">
        <v>14</v>
      </c>
      <c r="B65" s="74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0.35925188233333338</v>
      </c>
      <c r="I65" s="27">
        <f>AVERAGE(F63:F65)</f>
        <v>10.898804139979097</v>
      </c>
      <c r="J65" s="27">
        <f>AVERAGE(G63:G65)</f>
        <v>3.3888497415555556</v>
      </c>
      <c r="L65">
        <f>+J65/I65</f>
        <v>0.31093775959552705</v>
      </c>
      <c r="M65">
        <f>+(L65-$L$931)/$L$932</f>
        <v>0.83455984249484438</v>
      </c>
      <c r="N65">
        <f>+N62+M65</f>
        <v>-0.44790165636054424</v>
      </c>
    </row>
    <row r="66" spans="1:14">
      <c r="A66" s="8">
        <v>5</v>
      </c>
      <c r="B66" s="74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1.9048858733333334</v>
      </c>
    </row>
    <row r="67" spans="1:14">
      <c r="A67" s="8">
        <v>7</v>
      </c>
      <c r="B67" s="74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1.4145519148333332</v>
      </c>
    </row>
    <row r="68" spans="1:14">
      <c r="A68" s="8">
        <v>14</v>
      </c>
      <c r="B68" s="74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0.67115034933333328</v>
      </c>
      <c r="I68" s="27">
        <f>AVERAGE(F66:F68)</f>
        <v>10.594569016466346</v>
      </c>
      <c r="J68" s="27">
        <f>AVERAGE(G66:G68)</f>
        <v>1.3301960458333333</v>
      </c>
      <c r="L68">
        <f>+J68/I68</f>
        <v>0.12555452173334367</v>
      </c>
      <c r="M68">
        <f>+(L68-$L$931)/$L$932</f>
        <v>-0.92596394229971657</v>
      </c>
      <c r="N68">
        <f>+N65+M68</f>
        <v>-1.3738655986602608</v>
      </c>
    </row>
    <row r="69" spans="1:14">
      <c r="A69" s="8">
        <v>5</v>
      </c>
      <c r="B69" s="74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2.9183182816666662</v>
      </c>
    </row>
    <row r="70" spans="1:14">
      <c r="A70" s="8">
        <v>7</v>
      </c>
      <c r="B70" s="74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0.88912326766666672</v>
      </c>
    </row>
    <row r="71" spans="1:14">
      <c r="A71" s="8">
        <v>14</v>
      </c>
      <c r="B71" s="74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0.24185720933333335</v>
      </c>
      <c r="I71" s="27">
        <f>AVERAGE(F69:F71)</f>
        <v>15.48252347424701</v>
      </c>
      <c r="J71" s="27">
        <f>AVERAGE(G69:G71)</f>
        <v>1.349766252888889</v>
      </c>
      <c r="L71">
        <f>+J71/I71</f>
        <v>8.717999072528676E-2</v>
      </c>
      <c r="M71">
        <f>+(L71-$L$931)/$L$932</f>
        <v>-1.2903942724045621</v>
      </c>
      <c r="N71">
        <f>+N68+M71</f>
        <v>-2.6642598710648229</v>
      </c>
    </row>
    <row r="72" spans="1:14">
      <c r="A72" s="8">
        <v>5</v>
      </c>
      <c r="B72" s="74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0.61712406066666659</v>
      </c>
    </row>
    <row r="73" spans="1:14">
      <c r="A73" s="8">
        <v>7</v>
      </c>
      <c r="B73" s="74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3.0990747181666665</v>
      </c>
    </row>
    <row r="74" spans="1:14">
      <c r="A74" s="8">
        <v>14</v>
      </c>
      <c r="B74" s="74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0.59229197933333333</v>
      </c>
      <c r="I74" s="27">
        <f>AVERAGE(F72:F74)</f>
        <v>13.583508259070472</v>
      </c>
      <c r="J74" s="27">
        <f>AVERAGE(G72:G74)</f>
        <v>1.4361635860555555</v>
      </c>
      <c r="L74">
        <f>+J74/I74</f>
        <v>0.10572847298830539</v>
      </c>
      <c r="M74">
        <f>+(L74-$L$931)/$L$932</f>
        <v>-1.1142454222039815</v>
      </c>
      <c r="N74">
        <f>+N71+M74</f>
        <v>-3.7785052932688044</v>
      </c>
    </row>
    <row r="75" spans="1:14">
      <c r="A75" s="8">
        <v>5</v>
      </c>
      <c r="B75" s="74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3">
        <v>0.61972519240877189</v>
      </c>
    </row>
    <row r="76" spans="1:14">
      <c r="A76" s="8">
        <v>7</v>
      </c>
      <c r="B76" s="74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3">
        <v>0.57252673817096078</v>
      </c>
    </row>
    <row r="77" spans="1:14">
      <c r="A77" s="8">
        <v>14</v>
      </c>
      <c r="B77" s="74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3">
        <v>0.17073806332285021</v>
      </c>
      <c r="I77" s="27">
        <f>AVERAGE(F75:F77)</f>
        <v>3.2429348428042473</v>
      </c>
      <c r="J77" s="27">
        <f>AVERAGE(G75:G77)</f>
        <v>0.45432999796752754</v>
      </c>
      <c r="L77">
        <f>+J77/I77</f>
        <v>0.14009840468291893</v>
      </c>
      <c r="M77">
        <f>+(L77-$L$931)/$L$932</f>
        <v>-0.78784545784951865</v>
      </c>
      <c r="N77">
        <f>+N74+M77</f>
        <v>-4.566350751118323</v>
      </c>
    </row>
    <row r="78" spans="1:14">
      <c r="A78" s="8">
        <v>5</v>
      </c>
      <c r="B78" s="74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3">
        <v>4.2579197981704245E-2</v>
      </c>
    </row>
    <row r="79" spans="1:14">
      <c r="A79" s="8">
        <v>7</v>
      </c>
      <c r="B79" s="74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3">
        <v>0.1244959305012765</v>
      </c>
    </row>
    <row r="80" spans="1:14">
      <c r="A80" s="8">
        <v>14</v>
      </c>
      <c r="B80" s="74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3">
        <v>0.44699137236604936</v>
      </c>
      <c r="I80" s="27">
        <f>AVERAGE(F78:F80)</f>
        <v>1.4252134868626225</v>
      </c>
      <c r="J80" s="27">
        <f>AVERAGE(G78:G80)</f>
        <v>0.20468883361634335</v>
      </c>
      <c r="L80">
        <f>+J80/I80</f>
        <v>0.14361977030327772</v>
      </c>
      <c r="M80">
        <f>+(L80-$L$931)/$L$932</f>
        <v>-0.75440420393092944</v>
      </c>
      <c r="N80">
        <f>+N77+M80</f>
        <v>-5.3207549550492521</v>
      </c>
    </row>
    <row r="81" spans="1:14">
      <c r="A81" s="8">
        <v>5</v>
      </c>
      <c r="B81" s="74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3">
        <v>0.15805740557678352</v>
      </c>
    </row>
    <row r="82" spans="1:14">
      <c r="A82" s="8">
        <v>7</v>
      </c>
      <c r="B82" s="74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3">
        <v>9.2872536438773565E-2</v>
      </c>
    </row>
    <row r="83" spans="1:14">
      <c r="A83" s="8">
        <v>14</v>
      </c>
      <c r="B83" s="74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3">
        <v>7.0691964937843174E-2</v>
      </c>
      <c r="I83" s="27">
        <f>AVERAGE(F81:F83)</f>
        <v>1.2741841929726074</v>
      </c>
      <c r="J83" s="27">
        <f>AVERAGE(G81:G83)</f>
        <v>0.10720730231780008</v>
      </c>
      <c r="L83">
        <f>+J83/I83</f>
        <v>8.4137994262580562E-2</v>
      </c>
      <c r="M83">
        <f>+(L83-$L$931)/$L$932</f>
        <v>-1.3192831147163817</v>
      </c>
      <c r="N83">
        <f>+N80+M83</f>
        <v>-6.6400380697656338</v>
      </c>
    </row>
    <row r="84" spans="1:14">
      <c r="A84" s="8">
        <v>5</v>
      </c>
      <c r="B84" s="74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3">
        <v>0.68024399821271286</v>
      </c>
    </row>
    <row r="85" spans="1:14">
      <c r="A85" s="8">
        <v>7</v>
      </c>
      <c r="B85" s="74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3">
        <v>1.0162337947508526</v>
      </c>
    </row>
    <row r="86" spans="1:14">
      <c r="A86" s="8">
        <v>14</v>
      </c>
      <c r="B86" s="74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3">
        <v>1.1766496882336346</v>
      </c>
      <c r="I86" s="27">
        <f>AVERAGE(F84:F86)</f>
        <v>4.3185437010364005</v>
      </c>
      <c r="J86" s="27">
        <f>AVERAGE(G84:G86)</f>
        <v>0.95770916039906673</v>
      </c>
      <c r="L86">
        <f>+J86/I86</f>
        <v>0.22176669421435463</v>
      </c>
      <c r="M86">
        <f>+(L86-$L$931)/$L$932</f>
        <v>-1.2268507950366481E-2</v>
      </c>
      <c r="N86">
        <f>+N83+M86</f>
        <v>-6.6523065777160006</v>
      </c>
    </row>
    <row r="87" spans="1:14">
      <c r="A87" s="8">
        <v>5</v>
      </c>
      <c r="B87" s="74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3">
        <v>0.74431597907869329</v>
      </c>
    </row>
    <row r="88" spans="1:14">
      <c r="A88" s="8">
        <v>7</v>
      </c>
      <c r="B88" s="74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3">
        <v>0.15683745027956378</v>
      </c>
    </row>
    <row r="89" spans="1:14">
      <c r="A89" s="8">
        <v>14</v>
      </c>
      <c r="B89" s="74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3">
        <v>0.44539199815995645</v>
      </c>
      <c r="I89" s="27">
        <f>AVERAGE(F87:F89)</f>
        <v>1.4375421806420461</v>
      </c>
      <c r="J89" s="27">
        <f>AVERAGE(G87:G89)</f>
        <v>0.44884847583940451</v>
      </c>
      <c r="L89">
        <f>+J89/I89</f>
        <v>0.31223325609752639</v>
      </c>
      <c r="M89">
        <f>+(L89-$L$931)/$L$932</f>
        <v>0.8468627477153452</v>
      </c>
      <c r="N89">
        <f>+N86+M89</f>
        <v>-5.8054438300006552</v>
      </c>
    </row>
    <row r="90" spans="1:14">
      <c r="A90" s="8">
        <v>5</v>
      </c>
      <c r="B90" s="72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3">
        <v>1.2087634448791753</v>
      </c>
    </row>
    <row r="91" spans="1:14">
      <c r="A91" s="8">
        <v>7</v>
      </c>
      <c r="B91" s="72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3">
        <v>0.24972283257507472</v>
      </c>
    </row>
    <row r="92" spans="1:14">
      <c r="A92" s="8">
        <v>14</v>
      </c>
      <c r="B92" s="72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3">
        <v>0.5307479311759381</v>
      </c>
      <c r="I92" s="27">
        <f>AVERAGE(F90:F92)</f>
        <v>2.7736922436780582</v>
      </c>
      <c r="J92" s="27">
        <f>AVERAGE(G90:G92)</f>
        <v>0.66307806954339599</v>
      </c>
      <c r="L92">
        <f>+J92/I92</f>
        <v>0.2390597122138253</v>
      </c>
      <c r="M92">
        <f>+(L92-$L$931)/$L$932</f>
        <v>0.15195761006350517</v>
      </c>
      <c r="N92">
        <f>+N89+M92</f>
        <v>-5.6534862199371503</v>
      </c>
    </row>
    <row r="93" spans="1:14">
      <c r="A93" s="8">
        <v>5</v>
      </c>
      <c r="B93" s="72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3">
        <v>0.28658022184470872</v>
      </c>
    </row>
    <row r="94" spans="1:14">
      <c r="A94" s="8">
        <v>7</v>
      </c>
      <c r="B94" s="72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3">
        <v>0.23749267560524343</v>
      </c>
    </row>
    <row r="95" spans="1:14">
      <c r="A95" s="8">
        <v>14</v>
      </c>
      <c r="B95" s="72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3">
        <v>0.28270287748387207</v>
      </c>
      <c r="I95" s="27">
        <f>AVERAGE(F93:F95)</f>
        <v>2.0218744747941595</v>
      </c>
      <c r="J95" s="27">
        <f>AVERAGE(G93:G95)</f>
        <v>0.26892525831127473</v>
      </c>
      <c r="L95">
        <f>+J95/I95</f>
        <v>0.13300789028391743</v>
      </c>
      <c r="M95">
        <f>+(L95-$L$931)/$L$932</f>
        <v>-0.85518174666302238</v>
      </c>
      <c r="N95">
        <f>+N92+M95</f>
        <v>-6.5086679666001723</v>
      </c>
    </row>
    <row r="96" spans="1:14">
      <c r="A96" s="8">
        <v>5</v>
      </c>
      <c r="B96" s="72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9"/>
    </row>
    <row r="97" spans="1:10">
      <c r="A97" s="8">
        <v>7</v>
      </c>
      <c r="B97" s="72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9"/>
    </row>
    <row r="98" spans="1:10">
      <c r="A98" s="8">
        <v>14</v>
      </c>
      <c r="B98" s="72">
        <v>37392</v>
      </c>
      <c r="C98" s="12">
        <v>2002</v>
      </c>
      <c r="D98" s="15" t="s">
        <v>22</v>
      </c>
      <c r="E98" s="12">
        <v>5</v>
      </c>
      <c r="F98" s="20" t="s">
        <v>28</v>
      </c>
      <c r="I98" s="27">
        <f>AVERAGE(F96:F98)</f>
        <v>2.9292003229186161</v>
      </c>
      <c r="J98" s="27" t="e">
        <f>AVERAGE(G96:G98)</f>
        <v>#DIV/0!</v>
      </c>
    </row>
    <row r="99" spans="1:10">
      <c r="A99" s="8">
        <v>5</v>
      </c>
      <c r="B99" s="72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9"/>
    </row>
    <row r="100" spans="1:10">
      <c r="A100" s="8">
        <v>7</v>
      </c>
      <c r="B100" s="72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9"/>
    </row>
    <row r="101" spans="1:10">
      <c r="A101" s="8">
        <v>14</v>
      </c>
      <c r="B101" s="72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9"/>
      <c r="I101" s="27">
        <f>AVERAGE(F99:F101)</f>
        <v>14.514084952286561</v>
      </c>
      <c r="J101" s="27" t="e">
        <f>AVERAGE(G99:G101)</f>
        <v>#DIV/0!</v>
      </c>
    </row>
    <row r="102" spans="1:10">
      <c r="A102" s="8">
        <v>5</v>
      </c>
      <c r="B102" s="72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9"/>
    </row>
    <row r="103" spans="1:10">
      <c r="A103" s="8">
        <v>7</v>
      </c>
      <c r="B103" s="72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9"/>
    </row>
    <row r="104" spans="1:10">
      <c r="A104" s="8">
        <v>14</v>
      </c>
      <c r="B104" s="72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9"/>
      <c r="I104" s="27">
        <f>AVERAGE(F102:F104)</f>
        <v>10.562959667291089</v>
      </c>
      <c r="J104" s="27" t="e">
        <f>AVERAGE(G102:G104)</f>
        <v>#DIV/0!</v>
      </c>
    </row>
    <row r="105" spans="1:10">
      <c r="A105" s="8">
        <v>5</v>
      </c>
      <c r="B105" s="72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9"/>
    </row>
    <row r="106" spans="1:10">
      <c r="A106" s="8">
        <v>7</v>
      </c>
      <c r="B106" s="72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9"/>
    </row>
    <row r="107" spans="1:10">
      <c r="A107" s="8">
        <v>14</v>
      </c>
      <c r="B107" s="72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9"/>
      <c r="I107" s="27">
        <f>AVERAGE(F105:F107)</f>
        <v>15.357615191776491</v>
      </c>
      <c r="J107" s="27" t="e">
        <f>AVERAGE(G105:G107)</f>
        <v>#DIV/0!</v>
      </c>
    </row>
    <row r="108" spans="1:10">
      <c r="A108" s="8">
        <v>5</v>
      </c>
      <c r="B108" s="72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9"/>
    </row>
    <row r="109" spans="1:10">
      <c r="A109" s="8">
        <v>7</v>
      </c>
      <c r="B109" s="72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9"/>
    </row>
    <row r="110" spans="1:10">
      <c r="A110" s="8">
        <v>14</v>
      </c>
      <c r="B110" s="72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9"/>
      <c r="I110" s="27">
        <f>AVERAGE(F108:F110)</f>
        <v>7.4643510314456192</v>
      </c>
      <c r="J110" s="27" t="e">
        <f>AVERAGE(G108:G110)</f>
        <v>#DIV/0!</v>
      </c>
    </row>
    <row r="111" spans="1:10">
      <c r="A111" s="8">
        <v>5</v>
      </c>
      <c r="B111" s="72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2.1205076497610729</v>
      </c>
    </row>
    <row r="112" spans="1:10">
      <c r="A112" s="8">
        <v>7</v>
      </c>
      <c r="B112" s="72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1.3211793263764937</v>
      </c>
    </row>
    <row r="113" spans="1:14">
      <c r="A113" s="8">
        <v>14</v>
      </c>
      <c r="B113" s="72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0.30396266664470595</v>
      </c>
      <c r="I113" s="27">
        <f>AVERAGE(F111:F113)</f>
        <v>5.7309301240391948</v>
      </c>
      <c r="J113" s="27">
        <f>AVERAGE(G111:G113)</f>
        <v>1.2485498809274242</v>
      </c>
      <c r="L113">
        <f>+J113/I113</f>
        <v>0.21786164791823331</v>
      </c>
      <c r="M113">
        <f>+(L113-$L$931)/$L$932</f>
        <v>-4.9353451359092596E-2</v>
      </c>
      <c r="N113">
        <f>+N95+M113</f>
        <v>-6.5580214179592646</v>
      </c>
    </row>
    <row r="114" spans="1:14">
      <c r="A114" s="8">
        <v>5</v>
      </c>
      <c r="B114" s="72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0.10999846014412767</v>
      </c>
    </row>
    <row r="115" spans="1:14">
      <c r="A115" s="8">
        <v>7</v>
      </c>
      <c r="B115" s="72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0.33593046702716356</v>
      </c>
    </row>
    <row r="116" spans="1:14">
      <c r="A116" s="8">
        <v>14</v>
      </c>
      <c r="B116" s="72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9.4533786525651517E-2</v>
      </c>
      <c r="I116" s="27">
        <f>AVERAGE(F114:F116)</f>
        <v>3.384427131883418</v>
      </c>
      <c r="J116" s="27">
        <f>AVERAGE(G114:G116)</f>
        <v>0.18015423789898091</v>
      </c>
      <c r="L116">
        <f>+J116/I116</f>
        <v>5.3230349148845738E-2</v>
      </c>
      <c r="M116">
        <f>+(L116-$L$931)/$L$932</f>
        <v>-1.6128028794060645</v>
      </c>
      <c r="N116">
        <f>+N113+M116</f>
        <v>-8.1708242973653284</v>
      </c>
    </row>
    <row r="117" spans="1:14">
      <c r="A117" s="8">
        <v>5</v>
      </c>
      <c r="B117" s="72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0.77568623448413576</v>
      </c>
    </row>
    <row r="118" spans="1:14">
      <c r="A118" s="8">
        <v>7</v>
      </c>
      <c r="B118" s="72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1.3366032360412157</v>
      </c>
    </row>
    <row r="119" spans="1:14">
      <c r="A119" s="8">
        <v>14</v>
      </c>
      <c r="B119" s="72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1.2651023065976412</v>
      </c>
      <c r="I119" s="27">
        <f>AVERAGE(F117:F119)</f>
        <v>5.667312868329204</v>
      </c>
      <c r="J119" s="27">
        <f>AVERAGE(G117:G119)</f>
        <v>1.1257972590409977</v>
      </c>
      <c r="L119">
        <f>+J119/I119</f>
        <v>0.19864745165779016</v>
      </c>
      <c r="M119">
        <f>+(L119-$L$931)/$L$932</f>
        <v>-0.23182436896906772</v>
      </c>
      <c r="N119">
        <f>+N116+M119</f>
        <v>-8.4026486663343967</v>
      </c>
    </row>
    <row r="120" spans="1:14">
      <c r="A120" s="8">
        <v>5</v>
      </c>
      <c r="B120" s="72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1.5919580401604667</v>
      </c>
    </row>
    <row r="121" spans="1:14">
      <c r="A121" s="8">
        <v>7</v>
      </c>
      <c r="B121" s="72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0.2621794808062205</v>
      </c>
    </row>
    <row r="122" spans="1:14">
      <c r="A122" s="8">
        <v>14</v>
      </c>
      <c r="B122" s="72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0.86955959114978154</v>
      </c>
      <c r="I122" s="27">
        <f>AVERAGE(F120:F122)</f>
        <v>3.9687137332533777</v>
      </c>
      <c r="J122" s="27">
        <f>AVERAGE(G120:G122)</f>
        <v>0.90789903737215616</v>
      </c>
      <c r="L122">
        <f>+J122/I122</f>
        <v>0.228764052636243</v>
      </c>
      <c r="M122">
        <f>+(L122-$L$931)/$L$932</f>
        <v>5.418310911344347E-2</v>
      </c>
      <c r="N122">
        <f>+N119+M122</f>
        <v>-8.348465557220953</v>
      </c>
    </row>
    <row r="123" spans="1:14">
      <c r="A123" s="8">
        <v>5</v>
      </c>
      <c r="B123" s="72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2.3901324552714924</v>
      </c>
    </row>
    <row r="124" spans="1:14">
      <c r="A124" s="8">
        <v>7</v>
      </c>
      <c r="B124" s="72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1.0646347717009059</v>
      </c>
    </row>
    <row r="125" spans="1:14">
      <c r="A125" s="8">
        <v>14</v>
      </c>
      <c r="B125" s="72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1.350751076935558</v>
      </c>
      <c r="I125" s="27">
        <f>AVERAGE(F123:F125)</f>
        <v>5.4307846297847933</v>
      </c>
      <c r="J125" s="27">
        <f>AVERAGE(G123:G125)</f>
        <v>1.6018394346359857</v>
      </c>
      <c r="L125">
        <f>+J125/I125</f>
        <v>0.29495543348392034</v>
      </c>
      <c r="M125">
        <f>+(L125-$L$931)/$L$932</f>
        <v>0.68278093529534645</v>
      </c>
      <c r="N125">
        <f>+N122+M125</f>
        <v>-7.6656846219256067</v>
      </c>
    </row>
    <row r="126" spans="1:14">
      <c r="A126" s="8">
        <v>5</v>
      </c>
      <c r="B126" s="72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1.419883836219521</v>
      </c>
    </row>
    <row r="127" spans="1:14">
      <c r="A127" s="8">
        <v>7</v>
      </c>
      <c r="B127" s="72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1.061458173975222</v>
      </c>
    </row>
    <row r="128" spans="1:14">
      <c r="A128" s="8">
        <v>14</v>
      </c>
      <c r="B128" s="72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1.6594301425910389</v>
      </c>
      <c r="I128" s="27">
        <f>AVERAGE(F126:F128)</f>
        <v>6.6989562409248258</v>
      </c>
      <c r="J128" s="27">
        <f>AVERAGE(G126:G128)</f>
        <v>1.3802573842619275</v>
      </c>
      <c r="L128">
        <f>+J128/I128</f>
        <v>0.20604066284681025</v>
      </c>
      <c r="M128">
        <f>+(L128-$L$931)/$L$932</f>
        <v>-0.16161346805711271</v>
      </c>
      <c r="N128">
        <f>+N125+M128</f>
        <v>-7.8272980899827198</v>
      </c>
    </row>
    <row r="129" spans="1:14">
      <c r="A129" s="8">
        <v>5</v>
      </c>
      <c r="B129" s="72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2.0748581176166025</v>
      </c>
    </row>
    <row r="130" spans="1:14">
      <c r="A130" s="8">
        <v>7</v>
      </c>
      <c r="B130" s="72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3.0581521738201052</v>
      </c>
    </row>
    <row r="131" spans="1:14">
      <c r="A131" s="8">
        <v>14</v>
      </c>
      <c r="B131" s="72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2.6284061667991234</v>
      </c>
      <c r="I131" s="27">
        <f>AVERAGE(F129:F131)</f>
        <v>6.4711282129704406</v>
      </c>
      <c r="J131" s="27">
        <f>AVERAGE(G129:G131)</f>
        <v>2.587138819411944</v>
      </c>
      <c r="L131">
        <f>+J131/I131</f>
        <v>0.39979718130547909</v>
      </c>
      <c r="M131">
        <f>+(L131-$L$931)/$L$932</f>
        <v>1.6784286152463479</v>
      </c>
      <c r="N131">
        <f>+N128+M131</f>
        <v>-6.1488694747363724</v>
      </c>
    </row>
    <row r="132" spans="1:14">
      <c r="A132" s="8">
        <v>5</v>
      </c>
      <c r="B132" s="72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2.4392850292795303</v>
      </c>
    </row>
    <row r="133" spans="1:14">
      <c r="A133" s="8">
        <v>7</v>
      </c>
      <c r="B133" s="72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2.3250030916225226</v>
      </c>
    </row>
    <row r="134" spans="1:14">
      <c r="A134" s="8">
        <v>14</v>
      </c>
      <c r="B134" s="72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1.1097388475232872</v>
      </c>
      <c r="I134" s="27">
        <f>AVERAGE(F132:F134)</f>
        <v>5.1183499738120117</v>
      </c>
      <c r="J134" s="27">
        <f>AVERAGE(G132:G134)</f>
        <v>1.9580089894751136</v>
      </c>
      <c r="L134">
        <f>+J134/I134</f>
        <v>0.38254691443399685</v>
      </c>
      <c r="M134">
        <f>+(L134-$L$931)/$L$932</f>
        <v>1.5146084906681201</v>
      </c>
      <c r="N134">
        <f>+N131+M134</f>
        <v>-4.634260984068252</v>
      </c>
    </row>
    <row r="135" spans="1:14">
      <c r="A135" s="8">
        <v>5</v>
      </c>
      <c r="B135" s="72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10.425029136393857</v>
      </c>
    </row>
    <row r="136" spans="1:14">
      <c r="A136" s="8">
        <v>7</v>
      </c>
      <c r="B136" s="72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7.8741695382141579</v>
      </c>
    </row>
    <row r="137" spans="1:14">
      <c r="A137" s="8">
        <v>14</v>
      </c>
      <c r="B137" s="72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6.4291447772063668</v>
      </c>
      <c r="I137" s="27">
        <f>AVERAGE(F135:F137)</f>
        <v>23.037631081699022</v>
      </c>
      <c r="J137" s="27">
        <f>AVERAGE(G135:G137)</f>
        <v>8.2427811506047934</v>
      </c>
      <c r="L137">
        <f>+J137/I137</f>
        <v>0.35779638632866279</v>
      </c>
      <c r="M137">
        <f>+(L137-$L$931)/$L$932</f>
        <v>1.2795608460258339</v>
      </c>
      <c r="N137">
        <f>+N134+M137</f>
        <v>-3.3547001380424182</v>
      </c>
    </row>
    <row r="138" spans="1:14">
      <c r="A138" s="8">
        <v>5</v>
      </c>
      <c r="B138" s="72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3.9107748162162999</v>
      </c>
    </row>
    <row r="139" spans="1:14">
      <c r="A139" s="8">
        <v>7</v>
      </c>
      <c r="B139" s="72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1.5943647326937167</v>
      </c>
    </row>
    <row r="140" spans="1:14">
      <c r="A140" s="8">
        <v>14</v>
      </c>
      <c r="B140" s="72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1.180784397029939</v>
      </c>
      <c r="I140" s="27">
        <f>AVERAGE(F138:F140)</f>
        <v>15.104275980879535</v>
      </c>
      <c r="J140" s="27">
        <f>AVERAGE(G138:G140)</f>
        <v>2.2286413153133187</v>
      </c>
      <c r="L140">
        <f>+J140/I140</f>
        <v>0.14755035713956433</v>
      </c>
      <c r="M140">
        <f>+(L140-$L$931)/$L$932</f>
        <v>-0.71707671039223453</v>
      </c>
      <c r="N140">
        <f>+N137+M140</f>
        <v>-4.071776848434653</v>
      </c>
    </row>
    <row r="141" spans="1:14">
      <c r="A141" s="8">
        <v>5</v>
      </c>
      <c r="B141" s="72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1.3629153846783544</v>
      </c>
    </row>
    <row r="142" spans="1:14">
      <c r="A142" s="8">
        <v>7</v>
      </c>
      <c r="B142" s="72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1.7710922272034046</v>
      </c>
    </row>
    <row r="143" spans="1:14">
      <c r="A143" s="8">
        <v>14</v>
      </c>
      <c r="B143" s="72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1.5589303186110968</v>
      </c>
      <c r="I143" s="27">
        <f>AVERAGE(F141:F143)</f>
        <v>8.2407798408794353</v>
      </c>
      <c r="J143" s="27">
        <f>AVERAGE(G141:G143)</f>
        <v>1.5643126434976187</v>
      </c>
      <c r="L143">
        <f>+J143/I143</f>
        <v>0.18982580213314851</v>
      </c>
      <c r="M143">
        <f>+(L143-$L$931)/$L$932</f>
        <v>-0.31560068007654241</v>
      </c>
      <c r="N143">
        <f>+N140+M143</f>
        <v>-4.3873775285111956</v>
      </c>
    </row>
    <row r="144" spans="1:14">
      <c r="A144" s="8">
        <v>5</v>
      </c>
      <c r="B144" s="72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1.070424645138123</v>
      </c>
    </row>
    <row r="145" spans="1:14">
      <c r="A145" s="8">
        <v>7</v>
      </c>
      <c r="B145" s="72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2.0253642072984785</v>
      </c>
    </row>
    <row r="146" spans="1:14">
      <c r="A146" s="8">
        <v>14</v>
      </c>
      <c r="B146" s="72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1.2953165644904567</v>
      </c>
      <c r="I146" s="27">
        <f>AVERAGE(F144:F146)</f>
        <v>11.241516703460741</v>
      </c>
      <c r="J146" s="27">
        <f>AVERAGE(G144:G146)</f>
        <v>1.4637018056423525</v>
      </c>
      <c r="L146">
        <f>+J146/I146</f>
        <v>0.13020501096544621</v>
      </c>
      <c r="M146">
        <f>+(L146-$L$931)/$L$932</f>
        <v>-0.88179977191159298</v>
      </c>
      <c r="N146">
        <f>+N143+M146</f>
        <v>-5.2691773004227889</v>
      </c>
    </row>
    <row r="147" spans="1:14">
      <c r="A147" s="8">
        <v>5</v>
      </c>
      <c r="B147" s="72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0.41682497158360265</v>
      </c>
    </row>
    <row r="148" spans="1:14">
      <c r="A148" s="8">
        <v>7</v>
      </c>
      <c r="B148" s="72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0.26436273851805059</v>
      </c>
    </row>
    <row r="149" spans="1:14">
      <c r="A149" s="8">
        <v>14</v>
      </c>
      <c r="B149" s="72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0.22068723733849907</v>
      </c>
      <c r="I149" s="27">
        <f>AVERAGE(F147:F149)</f>
        <v>3.4937</v>
      </c>
      <c r="J149" s="27">
        <f>AVERAGE(G147:G149)</f>
        <v>0.30062498248005076</v>
      </c>
      <c r="L149">
        <f>+J149/I149</f>
        <v>8.6047738065675575E-2</v>
      </c>
      <c r="M149">
        <f>+(L149-$L$931)/$L$932</f>
        <v>-1.3011469044150368</v>
      </c>
      <c r="N149">
        <f>+N146+M149</f>
        <v>-6.5703242048378261</v>
      </c>
    </row>
    <row r="150" spans="1:14">
      <c r="A150" s="8">
        <v>5</v>
      </c>
      <c r="B150" s="72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0.28369180483431444</v>
      </c>
    </row>
    <row r="151" spans="1:14">
      <c r="A151" s="8">
        <v>7</v>
      </c>
      <c r="B151" s="72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0.15915644078325575</v>
      </c>
    </row>
    <row r="152" spans="1:14">
      <c r="A152" s="8">
        <v>14</v>
      </c>
      <c r="B152" s="72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0.15177113587273633</v>
      </c>
      <c r="I152" s="27">
        <f>AVERAGE(F150:F152)</f>
        <v>2.3850000000000002</v>
      </c>
      <c r="J152" s="27">
        <f>AVERAGE(G150:G152)</f>
        <v>0.19820646049676882</v>
      </c>
      <c r="L152">
        <f>+J152/I152</f>
        <v>8.3105434170552953E-2</v>
      </c>
      <c r="M152">
        <f>+(L152-$L$931)/$L$932</f>
        <v>-1.3290889991221535</v>
      </c>
      <c r="N152">
        <f>+N149+M152</f>
        <v>-7.8994132039599796</v>
      </c>
    </row>
    <row r="153" spans="1:14">
      <c r="A153" s="8">
        <v>5</v>
      </c>
      <c r="B153" s="72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2.2440966922895869</v>
      </c>
    </row>
    <row r="154" spans="1:14">
      <c r="A154" s="8">
        <v>7</v>
      </c>
      <c r="B154" s="72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0.19727980393471042</v>
      </c>
    </row>
    <row r="155" spans="1:14">
      <c r="A155" s="8">
        <v>14</v>
      </c>
      <c r="B155" s="72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0.10857548809705277</v>
      </c>
      <c r="I155" s="27">
        <f>AVERAGE(F153:F155)</f>
        <v>3.4090000000000003</v>
      </c>
      <c r="J155" s="27">
        <f>AVERAGE(G153:G155)</f>
        <v>0.84998399477378328</v>
      </c>
      <c r="L155">
        <f>+J155/I155</f>
        <v>0.24933528740797395</v>
      </c>
      <c r="M155">
        <f>+(L155-$L$931)/$L$932</f>
        <v>0.24954137621388578</v>
      </c>
      <c r="N155">
        <f>+N152+M155</f>
        <v>-7.649871827746094</v>
      </c>
    </row>
    <row r="156" spans="1:14">
      <c r="A156" s="8">
        <v>5</v>
      </c>
      <c r="B156" s="72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2.4219660466238513</v>
      </c>
    </row>
    <row r="157" spans="1:14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14</v>
      </c>
      <c r="C158" s="12">
        <v>2004</v>
      </c>
      <c r="D158" s="15" t="s">
        <v>18</v>
      </c>
      <c r="E158" s="12">
        <v>1</v>
      </c>
      <c r="F158" s="13"/>
      <c r="I158" s="27">
        <f>AVERAGE(F156:F158)</f>
        <v>8.5737000000000005</v>
      </c>
      <c r="J158" s="27">
        <f>AVERAGE(G156:G158)</f>
        <v>2.4219660466238513</v>
      </c>
      <c r="L158">
        <f>+J158/I158</f>
        <v>0.28248784616021683</v>
      </c>
      <c r="M158">
        <f>+(L158-$L$931)/$L$932</f>
        <v>0.5643803491609044</v>
      </c>
      <c r="N158">
        <f>+N155+M158</f>
        <v>-7.0854914785851895</v>
      </c>
    </row>
    <row r="159" spans="1:14">
      <c r="A159" s="8">
        <v>5</v>
      </c>
      <c r="B159" s="72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1.990850915483422</v>
      </c>
    </row>
    <row r="160" spans="1:14">
      <c r="A160" s="8">
        <v>7</v>
      </c>
      <c r="B160" s="72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0.97129687047492141</v>
      </c>
    </row>
    <row r="161" spans="1:14">
      <c r="A161" s="8">
        <v>14</v>
      </c>
      <c r="B161" s="72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1.7856782358934884</v>
      </c>
      <c r="I161" s="27">
        <f>AVERAGE(F159:F161)</f>
        <v>6.1598666666666659</v>
      </c>
      <c r="J161" s="27">
        <f>AVERAGE(G159:G161)</f>
        <v>1.5826086739506107</v>
      </c>
      <c r="L161">
        <f>+J161/I161</f>
        <v>0.25692255361868399</v>
      </c>
      <c r="M161">
        <f>+(L161-$L$931)/$L$932</f>
        <v>0.32159515399639133</v>
      </c>
      <c r="N161">
        <f>+N158+M161</f>
        <v>-6.7638963245887984</v>
      </c>
    </row>
    <row r="162" spans="1:14">
      <c r="A162" s="8">
        <v>5</v>
      </c>
      <c r="B162" s="72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2.1586805030066798</v>
      </c>
    </row>
    <row r="163" spans="1:14">
      <c r="A163" s="8">
        <v>7</v>
      </c>
      <c r="B163" s="72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2.606115055091796</v>
      </c>
    </row>
    <row r="164" spans="1:14">
      <c r="A164" s="8">
        <v>14</v>
      </c>
      <c r="B164" s="72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4.1413452689056758</v>
      </c>
      <c r="I164" s="27">
        <f>AVERAGE(F162:F164)</f>
        <v>7.6201999999999996</v>
      </c>
      <c r="J164" s="27">
        <f>AVERAGE(G162:G164)</f>
        <v>2.9687136090013837</v>
      </c>
      <c r="L164">
        <f>+J164/I164</f>
        <v>0.3895847364900375</v>
      </c>
      <c r="M164">
        <f>+(L164-$L$931)/$L$932</f>
        <v>1.58144437758915</v>
      </c>
      <c r="N164">
        <f>+N161+M164</f>
        <v>-5.1824519469996488</v>
      </c>
    </row>
    <row r="165" spans="1:14">
      <c r="A165" s="8">
        <v>5</v>
      </c>
      <c r="B165" s="72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0.34700953053040712</v>
      </c>
    </row>
    <row r="166" spans="1:14">
      <c r="A166" s="8">
        <v>7</v>
      </c>
      <c r="B166" s="72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0.3458912719363979</v>
      </c>
    </row>
    <row r="167" spans="1:14">
      <c r="A167" s="8">
        <v>14</v>
      </c>
      <c r="B167" s="72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0.30505609445635995</v>
      </c>
      <c r="I167" s="27">
        <f>AVERAGE(F165:F167)</f>
        <v>1.7581333333333333</v>
      </c>
      <c r="J167" s="27">
        <f>AVERAGE(G165:G167)</f>
        <v>0.33265229897438836</v>
      </c>
      <c r="L167">
        <f>+J167/I167</f>
        <v>0.18920766284755899</v>
      </c>
      <c r="M167">
        <f>+(L167-$L$931)/$L$932</f>
        <v>-0.3214709460571446</v>
      </c>
      <c r="N167">
        <f>+N164+M167</f>
        <v>-5.5039228930567932</v>
      </c>
    </row>
    <row r="168" spans="1:14">
      <c r="A168" s="8">
        <v>5</v>
      </c>
      <c r="B168" s="72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1.6900995027836445</v>
      </c>
    </row>
    <row r="169" spans="1:14">
      <c r="A169" s="8">
        <v>7</v>
      </c>
      <c r="B169" s="72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0.76328861812246429</v>
      </c>
    </row>
    <row r="170" spans="1:14">
      <c r="A170" s="8">
        <v>14</v>
      </c>
      <c r="B170" s="72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0.84923021687159372</v>
      </c>
      <c r="I170" s="27">
        <f>AVERAGE(F168:F170)</f>
        <v>4.7757000000000005</v>
      </c>
      <c r="J170" s="27">
        <f>AVERAGE(G168:G170)</f>
        <v>1.1008727792592341</v>
      </c>
      <c r="L170">
        <f>+J170/I170</f>
        <v>0.23051548029801577</v>
      </c>
      <c r="M170">
        <f>+(L170-$L$931)/$L$932</f>
        <v>7.0815842964981668E-2</v>
      </c>
      <c r="N170">
        <f>+N167+M170</f>
        <v>-5.4331070500918113</v>
      </c>
    </row>
    <row r="171" spans="1:14">
      <c r="A171" s="8">
        <v>5</v>
      </c>
      <c r="B171" s="72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6.1757416221212171</v>
      </c>
    </row>
    <row r="172" spans="1:14">
      <c r="A172" s="8">
        <v>7</v>
      </c>
      <c r="B172" s="72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1.012879395721791</v>
      </c>
    </row>
    <row r="173" spans="1:14">
      <c r="A173" s="8">
        <v>14</v>
      </c>
      <c r="B173" s="72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3.9673254506366731</v>
      </c>
      <c r="I173" s="27">
        <f>AVERAGE(F171:F173)</f>
        <v>15.7821</v>
      </c>
      <c r="J173" s="27">
        <f>AVERAGE(G171:G173)</f>
        <v>3.7186488228265606</v>
      </c>
      <c r="L173">
        <f>+J173/I173</f>
        <v>0.2356244620694686</v>
      </c>
      <c r="M173">
        <f>+(L173-$L$931)/$L$932</f>
        <v>0.11933416656558243</v>
      </c>
      <c r="N173">
        <f>+N170+M173</f>
        <v>-5.3137728835262292</v>
      </c>
    </row>
    <row r="174" spans="1:14">
      <c r="A174" s="8">
        <v>5</v>
      </c>
      <c r="B174" s="72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1.7817920024558263</v>
      </c>
    </row>
    <row r="175" spans="1:14">
      <c r="A175" s="8">
        <v>7</v>
      </c>
      <c r="B175" s="72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1.7138864520593682</v>
      </c>
    </row>
    <row r="176" spans="1:14">
      <c r="A176" s="8">
        <v>14</v>
      </c>
      <c r="B176" s="72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1.217794569725491</v>
      </c>
      <c r="I176" s="27">
        <f>AVERAGE(F174:F176)</f>
        <v>15.866500000000002</v>
      </c>
      <c r="J176" s="27">
        <f>AVERAGE(G174:G176)</f>
        <v>1.5711576747468952</v>
      </c>
      <c r="L176">
        <f>+J176/I176</f>
        <v>9.9023582689748521E-2</v>
      </c>
      <c r="M176">
        <f>+(L176-$L$931)/$L$932</f>
        <v>-1.1779195654607899</v>
      </c>
      <c r="N176">
        <f>+N173+M176</f>
        <v>-6.4916924489870187</v>
      </c>
    </row>
    <row r="177" spans="1:14">
      <c r="A177" s="8">
        <v>5</v>
      </c>
      <c r="B177" s="72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5.2095464941243783</v>
      </c>
    </row>
    <row r="178" spans="1:14">
      <c r="A178" s="8">
        <v>7</v>
      </c>
      <c r="B178" s="72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1.1706346801969989</v>
      </c>
    </row>
    <row r="179" spans="1:14">
      <c r="A179" s="8">
        <v>14</v>
      </c>
      <c r="B179" s="72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I179" s="27">
        <f>AVERAGE(F177:F179)</f>
        <v>25.913566666666668</v>
      </c>
      <c r="J179" s="27">
        <f>AVERAGE(G177:G179)</f>
        <v>3.1900905871606886</v>
      </c>
      <c r="L179">
        <f>+J179/I179</f>
        <v>0.1231050371489074</v>
      </c>
      <c r="M179">
        <f>+(L179-$L$931)/$L$932</f>
        <v>-0.94922589370976562</v>
      </c>
      <c r="N179">
        <f>+N176+M179</f>
        <v>-7.4409183426967846</v>
      </c>
    </row>
    <row r="180" spans="1:14">
      <c r="A180" s="8">
        <v>5</v>
      </c>
      <c r="B180" s="72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2.9098726568057787</v>
      </c>
    </row>
    <row r="181" spans="1:14">
      <c r="A181" s="8">
        <v>7</v>
      </c>
      <c r="B181" s="72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2.8664190037934656</v>
      </c>
    </row>
    <row r="182" spans="1:14">
      <c r="A182" s="8">
        <v>14</v>
      </c>
      <c r="B182" s="72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0.91076026551730793</v>
      </c>
      <c r="I182" s="27">
        <f>AVERAGE(F180:F182)</f>
        <v>13.428733333333334</v>
      </c>
      <c r="J182" s="27">
        <f>AVERAGE(G180:G182)</f>
        <v>2.2290173087055174</v>
      </c>
      <c r="L182">
        <f>+J182/I182</f>
        <v>0.16598864936669511</v>
      </c>
      <c r="M182">
        <f>+(L182-$L$931)/$L$932</f>
        <v>-0.54197429880856995</v>
      </c>
      <c r="N182">
        <f>+N179+M182</f>
        <v>-7.9828926415053543</v>
      </c>
    </row>
    <row r="183" spans="1:14">
      <c r="A183" s="8">
        <v>5</v>
      </c>
      <c r="B183" s="72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0.50217534036755429</v>
      </c>
    </row>
    <row r="184" spans="1:14">
      <c r="A184" s="8">
        <v>7</v>
      </c>
      <c r="B184" s="72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0.22615791524446571</v>
      </c>
    </row>
    <row r="185" spans="1:14">
      <c r="A185" s="8">
        <v>14</v>
      </c>
      <c r="B185" s="72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4.6299102037104946E-2</v>
      </c>
      <c r="I185" s="27">
        <f>AVERAGE(F183:F185)</f>
        <v>3.1029</v>
      </c>
      <c r="J185" s="27">
        <f>AVERAGE(G183:G185)</f>
        <v>0.25821078588304164</v>
      </c>
      <c r="L185">
        <f>+J185/I185</f>
        <v>8.3215954714312951E-2</v>
      </c>
      <c r="M185">
        <f>+(L185-$L$931)/$L$932</f>
        <v>-1.328039421780417</v>
      </c>
      <c r="N185">
        <f>+N182+M185</f>
        <v>-9.3109320632857706</v>
      </c>
    </row>
    <row r="186" spans="1:14">
      <c r="A186" s="8">
        <v>5</v>
      </c>
      <c r="B186" s="72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0.55371327263595449</v>
      </c>
    </row>
    <row r="187" spans="1:14">
      <c r="A187" s="8">
        <v>7</v>
      </c>
      <c r="B187" s="72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0.23219365111833226</v>
      </c>
    </row>
    <row r="188" spans="1:14">
      <c r="A188" s="8">
        <v>14</v>
      </c>
      <c r="B188" s="72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6.2881266380053952E-2</v>
      </c>
      <c r="I188" s="27">
        <f>AVERAGE(F186:F188)</f>
        <v>2.0789166666666667</v>
      </c>
      <c r="J188" s="27">
        <f>AVERAGE(G186:G188)</f>
        <v>0.2829293967114469</v>
      </c>
      <c r="L188">
        <f>+J188/I188</f>
        <v>0.13609463103929781</v>
      </c>
      <c r="M188">
        <f>+(L188-$L$931)/$L$932</f>
        <v>-0.82586798248450588</v>
      </c>
      <c r="N188">
        <f>+N185+M188</f>
        <v>-10.136800045770276</v>
      </c>
    </row>
    <row r="189" spans="1:14">
      <c r="A189" s="8">
        <v>5</v>
      </c>
      <c r="B189" s="72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0.26127791626290892</v>
      </c>
    </row>
    <row r="190" spans="1:14">
      <c r="A190" s="8">
        <v>7</v>
      </c>
      <c r="B190" s="72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0.18064272248943589</v>
      </c>
    </row>
    <row r="191" spans="1:14">
      <c r="A191" s="8">
        <v>14</v>
      </c>
      <c r="B191" s="72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0.16174241764476968</v>
      </c>
      <c r="I191" s="27">
        <f>AVERAGE(F189:F191)</f>
        <v>1.9878833333333334</v>
      </c>
      <c r="J191" s="27">
        <f>AVERAGE(G189:G191)</f>
        <v>0.20122101879903817</v>
      </c>
      <c r="L191">
        <f>+J191/I191</f>
        <v>0.10122375665860915</v>
      </c>
      <c r="M191">
        <f>+(L191-$L$931)/$L$932</f>
        <v>-1.1570252351667827</v>
      </c>
      <c r="N191">
        <f>+N188+M191</f>
        <v>-11.293825280937059</v>
      </c>
    </row>
    <row r="192" spans="1:14">
      <c r="A192" s="8">
        <v>5</v>
      </c>
      <c r="B192" s="75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0.95853728703125129</v>
      </c>
    </row>
    <row r="193" spans="1:14">
      <c r="A193" s="8">
        <v>7</v>
      </c>
      <c r="B193" s="75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0.25165551347636206</v>
      </c>
    </row>
    <row r="194" spans="1:14">
      <c r="A194" s="8">
        <v>14</v>
      </c>
      <c r="B194" s="75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0.41636809005780429</v>
      </c>
      <c r="I194" s="27">
        <f>AVERAGE(F192:F194)</f>
        <v>4.2194533333333331</v>
      </c>
      <c r="J194" s="27">
        <f>AVERAGE(G192:G194)</f>
        <v>0.54218696352180584</v>
      </c>
      <c r="L194">
        <f>+J194/I194</f>
        <v>0.12849696884631323</v>
      </c>
      <c r="M194">
        <f>+(L194-$L$931)/$L$932</f>
        <v>-0.89802048749969809</v>
      </c>
      <c r="N194">
        <f>+N191+M194</f>
        <v>-12.191845768436757</v>
      </c>
    </row>
    <row r="195" spans="1:14">
      <c r="A195" s="8">
        <v>5</v>
      </c>
      <c r="B195" s="75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1.3464223608490331</v>
      </c>
    </row>
    <row r="196" spans="1:14">
      <c r="A196" s="8">
        <v>7</v>
      </c>
      <c r="B196" s="75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0.7398090928702582</v>
      </c>
    </row>
    <row r="197" spans="1:14">
      <c r="A197" s="8">
        <v>14</v>
      </c>
      <c r="B197" s="75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1.2138287095049045</v>
      </c>
      <c r="I197" s="27">
        <f>AVERAGE(F195:F197)</f>
        <v>4.8213766666666666</v>
      </c>
      <c r="J197" s="27">
        <f>AVERAGE(G195:G197)</f>
        <v>1.1000200544080652</v>
      </c>
      <c r="L197">
        <f>+J197/I197</f>
        <v>0.22815476376554936</v>
      </c>
      <c r="M197">
        <f>+(L197-$L$931)/$L$932</f>
        <v>4.8396892619241273E-2</v>
      </c>
      <c r="N197">
        <f>+N194+M197</f>
        <v>-12.143448875817516</v>
      </c>
    </row>
    <row r="198" spans="1:14">
      <c r="A198" s="8">
        <v>5</v>
      </c>
      <c r="B198" s="75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0.23499923182253316</v>
      </c>
    </row>
    <row r="199" spans="1:14">
      <c r="A199" s="8">
        <v>7</v>
      </c>
      <c r="B199" s="75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0.36003393329932831</v>
      </c>
    </row>
    <row r="200" spans="1:14">
      <c r="A200" s="8">
        <v>14</v>
      </c>
      <c r="B200" s="75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0.37731668029580129</v>
      </c>
      <c r="I200" s="27">
        <f>AVERAGE(F198:F200)</f>
        <v>1.9800333333333333</v>
      </c>
      <c r="J200" s="27">
        <f>AVERAGE(G198:G200)</f>
        <v>0.32411661513922091</v>
      </c>
      <c r="L200">
        <f>+J200/I200</f>
        <v>0.16369250440525626</v>
      </c>
      <c r="M200">
        <f>+(L200-$L$931)/$L$932</f>
        <v>-0.56378003413052225</v>
      </c>
      <c r="N200">
        <f>+N197+M200</f>
        <v>-12.707228909948038</v>
      </c>
    </row>
    <row r="201" spans="1:14">
      <c r="A201" s="8">
        <v>5</v>
      </c>
      <c r="B201" s="75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1.4977720311607163</v>
      </c>
    </row>
    <row r="202" spans="1:14">
      <c r="A202" s="8">
        <v>7</v>
      </c>
      <c r="B202" s="75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1.1737163940683397</v>
      </c>
    </row>
    <row r="203" spans="1:14">
      <c r="A203" s="8">
        <v>14</v>
      </c>
      <c r="B203" s="75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0.87348498350281301</v>
      </c>
      <c r="I203" s="27">
        <f>AVERAGE(F201:F203)</f>
        <v>3.1268766666666665</v>
      </c>
      <c r="J203" s="27">
        <f>AVERAGE(G201:G203)</f>
        <v>1.1816578029106231</v>
      </c>
      <c r="L203">
        <f>+J203/I203</f>
        <v>0.37790355325088715</v>
      </c>
      <c r="M203">
        <f>+(L203-$L$931)/$L$932</f>
        <v>1.4705120130225322</v>
      </c>
      <c r="N203">
        <f>+N200+M203</f>
        <v>-11.236716896925506</v>
      </c>
    </row>
    <row r="204" spans="1:14">
      <c r="A204" s="8">
        <v>5</v>
      </c>
      <c r="B204" s="75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2.2413377293907617</v>
      </c>
    </row>
    <row r="205" spans="1:14">
      <c r="A205" s="8">
        <v>7</v>
      </c>
      <c r="B205" s="75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0.50450894830217952</v>
      </c>
    </row>
    <row r="206" spans="1:14">
      <c r="A206" s="8">
        <v>14</v>
      </c>
      <c r="B206" s="75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0.60707082343794161</v>
      </c>
      <c r="I206" s="27">
        <f>AVERAGE(F204:F206)</f>
        <v>3.7244799999999998</v>
      </c>
      <c r="J206" s="27">
        <f>AVERAGE(G204:G206)</f>
        <v>1.1176391670436276</v>
      </c>
      <c r="L206">
        <f>+J206/I206</f>
        <v>0.30007925053796175</v>
      </c>
      <c r="M206">
        <f>+(L206-$L$931)/$L$932</f>
        <v>0.73144014470715935</v>
      </c>
      <c r="N206">
        <f>+N203+M206</f>
        <v>-10.505276752218347</v>
      </c>
    </row>
    <row r="207" spans="1:14">
      <c r="A207" s="8">
        <v>5</v>
      </c>
      <c r="B207" s="75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2.7379352550633707</v>
      </c>
    </row>
    <row r="208" spans="1:14">
      <c r="A208" s="8">
        <v>7</v>
      </c>
      <c r="B208" s="75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0.57144315685540836</v>
      </c>
    </row>
    <row r="209" spans="1:14">
      <c r="A209" s="8">
        <v>14</v>
      </c>
      <c r="B209" s="75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1.1391693630284243</v>
      </c>
      <c r="I209" s="27">
        <f>AVERAGE(F207:F209)</f>
        <v>8.6896233333333335</v>
      </c>
      <c r="J209" s="27">
        <f>AVERAGE(G207:G209)</f>
        <v>1.4828492583157342</v>
      </c>
      <c r="L209">
        <f>+J209/I209</f>
        <v>0.17064597640585122</v>
      </c>
      <c r="M209">
        <f>+(L209-$L$931)/$L$932</f>
        <v>-0.49774519201037787</v>
      </c>
      <c r="N209">
        <f>+N206+M209</f>
        <v>-11.003021944228724</v>
      </c>
    </row>
    <row r="210" spans="1:14">
      <c r="A210" s="8">
        <v>5</v>
      </c>
      <c r="B210" s="75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2.2289488713578653</v>
      </c>
    </row>
    <row r="211" spans="1:14">
      <c r="A211" s="8">
        <v>7</v>
      </c>
      <c r="B211" s="75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1.3376534098750503</v>
      </c>
    </row>
    <row r="212" spans="1:14">
      <c r="A212" s="8">
        <v>14</v>
      </c>
      <c r="B212" s="75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1.9620124346237617</v>
      </c>
      <c r="I212" s="27">
        <f>AVERAGE(F210:F212)</f>
        <v>12.620293333333331</v>
      </c>
      <c r="J212" s="27">
        <f>AVERAGE(G210:G212)</f>
        <v>1.8428715719522257</v>
      </c>
      <c r="L212">
        <f>+J212/I212</f>
        <v>0.14602446419250367</v>
      </c>
      <c r="M212">
        <f>+(L212-$L$931)/$L$932</f>
        <v>-0.731567615057238</v>
      </c>
      <c r="N212">
        <f>+N209+M212</f>
        <v>-11.734589559285961</v>
      </c>
    </row>
    <row r="213" spans="1:14">
      <c r="A213" s="8">
        <v>5</v>
      </c>
      <c r="B213" s="75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5.9958265335985219</v>
      </c>
    </row>
    <row r="214" spans="1:14">
      <c r="A214" s="8">
        <v>7</v>
      </c>
      <c r="B214" s="75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17.763611464333312</v>
      </c>
    </row>
    <row r="215" spans="1:14">
      <c r="A215" s="8">
        <v>14</v>
      </c>
      <c r="B215" s="75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5.4260015367507517</v>
      </c>
      <c r="I215" s="27">
        <f>AVERAGE(F213:F215)</f>
        <v>31.520896666666669</v>
      </c>
      <c r="J215" s="27">
        <f>AVERAGE(G213:G215)</f>
        <v>9.7284798448941956</v>
      </c>
      <c r="L215">
        <f>+J215/I215</f>
        <v>0.30863588519618662</v>
      </c>
      <c r="M215">
        <f>+(L215-$L$931)/$L$932</f>
        <v>0.81269969658099861</v>
      </c>
      <c r="N215">
        <f>+N212+M215</f>
        <v>-10.921889862704962</v>
      </c>
    </row>
    <row r="216" spans="1:14">
      <c r="A216" s="8">
        <v>5</v>
      </c>
      <c r="B216" s="75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3.7330446164094919</v>
      </c>
    </row>
    <row r="217" spans="1:14">
      <c r="A217" s="8">
        <v>7</v>
      </c>
      <c r="B217" s="75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9.3517733074708556</v>
      </c>
    </row>
    <row r="218" spans="1:14">
      <c r="A218" s="8">
        <v>14</v>
      </c>
      <c r="B218" s="75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7.5228619403633301</v>
      </c>
      <c r="I218" s="27">
        <f>AVERAGE(F216:F218)</f>
        <v>21.641296666666666</v>
      </c>
      <c r="J218" s="27">
        <f>AVERAGE(G216:G218)</f>
        <v>6.8692266214145592</v>
      </c>
      <c r="L218">
        <f>+J218/I218</f>
        <v>0.3174128947640642</v>
      </c>
      <c r="M218">
        <f>+(L218-$L$931)/$L$932</f>
        <v>0.89605207666568165</v>
      </c>
      <c r="N218">
        <f>+N215+M218</f>
        <v>-10.025837786039281</v>
      </c>
    </row>
    <row r="219" spans="1:14">
      <c r="A219" s="8">
        <v>5</v>
      </c>
      <c r="B219" s="75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1.6903999999999999</v>
      </c>
    </row>
    <row r="220" spans="1:14">
      <c r="A220" s="8">
        <v>7</v>
      </c>
      <c r="B220" s="75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2.3917999999999999</v>
      </c>
    </row>
    <row r="221" spans="1:14">
      <c r="A221" s="8">
        <v>14</v>
      </c>
      <c r="B221" s="75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2.2774000000000001</v>
      </c>
      <c r="I221" s="27">
        <f>AVERAGE(F219:F221)</f>
        <v>7.2339000000000011</v>
      </c>
      <c r="J221" s="27">
        <f>AVERAGE(G219:G221)</f>
        <v>2.1198666666666668</v>
      </c>
      <c r="L221">
        <f>+J221/I221</f>
        <v>0.29304616689015145</v>
      </c>
      <c r="M221">
        <f>+(L221-$L$931)/$L$932</f>
        <v>0.66464925689439702</v>
      </c>
      <c r="N221">
        <f>+N218+M221</f>
        <v>-9.3611885291448846</v>
      </c>
    </row>
    <row r="222" spans="1:14">
      <c r="A222" s="8">
        <v>5</v>
      </c>
      <c r="B222" s="75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1.0018</v>
      </c>
    </row>
    <row r="223" spans="1:14">
      <c r="A223" s="8">
        <v>7</v>
      </c>
      <c r="B223" s="75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1.9603999999999999</v>
      </c>
    </row>
    <row r="224" spans="1:14">
      <c r="A224" s="8">
        <v>14</v>
      </c>
      <c r="B224" s="75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1.1626000000000001</v>
      </c>
      <c r="I224" s="27">
        <f>AVERAGE(F222:F224)</f>
        <v>3.3963000000000001</v>
      </c>
      <c r="J224" s="27">
        <f>AVERAGE(G222:G224)</f>
        <v>1.3749333333333336</v>
      </c>
      <c r="L224">
        <f>+J224/I224</f>
        <v>0.40483271010609589</v>
      </c>
      <c r="M224">
        <f>+(L224-$L$931)/$L$932</f>
        <v>1.7262493800832119</v>
      </c>
      <c r="N224">
        <f>+N221+M224</f>
        <v>-7.6349391490616725</v>
      </c>
    </row>
    <row r="225" spans="1:14">
      <c r="A225" s="8">
        <v>5</v>
      </c>
      <c r="B225" s="75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1.1926000000000001</v>
      </c>
    </row>
    <row r="226" spans="1:14">
      <c r="A226" s="8">
        <v>7</v>
      </c>
      <c r="B226" s="75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0.41320000000000001</v>
      </c>
    </row>
    <row r="227" spans="1:14">
      <c r="A227" s="8">
        <v>14</v>
      </c>
      <c r="B227" s="75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0.38</v>
      </c>
      <c r="I227" s="27">
        <f>AVERAGE(F225:F227)</f>
        <v>2.668133333333333</v>
      </c>
      <c r="J227" s="27">
        <f>AVERAGE(G225:G227)</f>
        <v>0.66193333333333337</v>
      </c>
      <c r="L227">
        <f>+J227/I227</f>
        <v>0.24808855129678681</v>
      </c>
      <c r="M227">
        <f>+(L227-$L$931)/$L$932</f>
        <v>0.23770153242639638</v>
      </c>
      <c r="N227">
        <f>+N224+M227</f>
        <v>-7.3972376166352758</v>
      </c>
    </row>
    <row r="228" spans="1:14">
      <c r="A228" s="12">
        <v>5</v>
      </c>
      <c r="B228" s="75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1.8855</v>
      </c>
    </row>
    <row r="229" spans="1:14">
      <c r="A229" s="12">
        <v>7</v>
      </c>
      <c r="B229" s="75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0.58250000000000002</v>
      </c>
    </row>
    <row r="230" spans="1:14">
      <c r="A230" s="12">
        <v>14</v>
      </c>
      <c r="B230" s="75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0.57779999999999998</v>
      </c>
      <c r="I230" s="27">
        <f>AVERAGE(F228:F230)</f>
        <v>3.5735000000000006</v>
      </c>
      <c r="J230" s="27">
        <f>AVERAGE(G228:G230)</f>
        <v>1.0152666666666665</v>
      </c>
      <c r="L230">
        <f>+J230/I230</f>
        <v>0.28410988293456452</v>
      </c>
      <c r="M230">
        <f>+(L230-$L$931)/$L$932</f>
        <v>0.57978430020837446</v>
      </c>
      <c r="N230">
        <f>+N227+M230</f>
        <v>-6.8174533164269011</v>
      </c>
    </row>
    <row r="231" spans="1:14">
      <c r="A231" s="12">
        <v>5</v>
      </c>
      <c r="B231" s="75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2.7787999999999999</v>
      </c>
    </row>
    <row r="232" spans="1:14">
      <c r="A232" s="12">
        <v>7</v>
      </c>
      <c r="B232" s="75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0.67820000000000003</v>
      </c>
    </row>
    <row r="233" spans="1:14">
      <c r="A233" s="12">
        <v>14</v>
      </c>
      <c r="B233" s="75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0.84499999999999997</v>
      </c>
      <c r="I233" s="27">
        <f>AVERAGE(F231:F233)</f>
        <v>5.3810000000000002</v>
      </c>
      <c r="J233" s="27">
        <f>AVERAGE(G231:G233)</f>
        <v>1.4339999999999999</v>
      </c>
      <c r="L233">
        <f>+J233/I233</f>
        <v>0.26649321687418692</v>
      </c>
      <c r="M233">
        <f>+(L233-$L$931)/$L$932</f>
        <v>0.41248460275064347</v>
      </c>
      <c r="N233">
        <f>+N230+M233</f>
        <v>-6.4049687136762579</v>
      </c>
    </row>
    <row r="234" spans="1:14">
      <c r="A234" s="12">
        <v>5</v>
      </c>
      <c r="B234" s="75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1.4623999999999999</v>
      </c>
    </row>
    <row r="235" spans="1:14">
      <c r="A235" s="12">
        <v>7</v>
      </c>
      <c r="B235" s="75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0.24199999999999999</v>
      </c>
    </row>
    <row r="236" spans="1:14">
      <c r="A236" s="12">
        <v>14</v>
      </c>
      <c r="B236" s="75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0.35289999999999999</v>
      </c>
      <c r="I236" s="27">
        <f>AVERAGE(F234:F236)</f>
        <v>2.0474000000000001</v>
      </c>
      <c r="J236" s="27">
        <f>AVERAGE(G234:G236)</f>
        <v>0.68576666666666652</v>
      </c>
      <c r="L236">
        <f>+J236/I236</f>
        <v>0.3349451336654618</v>
      </c>
      <c r="M236">
        <f>+(L236-$L$931)/$L$932</f>
        <v>1.0625499970955594</v>
      </c>
      <c r="N236">
        <f>+N233+M236</f>
        <v>-5.3424187165806982</v>
      </c>
    </row>
    <row r="237" spans="1:14">
      <c r="A237" s="12">
        <v>5</v>
      </c>
      <c r="B237" s="74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2.5569000000000002</v>
      </c>
    </row>
    <row r="238" spans="1:14">
      <c r="A238" s="12">
        <v>7</v>
      </c>
      <c r="B238" s="74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0.1779</v>
      </c>
    </row>
    <row r="239" spans="1:14">
      <c r="A239" s="12">
        <v>14</v>
      </c>
      <c r="B239" s="74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0.1201</v>
      </c>
      <c r="I239" s="27">
        <f>AVERAGE(F237:F239)</f>
        <v>3.9091</v>
      </c>
      <c r="J239" s="27">
        <f>AVERAGE(G237:G239)</f>
        <v>0.95163333333333344</v>
      </c>
      <c r="L239">
        <f>+J239/I239</f>
        <v>0.24344051913057568</v>
      </c>
      <c r="M239">
        <f>+(L239-$L$931)/$L$932</f>
        <v>0.19356069598686773</v>
      </c>
      <c r="N239">
        <f>+N236+M239</f>
        <v>-5.1488580205938304</v>
      </c>
    </row>
    <row r="240" spans="1:14">
      <c r="A240" s="12">
        <v>5</v>
      </c>
      <c r="B240" s="74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4.0697000000000001</v>
      </c>
    </row>
    <row r="241" spans="1:14">
      <c r="A241" s="12">
        <v>7</v>
      </c>
      <c r="B241" s="74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4.6253000000000002</v>
      </c>
    </row>
    <row r="242" spans="1:14">
      <c r="A242" s="12">
        <v>14</v>
      </c>
      <c r="B242" s="74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2.927</v>
      </c>
      <c r="I242" s="27">
        <f>AVERAGE(F240:F242)</f>
        <v>9.1555666666666671</v>
      </c>
      <c r="J242" s="27">
        <f>AVERAGE(G240:G242)</f>
        <v>3.8740000000000001</v>
      </c>
      <c r="L242">
        <f>+J242/I242</f>
        <v>0.42313055445321063</v>
      </c>
      <c r="M242">
        <f>+(L242-$L$931)/$L$932</f>
        <v>1.9000180042320274</v>
      </c>
      <c r="N242">
        <f>+N239+M242</f>
        <v>-3.248840016361803</v>
      </c>
    </row>
    <row r="243" spans="1:14">
      <c r="A243" s="12">
        <v>5</v>
      </c>
      <c r="B243" s="74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6.9710999999999999</v>
      </c>
    </row>
    <row r="244" spans="1:14">
      <c r="A244" s="12">
        <v>7</v>
      </c>
      <c r="B244" s="74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8.1868999999999996</v>
      </c>
    </row>
    <row r="245" spans="1:14">
      <c r="A245" s="12">
        <v>14</v>
      </c>
      <c r="B245" s="74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5.0462999999999996</v>
      </c>
      <c r="I245" s="27">
        <f>AVERAGE(F243:F245)</f>
        <v>18.530133333333335</v>
      </c>
      <c r="J245" s="27">
        <f>AVERAGE(G243:G245)</f>
        <v>6.7347666666666663</v>
      </c>
      <c r="L245">
        <f>+J245/I245</f>
        <v>0.36344944450840427</v>
      </c>
      <c r="M245">
        <f>+(L245-$L$931)/$L$932</f>
        <v>1.3332460847617171</v>
      </c>
      <c r="N245">
        <f>+N242+M245</f>
        <v>-1.9155939316000858</v>
      </c>
    </row>
    <row r="246" spans="1:14">
      <c r="A246" s="12">
        <v>5</v>
      </c>
      <c r="B246" s="74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1.1283000000000001</v>
      </c>
    </row>
    <row r="247" spans="1:14">
      <c r="A247" s="12">
        <v>7</v>
      </c>
      <c r="B247" s="74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5.2392000000000003</v>
      </c>
    </row>
    <row r="248" spans="1:14">
      <c r="A248" s="12">
        <v>14</v>
      </c>
      <c r="B248" s="74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2.0116999999999998</v>
      </c>
      <c r="I248" s="27">
        <f>AVERAGE(F246:F248)</f>
        <v>18.311699999999998</v>
      </c>
      <c r="J248" s="27">
        <f>AVERAGE(G246:G248)</f>
        <v>2.7930666666666668</v>
      </c>
      <c r="L248">
        <f>+J248/I248</f>
        <v>0.152529075217848</v>
      </c>
      <c r="M248">
        <f>+(L248-$L$931)/$L$932</f>
        <v>-0.66979545834548138</v>
      </c>
      <c r="N248">
        <f>+N245+M248</f>
        <v>-2.5853893899455671</v>
      </c>
    </row>
    <row r="249" spans="1:14">
      <c r="A249" s="12">
        <v>5</v>
      </c>
      <c r="B249" s="74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7.1170999999999998</v>
      </c>
    </row>
    <row r="250" spans="1:14">
      <c r="A250" s="12">
        <v>7</v>
      </c>
      <c r="B250" s="74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9.1367999999999991</v>
      </c>
    </row>
    <row r="251" spans="1:14">
      <c r="A251" s="12">
        <v>14</v>
      </c>
      <c r="B251" s="74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5.665</v>
      </c>
      <c r="I251" s="27">
        <f>AVERAGE(F249:F251)</f>
        <v>22.757333333333335</v>
      </c>
      <c r="J251" s="27">
        <f>AVERAGE(G249:G251)</f>
        <v>7.3062999999999994</v>
      </c>
      <c r="L251">
        <f>+J251/I251</f>
        <v>0.32105255448793057</v>
      </c>
      <c r="M251">
        <f>+(L251-$L$931)/$L$932</f>
        <v>0.93061673087238572</v>
      </c>
      <c r="N251">
        <f>+N248+M251</f>
        <v>-1.6547726590731813</v>
      </c>
    </row>
    <row r="252" spans="1:14">
      <c r="A252" s="12">
        <v>5</v>
      </c>
      <c r="B252" s="74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6.3269000000000002</v>
      </c>
    </row>
    <row r="253" spans="1:14">
      <c r="A253" s="12">
        <v>7</v>
      </c>
      <c r="B253" s="74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6.7244999999999999</v>
      </c>
    </row>
    <row r="254" spans="1:14">
      <c r="A254" s="12">
        <v>14</v>
      </c>
      <c r="B254" s="74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4.8068999999999997</v>
      </c>
      <c r="I254" s="27">
        <f>AVERAGE(F252:F254)</f>
        <v>19.939600000000002</v>
      </c>
      <c r="J254" s="27">
        <f>AVERAGE(G252:G254)</f>
        <v>5.9527666666666663</v>
      </c>
      <c r="L254">
        <f>+J254/I254</f>
        <v>0.29853992390352191</v>
      </c>
      <c r="M254">
        <f>+(L254-$L$931)/$L$932</f>
        <v>0.71682166472077691</v>
      </c>
      <c r="N254">
        <f>+N251+M254</f>
        <v>-0.93795099435240437</v>
      </c>
    </row>
    <row r="255" spans="1:14">
      <c r="A255" s="12">
        <v>5</v>
      </c>
      <c r="B255" s="74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0.66</v>
      </c>
    </row>
    <row r="256" spans="1:14">
      <c r="A256" s="12">
        <v>7</v>
      </c>
      <c r="B256" s="74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1.6879999999999999</v>
      </c>
    </row>
    <row r="257" spans="1:14">
      <c r="A257" s="12">
        <v>14</v>
      </c>
      <c r="B257" s="74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0.38500000000000001</v>
      </c>
      <c r="I257" s="27">
        <f>AVERAGE(F255:F257)</f>
        <v>5.996666666666667</v>
      </c>
      <c r="J257" s="27">
        <f>AVERAGE(G255:G257)</f>
        <v>0.91099999999999992</v>
      </c>
      <c r="L257">
        <f>+J257/I257</f>
        <v>0.15191773207337408</v>
      </c>
      <c r="M257">
        <f>+(L257-$L$931)/$L$932</f>
        <v>-0.6756011836037572</v>
      </c>
      <c r="N257">
        <f>+N254+M257</f>
        <v>-1.6135521779561617</v>
      </c>
    </row>
    <row r="258" spans="1:14">
      <c r="A258" s="12">
        <v>5</v>
      </c>
      <c r="B258" s="74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4.8460000000000001</v>
      </c>
    </row>
    <row r="259" spans="1:14">
      <c r="A259" s="12">
        <v>7</v>
      </c>
      <c r="B259" s="74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0.23699999999999999</v>
      </c>
    </row>
    <row r="260" spans="1:14">
      <c r="A260" s="12">
        <v>14</v>
      </c>
      <c r="B260" s="74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0.26</v>
      </c>
      <c r="I260" s="27">
        <f>AVERAGE(F258:F260)</f>
        <v>5.6020000000000003</v>
      </c>
      <c r="J260" s="27">
        <f>AVERAGE(G258:G260)</f>
        <v>1.7809999999999999</v>
      </c>
      <c r="L260">
        <f>+J260/I260</f>
        <v>0.31792217065333805</v>
      </c>
      <c r="M260">
        <f>+(L260-$L$931)/$L$932</f>
        <v>0.90088850269010756</v>
      </c>
      <c r="N260">
        <f>+N257+M260</f>
        <v>-0.71266367526605412</v>
      </c>
    </row>
    <row r="261" spans="1:14">
      <c r="A261" s="12">
        <v>5</v>
      </c>
      <c r="B261" s="75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2.859</v>
      </c>
    </row>
    <row r="262" spans="1:14">
      <c r="A262" s="12">
        <v>7</v>
      </c>
      <c r="B262" s="75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0.42499999999999999</v>
      </c>
    </row>
    <row r="263" spans="1:14">
      <c r="A263" s="12">
        <v>14</v>
      </c>
      <c r="B263" s="75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0.32800000000000001</v>
      </c>
      <c r="I263" s="27">
        <f>AVERAGE(F261:F263)</f>
        <v>6.4036666666666671</v>
      </c>
      <c r="J263" s="27">
        <f>AVERAGE(G261:G263)</f>
        <v>1.204</v>
      </c>
      <c r="L263">
        <f>+J263/I263</f>
        <v>0.18801728176565508</v>
      </c>
      <c r="M263">
        <f>+(L263-$L$931)/$L$932</f>
        <v>-0.33277560462190275</v>
      </c>
      <c r="N263">
        <f>+N260+M263</f>
        <v>-1.0454392798879568</v>
      </c>
    </row>
    <row r="264" spans="1:14">
      <c r="A264" s="15">
        <v>5</v>
      </c>
      <c r="B264" s="75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3.1070000000000002</v>
      </c>
    </row>
    <row r="265" spans="1:14">
      <c r="A265" s="15">
        <v>7</v>
      </c>
      <c r="B265" s="75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0.26700000000000002</v>
      </c>
    </row>
    <row r="266" spans="1:14">
      <c r="A266" s="15">
        <v>14</v>
      </c>
      <c r="B266" s="75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0.374</v>
      </c>
      <c r="I266" s="27">
        <f>AVERAGE(F264:F266)</f>
        <v>4.6513333333333335</v>
      </c>
      <c r="J266" s="27">
        <f>AVERAGE(G264:G266)</f>
        <v>1.2493333333333334</v>
      </c>
      <c r="L266">
        <f>+J266/I266</f>
        <v>0.26859681811666908</v>
      </c>
      <c r="M266">
        <f>+(L266-$L$931)/$L$932</f>
        <v>0.43246181354823682</v>
      </c>
      <c r="N266">
        <f>+N263+M266</f>
        <v>-0.61297746633972006</v>
      </c>
    </row>
    <row r="267" spans="1:14">
      <c r="A267" s="15">
        <v>5</v>
      </c>
      <c r="B267" s="75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1.9039999999999999</v>
      </c>
    </row>
    <row r="268" spans="1:14">
      <c r="A268" s="15">
        <v>7</v>
      </c>
      <c r="B268" s="75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2.3839999999999999</v>
      </c>
    </row>
    <row r="269" spans="1:14">
      <c r="A269" s="15">
        <v>14</v>
      </c>
      <c r="B269" s="75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1.617</v>
      </c>
      <c r="I269" s="27">
        <f>AVERAGE(F267:F269)</f>
        <v>6.5593333333333321</v>
      </c>
      <c r="J269" s="27">
        <f>AVERAGE(G267:G269)</f>
        <v>1.9683333333333335</v>
      </c>
      <c r="L269">
        <f>+J269/I269</f>
        <v>0.30008130907612568</v>
      </c>
      <c r="M269">
        <f>+(L269-$L$931)/$L$932</f>
        <v>0.73145969396868538</v>
      </c>
      <c r="N269">
        <f>+N266+M269</f>
        <v>0.11848222762896532</v>
      </c>
    </row>
    <row r="270" spans="1:14">
      <c r="A270" s="15">
        <v>5</v>
      </c>
      <c r="B270" s="75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1.2689999999999999</v>
      </c>
    </row>
    <row r="271" spans="1:14">
      <c r="A271" s="15">
        <v>7</v>
      </c>
      <c r="B271" s="75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0.749</v>
      </c>
    </row>
    <row r="272" spans="1:14">
      <c r="A272" s="15">
        <v>14</v>
      </c>
      <c r="B272" s="75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0.73399999999999999</v>
      </c>
      <c r="I272" s="27">
        <f>AVERAGE(F270:F272)</f>
        <v>2.6906666666666665</v>
      </c>
      <c r="J272" s="27">
        <f>AVERAGE(G270:G272)</f>
        <v>0.91733333333333322</v>
      </c>
      <c r="L272">
        <f>+J272/I272</f>
        <v>0.34093161546085232</v>
      </c>
      <c r="M272">
        <f>+(L272-$L$931)/$L$932</f>
        <v>1.1194016505112785</v>
      </c>
      <c r="N272">
        <f>+N269+M272</f>
        <v>1.2378838781402437</v>
      </c>
    </row>
    <row r="273" spans="1:14">
      <c r="A273" s="15">
        <v>5</v>
      </c>
      <c r="B273" s="75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2.0339999999999998</v>
      </c>
    </row>
    <row r="274" spans="1:14">
      <c r="A274" s="15">
        <v>7</v>
      </c>
      <c r="B274" s="75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0.77500000000000002</v>
      </c>
    </row>
    <row r="275" spans="1:14">
      <c r="A275" s="15">
        <v>14</v>
      </c>
      <c r="B275" s="75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0.76</v>
      </c>
      <c r="I275" s="27">
        <f>AVERAGE(F273:F275)</f>
        <v>3.5393333333333334</v>
      </c>
      <c r="J275" s="27">
        <f>AVERAGE(G273:G275)</f>
        <v>1.1896666666666667</v>
      </c>
      <c r="L275">
        <f>+J275/I275</f>
        <v>0.33612733094744773</v>
      </c>
      <c r="M275">
        <f>+(L275-$L$931)/$L$932</f>
        <v>1.0737769367976429</v>
      </c>
      <c r="N275">
        <f>+N272+M275</f>
        <v>2.3116608149378868</v>
      </c>
    </row>
    <row r="276" spans="1:14">
      <c r="A276" s="15">
        <v>5</v>
      </c>
      <c r="B276" s="75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5.2670000000000003</v>
      </c>
    </row>
    <row r="277" spans="1:14">
      <c r="A277" s="15">
        <v>7</v>
      </c>
      <c r="B277" s="75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5.742</v>
      </c>
    </row>
    <row r="278" spans="1:14">
      <c r="A278" s="15">
        <v>14</v>
      </c>
      <c r="B278" s="75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4.125</v>
      </c>
      <c r="I278" s="27">
        <f>AVERAGE(F276:F278)</f>
        <v>11.448666666666666</v>
      </c>
      <c r="J278" s="27">
        <f>AVERAGE(G276:G278)</f>
        <v>5.0446666666666671</v>
      </c>
      <c r="L278">
        <f>+J278/I278</f>
        <v>0.44063355266988885</v>
      </c>
      <c r="M278">
        <f>+(L278-$L$931)/$L$932</f>
        <v>2.0662382354731426</v>
      </c>
      <c r="N278">
        <f>+N275+M278</f>
        <v>4.3778990504110293</v>
      </c>
    </row>
    <row r="279" spans="1:14">
      <c r="A279" s="15">
        <v>5</v>
      </c>
      <c r="B279" s="75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12.96</v>
      </c>
    </row>
    <row r="280" spans="1:14">
      <c r="A280" s="15">
        <v>7</v>
      </c>
      <c r="B280" s="75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6.5380000000000003</v>
      </c>
    </row>
    <row r="281" spans="1:14">
      <c r="A281" s="15">
        <v>14</v>
      </c>
      <c r="B281" s="75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10.273999999999999</v>
      </c>
      <c r="I281" s="27">
        <f>AVERAGE(F279:F281)</f>
        <v>31.111666666666668</v>
      </c>
      <c r="J281" s="27">
        <f>AVERAGE(G279:G281)</f>
        <v>9.9239999999999995</v>
      </c>
      <c r="L281">
        <f>+J281/I281</f>
        <v>0.31898001821396044</v>
      </c>
      <c r="M281">
        <f>+(L281-$L$931)/$L$932</f>
        <v>0.91093453388817702</v>
      </c>
      <c r="N281">
        <f>+N278+M281</f>
        <v>5.2888335842992067</v>
      </c>
    </row>
    <row r="282" spans="1:14">
      <c r="A282" s="15">
        <v>5</v>
      </c>
      <c r="B282" s="75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1.6439999999999999</v>
      </c>
    </row>
    <row r="283" spans="1:14">
      <c r="A283" s="15">
        <v>7</v>
      </c>
      <c r="B283" s="75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3.3530000000000002</v>
      </c>
    </row>
    <row r="284" spans="1:14">
      <c r="A284" s="15">
        <v>14</v>
      </c>
      <c r="B284" s="75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1.7450000000000001</v>
      </c>
      <c r="I284" s="27">
        <f>AVERAGE(F282:F284)</f>
        <v>17.929000000000002</v>
      </c>
      <c r="J284" s="27">
        <f>AVERAGE(G282:G284)</f>
        <v>2.2473333333333332</v>
      </c>
      <c r="L284">
        <f>+J284/I284</f>
        <v>0.12534627326305611</v>
      </c>
      <c r="M284">
        <f>+(L284-$L$931)/$L$932</f>
        <v>-0.92794160969465589</v>
      </c>
      <c r="N284">
        <f>+N281+M284</f>
        <v>4.3608919746045505</v>
      </c>
    </row>
    <row r="285" spans="1:14">
      <c r="A285" s="15">
        <v>5</v>
      </c>
      <c r="B285" s="75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1.379</v>
      </c>
    </row>
    <row r="286" spans="1:14">
      <c r="A286" s="15">
        <v>7</v>
      </c>
      <c r="B286" s="75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5.37</v>
      </c>
    </row>
    <row r="287" spans="1:14">
      <c r="A287" s="15">
        <v>14</v>
      </c>
      <c r="B287" s="75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3.89</v>
      </c>
      <c r="I287" s="27">
        <f>AVERAGE(F285:F287)</f>
        <v>20.196666666666669</v>
      </c>
      <c r="J287" s="27">
        <f>AVERAGE(G285:G287)</f>
        <v>3.5463333333333336</v>
      </c>
      <c r="L287">
        <f>+J287/I287</f>
        <v>0.17559003135830994</v>
      </c>
      <c r="M287">
        <f>+(L287-$L$931)/$L$932</f>
        <v>-0.45079312429643653</v>
      </c>
      <c r="N287">
        <f>+N284+M287</f>
        <v>3.9100988503081138</v>
      </c>
    </row>
    <row r="288" spans="1:14">
      <c r="A288" s="15">
        <v>5</v>
      </c>
      <c r="B288" s="75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5.0839999999999996</v>
      </c>
    </row>
    <row r="289" spans="1:14">
      <c r="A289" s="15">
        <v>7</v>
      </c>
      <c r="B289" s="75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9.4120000000000008</v>
      </c>
    </row>
    <row r="290" spans="1:14">
      <c r="A290" s="15">
        <v>14</v>
      </c>
      <c r="B290" s="75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6.0259999999999998</v>
      </c>
      <c r="I290" s="27">
        <f>AVERAGE(F288:F290)</f>
        <v>21.102999999999998</v>
      </c>
      <c r="J290" s="27">
        <f>AVERAGE(G288:G290)</f>
        <v>6.8406666666666665</v>
      </c>
      <c r="L290">
        <f>+J290/I290</f>
        <v>0.32415612314204933</v>
      </c>
      <c r="M290">
        <f>+(L290-$L$931)/$L$932</f>
        <v>0.96009030408390161</v>
      </c>
      <c r="N290">
        <f>+N287+M290</f>
        <v>4.8701891543920155</v>
      </c>
    </row>
    <row r="291" spans="1:14">
      <c r="A291" s="15">
        <v>5</v>
      </c>
      <c r="B291" s="75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1.879</v>
      </c>
    </row>
    <row r="292" spans="1:14">
      <c r="A292" s="15">
        <v>7</v>
      </c>
      <c r="B292" s="75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1.0669999999999999</v>
      </c>
    </row>
    <row r="293" spans="1:14">
      <c r="A293" s="15">
        <v>14</v>
      </c>
      <c r="B293" s="75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0.57499999999999996</v>
      </c>
      <c r="I293" s="27">
        <f>AVERAGE(F291:F293)</f>
        <v>4.5990000000000002</v>
      </c>
      <c r="J293" s="27">
        <f>AVERAGE(G291:G293)</f>
        <v>1.1736666666666666</v>
      </c>
      <c r="L293">
        <f>+J293/I293</f>
        <v>0.25520040588533738</v>
      </c>
      <c r="M293">
        <f>+(L293-$L$931)/$L$932</f>
        <v>0.30524048201822307</v>
      </c>
      <c r="N293">
        <f>+N290+M293</f>
        <v>5.1754296364102386</v>
      </c>
    </row>
    <row r="294" spans="1:14">
      <c r="A294" s="15">
        <v>5</v>
      </c>
      <c r="B294" s="75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0.76900000000000002</v>
      </c>
    </row>
    <row r="295" spans="1:14">
      <c r="A295" s="15">
        <v>7</v>
      </c>
      <c r="B295" s="75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0.32700000000000001</v>
      </c>
    </row>
    <row r="296" spans="1:14">
      <c r="A296" s="15">
        <v>14</v>
      </c>
      <c r="B296" s="75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0.17699999999999999</v>
      </c>
      <c r="I296" s="27">
        <f>AVERAGE(F294:F296)</f>
        <v>3.9233333333333333</v>
      </c>
      <c r="J296" s="27">
        <f>AVERAGE(G294:G296)</f>
        <v>0.4243333333333334</v>
      </c>
      <c r="L296">
        <f>+J296/I296</f>
        <v>0.10815632965165677</v>
      </c>
      <c r="M296">
        <f>+(L296-$L$931)/$L$932</f>
        <v>-1.0911888640642449</v>
      </c>
      <c r="N296">
        <f>+N293+M296</f>
        <v>4.0842407723459937</v>
      </c>
    </row>
    <row r="297" spans="1:14">
      <c r="A297" s="15">
        <v>5</v>
      </c>
      <c r="B297" s="75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0.68899999999999995</v>
      </c>
    </row>
    <row r="298" spans="1:14">
      <c r="A298" s="15">
        <v>7</v>
      </c>
      <c r="B298" s="75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0.20799999999999999</v>
      </c>
    </row>
    <row r="299" spans="1:14">
      <c r="A299" s="15">
        <v>14</v>
      </c>
      <c r="B299" s="75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0.10100000000000001</v>
      </c>
      <c r="I299" s="27">
        <f>AVERAGE(F297:F299)</f>
        <v>2.4013333333333331</v>
      </c>
      <c r="J299" s="27">
        <f>AVERAGE(G297:G299)</f>
        <v>0.33266666666666661</v>
      </c>
      <c r="L299">
        <f>+J299/I299</f>
        <v>0.13853414769572459</v>
      </c>
      <c r="M299">
        <f>+(L299-$L$931)/$L$932</f>
        <v>-0.80270069321623516</v>
      </c>
      <c r="N299">
        <f>+N296+M299</f>
        <v>3.2815400791297584</v>
      </c>
    </row>
    <row r="300" spans="1:14">
      <c r="A300" s="15">
        <v>5</v>
      </c>
      <c r="B300" s="75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0.67200000000000004</v>
      </c>
    </row>
    <row r="301" spans="1:14">
      <c r="A301" s="15">
        <v>7</v>
      </c>
      <c r="B301" s="75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0.18099999999999999</v>
      </c>
    </row>
    <row r="302" spans="1:14">
      <c r="A302" s="15">
        <v>14</v>
      </c>
      <c r="B302" s="75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0.13600000000000001</v>
      </c>
      <c r="I302" s="27">
        <f>AVERAGE(F300:F302)</f>
        <v>2.5076666666666667</v>
      </c>
      <c r="J302" s="27">
        <f>AVERAGE(G300:G302)</f>
        <v>0.32966666666666666</v>
      </c>
      <c r="L302">
        <f>+J302/I302</f>
        <v>0.13146351189684966</v>
      </c>
      <c r="M302">
        <f>+(L302-$L$931)/$L$932</f>
        <v>-0.86984820148660658</v>
      </c>
      <c r="N302">
        <f>+N299+M302</f>
        <v>2.4116918776431517</v>
      </c>
    </row>
    <row r="303" spans="1:14">
      <c r="A303" s="15">
        <v>5</v>
      </c>
      <c r="B303" s="75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0.98299999999999998</v>
      </c>
    </row>
    <row r="304" spans="1:14">
      <c r="A304" s="15">
        <v>7</v>
      </c>
      <c r="B304" s="75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0.17799999999999999</v>
      </c>
    </row>
    <row r="305" spans="1:14">
      <c r="A305" s="15">
        <v>14</v>
      </c>
      <c r="B305" s="75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0.48599999999999999</v>
      </c>
      <c r="I305" s="27">
        <f>AVERAGE(F303:F305)</f>
        <v>2.734666666666667</v>
      </c>
      <c r="J305" s="27">
        <f>AVERAGE(G303:G305)</f>
        <v>0.54900000000000004</v>
      </c>
      <c r="L305">
        <f>+J305/I305</f>
        <v>0.2007557289127255</v>
      </c>
      <c r="M305">
        <f>+(L305-$L$931)/$L$932</f>
        <v>-0.21180275161542991</v>
      </c>
      <c r="N305">
        <f>+N302+M305</f>
        <v>2.1998891260277218</v>
      </c>
    </row>
    <row r="306" spans="1:14">
      <c r="A306" s="15">
        <v>5</v>
      </c>
      <c r="B306" s="75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0.60199999999999998</v>
      </c>
    </row>
    <row r="307" spans="1:14">
      <c r="A307" s="15">
        <v>7</v>
      </c>
      <c r="B307" s="75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0.32400000000000001</v>
      </c>
    </row>
    <row r="308" spans="1:14">
      <c r="A308" s="15">
        <v>14</v>
      </c>
      <c r="B308" s="75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0.379</v>
      </c>
      <c r="I308" s="27">
        <f>AVERAGE(F306:F308)</f>
        <v>1.9829999999999999</v>
      </c>
      <c r="J308" s="27">
        <f>AVERAGE(G306:G308)</f>
        <v>0.435</v>
      </c>
      <c r="L308">
        <f>+J308/I308</f>
        <v>0.21936459909228442</v>
      </c>
      <c r="M308">
        <f>+(L308-$L$931)/$L$932</f>
        <v>-3.5080417185048507E-2</v>
      </c>
      <c r="N308">
        <f>+N305+M308</f>
        <v>2.1648087088426733</v>
      </c>
    </row>
    <row r="309" spans="1:14">
      <c r="A309" s="15">
        <v>5</v>
      </c>
      <c r="B309" s="75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1.167</v>
      </c>
    </row>
    <row r="310" spans="1:14">
      <c r="A310" s="15">
        <v>7</v>
      </c>
      <c r="B310" s="75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0.26400000000000001</v>
      </c>
    </row>
    <row r="311" spans="1:14">
      <c r="A311" s="15">
        <v>14</v>
      </c>
      <c r="B311" s="75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0.107</v>
      </c>
      <c r="I311" s="27">
        <f>AVERAGE(F309:F311)</f>
        <v>3.7159999999999997</v>
      </c>
      <c r="J311" s="27">
        <f>AVERAGE(G309:G311)</f>
        <v>0.51266666666666671</v>
      </c>
      <c r="L311">
        <f>+J311/I311</f>
        <v>0.13796196627197707</v>
      </c>
      <c r="M311">
        <f>+(L311-$L$931)/$L$932</f>
        <v>-0.80813451246193191</v>
      </c>
      <c r="N311">
        <f>+N308+M311</f>
        <v>1.3566741963807414</v>
      </c>
    </row>
    <row r="312" spans="1:14">
      <c r="A312" s="15">
        <v>5</v>
      </c>
      <c r="B312" s="75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1.33</v>
      </c>
    </row>
    <row r="313" spans="1:14">
      <c r="A313" s="15">
        <v>7</v>
      </c>
      <c r="B313" s="75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0.63100000000000001</v>
      </c>
    </row>
    <row r="314" spans="1:14">
      <c r="A314" s="15">
        <v>14</v>
      </c>
      <c r="B314" s="75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0.57099999999999995</v>
      </c>
      <c r="I314" s="27">
        <f>AVERAGE(F312:F314)</f>
        <v>4.0766666666666671</v>
      </c>
      <c r="J314" s="27">
        <f>AVERAGE(G312:G314)</f>
        <v>0.84399999999999997</v>
      </c>
      <c r="L314">
        <f>+J314/I314</f>
        <v>0.20703188879803758</v>
      </c>
      <c r="M314">
        <f>+(L314-$L$931)/$L$932</f>
        <v>-0.15220012042457948</v>
      </c>
      <c r="N314">
        <f>+N311+M314</f>
        <v>1.2044740759561618</v>
      </c>
    </row>
    <row r="315" spans="1:14">
      <c r="A315" s="15">
        <v>5</v>
      </c>
      <c r="B315" s="75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2.6659999999999999</v>
      </c>
    </row>
    <row r="316" spans="1:14">
      <c r="A316" s="15">
        <v>7</v>
      </c>
      <c r="B316" s="75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3.2759999999999998</v>
      </c>
    </row>
    <row r="317" spans="1:14">
      <c r="A317" s="15">
        <v>14</v>
      </c>
      <c r="B317" s="75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2.0099999999999998</v>
      </c>
      <c r="I317" s="27">
        <f>AVERAGE(F315:F317)</f>
        <v>14.377666666666665</v>
      </c>
      <c r="J317" s="27">
        <f>AVERAGE(G315:G317)</f>
        <v>2.6506666666666665</v>
      </c>
      <c r="L317">
        <f>+J317/I317</f>
        <v>0.18436000278209261</v>
      </c>
      <c r="M317">
        <f>+(L317-$L$931)/$L$932</f>
        <v>-0.36750758315697207</v>
      </c>
      <c r="N317">
        <f>+N314+M317</f>
        <v>0.83696649279918978</v>
      </c>
    </row>
    <row r="318" spans="1:14">
      <c r="A318" s="15">
        <v>5</v>
      </c>
      <c r="B318" s="75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3.2149999999999999</v>
      </c>
    </row>
    <row r="319" spans="1:14">
      <c r="A319" s="15">
        <v>7</v>
      </c>
      <c r="B319" s="75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8.0440000000000005</v>
      </c>
    </row>
    <row r="320" spans="1:14">
      <c r="A320" s="15">
        <v>14</v>
      </c>
      <c r="B320" s="75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1.2170000000000001</v>
      </c>
      <c r="I320" s="27">
        <f>AVERAGE(F318:F320)</f>
        <v>21.003</v>
      </c>
      <c r="J320" s="27">
        <f>AVERAGE(G318:G320)</f>
        <v>4.158666666666667</v>
      </c>
      <c r="L320">
        <f>+J320/I320</f>
        <v>0.19800345982319986</v>
      </c>
      <c r="M320">
        <f>+(L320-$L$931)/$L$932</f>
        <v>-0.23794014812517761</v>
      </c>
      <c r="N320">
        <f>+N317+M320</f>
        <v>0.59902634467401217</v>
      </c>
    </row>
    <row r="321" spans="1:14">
      <c r="A321" s="15">
        <v>5</v>
      </c>
      <c r="B321" s="75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3.2309999999999999</v>
      </c>
    </row>
    <row r="322" spans="1:14">
      <c r="A322" s="15">
        <v>7</v>
      </c>
      <c r="B322" s="75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7.7930000000000001</v>
      </c>
    </row>
    <row r="323" spans="1:14">
      <c r="A323" s="15">
        <v>14</v>
      </c>
      <c r="B323" s="75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4.681</v>
      </c>
      <c r="I323" s="27">
        <f>AVERAGE(F321:F323)</f>
        <v>25.507333333333332</v>
      </c>
      <c r="J323" s="27">
        <f>AVERAGE(G321:G323)</f>
        <v>5.2350000000000003</v>
      </c>
      <c r="L323">
        <f>+J323/I323</f>
        <v>0.20523509578944621</v>
      </c>
      <c r="M323">
        <f>+(L323-$L$931)/$L$932</f>
        <v>-0.16926367409025297</v>
      </c>
      <c r="N323">
        <f>+N320+M323</f>
        <v>0.42976267058375917</v>
      </c>
    </row>
    <row r="324" spans="1:14">
      <c r="A324" s="15">
        <v>5</v>
      </c>
      <c r="B324" s="75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12.397</v>
      </c>
    </row>
    <row r="325" spans="1:14">
      <c r="A325" s="15">
        <v>7</v>
      </c>
      <c r="B325" s="75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3.0579999999999998</v>
      </c>
    </row>
    <row r="326" spans="1:14">
      <c r="A326" s="15">
        <v>14</v>
      </c>
      <c r="B326" s="75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0.4</v>
      </c>
      <c r="I326" s="27">
        <f>AVERAGE(F324:F326)</f>
        <v>15.575333333333333</v>
      </c>
      <c r="J326" s="27">
        <f>AVERAGE(G324:G326)</f>
        <v>5.2850000000000001</v>
      </c>
      <c r="L326">
        <f>+J326/I326</f>
        <v>0.3393185806617301</v>
      </c>
      <c r="M326">
        <f>+(L326-$L$931)/$L$932</f>
        <v>1.104083188268931</v>
      </c>
      <c r="N326">
        <f>+N323+M326</f>
        <v>1.5338458588526902</v>
      </c>
    </row>
    <row r="327" spans="1:14">
      <c r="A327" s="15">
        <v>5</v>
      </c>
      <c r="B327" s="75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4.08</v>
      </c>
    </row>
    <row r="328" spans="1:14">
      <c r="A328" s="15">
        <v>7</v>
      </c>
      <c r="B328" s="75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7.2329999999999997</v>
      </c>
    </row>
    <row r="329" spans="1:14">
      <c r="A329" s="15">
        <v>14</v>
      </c>
      <c r="B329" s="75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0.622</v>
      </c>
      <c r="I329" s="27">
        <f>AVERAGE(F327:F329)</f>
        <v>10.895333333333333</v>
      </c>
      <c r="J329" s="27">
        <f>AVERAGE(G327:G329)</f>
        <v>3.9783333333333331</v>
      </c>
      <c r="L329">
        <f>+J329/I329</f>
        <v>0.36514103897693201</v>
      </c>
      <c r="M329">
        <f>+(L329-$L$931)/$L$932</f>
        <v>1.3493106024085819</v>
      </c>
      <c r="N329">
        <f>+N326+M329</f>
        <v>2.8831564612612723</v>
      </c>
    </row>
    <row r="330" spans="1:14">
      <c r="A330" s="15">
        <v>5</v>
      </c>
      <c r="B330" s="75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0.29399999999999998</v>
      </c>
    </row>
    <row r="331" spans="1:14">
      <c r="A331" s="15">
        <v>7</v>
      </c>
      <c r="B331" s="75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1.121</v>
      </c>
    </row>
    <row r="332" spans="1:14">
      <c r="A332" s="15">
        <v>14</v>
      </c>
      <c r="B332" s="75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0.17299999999999999</v>
      </c>
      <c r="I332" s="27">
        <f>AVERAGE(F330:F332)</f>
        <v>2.5489999999999999</v>
      </c>
      <c r="J332" s="27">
        <f>AVERAGE(G330:G332)</f>
        <v>0.52933333333333332</v>
      </c>
      <c r="L332">
        <f>+J332/I332</f>
        <v>0.20766313587027593</v>
      </c>
      <c r="M332">
        <f>+(L332-$L$931)/$L$932</f>
        <v>-0.14620537409490467</v>
      </c>
      <c r="N332">
        <f>+N329+M332</f>
        <v>2.7369510871663678</v>
      </c>
    </row>
    <row r="333" spans="1:14">
      <c r="A333" s="15">
        <v>5</v>
      </c>
      <c r="B333" s="75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1.044</v>
      </c>
    </row>
    <row r="334" spans="1:14">
      <c r="A334" s="15">
        <v>7</v>
      </c>
      <c r="B334" s="75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0.55700000000000005</v>
      </c>
    </row>
    <row r="335" spans="1:14">
      <c r="A335" s="15">
        <v>14</v>
      </c>
      <c r="B335" s="75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0.60099999999999998</v>
      </c>
      <c r="I335" s="27">
        <f>AVERAGE(F333:F335)</f>
        <v>3.0293333333333332</v>
      </c>
      <c r="J335" s="27">
        <f>AVERAGE(G333:G335)</f>
        <v>0.73399999999999999</v>
      </c>
      <c r="L335">
        <f>+J335/I335</f>
        <v>0.24229753521126762</v>
      </c>
      <c r="M335">
        <f>+(L335-$L$931)/$L$932</f>
        <v>0.18270615272403248</v>
      </c>
      <c r="N335">
        <f>+N332+M335</f>
        <v>2.9196572398904004</v>
      </c>
    </row>
    <row r="336" spans="1:14">
      <c r="A336" s="15">
        <v>5</v>
      </c>
      <c r="B336" s="75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1.1100000000000001</v>
      </c>
    </row>
    <row r="337" spans="1:14">
      <c r="A337" s="15">
        <v>7</v>
      </c>
      <c r="B337" s="75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0.45600000000000002</v>
      </c>
    </row>
    <row r="338" spans="1:14">
      <c r="A338" s="15">
        <v>14</v>
      </c>
      <c r="B338" s="75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0.41899999999999998</v>
      </c>
      <c r="I338" s="27">
        <f>AVERAGE(F336:F338)</f>
        <v>4.1296666666666662</v>
      </c>
      <c r="J338" s="27">
        <f>AVERAGE(G336:G338)</f>
        <v>0.66166666666666674</v>
      </c>
      <c r="L338">
        <f>+J338/I338</f>
        <v>0.16022277827104695</v>
      </c>
      <c r="M338">
        <f>+(L338-$L$931)/$L$932</f>
        <v>-0.59673088479232783</v>
      </c>
      <c r="N338">
        <f>+N335+M338</f>
        <v>2.3229263550980725</v>
      </c>
    </row>
    <row r="339" spans="1:14">
      <c r="A339" s="12">
        <v>5</v>
      </c>
      <c r="B339" s="75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1.0589999999999999</v>
      </c>
    </row>
    <row r="340" spans="1:14">
      <c r="A340" s="12">
        <v>7</v>
      </c>
      <c r="B340" s="75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1.1919999999999999</v>
      </c>
    </row>
    <row r="341" spans="1:14">
      <c r="A341" s="12">
        <v>14</v>
      </c>
      <c r="B341" s="75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1.127</v>
      </c>
      <c r="I341" s="27">
        <f>AVERAGE(F339:F341)</f>
        <v>3.9983333333333335</v>
      </c>
      <c r="J341" s="27">
        <f>AVERAGE(G339:G341)</f>
        <v>1.1260000000000001</v>
      </c>
      <c r="L341">
        <f>+J341/I341</f>
        <v>0.28161734055856608</v>
      </c>
      <c r="M341">
        <f>+(L341-$L$931)/$L$932</f>
        <v>0.55611344307933974</v>
      </c>
      <c r="N341">
        <f>+N338+M341</f>
        <v>2.8790397981774123</v>
      </c>
    </row>
    <row r="342" spans="1:14">
      <c r="A342" s="12">
        <v>5</v>
      </c>
      <c r="B342" s="75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2.871</v>
      </c>
    </row>
    <row r="343" spans="1:14">
      <c r="A343" s="12">
        <v>7</v>
      </c>
      <c r="B343" s="75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0.60499999999999998</v>
      </c>
    </row>
    <row r="344" spans="1:14">
      <c r="A344" s="12">
        <v>14</v>
      </c>
      <c r="B344" s="75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0.498</v>
      </c>
      <c r="I344" s="27">
        <f>AVERAGE(F342:F344)</f>
        <v>4.4609999999999994</v>
      </c>
      <c r="J344" s="27">
        <f>AVERAGE(G342:G344)</f>
        <v>1.3246666666666667</v>
      </c>
      <c r="L344">
        <f>+J344/I344</f>
        <v>0.29694388403198091</v>
      </c>
      <c r="M344">
        <f>+(L344-$L$931)/$L$932</f>
        <v>0.70166459772954615</v>
      </c>
      <c r="N344">
        <f>+N341+M344</f>
        <v>3.5807043959069587</v>
      </c>
    </row>
    <row r="345" spans="1:14">
      <c r="A345" s="12">
        <v>5</v>
      </c>
      <c r="B345" s="75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0.44500000000000001</v>
      </c>
    </row>
    <row r="346" spans="1:14">
      <c r="A346" s="12">
        <v>7</v>
      </c>
      <c r="B346" s="75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0.123</v>
      </c>
    </row>
    <row r="347" spans="1:14">
      <c r="A347" s="12">
        <v>14</v>
      </c>
      <c r="B347" s="75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0.126</v>
      </c>
      <c r="I347" s="27">
        <f>AVERAGE(F345:F347)</f>
        <v>1.7963333333333333</v>
      </c>
      <c r="J347" s="27">
        <f>AVERAGE(G345:G347)</f>
        <v>0.23133333333333336</v>
      </c>
      <c r="L347">
        <f>+J347/I347</f>
        <v>0.12878084987938396</v>
      </c>
      <c r="M347">
        <f>+(L347-$L$931)/$L$932</f>
        <v>-0.89532456247143521</v>
      </c>
      <c r="N347">
        <f>+N344+M347</f>
        <v>2.6853798334355234</v>
      </c>
    </row>
    <row r="348" spans="1:14">
      <c r="A348" s="12">
        <v>5</v>
      </c>
      <c r="B348" s="75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0.65800000000000003</v>
      </c>
    </row>
    <row r="349" spans="1:14">
      <c r="A349" s="12">
        <v>7</v>
      </c>
      <c r="B349" s="75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0.35499999999999998</v>
      </c>
    </row>
    <row r="350" spans="1:14">
      <c r="A350" s="12">
        <v>14</v>
      </c>
      <c r="B350" s="75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0.16900000000000001</v>
      </c>
      <c r="I350" s="27">
        <f>AVERAGE(F348:F350)</f>
        <v>2.0110000000000001</v>
      </c>
      <c r="J350" s="27">
        <f>AVERAGE(G348:G350)</f>
        <v>0.39399999999999996</v>
      </c>
      <c r="L350">
        <f>+J350/I350</f>
        <v>0.19592242665340623</v>
      </c>
      <c r="M350">
        <f>+(L350-$L$931)/$L$932</f>
        <v>-0.25770303734114741</v>
      </c>
      <c r="N350">
        <f>+N347+M350</f>
        <v>2.4276767960943761</v>
      </c>
    </row>
    <row r="351" spans="1:14">
      <c r="A351" s="15">
        <v>5</v>
      </c>
      <c r="B351" s="75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9.5510000000000002</v>
      </c>
    </row>
    <row r="352" spans="1:14">
      <c r="A352" s="15">
        <v>7</v>
      </c>
      <c r="B352" s="75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0.98899999999999999</v>
      </c>
    </row>
    <row r="353" spans="1:14">
      <c r="A353" s="15">
        <v>14</v>
      </c>
      <c r="B353" s="75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1.0549999999999999</v>
      </c>
      <c r="I353" s="27">
        <f>AVERAGE(F351:F353)</f>
        <v>10.795999999999999</v>
      </c>
      <c r="J353" s="27">
        <f>AVERAGE(G351:G353)</f>
        <v>3.8650000000000002</v>
      </c>
      <c r="L353">
        <f>+J353/I353</f>
        <v>0.35800296406076326</v>
      </c>
      <c r="M353">
        <f>+(L353-$L$931)/$L$932</f>
        <v>1.2815226469683882</v>
      </c>
      <c r="N353">
        <f>+N350+M353</f>
        <v>3.7091994430627642</v>
      </c>
    </row>
    <row r="354" spans="1:14">
      <c r="A354" s="15">
        <v>5</v>
      </c>
      <c r="B354" s="75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1.788</v>
      </c>
    </row>
    <row r="355" spans="1:14">
      <c r="A355" s="15">
        <v>7</v>
      </c>
      <c r="B355" s="75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1.2230000000000001</v>
      </c>
    </row>
    <row r="356" spans="1:14">
      <c r="A356" s="15">
        <v>14</v>
      </c>
      <c r="B356" s="75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0.75800000000000001</v>
      </c>
      <c r="I356" s="27">
        <f>AVERAGE(F354:F356)</f>
        <v>9.3033333333333328</v>
      </c>
      <c r="J356" s="27">
        <f>AVERAGE(G354:G356)</f>
        <v>1.2563333333333333</v>
      </c>
      <c r="L356">
        <f>+J356/I356</f>
        <v>0.13504120386958079</v>
      </c>
      <c r="M356">
        <f>+(L356-$L$931)/$L$932</f>
        <v>-0.83587203468049964</v>
      </c>
      <c r="N356">
        <f>+N353+M356</f>
        <v>2.8733274083822646</v>
      </c>
    </row>
    <row r="357" spans="1:14">
      <c r="A357" s="15">
        <v>5</v>
      </c>
      <c r="B357" s="75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3.2080000000000002</v>
      </c>
    </row>
    <row r="358" spans="1:14">
      <c r="A358" s="15">
        <v>7</v>
      </c>
      <c r="B358" s="75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2.2090000000000001</v>
      </c>
    </row>
    <row r="359" spans="1:14">
      <c r="A359" s="15">
        <v>14</v>
      </c>
      <c r="B359" s="75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0.86599999999999999</v>
      </c>
      <c r="I359" s="27">
        <f>AVERAGE(F357:F359)</f>
        <v>34.262</v>
      </c>
      <c r="J359" s="27">
        <f>AVERAGE(G357:G359)</f>
        <v>2.0943333333333332</v>
      </c>
      <c r="L359">
        <f>+J359/I359</f>
        <v>6.1127001731753346E-2</v>
      </c>
      <c r="M359">
        <f>+(L359-$L$931)/$L$932</f>
        <v>-1.5378109607580401</v>
      </c>
      <c r="N359">
        <f>+N356+M359</f>
        <v>1.3355164476242245</v>
      </c>
    </row>
    <row r="360" spans="1:14">
      <c r="A360" s="15">
        <v>5</v>
      </c>
      <c r="B360" s="75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1.6020000000000001</v>
      </c>
    </row>
    <row r="361" spans="1:14">
      <c r="A361" s="15">
        <v>7</v>
      </c>
      <c r="B361" s="75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3.0049999999999999</v>
      </c>
    </row>
    <row r="362" spans="1:14">
      <c r="A362" s="15">
        <v>14</v>
      </c>
      <c r="B362" s="75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2.7149999999999999</v>
      </c>
      <c r="I362" s="27">
        <f>AVERAGE(F360:F362)</f>
        <v>13.954333333333333</v>
      </c>
      <c r="J362" s="27">
        <f>AVERAGE(G360:G362)</f>
        <v>2.4406666666666665</v>
      </c>
      <c r="L362">
        <f>+J362/I362</f>
        <v>0.17490385304445452</v>
      </c>
      <c r="M362">
        <f>+(L362-$L$931)/$L$932</f>
        <v>-0.45730953460452906</v>
      </c>
      <c r="N362">
        <f>+N359+M362</f>
        <v>0.87820691301969545</v>
      </c>
    </row>
    <row r="363" spans="1:14">
      <c r="A363" s="15">
        <v>5</v>
      </c>
      <c r="B363" s="75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0.90900000000000003</v>
      </c>
    </row>
    <row r="364" spans="1:14">
      <c r="A364" s="15">
        <v>7</v>
      </c>
      <c r="B364" s="75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0.36499999999999999</v>
      </c>
    </row>
    <row r="365" spans="1:14">
      <c r="A365" s="15">
        <v>14</v>
      </c>
      <c r="B365" s="75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0.115</v>
      </c>
      <c r="I365" s="27">
        <f>AVERAGE(F363:F365)</f>
        <v>3.9159999999999999</v>
      </c>
      <c r="J365" s="27">
        <f>AVERAGE(G363:G365)</f>
        <v>0.46300000000000002</v>
      </c>
      <c r="L365">
        <f>+J365/I365</f>
        <v>0.11823289070480082</v>
      </c>
      <c r="M365">
        <f>+(L365-$L$931)/$L$932</f>
        <v>-0.99549506991343362</v>
      </c>
      <c r="N365">
        <f>+N362+M365</f>
        <v>-0.11728815689373817</v>
      </c>
    </row>
    <row r="366" spans="1:14">
      <c r="A366" s="15">
        <v>5</v>
      </c>
      <c r="B366" s="75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0.90100000000000002</v>
      </c>
    </row>
    <row r="367" spans="1:14">
      <c r="A367" s="15">
        <v>7</v>
      </c>
      <c r="B367" s="75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0.46500000000000002</v>
      </c>
    </row>
    <row r="368" spans="1:14">
      <c r="A368" s="15">
        <v>14</v>
      </c>
      <c r="B368" s="75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0.49199999999999999</v>
      </c>
      <c r="I368" s="27">
        <f>AVERAGE(F366:F368)</f>
        <v>2.601</v>
      </c>
      <c r="J368" s="27">
        <f>AVERAGE(G366:G368)</f>
        <v>0.6193333333333334</v>
      </c>
      <c r="L368">
        <f>+J368/I368</f>
        <v>0.23811354607202362</v>
      </c>
      <c r="M368">
        <f>+(L368-$L$931)/$L$932</f>
        <v>0.14297218065673484</v>
      </c>
      <c r="N368">
        <f>+N365+M368</f>
        <v>2.5684023762996666E-2</v>
      </c>
    </row>
    <row r="369" spans="1:14">
      <c r="A369" s="15">
        <v>5</v>
      </c>
      <c r="B369" s="75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0.33500000000000002</v>
      </c>
    </row>
    <row r="370" spans="1:14">
      <c r="A370" s="15">
        <v>7</v>
      </c>
      <c r="B370" s="75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0.182</v>
      </c>
    </row>
    <row r="371" spans="1:14">
      <c r="A371" s="15">
        <v>14</v>
      </c>
      <c r="B371" s="75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0.29199999999999998</v>
      </c>
      <c r="I371" s="27">
        <f>AVERAGE(F369:F371)</f>
        <v>12.871333333333334</v>
      </c>
      <c r="J371" s="27">
        <f>AVERAGE(G369:G371)</f>
        <v>0.26966666666666667</v>
      </c>
      <c r="L371">
        <f>+J371/I371</f>
        <v>2.0950950432485627E-2</v>
      </c>
      <c r="M371">
        <f>+(L371-$L$931)/$L$932</f>
        <v>-1.9193497379805504</v>
      </c>
      <c r="N371">
        <f>+N368+M371</f>
        <v>-1.8936657142175537</v>
      </c>
    </row>
    <row r="372" spans="1:14">
      <c r="A372" s="15">
        <v>5</v>
      </c>
      <c r="B372" s="72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2.1161322500000002</v>
      </c>
    </row>
    <row r="373" spans="1:14">
      <c r="A373" s="15">
        <v>7</v>
      </c>
      <c r="B373" s="72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1.9298513749999997</v>
      </c>
    </row>
    <row r="374" spans="1:14">
      <c r="A374" s="15">
        <v>14</v>
      </c>
      <c r="B374" s="72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2.0735423750000002</v>
      </c>
      <c r="I374" s="27">
        <f>AVERAGE(F372:F374)</f>
        <v>5.7053333333333329</v>
      </c>
      <c r="J374" s="27">
        <f>AVERAGE(G372:G374)</f>
        <v>2.0398420000000002</v>
      </c>
      <c r="L374">
        <f>+J374/I374</f>
        <v>0.35753248422528633</v>
      </c>
      <c r="M374">
        <f>+(L374-$L$931)/$L$932</f>
        <v>1.2770546543376891</v>
      </c>
      <c r="N374">
        <f>+N371+M374</f>
        <v>-0.61661105987986464</v>
      </c>
    </row>
    <row r="375" spans="1:14">
      <c r="A375" s="15">
        <v>5</v>
      </c>
      <c r="B375" s="72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0.24730362499999997</v>
      </c>
    </row>
    <row r="376" spans="1:14">
      <c r="A376" s="15">
        <v>7</v>
      </c>
      <c r="B376" s="72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0.57884674999999997</v>
      </c>
    </row>
    <row r="377" spans="1:14">
      <c r="A377" s="15">
        <v>14</v>
      </c>
      <c r="B377" s="72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0.81133712499999999</v>
      </c>
      <c r="I377" s="27"/>
      <c r="J377" s="27"/>
    </row>
    <row r="378" spans="1:14">
      <c r="A378" s="15">
        <v>14</v>
      </c>
      <c r="B378" s="72">
        <v>40225</v>
      </c>
      <c r="C378" s="15">
        <v>2010</v>
      </c>
      <c r="D378" s="11" t="s">
        <v>29</v>
      </c>
      <c r="E378" s="15">
        <v>2</v>
      </c>
      <c r="F378" s="26">
        <v>5.359</v>
      </c>
      <c r="G378" s="27">
        <v>3.8063236250000001</v>
      </c>
      <c r="H378" t="s">
        <v>13</v>
      </c>
      <c r="I378" s="27">
        <f>AVERAGE(F375:F378)</f>
        <v>3.2992499999999998</v>
      </c>
      <c r="J378" s="27">
        <f>AVERAGE(G375:G378)</f>
        <v>1.36095278125</v>
      </c>
      <c r="L378">
        <f>+J378/I378</f>
        <v>0.41250368454951886</v>
      </c>
      <c r="M378">
        <f>+(L378-$L$931)/$L$932</f>
        <v>1.7990981074866956</v>
      </c>
      <c r="N378">
        <f>+N374+M378</f>
        <v>1.182487047606831</v>
      </c>
    </row>
    <row r="379" spans="1:14">
      <c r="A379" s="15">
        <v>5</v>
      </c>
      <c r="B379" s="72">
        <v>40254</v>
      </c>
      <c r="C379" s="15">
        <v>2010</v>
      </c>
      <c r="D379" s="11" t="s">
        <v>30</v>
      </c>
      <c r="E379" s="15">
        <v>3</v>
      </c>
      <c r="F379" s="26">
        <v>8.8989999999999991</v>
      </c>
      <c r="G379" s="27">
        <v>4.0875958749999999</v>
      </c>
    </row>
    <row r="380" spans="1:14">
      <c r="A380" s="15">
        <v>7</v>
      </c>
      <c r="B380" s="72">
        <v>40255</v>
      </c>
      <c r="C380" s="15">
        <v>2010</v>
      </c>
      <c r="D380" s="11" t="s">
        <v>30</v>
      </c>
      <c r="E380" s="15">
        <v>3</v>
      </c>
      <c r="F380" s="26">
        <v>6.4260000000000002</v>
      </c>
      <c r="G380" s="27">
        <v>2.8043326249999994</v>
      </c>
      <c r="I380" s="27"/>
      <c r="J380" s="27"/>
    </row>
    <row r="381" spans="1:14">
      <c r="A381" s="15">
        <v>14</v>
      </c>
      <c r="B381" s="72">
        <v>40255</v>
      </c>
      <c r="C381" s="15">
        <v>2010</v>
      </c>
      <c r="D381" s="11" t="s">
        <v>30</v>
      </c>
      <c r="E381" s="15">
        <v>3</v>
      </c>
      <c r="F381" s="26">
        <v>6.8689999999999998</v>
      </c>
      <c r="G381" s="27">
        <v>3.1748804999999996</v>
      </c>
      <c r="I381" s="27">
        <f>AVERAGE(F379:F381)</f>
        <v>7.3979999999999997</v>
      </c>
      <c r="J381" s="27">
        <f>AVERAGE(G379:G381)</f>
        <v>3.3556029999999999</v>
      </c>
      <c r="L381">
        <f>+J381/I381</f>
        <v>0.4535824547174912</v>
      </c>
      <c r="M381">
        <f>+(L381-$L$931)/$L$932</f>
        <v>2.1892097096186447</v>
      </c>
      <c r="N381">
        <f>+N378+M381</f>
        <v>3.3716967572254757</v>
      </c>
    </row>
    <row r="382" spans="1:14">
      <c r="A382" s="15">
        <v>5</v>
      </c>
      <c r="B382" s="72">
        <v>40280</v>
      </c>
      <c r="C382" s="15">
        <v>2010</v>
      </c>
      <c r="D382" s="11" t="s">
        <v>31</v>
      </c>
      <c r="E382" s="15">
        <v>4</v>
      </c>
      <c r="F382" s="26">
        <v>4.75</v>
      </c>
      <c r="G382" s="27">
        <v>1.8462666249999997</v>
      </c>
    </row>
    <row r="383" spans="1:14">
      <c r="A383" s="15">
        <v>7</v>
      </c>
      <c r="B383" s="72">
        <v>40281</v>
      </c>
      <c r="C383" s="15">
        <v>2010</v>
      </c>
      <c r="D383" s="11" t="s">
        <v>31</v>
      </c>
      <c r="E383" s="15">
        <v>4</v>
      </c>
      <c r="F383" s="26">
        <v>3.3580000000000001</v>
      </c>
      <c r="G383" s="27">
        <v>1.0767918749999998</v>
      </c>
    </row>
    <row r="384" spans="1:14">
      <c r="A384" s="15">
        <v>14</v>
      </c>
      <c r="B384" s="72">
        <v>40281</v>
      </c>
      <c r="C384" s="15">
        <v>2010</v>
      </c>
      <c r="D384" s="11" t="s">
        <v>31</v>
      </c>
      <c r="E384" s="15">
        <v>4</v>
      </c>
      <c r="F384" s="26">
        <v>1.8879999999999999</v>
      </c>
      <c r="G384" s="27">
        <v>0.73453087500000003</v>
      </c>
      <c r="I384" s="27">
        <f>AVERAGE(F382:F384)</f>
        <v>3.3320000000000003</v>
      </c>
      <c r="J384" s="27">
        <f>AVERAGE(G382:G384)</f>
        <v>1.2191964583333332</v>
      </c>
      <c r="L384">
        <f>+J384/I384</f>
        <v>0.36590529961984786</v>
      </c>
      <c r="M384">
        <f>+(L384-$L$931)/$L$932</f>
        <v>1.3565685349765522</v>
      </c>
      <c r="N384">
        <f>+N381+M384</f>
        <v>4.7282652922020283</v>
      </c>
    </row>
    <row r="385" spans="1:14">
      <c r="A385" s="15">
        <v>5</v>
      </c>
      <c r="B385" s="75">
        <v>40315</v>
      </c>
      <c r="C385" s="15">
        <v>2010</v>
      </c>
      <c r="D385" s="11" t="s">
        <v>32</v>
      </c>
      <c r="E385" s="15">
        <v>5</v>
      </c>
      <c r="F385" s="28">
        <v>10.981999999999999</v>
      </c>
      <c r="G385" s="27">
        <v>5.9627123749999988</v>
      </c>
    </row>
    <row r="386" spans="1:14">
      <c r="A386" s="15">
        <v>7</v>
      </c>
      <c r="B386" s="75">
        <v>40317</v>
      </c>
      <c r="C386" s="15">
        <v>2010</v>
      </c>
      <c r="D386" s="11" t="s">
        <v>32</v>
      </c>
      <c r="E386" s="15">
        <v>5</v>
      </c>
      <c r="F386" s="28">
        <v>5.1840000000000002</v>
      </c>
      <c r="G386" s="27">
        <v>1.84562575</v>
      </c>
    </row>
    <row r="387" spans="1:14">
      <c r="A387" s="15">
        <v>14</v>
      </c>
      <c r="B387" s="75">
        <v>40317</v>
      </c>
      <c r="C387" s="15">
        <v>2010</v>
      </c>
      <c r="D387" s="11" t="s">
        <v>32</v>
      </c>
      <c r="E387" s="15">
        <v>5</v>
      </c>
      <c r="F387" s="28">
        <v>5.593</v>
      </c>
      <c r="G387" s="27">
        <v>3.6885853750000002</v>
      </c>
      <c r="I387" s="27">
        <f>AVERAGE(F385:F387)</f>
        <v>7.2530000000000001</v>
      </c>
      <c r="J387" s="27">
        <f>AVERAGE(G385:G387)</f>
        <v>3.8323078333333331</v>
      </c>
      <c r="L387">
        <f>+J387/I387</f>
        <v>0.5283755457511834</v>
      </c>
      <c r="M387">
        <f>+(L387-$L$931)/$L$932</f>
        <v>2.8994951551722985</v>
      </c>
      <c r="N387">
        <f>+N384+M387</f>
        <v>7.6277604473743263</v>
      </c>
    </row>
    <row r="388" spans="1:14">
      <c r="A388" s="15">
        <v>5</v>
      </c>
      <c r="B388" s="75">
        <v>40344</v>
      </c>
      <c r="C388" s="15">
        <v>2010</v>
      </c>
      <c r="D388" s="11" t="s">
        <v>33</v>
      </c>
      <c r="E388" s="15">
        <v>6</v>
      </c>
      <c r="F388" s="28">
        <v>12.042999999999999</v>
      </c>
      <c r="G388" s="27">
        <v>2.8146417499999994</v>
      </c>
    </row>
    <row r="389" spans="1:14">
      <c r="A389" s="15">
        <v>7</v>
      </c>
      <c r="B389" s="75">
        <v>40345</v>
      </c>
      <c r="C389" s="15">
        <v>2010</v>
      </c>
      <c r="D389" s="11" t="s">
        <v>33</v>
      </c>
      <c r="E389" s="15">
        <v>6</v>
      </c>
      <c r="F389" s="28">
        <v>20.408999999999999</v>
      </c>
      <c r="G389" s="27">
        <v>5.1326553749999997</v>
      </c>
      <c r="I389" s="27"/>
      <c r="J389" s="27"/>
    </row>
    <row r="390" spans="1:14">
      <c r="A390" s="15">
        <v>14</v>
      </c>
      <c r="B390" s="75">
        <v>40345</v>
      </c>
      <c r="C390" s="15">
        <v>2010</v>
      </c>
      <c r="D390" s="11" t="s">
        <v>33</v>
      </c>
      <c r="E390" s="15">
        <v>6</v>
      </c>
      <c r="F390" s="28">
        <v>9.24</v>
      </c>
      <c r="G390" s="27">
        <v>3.2435036249999993</v>
      </c>
      <c r="I390" s="27">
        <f>AVERAGE(F388:F390)</f>
        <v>13.897333333333334</v>
      </c>
      <c r="J390" s="27">
        <f>AVERAGE(G388:G390)</f>
        <v>3.730266916666666</v>
      </c>
      <c r="L390">
        <f>+J390/I390</f>
        <v>0.26841602105919593</v>
      </c>
      <c r="M390">
        <f>+(L390-$L$931)/$L$932</f>
        <v>0.43074484321384782</v>
      </c>
      <c r="N390">
        <f>+N387+M390</f>
        <v>8.0585052905881742</v>
      </c>
    </row>
    <row r="391" spans="1:14">
      <c r="A391" s="15">
        <v>5</v>
      </c>
      <c r="B391" s="75">
        <v>40373</v>
      </c>
      <c r="C391" s="15">
        <v>2010</v>
      </c>
      <c r="D391" s="11" t="s">
        <v>34</v>
      </c>
      <c r="E391" s="15">
        <v>7</v>
      </c>
      <c r="F391" s="28">
        <v>19.992000000000001</v>
      </c>
      <c r="G391" s="27">
        <v>6.6997863749999995</v>
      </c>
    </row>
    <row r="392" spans="1:14">
      <c r="A392" s="15">
        <v>7</v>
      </c>
      <c r="B392" s="75">
        <v>40373</v>
      </c>
      <c r="C392" s="15">
        <v>2010</v>
      </c>
      <c r="D392" s="11" t="s">
        <v>34</v>
      </c>
      <c r="E392" s="15">
        <v>7</v>
      </c>
      <c r="F392" s="28">
        <v>18.753</v>
      </c>
      <c r="G392" s="27">
        <v>3.9464158750000005</v>
      </c>
      <c r="I392" s="27"/>
      <c r="J392" s="27"/>
    </row>
    <row r="393" spans="1:14">
      <c r="A393" s="15">
        <v>7</v>
      </c>
      <c r="B393" s="75">
        <v>40373</v>
      </c>
      <c r="C393" s="15">
        <v>2010</v>
      </c>
      <c r="D393" s="11" t="s">
        <v>34</v>
      </c>
      <c r="E393" s="15">
        <v>7</v>
      </c>
      <c r="F393" s="28">
        <v>18.753</v>
      </c>
      <c r="G393" s="27">
        <v>3.88646175</v>
      </c>
      <c r="H393" t="s">
        <v>13</v>
      </c>
    </row>
    <row r="394" spans="1:14">
      <c r="A394" s="15">
        <v>14</v>
      </c>
      <c r="B394" s="75">
        <v>40373</v>
      </c>
      <c r="C394" s="15">
        <v>2010</v>
      </c>
      <c r="D394" s="11" t="s">
        <v>34</v>
      </c>
      <c r="E394" s="15">
        <v>7</v>
      </c>
      <c r="F394" s="28">
        <v>11.59</v>
      </c>
      <c r="G394" s="27">
        <v>2.7829877499999998</v>
      </c>
      <c r="I394" s="27">
        <f>AVERAGE(F391:F394)</f>
        <v>17.272000000000002</v>
      </c>
      <c r="J394" s="27">
        <f>AVERAGE(G391:G394)</f>
        <v>4.3289129375000002</v>
      </c>
      <c r="L394">
        <f>+J394/I394</f>
        <v>0.25063182824803149</v>
      </c>
      <c r="M394">
        <f>+(L394-$L$931)/$L$932</f>
        <v>0.26185419917027258</v>
      </c>
      <c r="N394">
        <f>+N390+M394</f>
        <v>8.320359489758447</v>
      </c>
    </row>
    <row r="395" spans="1:14">
      <c r="A395" s="15">
        <v>5</v>
      </c>
      <c r="B395" s="75">
        <v>40407</v>
      </c>
      <c r="C395" s="15">
        <v>2010</v>
      </c>
      <c r="D395" s="11" t="s">
        <v>35</v>
      </c>
      <c r="E395" s="15">
        <v>8</v>
      </c>
      <c r="F395" s="28">
        <v>22.228999999999999</v>
      </c>
      <c r="G395" s="27">
        <v>10.618617499999999</v>
      </c>
    </row>
    <row r="396" spans="1:14">
      <c r="A396" s="15">
        <v>7</v>
      </c>
      <c r="B396" s="75">
        <v>40409</v>
      </c>
      <c r="C396" s="15">
        <v>2010</v>
      </c>
      <c r="D396" s="11" t="s">
        <v>35</v>
      </c>
      <c r="E396" s="15">
        <v>8</v>
      </c>
      <c r="F396" s="28">
        <v>27.542000000000002</v>
      </c>
      <c r="G396" s="27">
        <v>9.4689682500000014</v>
      </c>
    </row>
    <row r="397" spans="1:14">
      <c r="A397" s="15">
        <v>14</v>
      </c>
      <c r="B397" s="75">
        <v>40409</v>
      </c>
      <c r="C397" s="15">
        <v>2010</v>
      </c>
      <c r="D397" s="11" t="s">
        <v>35</v>
      </c>
      <c r="E397" s="15">
        <v>8</v>
      </c>
      <c r="F397" s="28">
        <v>10.205</v>
      </c>
      <c r="G397" s="27">
        <v>4.5684318749999999</v>
      </c>
      <c r="I397" s="27">
        <f>AVERAGE(F395:F397)</f>
        <v>19.992000000000001</v>
      </c>
      <c r="J397" s="27">
        <f>AVERAGE(G395:G397)</f>
        <v>8.2186725416666686</v>
      </c>
      <c r="L397">
        <f>+J397/I397</f>
        <v>0.41109806630985735</v>
      </c>
      <c r="M397">
        <f>+(L397-$L$931)/$L$932</f>
        <v>1.785749412255119</v>
      </c>
      <c r="N397">
        <f>+N394+M397</f>
        <v>10.106108902013567</v>
      </c>
    </row>
    <row r="398" spans="1:14">
      <c r="A398" s="15">
        <v>5</v>
      </c>
      <c r="B398" s="75">
        <v>40436</v>
      </c>
      <c r="C398" s="15">
        <v>2010</v>
      </c>
      <c r="D398" s="11" t="s">
        <v>41</v>
      </c>
      <c r="E398" s="15">
        <v>9</v>
      </c>
      <c r="F398" s="28">
        <v>12.015000000000001</v>
      </c>
      <c r="G398" s="27">
        <v>5.568946875</v>
      </c>
    </row>
    <row r="399" spans="1:14">
      <c r="A399" s="15">
        <v>7</v>
      </c>
      <c r="B399" s="75">
        <v>40434</v>
      </c>
      <c r="C399" s="15">
        <v>2010</v>
      </c>
      <c r="D399" s="11" t="s">
        <v>41</v>
      </c>
      <c r="E399" s="15">
        <v>9</v>
      </c>
      <c r="F399" s="28">
        <v>13.039</v>
      </c>
      <c r="G399" s="27">
        <v>4.1098281249999991</v>
      </c>
    </row>
    <row r="400" spans="1:14">
      <c r="A400" s="15">
        <v>14</v>
      </c>
      <c r="B400" s="75">
        <v>40434</v>
      </c>
      <c r="C400" s="15">
        <v>2010</v>
      </c>
      <c r="D400" s="11" t="s">
        <v>41</v>
      </c>
      <c r="E400" s="15">
        <v>9</v>
      </c>
      <c r="F400" s="28">
        <v>9.4990000000000006</v>
      </c>
      <c r="G400" s="27">
        <v>3.8653642499999994</v>
      </c>
      <c r="I400" s="27">
        <f>AVERAGE(F398:F400)</f>
        <v>11.517666666666669</v>
      </c>
      <c r="J400" s="27">
        <f>AVERAGE(G398:G400)</f>
        <v>4.5147130833333327</v>
      </c>
      <c r="L400">
        <f>+J400/I400</f>
        <v>0.39198157178826715</v>
      </c>
      <c r="M400">
        <f>+(L400-$L$931)/$L$932</f>
        <v>1.6042063360025933</v>
      </c>
      <c r="N400">
        <f>+N397+M400</f>
        <v>11.710315238016161</v>
      </c>
    </row>
    <row r="401" spans="1:14">
      <c r="A401" s="15">
        <v>5</v>
      </c>
      <c r="B401" s="75">
        <v>40464</v>
      </c>
      <c r="C401" s="15">
        <v>2010</v>
      </c>
      <c r="D401" s="11" t="s">
        <v>37</v>
      </c>
      <c r="E401" s="15">
        <v>10</v>
      </c>
      <c r="F401" s="26">
        <v>9.34</v>
      </c>
      <c r="G401" s="27">
        <v>4.9518684999999998</v>
      </c>
    </row>
    <row r="402" spans="1:14">
      <c r="A402" s="15">
        <v>7</v>
      </c>
      <c r="B402" s="75">
        <v>40463</v>
      </c>
      <c r="C402" s="15">
        <v>2010</v>
      </c>
      <c r="D402" s="11" t="s">
        <v>37</v>
      </c>
      <c r="E402" s="15">
        <v>10</v>
      </c>
      <c r="F402" s="26">
        <v>6.4480000000000004</v>
      </c>
      <c r="G402" s="27">
        <v>0.8413402499999999</v>
      </c>
    </row>
    <row r="403" spans="1:14">
      <c r="A403" s="15">
        <v>14</v>
      </c>
      <c r="B403" s="75">
        <v>40463</v>
      </c>
      <c r="C403" s="15">
        <v>2010</v>
      </c>
      <c r="D403" s="11" t="s">
        <v>37</v>
      </c>
      <c r="E403" s="15">
        <v>10</v>
      </c>
      <c r="F403" s="26">
        <v>4.7690000000000001</v>
      </c>
      <c r="G403" s="27">
        <v>0.49372649999999996</v>
      </c>
      <c r="I403" s="27">
        <f>AVERAGE(F401:F403)</f>
        <v>6.8523333333333341</v>
      </c>
      <c r="J403" s="27">
        <f>AVERAGE(G401:G403)</f>
        <v>2.0956450833333333</v>
      </c>
      <c r="L403">
        <f>+J403/I403</f>
        <v>0.30582941333852215</v>
      </c>
      <c r="M403">
        <f>+(L403-$L$931)/$L$932</f>
        <v>0.78604755416644012</v>
      </c>
      <c r="N403">
        <f>+N400+M403</f>
        <v>12.496362792182602</v>
      </c>
    </row>
    <row r="404" spans="1:14">
      <c r="A404" s="15">
        <v>5</v>
      </c>
      <c r="B404" s="75">
        <v>40498</v>
      </c>
      <c r="C404" s="15">
        <v>2010</v>
      </c>
      <c r="D404" s="11" t="s">
        <v>38</v>
      </c>
      <c r="E404" s="15">
        <v>11</v>
      </c>
      <c r="F404" s="26">
        <v>2.137</v>
      </c>
      <c r="G404" s="27">
        <v>0.68102937500000005</v>
      </c>
    </row>
    <row r="405" spans="1:14">
      <c r="A405" s="15">
        <v>7</v>
      </c>
      <c r="B405" s="75">
        <v>40500</v>
      </c>
      <c r="C405" s="15">
        <v>2010</v>
      </c>
      <c r="D405" s="11" t="s">
        <v>38</v>
      </c>
      <c r="E405" s="15">
        <v>11</v>
      </c>
      <c r="F405" s="26">
        <v>3.3730000000000002</v>
      </c>
      <c r="G405" s="27">
        <v>0.62349675000000016</v>
      </c>
    </row>
    <row r="406" spans="1:14">
      <c r="A406" s="15">
        <v>14</v>
      </c>
      <c r="B406" s="75">
        <v>40500</v>
      </c>
      <c r="C406" s="15">
        <v>2010</v>
      </c>
      <c r="D406" s="11" t="s">
        <v>38</v>
      </c>
      <c r="E406" s="15">
        <v>11</v>
      </c>
      <c r="F406" s="26">
        <v>2.2999999999999998</v>
      </c>
      <c r="G406" s="27">
        <v>0.24862725000000005</v>
      </c>
      <c r="I406" s="27">
        <f>AVERAGE(F404:F406)</f>
        <v>2.6033333333333331</v>
      </c>
      <c r="J406" s="27">
        <f>AVERAGE(G404:G406)</f>
        <v>0.51771779166666676</v>
      </c>
      <c r="L406">
        <f>+J406/I406</f>
        <v>0.19886726952624845</v>
      </c>
      <c r="M406">
        <f>+(L406-$L$931)/$L$932</f>
        <v>-0.22973683079567928</v>
      </c>
      <c r="N406">
        <f>+N403+M406</f>
        <v>12.266625961386923</v>
      </c>
    </row>
    <row r="407" spans="1:14">
      <c r="A407" s="15">
        <v>5</v>
      </c>
      <c r="B407" s="75">
        <v>40520</v>
      </c>
      <c r="C407" s="15">
        <v>2010</v>
      </c>
      <c r="D407" s="11" t="s">
        <v>39</v>
      </c>
      <c r="E407" s="15">
        <v>12</v>
      </c>
      <c r="F407" s="26">
        <v>1.663</v>
      </c>
      <c r="G407" s="27">
        <v>0.40279074999999992</v>
      </c>
    </row>
    <row r="408" spans="1:14">
      <c r="A408" s="15">
        <v>7</v>
      </c>
      <c r="B408" s="75">
        <v>40521</v>
      </c>
      <c r="C408" s="15">
        <v>2010</v>
      </c>
      <c r="D408" s="11" t="s">
        <v>39</v>
      </c>
      <c r="E408" s="15">
        <v>12</v>
      </c>
      <c r="F408" s="26">
        <v>0.93799999999999994</v>
      </c>
      <c r="G408" s="27">
        <v>9.4418125000000006E-2</v>
      </c>
    </row>
    <row r="409" spans="1:14">
      <c r="A409" s="15">
        <v>14</v>
      </c>
      <c r="B409" s="75">
        <v>40521</v>
      </c>
      <c r="C409" s="15">
        <v>2010</v>
      </c>
      <c r="D409" s="11" t="s">
        <v>39</v>
      </c>
      <c r="E409" s="15">
        <v>12</v>
      </c>
      <c r="F409" s="26">
        <v>0.92800000000000005</v>
      </c>
      <c r="G409" s="27">
        <v>0.13119925000000002</v>
      </c>
      <c r="I409" s="27">
        <f>AVERAGE(F407:F409)</f>
        <v>1.1763333333333332</v>
      </c>
      <c r="J409" s="27">
        <f>AVERAGE(G407:G409)</f>
        <v>0.20946937499999999</v>
      </c>
      <c r="L409">
        <f>+J409/I409</f>
        <v>0.17806974355341457</v>
      </c>
      <c r="M409">
        <f>+(L409-$L$931)/$L$932</f>
        <v>-0.42724411118570282</v>
      </c>
      <c r="N409">
        <f>+N406+M409</f>
        <v>11.839381850201221</v>
      </c>
    </row>
    <row r="410" spans="1:14">
      <c r="A410" s="15">
        <v>5</v>
      </c>
      <c r="B410" s="75">
        <v>40562</v>
      </c>
      <c r="C410" s="15">
        <v>2011</v>
      </c>
      <c r="D410" s="11" t="s">
        <v>40</v>
      </c>
      <c r="E410" s="15">
        <v>1</v>
      </c>
      <c r="F410" s="26">
        <v>4.2149999999999999</v>
      </c>
      <c r="G410" s="27">
        <v>1.3021268749999997</v>
      </c>
    </row>
    <row r="411" spans="1:14">
      <c r="A411" s="15">
        <v>7</v>
      </c>
      <c r="B411" s="75">
        <v>40563</v>
      </c>
      <c r="C411" s="15">
        <v>2011</v>
      </c>
      <c r="D411" s="11" t="s">
        <v>40</v>
      </c>
      <c r="E411" s="15">
        <v>1</v>
      </c>
      <c r="F411" s="26">
        <v>3.4990000000000001</v>
      </c>
      <c r="G411" s="27">
        <v>0.92987399999999998</v>
      </c>
    </row>
    <row r="412" spans="1:14">
      <c r="A412" s="15">
        <v>14</v>
      </c>
      <c r="B412" s="75">
        <v>40563</v>
      </c>
      <c r="C412" s="15">
        <v>2011</v>
      </c>
      <c r="D412" s="11" t="s">
        <v>40</v>
      </c>
      <c r="E412" s="15">
        <v>1</v>
      </c>
      <c r="F412" s="26">
        <v>2.98</v>
      </c>
      <c r="G412" s="27">
        <v>0.82746724999999977</v>
      </c>
      <c r="I412" s="27">
        <f>AVERAGE(F410:F412)</f>
        <v>3.5646666666666671</v>
      </c>
      <c r="J412" s="27">
        <f>AVERAGE(G410:G412)</f>
        <v>1.0198227083333331</v>
      </c>
      <c r="L412">
        <f>+J412/I412</f>
        <v>0.28609202590237509</v>
      </c>
      <c r="M412">
        <f>+(L412-$L$931)/$L$932</f>
        <v>0.59860806162248903</v>
      </c>
      <c r="N412">
        <f>+N409+M412</f>
        <v>12.43798991182371</v>
      </c>
    </row>
    <row r="413" spans="1:14">
      <c r="A413" s="15">
        <v>5</v>
      </c>
      <c r="B413" s="75">
        <v>40591</v>
      </c>
      <c r="C413" s="15">
        <v>2011</v>
      </c>
      <c r="D413" s="11" t="s">
        <v>29</v>
      </c>
      <c r="E413" s="15">
        <v>2</v>
      </c>
      <c r="F413" s="26">
        <v>1.84</v>
      </c>
      <c r="G413" s="27">
        <v>0.65480324999999995</v>
      </c>
    </row>
    <row r="414" spans="1:14">
      <c r="A414" s="15">
        <v>7</v>
      </c>
      <c r="B414" s="75">
        <v>40598</v>
      </c>
      <c r="C414" s="15">
        <v>2011</v>
      </c>
      <c r="D414" s="11" t="s">
        <v>29</v>
      </c>
      <c r="E414" s="15">
        <v>2</v>
      </c>
      <c r="F414" s="26">
        <v>2.8570000000000002</v>
      </c>
      <c r="G414" s="27">
        <v>1.085356875</v>
      </c>
    </row>
    <row r="415" spans="1:14">
      <c r="A415" s="15">
        <v>14</v>
      </c>
      <c r="B415" s="75">
        <v>40598</v>
      </c>
      <c r="C415" s="15">
        <v>2011</v>
      </c>
      <c r="D415" s="11" t="s">
        <v>29</v>
      </c>
      <c r="E415" s="15">
        <v>2</v>
      </c>
      <c r="F415" s="26">
        <v>3.6110000000000002</v>
      </c>
      <c r="G415" s="27">
        <v>1.102605125</v>
      </c>
    </row>
    <row r="416" spans="1:14">
      <c r="A416" s="15">
        <v>14</v>
      </c>
      <c r="B416" s="75">
        <v>40598</v>
      </c>
      <c r="C416" s="15">
        <v>2011</v>
      </c>
      <c r="D416" s="11" t="s">
        <v>29</v>
      </c>
      <c r="E416" s="15">
        <v>2</v>
      </c>
      <c r="F416" s="26">
        <v>3.6110000000000002</v>
      </c>
      <c r="G416" s="27">
        <v>1.2840345</v>
      </c>
      <c r="H416" t="s">
        <v>13</v>
      </c>
      <c r="I416" s="27">
        <f>AVERAGE(F413:F416)</f>
        <v>2.9797500000000001</v>
      </c>
      <c r="J416" s="27">
        <f>AVERAGE(G413:G416)</f>
        <v>1.0316999375</v>
      </c>
      <c r="L416">
        <f>+J416/I416</f>
        <v>0.34623707945297422</v>
      </c>
      <c r="M416">
        <f>+(L416-$L$931)/$L$932</f>
        <v>1.1697859012947582</v>
      </c>
      <c r="N416">
        <f>+N412+M416</f>
        <v>13.607775813118469</v>
      </c>
    </row>
    <row r="417" spans="1:14">
      <c r="A417" s="15">
        <v>5</v>
      </c>
      <c r="B417" s="75">
        <v>40619</v>
      </c>
      <c r="C417" s="15">
        <v>2011</v>
      </c>
      <c r="D417" s="11" t="s">
        <v>30</v>
      </c>
      <c r="E417" s="15">
        <v>3</v>
      </c>
      <c r="F417" s="26">
        <v>1.3129999999999999</v>
      </c>
      <c r="G417" s="27">
        <v>0.39138362500000001</v>
      </c>
    </row>
    <row r="418" spans="1:14">
      <c r="A418" s="15">
        <v>7</v>
      </c>
      <c r="B418" s="75">
        <v>40617</v>
      </c>
      <c r="C418" s="15">
        <v>2011</v>
      </c>
      <c r="D418" s="11" t="s">
        <v>30</v>
      </c>
      <c r="E418" s="15">
        <v>3</v>
      </c>
      <c r="F418" s="26">
        <v>1.3180000000000001</v>
      </c>
      <c r="G418" s="27">
        <v>0.24441049999999997</v>
      </c>
      <c r="I418" s="27"/>
      <c r="J418" s="27"/>
    </row>
    <row r="419" spans="1:14">
      <c r="A419" s="15">
        <v>14</v>
      </c>
      <c r="B419" s="75">
        <v>40617</v>
      </c>
      <c r="C419" s="15">
        <v>2011</v>
      </c>
      <c r="D419" s="11" t="s">
        <v>30</v>
      </c>
      <c r="E419" s="15">
        <v>3</v>
      </c>
      <c r="F419" s="26">
        <v>0.77200000000000002</v>
      </c>
      <c r="G419" s="27">
        <v>0.24237774999999998</v>
      </c>
      <c r="I419" s="27">
        <f>AVERAGE(F417:F419)</f>
        <v>1.1343333333333334</v>
      </c>
      <c r="J419" s="27">
        <f>AVERAGE(G417:G419)</f>
        <v>0.29272395833333331</v>
      </c>
      <c r="L419">
        <f>+J419/I419</f>
        <v>0.25805814722303844</v>
      </c>
      <c r="M419">
        <f>+(L419-$L$931)/$L$932</f>
        <v>0.33237951386291198</v>
      </c>
      <c r="N419">
        <f>+N416+M419</f>
        <v>13.940155326981381</v>
      </c>
    </row>
    <row r="420" spans="1:14">
      <c r="A420" s="15">
        <v>5</v>
      </c>
      <c r="B420" s="75">
        <v>40646</v>
      </c>
      <c r="C420" s="15">
        <v>2011</v>
      </c>
      <c r="D420" s="11" t="s">
        <v>31</v>
      </c>
      <c r="E420" s="15">
        <v>4</v>
      </c>
      <c r="F420" s="26">
        <v>1.1399999999999999</v>
      </c>
      <c r="G420" s="27">
        <v>0.10170625</v>
      </c>
    </row>
    <row r="421" spans="1:14">
      <c r="A421" s="15">
        <v>7</v>
      </c>
      <c r="B421" s="75">
        <v>40647</v>
      </c>
      <c r="C421" s="15">
        <v>2011</v>
      </c>
      <c r="D421" s="11" t="s">
        <v>31</v>
      </c>
      <c r="E421" s="15">
        <v>4</v>
      </c>
      <c r="F421" s="26">
        <v>4.4039999999999999</v>
      </c>
      <c r="G421" s="27">
        <v>0.20879862499999993</v>
      </c>
    </row>
    <row r="422" spans="1:14">
      <c r="A422" s="15">
        <v>14</v>
      </c>
      <c r="B422" s="75">
        <v>40647</v>
      </c>
      <c r="C422" s="15">
        <v>2011</v>
      </c>
      <c r="D422" s="11" t="s">
        <v>31</v>
      </c>
      <c r="E422" s="15">
        <v>4</v>
      </c>
      <c r="F422" s="26">
        <v>0.46700000000000003</v>
      </c>
      <c r="G422" s="27">
        <v>6.7282124999999984E-2</v>
      </c>
      <c r="I422" s="27">
        <f>AVERAGE(F420:F422)</f>
        <v>2.0036666666666663</v>
      </c>
      <c r="J422" s="27">
        <f>AVERAGE(G420:G422)</f>
        <v>0.12592899999999996</v>
      </c>
      <c r="L422">
        <f>+J422/I422</f>
        <v>6.2849276326734316E-2</v>
      </c>
      <c r="M422">
        <f>+(L422-$L$931)/$L$932</f>
        <v>-1.5214550840165542</v>
      </c>
      <c r="N422">
        <f>+N419+M422</f>
        <v>12.418700242964828</v>
      </c>
    </row>
    <row r="423" spans="1:14">
      <c r="A423" s="15">
        <v>5</v>
      </c>
      <c r="B423" s="75">
        <v>40681</v>
      </c>
      <c r="C423" s="15">
        <v>2011</v>
      </c>
      <c r="D423" s="11" t="s">
        <v>32</v>
      </c>
      <c r="E423" s="15">
        <v>5</v>
      </c>
      <c r="F423" s="26">
        <v>6.0640000000000001</v>
      </c>
      <c r="G423" s="27">
        <v>2.1115977499999996</v>
      </c>
    </row>
    <row r="424" spans="1:14">
      <c r="A424" s="15">
        <v>7</v>
      </c>
      <c r="B424" s="75">
        <v>40682</v>
      </c>
      <c r="C424" s="15">
        <v>2011</v>
      </c>
      <c r="D424" s="11" t="s">
        <v>32</v>
      </c>
      <c r="E424" s="15">
        <v>5</v>
      </c>
      <c r="F424" s="26">
        <v>5.2119999999999997</v>
      </c>
      <c r="G424" s="27">
        <v>1.5996012500000001</v>
      </c>
    </row>
    <row r="425" spans="1:14">
      <c r="A425" s="15">
        <v>14</v>
      </c>
      <c r="B425" s="75">
        <v>40682</v>
      </c>
      <c r="C425" s="15">
        <v>2011</v>
      </c>
      <c r="D425" s="11" t="s">
        <v>32</v>
      </c>
      <c r="E425" s="15">
        <v>5</v>
      </c>
      <c r="F425" s="26">
        <v>4.5979999999999999</v>
      </c>
      <c r="G425" s="27">
        <v>1.6984227499999995</v>
      </c>
      <c r="I425" s="27">
        <f>AVERAGE(F423:F425)</f>
        <v>5.2913333333333332</v>
      </c>
      <c r="J425" s="27">
        <f>AVERAGE(G423:G425)</f>
        <v>1.8032072499999998</v>
      </c>
      <c r="L425">
        <f>+J425/I425</f>
        <v>0.34078504157742218</v>
      </c>
      <c r="M425">
        <f>+(L425-$L$931)/$L$932</f>
        <v>1.1180096864319786</v>
      </c>
      <c r="N425">
        <f>+N422+M425</f>
        <v>13.536709929396807</v>
      </c>
    </row>
    <row r="426" spans="1:14">
      <c r="A426" s="15">
        <v>5</v>
      </c>
      <c r="B426" s="75">
        <v>40709</v>
      </c>
      <c r="C426" s="15">
        <v>2011</v>
      </c>
      <c r="D426" s="11" t="s">
        <v>33</v>
      </c>
      <c r="E426" s="15">
        <v>6</v>
      </c>
      <c r="F426" s="26">
        <v>10.51</v>
      </c>
      <c r="G426" s="27">
        <v>0.97327362499999981</v>
      </c>
    </row>
    <row r="427" spans="1:14">
      <c r="A427" s="15">
        <v>7</v>
      </c>
      <c r="B427" s="75">
        <v>40709</v>
      </c>
      <c r="C427" s="15">
        <v>2011</v>
      </c>
      <c r="D427" s="11" t="s">
        <v>33</v>
      </c>
      <c r="E427" s="15">
        <v>6</v>
      </c>
      <c r="F427" s="26">
        <v>7.7389999999999999</v>
      </c>
      <c r="G427" s="27">
        <v>1.3557718749999998</v>
      </c>
    </row>
    <row r="428" spans="1:14">
      <c r="A428" s="15">
        <v>14</v>
      </c>
      <c r="B428" s="75">
        <v>40709</v>
      </c>
      <c r="C428" s="15">
        <v>2011</v>
      </c>
      <c r="D428" s="11" t="s">
        <v>33</v>
      </c>
      <c r="E428" s="15">
        <v>6</v>
      </c>
      <c r="F428" s="26">
        <v>6.5990000000000002</v>
      </c>
      <c r="G428" s="27">
        <v>1.1783085</v>
      </c>
      <c r="I428" s="27">
        <f>AVERAGE(F426:F428)</f>
        <v>8.2826666666666657</v>
      </c>
      <c r="J428" s="27">
        <f>AVERAGE(G426:G428)</f>
        <v>1.1691179999999999</v>
      </c>
      <c r="L428">
        <f>+J428/I428</f>
        <v>0.14115236638763684</v>
      </c>
      <c r="M428">
        <f>+(L428-$L$931)/$L$932</f>
        <v>-0.77783632935000491</v>
      </c>
      <c r="N428">
        <f>+N425+M428</f>
        <v>12.758873600046801</v>
      </c>
    </row>
    <row r="429" spans="1:14">
      <c r="A429" s="15">
        <v>5</v>
      </c>
      <c r="B429" s="75">
        <v>40735</v>
      </c>
      <c r="C429" s="15">
        <v>2011</v>
      </c>
      <c r="D429" s="11" t="s">
        <v>34</v>
      </c>
      <c r="E429" s="15">
        <v>7</v>
      </c>
      <c r="F429" s="26">
        <v>7.0949999999999998</v>
      </c>
      <c r="G429" s="27">
        <v>1.00546</v>
      </c>
    </row>
    <row r="430" spans="1:14">
      <c r="A430" s="15">
        <v>7</v>
      </c>
      <c r="B430" s="75">
        <v>40736</v>
      </c>
      <c r="C430" s="15">
        <v>2011</v>
      </c>
      <c r="D430" s="11" t="s">
        <v>34</v>
      </c>
      <c r="E430" s="15">
        <v>7</v>
      </c>
      <c r="F430" s="26">
        <v>9.6560000000000006</v>
      </c>
      <c r="G430" s="27">
        <v>1.6836973749999999</v>
      </c>
    </row>
    <row r="431" spans="1:14">
      <c r="A431" s="15">
        <v>14</v>
      </c>
      <c r="B431" s="75">
        <v>40736</v>
      </c>
      <c r="C431" s="15">
        <v>2011</v>
      </c>
      <c r="D431" s="11" t="s">
        <v>34</v>
      </c>
      <c r="E431" s="15">
        <v>7</v>
      </c>
      <c r="F431" s="26">
        <v>5.9269999999999996</v>
      </c>
      <c r="G431" s="27">
        <v>1.1711912499999997</v>
      </c>
      <c r="I431" s="27">
        <f>AVERAGE(F429:F431)</f>
        <v>7.5593333333333339</v>
      </c>
      <c r="J431" s="27">
        <f>AVERAGE(G429:G431)</f>
        <v>1.2867828749999999</v>
      </c>
      <c r="L431">
        <f>+J431/I431</f>
        <v>0.17022438596878028</v>
      </c>
      <c r="M431">
        <f>+(L431-$L$931)/$L$932</f>
        <v>-0.50174889806527534</v>
      </c>
      <c r="N431">
        <f>+N428+M431</f>
        <v>12.257124701981526</v>
      </c>
    </row>
    <row r="432" spans="1:14">
      <c r="A432" s="15">
        <v>5</v>
      </c>
      <c r="B432" s="75">
        <v>40771</v>
      </c>
      <c r="C432" s="15">
        <v>2011</v>
      </c>
      <c r="D432" s="11" t="s">
        <v>35</v>
      </c>
      <c r="E432" s="15">
        <v>8</v>
      </c>
      <c r="F432" s="26">
        <v>9.5779999999999994</v>
      </c>
      <c r="G432" s="27">
        <v>3.5536088750000006</v>
      </c>
    </row>
    <row r="433" spans="1:14">
      <c r="A433" s="15">
        <v>7</v>
      </c>
      <c r="B433" s="75">
        <v>40772</v>
      </c>
      <c r="C433" s="15">
        <v>2011</v>
      </c>
      <c r="D433" s="11" t="s">
        <v>35</v>
      </c>
      <c r="E433" s="15">
        <v>8</v>
      </c>
      <c r="F433" s="26">
        <v>11.446999999999999</v>
      </c>
      <c r="G433" s="27">
        <v>2.9083570000000001</v>
      </c>
    </row>
    <row r="434" spans="1:14">
      <c r="A434" s="15">
        <v>7</v>
      </c>
      <c r="B434" s="75">
        <v>40772</v>
      </c>
      <c r="C434" s="15">
        <v>2011</v>
      </c>
      <c r="D434" s="11" t="s">
        <v>35</v>
      </c>
      <c r="E434" s="15">
        <v>8</v>
      </c>
      <c r="F434" s="26">
        <v>11.446999999999999</v>
      </c>
      <c r="G434" s="27">
        <v>2.9423973750000001</v>
      </c>
      <c r="H434" t="s">
        <v>13</v>
      </c>
      <c r="I434" s="27"/>
      <c r="J434" s="27"/>
    </row>
    <row r="435" spans="1:14">
      <c r="A435" s="15">
        <v>14</v>
      </c>
      <c r="B435" s="75">
        <v>40772</v>
      </c>
      <c r="C435" s="15">
        <v>2011</v>
      </c>
      <c r="D435" s="11" t="s">
        <v>35</v>
      </c>
      <c r="E435" s="15">
        <v>8</v>
      </c>
      <c r="F435" s="26">
        <v>14.853</v>
      </c>
      <c r="G435" s="27">
        <v>5.8706284999999987</v>
      </c>
      <c r="I435" s="27">
        <f>AVERAGE(F432:F435)</f>
        <v>11.831249999999999</v>
      </c>
      <c r="J435" s="27">
        <f>AVERAGE(G432:G435)</f>
        <v>3.8187479375</v>
      </c>
      <c r="L435">
        <f>+J435/I435</f>
        <v>0.32276791864764925</v>
      </c>
      <c r="M435">
        <f>+(L435-$L$931)/$L$932</f>
        <v>0.94690698147753449</v>
      </c>
      <c r="N435">
        <f>+N431+M435</f>
        <v>13.204031683459061</v>
      </c>
    </row>
    <row r="436" spans="1:14">
      <c r="A436" s="15">
        <v>5</v>
      </c>
      <c r="B436" s="75">
        <v>40799</v>
      </c>
      <c r="C436" s="15">
        <v>2011</v>
      </c>
      <c r="D436" s="11" t="s">
        <v>41</v>
      </c>
      <c r="E436" s="15">
        <v>9</v>
      </c>
      <c r="F436" s="26">
        <v>7.4850000000000003</v>
      </c>
      <c r="G436" s="27">
        <v>2.9675815000000001</v>
      </c>
    </row>
    <row r="437" spans="1:14">
      <c r="A437" s="15">
        <v>7</v>
      </c>
      <c r="B437" s="75">
        <v>40798</v>
      </c>
      <c r="C437" s="15">
        <v>2011</v>
      </c>
      <c r="D437" s="11" t="s">
        <v>41</v>
      </c>
      <c r="E437" s="15">
        <v>9</v>
      </c>
      <c r="F437" s="26">
        <v>3.5179999999999998</v>
      </c>
      <c r="G437" s="27">
        <v>0.35080862499999999</v>
      </c>
      <c r="I437" s="27"/>
      <c r="J437" s="27"/>
    </row>
    <row r="438" spans="1:14">
      <c r="A438" s="15">
        <v>14</v>
      </c>
      <c r="B438" s="75">
        <v>40798</v>
      </c>
      <c r="C438" s="15">
        <v>2011</v>
      </c>
      <c r="D438" s="11" t="s">
        <v>41</v>
      </c>
      <c r="E438" s="15">
        <v>9</v>
      </c>
      <c r="F438" s="26">
        <v>5.4429999999999996</v>
      </c>
      <c r="G438" s="27">
        <v>2.1281093750000002</v>
      </c>
      <c r="I438" s="27">
        <f>AVERAGE(F436:F438)</f>
        <v>5.4819999999999993</v>
      </c>
      <c r="J438" s="27">
        <f>AVERAGE(G436:G438)</f>
        <v>1.8154998333333332</v>
      </c>
      <c r="L438">
        <f>+J438/I438</f>
        <v>0.33117472333698167</v>
      </c>
      <c r="M438">
        <f>+(L438-$L$931)/$L$932</f>
        <v>1.0267436472967764</v>
      </c>
      <c r="N438">
        <f>+N435+M438</f>
        <v>14.230775330755836</v>
      </c>
    </row>
    <row r="439" spans="1:14">
      <c r="A439" s="15">
        <v>5</v>
      </c>
      <c r="B439" s="75">
        <v>40827</v>
      </c>
      <c r="C439" s="15">
        <v>2011</v>
      </c>
      <c r="D439" s="11" t="s">
        <v>37</v>
      </c>
      <c r="E439" s="15">
        <v>10</v>
      </c>
      <c r="F439" s="28">
        <v>2.77</v>
      </c>
      <c r="G439" s="27">
        <v>0.58932599999999991</v>
      </c>
    </row>
    <row r="440" spans="1:14">
      <c r="A440" s="15">
        <v>7</v>
      </c>
      <c r="B440" s="75">
        <v>40829</v>
      </c>
      <c r="C440" s="15">
        <v>2011</v>
      </c>
      <c r="D440" s="11" t="s">
        <v>37</v>
      </c>
      <c r="E440" s="15">
        <v>10</v>
      </c>
      <c r="F440" s="28">
        <v>2.016</v>
      </c>
      <c r="G440" s="27">
        <v>0.20834037499999997</v>
      </c>
    </row>
    <row r="441" spans="1:14">
      <c r="A441" s="15">
        <v>14</v>
      </c>
      <c r="B441" s="75">
        <v>40829</v>
      </c>
      <c r="C441" s="15">
        <v>2011</v>
      </c>
      <c r="D441" s="11" t="s">
        <v>37</v>
      </c>
      <c r="E441" s="15">
        <v>10</v>
      </c>
      <c r="F441" s="28">
        <v>1.399</v>
      </c>
      <c r="G441" s="27">
        <v>0.21547149999999995</v>
      </c>
      <c r="I441" s="27">
        <f>AVERAGE(F439:F441)</f>
        <v>2.0616666666666665</v>
      </c>
      <c r="J441" s="27">
        <f>AVERAGE(G439:G441)</f>
        <v>0.33771262499999999</v>
      </c>
      <c r="L441">
        <f>+J441/I441</f>
        <v>0.1638056386418755</v>
      </c>
      <c r="M441">
        <f>+(L441-$L$931)/$L$932</f>
        <v>-0.5627056354052673</v>
      </c>
      <c r="N441">
        <f>+N438+M441</f>
        <v>13.668069695350569</v>
      </c>
    </row>
    <row r="442" spans="1:14">
      <c r="A442" s="15">
        <v>5</v>
      </c>
      <c r="B442" s="76">
        <v>40862</v>
      </c>
      <c r="C442" s="15">
        <v>2011</v>
      </c>
      <c r="D442" s="11" t="s">
        <v>38</v>
      </c>
      <c r="E442" s="15">
        <v>11</v>
      </c>
      <c r="F442" s="28">
        <v>4.5650000000000004</v>
      </c>
      <c r="G442" s="27">
        <v>1.8921403749999999</v>
      </c>
    </row>
    <row r="443" spans="1:14">
      <c r="A443" s="15">
        <v>7</v>
      </c>
      <c r="B443" s="76">
        <v>40865</v>
      </c>
      <c r="C443" s="15">
        <v>2011</v>
      </c>
      <c r="D443" s="11" t="s">
        <v>38</v>
      </c>
      <c r="E443" s="15">
        <v>11</v>
      </c>
      <c r="F443" s="28">
        <v>1.5209999999999999</v>
      </c>
      <c r="G443" s="27">
        <v>0.25354775000000002</v>
      </c>
    </row>
    <row r="444" spans="1:14">
      <c r="A444" s="15">
        <v>14</v>
      </c>
      <c r="B444" s="76">
        <v>40877</v>
      </c>
      <c r="C444" s="15">
        <v>2011</v>
      </c>
      <c r="D444" s="11" t="s">
        <v>38</v>
      </c>
      <c r="E444" s="15">
        <v>11</v>
      </c>
      <c r="F444" s="28">
        <v>1.0429999999999999</v>
      </c>
      <c r="G444" s="27">
        <v>0.20526999999999998</v>
      </c>
      <c r="I444" s="27">
        <f>AVERAGE(F442:F444)</f>
        <v>2.3763333333333336</v>
      </c>
      <c r="J444" s="27">
        <f>AVERAGE(G442:G444)</f>
        <v>0.78365270833333334</v>
      </c>
      <c r="L444">
        <f>+J444/I444</f>
        <v>0.32977389886379571</v>
      </c>
      <c r="M444">
        <f>+(L444-$L$931)/$L$932</f>
        <v>1.0134404768925591</v>
      </c>
      <c r="N444">
        <f>+N441+M444</f>
        <v>14.681510172243128</v>
      </c>
    </row>
    <row r="445" spans="1:14">
      <c r="A445" s="15">
        <v>5</v>
      </c>
      <c r="B445" s="76">
        <v>40891</v>
      </c>
      <c r="C445" s="15">
        <v>2011</v>
      </c>
      <c r="D445" s="11" t="s">
        <v>39</v>
      </c>
      <c r="E445" s="15">
        <v>12</v>
      </c>
      <c r="F445" s="28">
        <v>2.3290000000000002</v>
      </c>
      <c r="G445" s="27">
        <v>0.38591249999999994</v>
      </c>
    </row>
    <row r="446" spans="1:14">
      <c r="A446" s="15">
        <v>7</v>
      </c>
      <c r="B446" s="76">
        <v>40891</v>
      </c>
      <c r="C446" s="15">
        <v>2011</v>
      </c>
      <c r="D446" s="11" t="s">
        <v>39</v>
      </c>
      <c r="E446" s="15">
        <v>12</v>
      </c>
      <c r="F446" s="28">
        <v>1.361</v>
      </c>
      <c r="G446" s="27">
        <v>0.126180875</v>
      </c>
    </row>
    <row r="447" spans="1:14">
      <c r="A447" s="15">
        <v>14</v>
      </c>
      <c r="B447" s="76">
        <v>40891</v>
      </c>
      <c r="C447" s="15">
        <v>2011</v>
      </c>
      <c r="D447" s="11" t="s">
        <v>39</v>
      </c>
      <c r="E447" s="15">
        <v>12</v>
      </c>
      <c r="F447" s="28">
        <v>0.53100000000000003</v>
      </c>
      <c r="G447" s="27">
        <v>6.6235500000000003E-2</v>
      </c>
      <c r="I447" s="27">
        <f>AVERAGE(F445:F447)</f>
        <v>1.407</v>
      </c>
      <c r="J447" s="27">
        <f>AVERAGE(G445:G447)</f>
        <v>0.19277629166666665</v>
      </c>
      <c r="L447">
        <f>+J447/I447</f>
        <v>0.13701228974176735</v>
      </c>
      <c r="M447">
        <f>+(L447-$L$931)/$L$932</f>
        <v>-0.81715327887563705</v>
      </c>
      <c r="N447">
        <f>+N444+M447</f>
        <v>13.864356893367491</v>
      </c>
    </row>
    <row r="448" spans="1:14">
      <c r="A448" s="15">
        <v>5</v>
      </c>
      <c r="B448" s="75">
        <v>40919</v>
      </c>
      <c r="C448" s="15">
        <v>2012</v>
      </c>
      <c r="D448" s="11" t="s">
        <v>40</v>
      </c>
      <c r="E448" s="15">
        <v>1</v>
      </c>
      <c r="F448" s="30">
        <v>11.461</v>
      </c>
      <c r="G448" s="27">
        <v>3.576790125</v>
      </c>
    </row>
    <row r="449" spans="1:14">
      <c r="A449" s="15">
        <v>7</v>
      </c>
      <c r="B449" s="75">
        <v>40919</v>
      </c>
      <c r="C449" s="15">
        <v>2012</v>
      </c>
      <c r="D449" s="11" t="s">
        <v>40</v>
      </c>
      <c r="E449" s="15">
        <v>1</v>
      </c>
      <c r="F449" s="30">
        <v>2.4740000000000002</v>
      </c>
      <c r="G449" s="27">
        <v>0.67706849999999985</v>
      </c>
    </row>
    <row r="450" spans="1:14">
      <c r="A450" s="15">
        <v>7</v>
      </c>
      <c r="B450" s="75">
        <v>40919</v>
      </c>
      <c r="C450" s="15">
        <v>2012</v>
      </c>
      <c r="D450" s="11" t="s">
        <v>40</v>
      </c>
      <c r="E450" s="15">
        <v>1</v>
      </c>
      <c r="F450" s="30">
        <v>2.4740000000000002</v>
      </c>
      <c r="G450" s="27">
        <v>0.69351687499999992</v>
      </c>
      <c r="H450" t="s">
        <v>13</v>
      </c>
      <c r="I450" s="27"/>
      <c r="J450" s="27"/>
    </row>
    <row r="451" spans="1:14">
      <c r="A451" s="15">
        <v>14</v>
      </c>
      <c r="B451" s="75">
        <v>40919</v>
      </c>
      <c r="C451" s="15">
        <v>2012</v>
      </c>
      <c r="D451" s="11" t="s">
        <v>40</v>
      </c>
      <c r="E451" s="15">
        <v>1</v>
      </c>
      <c r="F451" s="30">
        <v>1.694</v>
      </c>
      <c r="G451" s="27">
        <v>0.42595349999999998</v>
      </c>
      <c r="I451" s="27">
        <f>AVERAGE(F448:F451)</f>
        <v>4.5257499999999995</v>
      </c>
      <c r="J451" s="27">
        <f>AVERAGE(G448:G451)</f>
        <v>1.34333225</v>
      </c>
      <c r="L451">
        <f>+J451/I451</f>
        <v>0.29681980887145781</v>
      </c>
      <c r="M451">
        <f>+(L451-$L$931)/$L$932</f>
        <v>0.70048629663974904</v>
      </c>
      <c r="N451">
        <f>+N447+M451</f>
        <v>14.56484319000724</v>
      </c>
    </row>
    <row r="452" spans="1:14">
      <c r="A452" s="15">
        <v>5</v>
      </c>
      <c r="B452" s="75">
        <v>40962</v>
      </c>
      <c r="C452" s="15">
        <v>2012</v>
      </c>
      <c r="D452" s="11" t="s">
        <v>29</v>
      </c>
      <c r="E452" s="15">
        <v>2</v>
      </c>
      <c r="F452" s="30">
        <v>3.3820000000000001</v>
      </c>
      <c r="G452" s="27">
        <v>1.793972125</v>
      </c>
    </row>
    <row r="453" spans="1:14">
      <c r="A453" s="15">
        <v>7</v>
      </c>
      <c r="B453" s="75">
        <v>40960</v>
      </c>
      <c r="C453" s="15">
        <v>2012</v>
      </c>
      <c r="D453" s="11" t="s">
        <v>29</v>
      </c>
      <c r="E453" s="15">
        <v>2</v>
      </c>
      <c r="F453" s="30">
        <v>1.637</v>
      </c>
      <c r="G453" s="27">
        <v>0.23364374999999998</v>
      </c>
    </row>
    <row r="454" spans="1:14">
      <c r="A454" s="15">
        <v>14</v>
      </c>
      <c r="B454" s="75">
        <v>40960</v>
      </c>
      <c r="C454" s="15">
        <v>2012</v>
      </c>
      <c r="D454" s="11" t="s">
        <v>29</v>
      </c>
      <c r="E454" s="15">
        <v>2</v>
      </c>
      <c r="F454" s="30">
        <v>1.046</v>
      </c>
      <c r="G454" s="27">
        <v>0.28879437499999994</v>
      </c>
    </row>
    <row r="455" spans="1:14">
      <c r="A455" s="15">
        <v>14</v>
      </c>
      <c r="B455" s="75">
        <v>40960</v>
      </c>
      <c r="C455" s="15">
        <v>2012</v>
      </c>
      <c r="D455" s="11" t="s">
        <v>29</v>
      </c>
      <c r="E455" s="15">
        <v>2</v>
      </c>
      <c r="F455" s="30">
        <v>1.046</v>
      </c>
      <c r="G455" s="27">
        <v>0.28359675000000001</v>
      </c>
      <c r="H455" t="s">
        <v>13</v>
      </c>
      <c r="I455" s="27">
        <f>AVERAGE(F452:F455)</f>
        <v>1.7777500000000002</v>
      </c>
      <c r="J455" s="27">
        <f>AVERAGE(G452:G455)</f>
        <v>0.65000174999999993</v>
      </c>
      <c r="L455">
        <f>+J455/I455</f>
        <v>0.36563169737027135</v>
      </c>
      <c r="M455">
        <f>+(L455-$L$931)/$L$932</f>
        <v>1.3539702241826128</v>
      </c>
      <c r="N455">
        <f>+N451+M455</f>
        <v>15.918813414189852</v>
      </c>
    </row>
    <row r="456" spans="1:14">
      <c r="A456" s="15">
        <v>5</v>
      </c>
      <c r="B456" s="75">
        <v>40980</v>
      </c>
      <c r="C456" s="15">
        <v>2012</v>
      </c>
      <c r="D456" s="11" t="s">
        <v>30</v>
      </c>
      <c r="E456" s="15">
        <v>3</v>
      </c>
      <c r="F456" s="30">
        <v>3.1850000000000001</v>
      </c>
      <c r="G456" s="27">
        <v>1.065917625</v>
      </c>
    </row>
    <row r="457" spans="1:14">
      <c r="A457" s="15">
        <v>7</v>
      </c>
      <c r="B457" s="75">
        <v>40982</v>
      </c>
      <c r="C457" s="15">
        <v>2012</v>
      </c>
      <c r="D457" s="11" t="s">
        <v>30</v>
      </c>
      <c r="E457" s="15">
        <v>3</v>
      </c>
      <c r="F457" s="30">
        <v>2.8159999999999998</v>
      </c>
      <c r="G457" s="27">
        <v>0.18160362499999999</v>
      </c>
    </row>
    <row r="458" spans="1:14">
      <c r="A458" s="15">
        <v>14</v>
      </c>
      <c r="B458" s="75">
        <v>40982</v>
      </c>
      <c r="C458" s="15">
        <v>2012</v>
      </c>
      <c r="D458" s="11" t="s">
        <v>30</v>
      </c>
      <c r="E458" s="15">
        <v>3</v>
      </c>
      <c r="F458" s="30">
        <v>1.1919999999999999</v>
      </c>
      <c r="G458" s="27">
        <v>0.25109237499999998</v>
      </c>
      <c r="I458" s="27">
        <f>AVERAGE(F455:F458)</f>
        <v>2.0597499999999997</v>
      </c>
      <c r="J458" s="27">
        <f>AVERAGE(G455:G458)</f>
        <v>0.44555259375</v>
      </c>
      <c r="L458">
        <f>+J458/I458</f>
        <v>0.21631391855807747</v>
      </c>
      <c r="M458">
        <f>+(L458-$L$931)/$L$932</f>
        <v>-6.4051729274622923E-2</v>
      </c>
      <c r="N458">
        <f>+N455+M458</f>
        <v>15.85476168491523</v>
      </c>
    </row>
    <row r="459" spans="1:14">
      <c r="A459" s="15">
        <v>5</v>
      </c>
      <c r="B459" s="75">
        <v>41015</v>
      </c>
      <c r="C459" s="15">
        <v>2012</v>
      </c>
      <c r="D459" s="11" t="s">
        <v>31</v>
      </c>
      <c r="E459" s="15">
        <v>4</v>
      </c>
      <c r="F459" s="26">
        <v>1.6759999999999999</v>
      </c>
      <c r="G459" s="27">
        <v>0.71836437500000005</v>
      </c>
    </row>
    <row r="460" spans="1:14">
      <c r="A460" s="15">
        <v>7</v>
      </c>
      <c r="B460" s="75">
        <v>41016</v>
      </c>
      <c r="C460" s="15">
        <v>2012</v>
      </c>
      <c r="D460" s="11" t="s">
        <v>31</v>
      </c>
      <c r="E460" s="15">
        <v>4</v>
      </c>
      <c r="F460" s="26">
        <v>1.776</v>
      </c>
      <c r="G460" s="27">
        <v>0.10100875000000001</v>
      </c>
      <c r="I460" s="27"/>
      <c r="J460" s="27"/>
    </row>
    <row r="461" spans="1:14">
      <c r="A461" s="15">
        <v>14</v>
      </c>
      <c r="B461" s="75">
        <v>41016</v>
      </c>
      <c r="C461" s="15">
        <v>2012</v>
      </c>
      <c r="D461" s="11" t="s">
        <v>31</v>
      </c>
      <c r="E461" s="15">
        <v>4</v>
      </c>
      <c r="F461" s="26">
        <v>1.0149999999999999</v>
      </c>
      <c r="G461" s="27">
        <v>0.15699424999999997</v>
      </c>
      <c r="I461" s="27">
        <f>AVERAGE(F459:F461)</f>
        <v>1.4889999999999999</v>
      </c>
      <c r="J461" s="27">
        <f>AVERAGE(G459:G461)</f>
        <v>0.32545579166666666</v>
      </c>
      <c r="L461">
        <f>+J461/I461</f>
        <v>0.21857339937318113</v>
      </c>
      <c r="M461">
        <f>+(L461-$L$931)/$L$932</f>
        <v>-4.2594181320723228E-2</v>
      </c>
      <c r="N461">
        <f>+N458+M461</f>
        <v>15.812167503594507</v>
      </c>
    </row>
    <row r="462" spans="1:14">
      <c r="A462" s="15">
        <v>5</v>
      </c>
      <c r="B462" s="75">
        <v>41045</v>
      </c>
      <c r="C462" s="15">
        <v>2012</v>
      </c>
      <c r="D462" s="11" t="s">
        <v>32</v>
      </c>
      <c r="E462" s="15">
        <v>5</v>
      </c>
      <c r="F462" s="26">
        <v>3.4529999999999998</v>
      </c>
      <c r="G462" s="27">
        <v>1.74811775</v>
      </c>
    </row>
    <row r="463" spans="1:14">
      <c r="A463" s="15">
        <v>7</v>
      </c>
      <c r="B463" s="75">
        <v>41046</v>
      </c>
      <c r="C463" s="15">
        <v>2012</v>
      </c>
      <c r="D463" s="11" t="s">
        <v>32</v>
      </c>
      <c r="E463" s="15">
        <v>5</v>
      </c>
      <c r="F463" s="26">
        <v>6.641</v>
      </c>
      <c r="G463" s="27">
        <v>2.0847282499999995</v>
      </c>
    </row>
    <row r="464" spans="1:14">
      <c r="A464" s="15">
        <v>14</v>
      </c>
      <c r="B464" s="75">
        <v>41046</v>
      </c>
      <c r="C464" s="15">
        <v>2012</v>
      </c>
      <c r="D464" s="11" t="s">
        <v>32</v>
      </c>
      <c r="E464" s="15">
        <v>5</v>
      </c>
      <c r="F464" s="26">
        <v>4.2300000000000004</v>
      </c>
      <c r="G464" s="27">
        <v>0.99423299999999992</v>
      </c>
      <c r="I464" s="27">
        <f>AVERAGE(F462:F464)</f>
        <v>4.7746666666666666</v>
      </c>
      <c r="J464" s="27">
        <f>AVERAGE(G462:G464)</f>
        <v>1.6090263333333332</v>
      </c>
      <c r="L464">
        <f>+J464/I464</f>
        <v>0.33699239039374473</v>
      </c>
      <c r="M464">
        <f>+(L464-$L$931)/$L$932</f>
        <v>1.0819921225287243</v>
      </c>
      <c r="N464">
        <f>+N461+M464</f>
        <v>16.89415962612323</v>
      </c>
    </row>
    <row r="465" spans="1:14">
      <c r="A465" s="15">
        <v>5</v>
      </c>
      <c r="B465" s="75">
        <v>41073</v>
      </c>
      <c r="C465" s="15">
        <v>2012</v>
      </c>
      <c r="D465" s="11" t="s">
        <v>33</v>
      </c>
      <c r="E465" s="15">
        <v>6</v>
      </c>
      <c r="F465" s="26">
        <v>8.7240000000000002</v>
      </c>
      <c r="G465" s="27">
        <v>3.9196608749999995</v>
      </c>
    </row>
    <row r="466" spans="1:14">
      <c r="A466" s="15">
        <v>7</v>
      </c>
      <c r="B466" s="75">
        <v>41080</v>
      </c>
      <c r="C466" s="15">
        <v>2012</v>
      </c>
      <c r="D466" s="11" t="s">
        <v>33</v>
      </c>
      <c r="E466" s="15">
        <v>6</v>
      </c>
      <c r="F466" s="26">
        <v>6.5609999999999999</v>
      </c>
      <c r="G466" s="27">
        <v>1.0849872499999997</v>
      </c>
    </row>
    <row r="467" spans="1:14">
      <c r="A467" s="15">
        <v>7</v>
      </c>
      <c r="B467" s="75">
        <v>41080</v>
      </c>
      <c r="C467" s="15">
        <v>2012</v>
      </c>
      <c r="D467" s="11" t="s">
        <v>33</v>
      </c>
      <c r="E467" s="15">
        <v>6</v>
      </c>
      <c r="F467" s="26">
        <v>6.5609999999999999</v>
      </c>
      <c r="G467" s="27">
        <v>1.027740375</v>
      </c>
      <c r="H467" t="s">
        <v>13</v>
      </c>
      <c r="I467" s="27"/>
      <c r="J467" s="27"/>
    </row>
    <row r="468" spans="1:14">
      <c r="A468" s="15">
        <v>14</v>
      </c>
      <c r="B468" s="75">
        <v>41080</v>
      </c>
      <c r="C468" s="15">
        <v>2012</v>
      </c>
      <c r="D468" s="11" t="s">
        <v>33</v>
      </c>
      <c r="E468" s="15">
        <v>6</v>
      </c>
      <c r="F468" s="26">
        <v>1.976</v>
      </c>
      <c r="G468" s="27">
        <v>0.54121524999999993</v>
      </c>
      <c r="I468" s="27">
        <f>AVERAGE(F465:F468)</f>
        <v>5.9554999999999998</v>
      </c>
      <c r="J468" s="27">
        <f>AVERAGE(G465:G468)</f>
        <v>1.6434009374999998</v>
      </c>
      <c r="L468">
        <f>+J468/I468</f>
        <v>0.27594676139702795</v>
      </c>
      <c r="M468">
        <f>+(L468-$L$931)/$L$932</f>
        <v>0.50226181332805697</v>
      </c>
      <c r="N468">
        <f>+N464+M468</f>
        <v>17.396421439451288</v>
      </c>
    </row>
    <row r="469" spans="1:14">
      <c r="A469" s="15">
        <v>5</v>
      </c>
      <c r="B469" s="75">
        <v>41107</v>
      </c>
      <c r="C469" s="15">
        <v>2012</v>
      </c>
      <c r="D469" s="11" t="s">
        <v>34</v>
      </c>
      <c r="E469" s="15">
        <v>7</v>
      </c>
      <c r="F469" s="26">
        <v>13.635999999999999</v>
      </c>
      <c r="G469" s="27">
        <v>2.3662208749999998</v>
      </c>
    </row>
    <row r="470" spans="1:14">
      <c r="A470" s="15">
        <v>7</v>
      </c>
      <c r="B470" s="75">
        <v>41106</v>
      </c>
      <c r="C470" s="15">
        <v>2012</v>
      </c>
      <c r="D470" s="11" t="s">
        <v>34</v>
      </c>
      <c r="E470" s="15">
        <v>7</v>
      </c>
      <c r="F470" s="26">
        <v>10.025</v>
      </c>
      <c r="G470" s="27">
        <v>2.4759099999999994</v>
      </c>
      <c r="I470" s="27"/>
      <c r="J470" s="27"/>
    </row>
    <row r="471" spans="1:14">
      <c r="A471" s="15">
        <v>14</v>
      </c>
      <c r="B471" s="75">
        <v>41106</v>
      </c>
      <c r="C471" s="15">
        <v>2012</v>
      </c>
      <c r="D471" s="11" t="s">
        <v>34</v>
      </c>
      <c r="E471" s="15">
        <v>7</v>
      </c>
      <c r="F471" s="26">
        <v>7.0940000000000003</v>
      </c>
      <c r="G471" s="27">
        <v>1.8578566249999999</v>
      </c>
      <c r="I471" s="27">
        <f>AVERAGE(F469:F471)</f>
        <v>10.251666666666667</v>
      </c>
      <c r="J471" s="27">
        <f>AVERAGE(G469:G471)</f>
        <v>2.2333291666666661</v>
      </c>
      <c r="L471">
        <f>+J471/I471</f>
        <v>0.21785034953666066</v>
      </c>
      <c r="M471">
        <f>+(L471-$L$931)/$L$932</f>
        <v>-4.9460748381831683E-2</v>
      </c>
      <c r="N471">
        <f>+N468+M471</f>
        <v>17.346960691069455</v>
      </c>
    </row>
    <row r="472" spans="1:14">
      <c r="A472" s="15">
        <v>5</v>
      </c>
      <c r="B472" s="75">
        <v>41135</v>
      </c>
      <c r="C472" s="15">
        <v>2012</v>
      </c>
      <c r="D472" s="11" t="s">
        <v>35</v>
      </c>
      <c r="E472" s="15">
        <v>8</v>
      </c>
      <c r="F472" s="26">
        <v>57.398000000000003</v>
      </c>
      <c r="G472" s="27">
        <v>0.54515399999999992</v>
      </c>
    </row>
    <row r="473" spans="1:14">
      <c r="A473" s="15">
        <v>7</v>
      </c>
      <c r="B473" s="75">
        <v>41137</v>
      </c>
      <c r="C473" s="15">
        <v>2012</v>
      </c>
      <c r="D473" s="11" t="s">
        <v>35</v>
      </c>
      <c r="E473" s="15">
        <v>8</v>
      </c>
      <c r="F473" s="26">
        <v>21.312999999999999</v>
      </c>
      <c r="G473" s="27">
        <v>1.2212027499999998</v>
      </c>
    </row>
    <row r="474" spans="1:14">
      <c r="A474" s="15">
        <v>14</v>
      </c>
      <c r="B474" s="75">
        <v>41137</v>
      </c>
      <c r="C474" s="15">
        <v>2012</v>
      </c>
      <c r="D474" s="11" t="s">
        <v>35</v>
      </c>
      <c r="E474" s="15">
        <v>8</v>
      </c>
      <c r="F474" s="26">
        <v>3.71</v>
      </c>
      <c r="G474" s="27">
        <v>0.58436699999999997</v>
      </c>
      <c r="I474" s="27">
        <f>AVERAGE(F472:F474)</f>
        <v>27.473666666666663</v>
      </c>
      <c r="J474" s="27">
        <f>AVERAGE(G472:G474)</f>
        <v>0.7835745833333333</v>
      </c>
      <c r="L474">
        <f>+J474/I474</f>
        <v>2.8520932165346211E-2</v>
      </c>
      <c r="M474">
        <f>+(L474-$L$931)/$L$932</f>
        <v>-1.8474601052130561</v>
      </c>
      <c r="N474">
        <f>+N471+M474</f>
        <v>15.499500585856399</v>
      </c>
    </row>
    <row r="475" spans="1:14">
      <c r="A475" s="15">
        <v>5</v>
      </c>
      <c r="B475" s="75">
        <v>41164</v>
      </c>
      <c r="C475" s="15">
        <v>2012</v>
      </c>
      <c r="D475" s="11" t="s">
        <v>41</v>
      </c>
      <c r="E475" s="15">
        <v>9</v>
      </c>
      <c r="F475" s="26">
        <v>13.07</v>
      </c>
      <c r="G475" s="27">
        <v>2.3533545</v>
      </c>
    </row>
    <row r="476" spans="1:14">
      <c r="A476" s="15">
        <v>7</v>
      </c>
      <c r="B476" s="75">
        <v>41163</v>
      </c>
      <c r="C476" s="15">
        <v>2012</v>
      </c>
      <c r="D476" s="11" t="s">
        <v>41</v>
      </c>
      <c r="E476" s="15">
        <v>9</v>
      </c>
      <c r="F476" s="26">
        <v>20.484999999999999</v>
      </c>
      <c r="G476" s="27">
        <v>4.0982248749999997</v>
      </c>
    </row>
    <row r="477" spans="1:14">
      <c r="A477" s="15">
        <v>14</v>
      </c>
      <c r="B477" s="75">
        <v>41163</v>
      </c>
      <c r="C477" s="15">
        <v>2012</v>
      </c>
      <c r="D477" s="11" t="s">
        <v>41</v>
      </c>
      <c r="E477" s="15">
        <v>9</v>
      </c>
      <c r="F477" s="26">
        <v>2.7469999999999999</v>
      </c>
      <c r="G477" s="27">
        <v>0.55204874999999987</v>
      </c>
      <c r="I477" s="27">
        <f>AVERAGE(F475:F477)</f>
        <v>12.100666666666667</v>
      </c>
      <c r="J477" s="27">
        <f>AVERAGE(G475:G477)</f>
        <v>2.3345427083333332</v>
      </c>
      <c r="L477">
        <f>+J477/I477</f>
        <v>0.19292678433695112</v>
      </c>
      <c r="M477">
        <f>+(L477-$L$931)/$L$932</f>
        <v>-0.2861516695350515</v>
      </c>
      <c r="N477">
        <f>+N474+M477</f>
        <v>15.213348916321348</v>
      </c>
    </row>
    <row r="478" spans="1:14">
      <c r="A478" s="15">
        <v>5</v>
      </c>
      <c r="B478" s="75">
        <v>41199</v>
      </c>
      <c r="C478" s="15">
        <v>2012</v>
      </c>
      <c r="D478" s="11" t="s">
        <v>37</v>
      </c>
      <c r="E478" s="15">
        <v>10</v>
      </c>
      <c r="F478" s="26">
        <v>3.6970000000000001</v>
      </c>
      <c r="G478" s="27">
        <v>0.78586574999999992</v>
      </c>
    </row>
    <row r="479" spans="1:14">
      <c r="A479" s="15">
        <v>7</v>
      </c>
      <c r="B479" s="75">
        <v>41199</v>
      </c>
      <c r="C479" s="15">
        <v>2012</v>
      </c>
      <c r="D479" s="11" t="s">
        <v>37</v>
      </c>
      <c r="E479" s="15">
        <v>10</v>
      </c>
      <c r="F479" s="26">
        <v>1.903</v>
      </c>
      <c r="G479" s="27">
        <v>7.2224625000000001E-2</v>
      </c>
    </row>
    <row r="480" spans="1:14">
      <c r="A480" s="15">
        <v>14</v>
      </c>
      <c r="B480" s="75">
        <v>41199</v>
      </c>
      <c r="C480" s="15">
        <v>2012</v>
      </c>
      <c r="D480" s="11" t="s">
        <v>37</v>
      </c>
      <c r="E480" s="15">
        <v>10</v>
      </c>
      <c r="F480" s="26">
        <v>1.704</v>
      </c>
      <c r="G480" s="27">
        <v>0.11745587500000002</v>
      </c>
      <c r="I480" s="27">
        <f>AVERAGE(F478:F480)</f>
        <v>2.4346666666666663</v>
      </c>
      <c r="J480" s="27">
        <f>AVERAGE(G478:G480)</f>
        <v>0.32518208333333332</v>
      </c>
      <c r="L480">
        <f>+J480/I480</f>
        <v>0.13356328723986857</v>
      </c>
      <c r="M480">
        <f>+(L480-$L$931)/$L$932</f>
        <v>-0.84990732400091862</v>
      </c>
      <c r="N480">
        <f>+N477+M480</f>
        <v>14.363441592320429</v>
      </c>
    </row>
    <row r="481" spans="1:14">
      <c r="A481" s="15">
        <v>5</v>
      </c>
      <c r="B481" s="75">
        <v>41225</v>
      </c>
      <c r="C481" s="15">
        <v>2012</v>
      </c>
      <c r="D481" s="11" t="s">
        <v>38</v>
      </c>
      <c r="E481" s="15">
        <v>11</v>
      </c>
      <c r="F481" s="26">
        <v>4.7450000000000001</v>
      </c>
      <c r="G481" s="27">
        <v>1.504715875</v>
      </c>
    </row>
    <row r="482" spans="1:14">
      <c r="A482" s="15">
        <v>7</v>
      </c>
      <c r="B482" s="75">
        <v>41225</v>
      </c>
      <c r="C482" s="15">
        <v>2012</v>
      </c>
      <c r="D482" s="11" t="s">
        <v>38</v>
      </c>
      <c r="E482" s="15">
        <v>11</v>
      </c>
      <c r="F482" s="26">
        <v>4.2389999999999999</v>
      </c>
      <c r="G482" s="27">
        <v>0.60974062500000004</v>
      </c>
    </row>
    <row r="483" spans="1:14">
      <c r="A483" s="15">
        <v>14</v>
      </c>
      <c r="B483" s="75">
        <v>41225</v>
      </c>
      <c r="C483" s="15">
        <v>2012</v>
      </c>
      <c r="D483" s="11" t="s">
        <v>38</v>
      </c>
      <c r="E483" s="15">
        <v>11</v>
      </c>
      <c r="F483" s="26">
        <v>1.831</v>
      </c>
      <c r="G483" s="27">
        <v>0.27767249999999999</v>
      </c>
    </row>
    <row r="484" spans="1:14">
      <c r="A484" s="15">
        <v>14</v>
      </c>
      <c r="B484" s="75">
        <v>41225</v>
      </c>
      <c r="C484" s="15">
        <v>2012</v>
      </c>
      <c r="D484" s="11" t="s">
        <v>38</v>
      </c>
      <c r="E484" s="15">
        <v>11</v>
      </c>
      <c r="F484" s="26">
        <v>1.831</v>
      </c>
      <c r="G484" s="27">
        <v>0.30436324999999997</v>
      </c>
      <c r="H484" t="s">
        <v>13</v>
      </c>
      <c r="I484" s="27">
        <f>AVERAGE(F481:F484)</f>
        <v>3.1614999999999998</v>
      </c>
      <c r="J484" s="27">
        <f>AVERAGE(G481:G484)</f>
        <v>0.67412306250000009</v>
      </c>
      <c r="L484">
        <f>+J484/I484</f>
        <v>0.21322886683536302</v>
      </c>
      <c r="M484">
        <f>+(L484-$L$931)/$L$932</f>
        <v>-9.3349453264091359E-2</v>
      </c>
      <c r="N484">
        <f>+N480+M484</f>
        <v>14.270092139056338</v>
      </c>
    </row>
    <row r="485" spans="1:14">
      <c r="A485" s="15">
        <v>5</v>
      </c>
      <c r="B485" s="75">
        <v>41254</v>
      </c>
      <c r="C485" s="15">
        <v>2012</v>
      </c>
      <c r="D485" s="11" t="s">
        <v>39</v>
      </c>
      <c r="E485" s="15">
        <v>12</v>
      </c>
      <c r="F485" s="26">
        <v>2.2109999999999999</v>
      </c>
      <c r="G485" s="27">
        <v>1.0618233749999997</v>
      </c>
    </row>
    <row r="486" spans="1:14">
      <c r="A486" s="15">
        <v>7</v>
      </c>
      <c r="B486" s="75">
        <v>41255</v>
      </c>
      <c r="C486" s="15">
        <v>2012</v>
      </c>
      <c r="D486" s="11" t="s">
        <v>39</v>
      </c>
      <c r="E486" s="15">
        <v>12</v>
      </c>
      <c r="F486" s="26">
        <v>3.383</v>
      </c>
      <c r="G486" s="27">
        <v>1.6386555000000003</v>
      </c>
    </row>
    <row r="487" spans="1:14">
      <c r="A487" s="15">
        <v>14</v>
      </c>
      <c r="B487" s="75">
        <v>41255</v>
      </c>
      <c r="C487" s="15">
        <v>2012</v>
      </c>
      <c r="D487" s="11" t="s">
        <v>39</v>
      </c>
      <c r="E487" s="15">
        <v>12</v>
      </c>
      <c r="F487" s="26">
        <v>1.1919999999999999</v>
      </c>
      <c r="G487" s="27">
        <v>0.60476775000000005</v>
      </c>
      <c r="I487" s="27">
        <f>AVERAGE(F485:F487)</f>
        <v>2.262</v>
      </c>
      <c r="J487" s="27">
        <f>AVERAGE(G485:G487)</f>
        <v>1.101748875</v>
      </c>
      <c r="L487">
        <f>+J487/I487</f>
        <v>0.48706846816976124</v>
      </c>
      <c r="M487">
        <f>+(L487-$L$931)/$L$932</f>
        <v>2.5072153924436389</v>
      </c>
      <c r="N487">
        <f>+N484+M487</f>
        <v>16.777307531499979</v>
      </c>
    </row>
    <row r="488" spans="1:14">
      <c r="A488" s="15">
        <v>5</v>
      </c>
      <c r="B488" s="75">
        <v>41288</v>
      </c>
      <c r="C488" s="15">
        <v>2013</v>
      </c>
      <c r="D488" s="11" t="s">
        <v>40</v>
      </c>
      <c r="E488" s="15">
        <v>1</v>
      </c>
      <c r="F488" s="26">
        <v>2.3490000000000002</v>
      </c>
      <c r="G488" s="27">
        <v>0.9808332500000001</v>
      </c>
    </row>
    <row r="489" spans="1:14">
      <c r="A489" s="15">
        <v>7</v>
      </c>
      <c r="B489" s="75">
        <v>41297</v>
      </c>
      <c r="C489" s="15">
        <v>2013</v>
      </c>
      <c r="D489" s="11" t="s">
        <v>40</v>
      </c>
      <c r="E489" s="15">
        <v>1</v>
      </c>
      <c r="F489" s="26">
        <v>2.6680000000000001</v>
      </c>
      <c r="G489" s="27">
        <v>0.37740112499999989</v>
      </c>
    </row>
    <row r="490" spans="1:14">
      <c r="A490" s="15">
        <v>7</v>
      </c>
      <c r="B490" s="75">
        <v>41297</v>
      </c>
      <c r="C490" s="15">
        <v>2013</v>
      </c>
      <c r="D490" s="11" t="s">
        <v>40</v>
      </c>
      <c r="E490" s="15">
        <v>1</v>
      </c>
      <c r="F490" s="26">
        <v>2.6680000000000001</v>
      </c>
      <c r="G490" s="27">
        <v>0.37537199999999998</v>
      </c>
      <c r="H490" t="s">
        <v>13</v>
      </c>
    </row>
    <row r="491" spans="1:14">
      <c r="A491" s="15">
        <v>14</v>
      </c>
      <c r="B491" s="75">
        <v>41297</v>
      </c>
      <c r="C491" s="15">
        <v>2013</v>
      </c>
      <c r="D491" s="11" t="s">
        <v>40</v>
      </c>
      <c r="E491" s="15">
        <v>1</v>
      </c>
      <c r="F491" s="26">
        <v>1.38</v>
      </c>
      <c r="G491" s="27">
        <v>0.33170300000000008</v>
      </c>
      <c r="I491" s="27">
        <f>AVERAGE(F488:F491)</f>
        <v>2.2662500000000003</v>
      </c>
      <c r="J491" s="27">
        <f>AVERAGE(G488:G491)</f>
        <v>0.51632734375</v>
      </c>
      <c r="L491">
        <f>+J491/I491</f>
        <v>0.22783335631549914</v>
      </c>
      <c r="M491">
        <f>+(L491-$L$931)/$L$932</f>
        <v>4.5344591521532369E-2</v>
      </c>
      <c r="N491">
        <f>+N487+M491</f>
        <v>16.822652123021513</v>
      </c>
    </row>
    <row r="492" spans="1:14">
      <c r="A492" s="15">
        <v>5</v>
      </c>
      <c r="B492" s="75">
        <v>41318</v>
      </c>
      <c r="C492" s="15">
        <v>2013</v>
      </c>
      <c r="D492" s="11" t="s">
        <v>29</v>
      </c>
      <c r="E492" s="15">
        <v>2</v>
      </c>
      <c r="F492" s="31">
        <v>8.3369999999999997</v>
      </c>
      <c r="G492" s="27">
        <v>4.9778297499999988</v>
      </c>
    </row>
    <row r="493" spans="1:14">
      <c r="A493" s="15">
        <v>7</v>
      </c>
      <c r="B493" s="75">
        <v>41319</v>
      </c>
      <c r="C493" s="15">
        <v>2013</v>
      </c>
      <c r="D493" s="11" t="s">
        <v>29</v>
      </c>
      <c r="E493" s="15">
        <v>2</v>
      </c>
      <c r="F493" s="31">
        <v>5.2880000000000003</v>
      </c>
      <c r="G493" s="27">
        <v>2.3394633749999998</v>
      </c>
    </row>
    <row r="494" spans="1:14">
      <c r="A494" s="15">
        <v>14</v>
      </c>
      <c r="B494" s="75">
        <v>41319</v>
      </c>
      <c r="C494" s="15">
        <v>2013</v>
      </c>
      <c r="D494" s="11" t="s">
        <v>29</v>
      </c>
      <c r="E494" s="15">
        <v>2</v>
      </c>
      <c r="F494" s="31">
        <v>6.0389999999999997</v>
      </c>
      <c r="G494" s="27">
        <v>3.1278204999999994</v>
      </c>
    </row>
    <row r="495" spans="1:14">
      <c r="A495" s="15">
        <v>14</v>
      </c>
      <c r="B495" s="75">
        <v>41319</v>
      </c>
      <c r="C495" s="15">
        <v>2013</v>
      </c>
      <c r="D495" s="11" t="s">
        <v>29</v>
      </c>
      <c r="E495" s="15">
        <v>2</v>
      </c>
      <c r="F495" s="31">
        <v>6.0389999999999997</v>
      </c>
      <c r="G495" s="27">
        <v>3.6103182500000002</v>
      </c>
      <c r="H495" t="s">
        <v>13</v>
      </c>
      <c r="I495" s="27">
        <f>AVERAGE(F492:F495)</f>
        <v>6.4257500000000007</v>
      </c>
      <c r="J495" s="27">
        <f>AVERAGE(G492:G495)</f>
        <v>3.5138579687499996</v>
      </c>
      <c r="L495">
        <f>+J495/I495</f>
        <v>0.54684013052951008</v>
      </c>
      <c r="M495">
        <f>+(L495-$L$931)/$L$932</f>
        <v>3.0748472584879507</v>
      </c>
      <c r="N495">
        <f>+N491+M495</f>
        <v>19.897499381509462</v>
      </c>
    </row>
    <row r="496" spans="1:14">
      <c r="A496" s="15">
        <v>5</v>
      </c>
      <c r="B496" s="75">
        <v>41344</v>
      </c>
      <c r="C496" s="15">
        <v>2013</v>
      </c>
      <c r="D496" s="11" t="s">
        <v>30</v>
      </c>
      <c r="E496" s="15">
        <v>3</v>
      </c>
      <c r="F496" s="31">
        <v>6.8650000000000002</v>
      </c>
      <c r="G496" s="27">
        <v>4.1329747499999998</v>
      </c>
    </row>
    <row r="497" spans="1:14">
      <c r="A497" s="15">
        <v>7</v>
      </c>
      <c r="B497" s="75">
        <v>41346</v>
      </c>
      <c r="C497" s="15">
        <v>2013</v>
      </c>
      <c r="D497" s="11" t="s">
        <v>30</v>
      </c>
      <c r="E497" s="15">
        <v>3</v>
      </c>
      <c r="F497" s="31">
        <v>10.744</v>
      </c>
      <c r="G497" s="27">
        <v>6.8205334999999989</v>
      </c>
    </row>
    <row r="498" spans="1:14">
      <c r="A498" s="15">
        <v>14</v>
      </c>
      <c r="B498" s="75">
        <v>41346</v>
      </c>
      <c r="C498" s="15">
        <v>2013</v>
      </c>
      <c r="D498" s="11" t="s">
        <v>30</v>
      </c>
      <c r="E498" s="15">
        <v>3</v>
      </c>
      <c r="F498" s="31">
        <v>8.9760000000000009</v>
      </c>
      <c r="G498" s="27">
        <v>6.0120923749999999</v>
      </c>
      <c r="I498" s="27">
        <f>AVERAGE(F496:F498)</f>
        <v>8.8616666666666664</v>
      </c>
      <c r="J498" s="27">
        <f>AVERAGE(G496:G498)</f>
        <v>5.6552002083333335</v>
      </c>
      <c r="L498">
        <f>+J498/I498</f>
        <v>0.63816440191837509</v>
      </c>
      <c r="M498">
        <f>+(L498-$L$931)/$L$932</f>
        <v>3.9421238999103827</v>
      </c>
      <c r="N498">
        <f>+N495+M498</f>
        <v>23.839623281419843</v>
      </c>
    </row>
    <row r="499" spans="1:14">
      <c r="A499" s="15">
        <v>5</v>
      </c>
      <c r="B499" s="75">
        <v>41379</v>
      </c>
      <c r="C499" s="15">
        <v>2013</v>
      </c>
      <c r="D499" s="11" t="s">
        <v>31</v>
      </c>
      <c r="E499" s="15">
        <v>4</v>
      </c>
      <c r="F499" s="32">
        <v>2.5430000000000001</v>
      </c>
      <c r="G499" s="27">
        <v>1.3378622499999999</v>
      </c>
    </row>
    <row r="500" spans="1:14">
      <c r="A500" s="15">
        <v>7</v>
      </c>
      <c r="B500" s="75">
        <v>41380</v>
      </c>
      <c r="C500" s="15">
        <v>2013</v>
      </c>
      <c r="D500" s="11" t="s">
        <v>31</v>
      </c>
      <c r="E500" s="15">
        <v>4</v>
      </c>
      <c r="F500" s="32">
        <v>5.2409999999999997</v>
      </c>
      <c r="G500" s="27">
        <v>1.13628825</v>
      </c>
    </row>
    <row r="501" spans="1:14">
      <c r="A501" s="15">
        <v>14</v>
      </c>
      <c r="B501" s="75">
        <v>41380</v>
      </c>
      <c r="C501" s="15">
        <v>2013</v>
      </c>
      <c r="D501" s="11" t="s">
        <v>31</v>
      </c>
      <c r="E501" s="15">
        <v>4</v>
      </c>
      <c r="F501" s="32">
        <v>0.433</v>
      </c>
      <c r="G501" s="27">
        <v>8.6425500000000002E-2</v>
      </c>
      <c r="I501" s="27">
        <f>AVERAGE(F499:F501)</f>
        <v>2.7390000000000003</v>
      </c>
      <c r="J501" s="27">
        <f>AVERAGE(G499:G501)</f>
        <v>0.85352533333333325</v>
      </c>
      <c r="L501">
        <f>+J501/I501</f>
        <v>0.31161932578800045</v>
      </c>
      <c r="M501">
        <f>+(L501-$L$931)/$L$932</f>
        <v>0.8410324529994323</v>
      </c>
      <c r="N501">
        <f>+N498+M501</f>
        <v>24.680655734419275</v>
      </c>
    </row>
    <row r="502" spans="1:14">
      <c r="A502" s="15">
        <v>5</v>
      </c>
      <c r="B502" s="75">
        <v>41407</v>
      </c>
      <c r="C502" s="15">
        <v>2013</v>
      </c>
      <c r="D502" s="11" t="s">
        <v>32</v>
      </c>
      <c r="E502" s="15">
        <v>5</v>
      </c>
      <c r="F502" s="32">
        <v>1.2370000000000001</v>
      </c>
      <c r="G502" s="27">
        <v>5.142562500000001E-2</v>
      </c>
    </row>
    <row r="503" spans="1:14">
      <c r="A503" s="15">
        <v>7</v>
      </c>
      <c r="B503" s="75">
        <v>41407</v>
      </c>
      <c r="C503" s="15">
        <v>2013</v>
      </c>
      <c r="D503" s="11" t="s">
        <v>32</v>
      </c>
      <c r="E503" s="15">
        <v>5</v>
      </c>
      <c r="F503" s="32">
        <v>1.2390000000000001</v>
      </c>
      <c r="G503" s="27">
        <v>0.55525512499999985</v>
      </c>
    </row>
    <row r="504" spans="1:14">
      <c r="A504" s="15">
        <v>14</v>
      </c>
      <c r="B504" s="75">
        <v>41407</v>
      </c>
      <c r="C504" s="15">
        <v>2013</v>
      </c>
      <c r="D504" s="11" t="s">
        <v>32</v>
      </c>
      <c r="E504" s="15">
        <v>5</v>
      </c>
      <c r="F504" s="32">
        <v>0.63600000000000001</v>
      </c>
      <c r="G504" s="27">
        <v>0.2498658749999999</v>
      </c>
      <c r="I504" s="27">
        <f>AVERAGE(F502:F504)</f>
        <v>1.0373333333333334</v>
      </c>
      <c r="J504" s="27">
        <f>AVERAGE(G502:G504)</f>
        <v>0.28551554166666659</v>
      </c>
      <c r="L504">
        <f>+J504/I504</f>
        <v>0.27523991805912584</v>
      </c>
      <c r="M504">
        <f>+(L504-$L$931)/$L$932</f>
        <v>0.49554915406689254</v>
      </c>
      <c r="N504">
        <f>+N501+M504</f>
        <v>25.176204888486168</v>
      </c>
    </row>
    <row r="505" spans="1:14">
      <c r="A505" s="15">
        <v>5</v>
      </c>
      <c r="B505" s="75">
        <v>41436</v>
      </c>
      <c r="C505" s="15">
        <v>2013</v>
      </c>
      <c r="D505" s="11" t="s">
        <v>33</v>
      </c>
      <c r="E505" s="15">
        <v>6</v>
      </c>
      <c r="F505" s="32">
        <v>6.915</v>
      </c>
      <c r="G505" s="27">
        <v>3.4232782500000001</v>
      </c>
    </row>
    <row r="506" spans="1:14">
      <c r="A506" s="15">
        <v>5</v>
      </c>
      <c r="B506" s="75">
        <v>41436</v>
      </c>
      <c r="C506" s="15">
        <v>2013</v>
      </c>
      <c r="D506" s="11" t="s">
        <v>33</v>
      </c>
      <c r="E506" s="15">
        <v>6</v>
      </c>
      <c r="F506" s="32">
        <v>6.915</v>
      </c>
      <c r="G506" s="27">
        <v>3.4041421249999999</v>
      </c>
      <c r="H506" t="s">
        <v>13</v>
      </c>
    </row>
    <row r="507" spans="1:14">
      <c r="A507" s="15">
        <v>7</v>
      </c>
      <c r="B507" s="75">
        <v>41437</v>
      </c>
      <c r="C507" s="15">
        <v>2013</v>
      </c>
      <c r="D507" s="11" t="s">
        <v>33</v>
      </c>
      <c r="E507" s="15">
        <v>6</v>
      </c>
      <c r="F507" s="32">
        <v>7.1859999999999999</v>
      </c>
      <c r="G507" s="27">
        <v>2.0410166250000001</v>
      </c>
      <c r="I507" s="27"/>
      <c r="J507" s="27"/>
    </row>
    <row r="508" spans="1:14">
      <c r="A508" s="15">
        <v>14</v>
      </c>
      <c r="B508" s="75">
        <v>41437</v>
      </c>
      <c r="C508" s="15">
        <v>2013</v>
      </c>
      <c r="D508" s="11" t="s">
        <v>33</v>
      </c>
      <c r="E508" s="15">
        <v>6</v>
      </c>
      <c r="F508" s="32">
        <v>5.2770000000000001</v>
      </c>
      <c r="G508" s="27">
        <v>2.1256057500000001</v>
      </c>
      <c r="I508" s="27">
        <f>AVERAGE(F505:F508)</f>
        <v>6.5732499999999998</v>
      </c>
      <c r="J508" s="27">
        <f>AVERAGE(G505:G508)</f>
        <v>2.7485106875</v>
      </c>
      <c r="L508">
        <f>+J508/I508</f>
        <v>0.4181357300422166</v>
      </c>
      <c r="M508">
        <f>+(L508-$L$931)/$L$932</f>
        <v>1.8525837956280937</v>
      </c>
      <c r="N508">
        <f>+N504+M508</f>
        <v>27.028788684114261</v>
      </c>
    </row>
    <row r="509" spans="1:14">
      <c r="A509" s="15">
        <v>5</v>
      </c>
      <c r="B509" s="75">
        <v>41470</v>
      </c>
      <c r="C509" s="15">
        <v>2013</v>
      </c>
      <c r="D509" s="11" t="s">
        <v>34</v>
      </c>
      <c r="E509" s="15">
        <v>7</v>
      </c>
      <c r="F509" s="32">
        <v>6.6029999999999998</v>
      </c>
      <c r="G509" s="27">
        <v>1.5036761249999997</v>
      </c>
    </row>
    <row r="510" spans="1:14">
      <c r="A510" s="15">
        <v>7</v>
      </c>
      <c r="B510" s="75">
        <v>41470</v>
      </c>
      <c r="C510" s="15">
        <v>2013</v>
      </c>
      <c r="D510" s="11" t="s">
        <v>34</v>
      </c>
      <c r="E510" s="15">
        <v>7</v>
      </c>
      <c r="F510" s="32">
        <v>9.8219999999999992</v>
      </c>
      <c r="G510" s="27">
        <v>2.3433163750000001</v>
      </c>
    </row>
    <row r="511" spans="1:14">
      <c r="A511" s="15">
        <v>14</v>
      </c>
      <c r="B511" s="75">
        <v>41470</v>
      </c>
      <c r="C511" s="15">
        <v>2013</v>
      </c>
      <c r="D511" s="11" t="s">
        <v>34</v>
      </c>
      <c r="E511" s="15">
        <v>7</v>
      </c>
      <c r="F511" s="32">
        <v>4.4320000000000004</v>
      </c>
      <c r="G511" s="27">
        <v>1.1304464999999997</v>
      </c>
      <c r="I511" s="27">
        <f>AVERAGE(F509:F511)</f>
        <v>6.9523333333333328</v>
      </c>
      <c r="J511" s="27">
        <f>AVERAGE(G509:G511)</f>
        <v>1.6591463333333332</v>
      </c>
      <c r="L511">
        <f>+J511/I511</f>
        <v>0.23864597017787792</v>
      </c>
      <c r="M511">
        <f>+(L511-$L$931)/$L$932</f>
        <v>0.14802843769897783</v>
      </c>
      <c r="N511">
        <f>+N508+M511</f>
        <v>27.17681712181324</v>
      </c>
    </row>
    <row r="512" spans="1:14">
      <c r="A512" s="15">
        <v>5</v>
      </c>
      <c r="B512" s="75">
        <v>41498</v>
      </c>
      <c r="C512" s="15">
        <v>2013</v>
      </c>
      <c r="D512" s="11" t="s">
        <v>35</v>
      </c>
      <c r="E512" s="15">
        <v>8</v>
      </c>
      <c r="F512" s="32">
        <v>6.9290000000000003</v>
      </c>
      <c r="G512" s="27">
        <v>1.9129505</v>
      </c>
    </row>
    <row r="513" spans="1:14">
      <c r="A513" s="15">
        <v>7</v>
      </c>
      <c r="B513" s="75">
        <v>41498</v>
      </c>
      <c r="C513" s="15">
        <v>2013</v>
      </c>
      <c r="D513" s="11" t="s">
        <v>35</v>
      </c>
      <c r="E513" s="15">
        <v>8</v>
      </c>
      <c r="F513" s="32">
        <v>5.9130000000000003</v>
      </c>
      <c r="G513" s="27">
        <v>0.42570212499999993</v>
      </c>
    </row>
    <row r="514" spans="1:14">
      <c r="A514" s="15">
        <v>14</v>
      </c>
      <c r="B514" s="75">
        <v>41498</v>
      </c>
      <c r="C514" s="15">
        <v>2013</v>
      </c>
      <c r="D514" s="11" t="s">
        <v>35</v>
      </c>
      <c r="E514" s="15">
        <v>8</v>
      </c>
      <c r="F514" s="32">
        <v>4.3970000000000002</v>
      </c>
      <c r="G514" s="27">
        <v>0.24674874999999996</v>
      </c>
      <c r="I514" s="27">
        <f>AVERAGE(F512:F514)</f>
        <v>5.7463333333333333</v>
      </c>
      <c r="J514" s="27">
        <f>AVERAGE(G512:G514)</f>
        <v>0.8618004583333333</v>
      </c>
      <c r="L514">
        <f>+J514/I514</f>
        <v>0.14997397615870989</v>
      </c>
      <c r="M514">
        <f>+(L514-$L$931)/$L$932</f>
        <v>-0.69406039576912792</v>
      </c>
      <c r="N514">
        <f>+N511+M514</f>
        <v>26.482756726044112</v>
      </c>
    </row>
    <row r="515" spans="1:14">
      <c r="A515" s="15">
        <v>5</v>
      </c>
      <c r="B515" s="75">
        <v>41533</v>
      </c>
      <c r="C515" s="15">
        <v>2013</v>
      </c>
      <c r="D515" s="11" t="s">
        <v>41</v>
      </c>
      <c r="E515" s="15">
        <v>9</v>
      </c>
      <c r="F515" s="32">
        <v>3.4</v>
      </c>
      <c r="G515" s="27">
        <v>1.1208383749999999</v>
      </c>
    </row>
    <row r="516" spans="1:14">
      <c r="A516" s="15">
        <v>7</v>
      </c>
      <c r="B516" s="75">
        <v>41535</v>
      </c>
      <c r="C516" s="15">
        <v>2013</v>
      </c>
      <c r="D516" s="11" t="s">
        <v>41</v>
      </c>
      <c r="E516" s="15">
        <v>9</v>
      </c>
      <c r="F516" s="32">
        <v>7.87</v>
      </c>
      <c r="G516" s="27">
        <v>0.166927875</v>
      </c>
    </row>
    <row r="517" spans="1:14">
      <c r="A517" s="15">
        <v>14</v>
      </c>
      <c r="B517" s="75">
        <v>41535</v>
      </c>
      <c r="C517" s="15">
        <v>2013</v>
      </c>
      <c r="D517" s="11" t="s">
        <v>41</v>
      </c>
      <c r="E517" s="15">
        <v>9</v>
      </c>
      <c r="F517" s="32">
        <v>0.88300000000000001</v>
      </c>
      <c r="G517" s="27">
        <v>0.156142</v>
      </c>
      <c r="I517" s="27">
        <f>AVERAGE(F515:F517)</f>
        <v>4.0509999999999993</v>
      </c>
      <c r="J517" s="27">
        <f>AVERAGE(G515:G517)</f>
        <v>0.48130275</v>
      </c>
      <c r="L517">
        <f>+J517/I517</f>
        <v>0.11881084917304371</v>
      </c>
      <c r="M517">
        <f>+(L517-$L$931)/$L$932</f>
        <v>-0.99000638797164198</v>
      </c>
      <c r="N517">
        <f>+N514+M517</f>
        <v>25.492750338072469</v>
      </c>
    </row>
    <row r="518" spans="1:14">
      <c r="A518" s="15">
        <v>5</v>
      </c>
      <c r="B518" s="75">
        <v>41569</v>
      </c>
      <c r="C518" s="15">
        <v>2013</v>
      </c>
      <c r="D518" s="11" t="s">
        <v>37</v>
      </c>
      <c r="E518" s="15">
        <v>10</v>
      </c>
      <c r="F518" s="26">
        <v>2.6429999999999998</v>
      </c>
      <c r="G518" s="27">
        <v>6.7841374999999982E-2</v>
      </c>
    </row>
    <row r="519" spans="1:14">
      <c r="A519" s="15">
        <v>7</v>
      </c>
      <c r="B519" s="75">
        <v>406810</v>
      </c>
      <c r="C519" s="15">
        <v>2013</v>
      </c>
      <c r="D519" s="11" t="s">
        <v>37</v>
      </c>
      <c r="E519" s="15">
        <v>10</v>
      </c>
      <c r="F519" s="26">
        <v>3.2120000000000002</v>
      </c>
      <c r="G519" s="27">
        <v>0.50090887499999992</v>
      </c>
    </row>
    <row r="520" spans="1:14">
      <c r="A520" s="15">
        <v>14</v>
      </c>
      <c r="B520" s="75">
        <v>406810</v>
      </c>
      <c r="C520" s="15">
        <v>2013</v>
      </c>
      <c r="D520" s="11" t="s">
        <v>37</v>
      </c>
      <c r="E520" s="15">
        <v>10</v>
      </c>
      <c r="F520" s="26">
        <v>1.133</v>
      </c>
      <c r="G520" s="27">
        <v>6.6877375000000003E-2</v>
      </c>
      <c r="I520" s="27">
        <f>AVERAGE(F518:F520)</f>
        <v>2.3293333333333335</v>
      </c>
      <c r="J520" s="27">
        <f>AVERAGE(G518:G520)</f>
        <v>0.21187587499999996</v>
      </c>
      <c r="L520">
        <f>+J520/I520</f>
        <v>9.0959877647395521E-2</v>
      </c>
      <c r="M520">
        <f>+(L520-$L$931)/$L$932</f>
        <v>-1.2544979265054064</v>
      </c>
      <c r="N520">
        <f>+N517+M520</f>
        <v>24.238252411567061</v>
      </c>
    </row>
    <row r="521" spans="1:14">
      <c r="A521" s="15">
        <v>5</v>
      </c>
      <c r="B521" s="75">
        <v>41597</v>
      </c>
      <c r="C521" s="15">
        <v>2013</v>
      </c>
      <c r="D521" s="11" t="s">
        <v>38</v>
      </c>
      <c r="E521" s="15">
        <v>11</v>
      </c>
      <c r="F521" s="26">
        <v>0.70799999999999996</v>
      </c>
      <c r="G521" s="27">
        <v>0.16126675000000001</v>
      </c>
    </row>
    <row r="522" spans="1:14">
      <c r="A522" s="15">
        <v>7</v>
      </c>
      <c r="B522" s="75">
        <v>41599</v>
      </c>
      <c r="C522" s="15">
        <v>2013</v>
      </c>
      <c r="D522" s="11" t="s">
        <v>38</v>
      </c>
      <c r="E522" s="15">
        <v>11</v>
      </c>
      <c r="F522" s="26">
        <v>0.64800000000000002</v>
      </c>
      <c r="G522" s="27">
        <v>0.11387787499999998</v>
      </c>
    </row>
    <row r="523" spans="1:14">
      <c r="A523" s="15">
        <v>14</v>
      </c>
      <c r="B523" s="75">
        <v>41599</v>
      </c>
      <c r="C523" s="15">
        <v>2013</v>
      </c>
      <c r="D523" s="11" t="s">
        <v>38</v>
      </c>
      <c r="E523" s="15">
        <v>11</v>
      </c>
      <c r="F523" s="26">
        <v>0.48199999999999998</v>
      </c>
      <c r="G523" s="27">
        <v>0.11209749999999999</v>
      </c>
    </row>
    <row r="524" spans="1:14">
      <c r="A524" s="15">
        <v>14</v>
      </c>
      <c r="B524" s="75">
        <v>41599</v>
      </c>
      <c r="C524" s="15">
        <v>2013</v>
      </c>
      <c r="D524" s="11" t="s">
        <v>38</v>
      </c>
      <c r="E524" s="15">
        <v>11</v>
      </c>
      <c r="F524" s="26">
        <v>0.48199999999999998</v>
      </c>
      <c r="G524" s="27">
        <v>0.11948925000000001</v>
      </c>
      <c r="H524" t="s">
        <v>13</v>
      </c>
      <c r="I524" s="27">
        <f>AVERAGE(F521:F524)</f>
        <v>0.57999999999999996</v>
      </c>
      <c r="J524" s="27">
        <f>AVERAGE(G521:G524)</f>
        <v>0.12668284375</v>
      </c>
      <c r="L524">
        <f>+J524/I524</f>
        <v>0.21841869612068968</v>
      </c>
      <c r="M524">
        <f>+(L524-$L$931)/$L$932</f>
        <v>-4.4063347350711081E-2</v>
      </c>
      <c r="N524">
        <f>+N520+M524</f>
        <v>24.194189064216349</v>
      </c>
    </row>
    <row r="525" spans="1:14">
      <c r="A525" s="15">
        <v>5</v>
      </c>
      <c r="B525" s="75">
        <v>41624</v>
      </c>
      <c r="C525" s="15">
        <v>2013</v>
      </c>
      <c r="D525" s="11" t="s">
        <v>39</v>
      </c>
      <c r="E525" s="15">
        <v>12</v>
      </c>
      <c r="F525" s="26">
        <v>3.2549999999999999</v>
      </c>
      <c r="G525" s="27">
        <v>1.2169337499999999</v>
      </c>
    </row>
    <row r="526" spans="1:14">
      <c r="A526" s="15">
        <v>7</v>
      </c>
      <c r="B526" s="75">
        <v>41627</v>
      </c>
      <c r="C526" s="15">
        <v>2013</v>
      </c>
      <c r="D526" s="11" t="s">
        <v>39</v>
      </c>
      <c r="E526" s="15">
        <v>12</v>
      </c>
      <c r="F526" s="26">
        <v>6.6989999999999998</v>
      </c>
      <c r="G526" s="27">
        <v>0.76138462499999993</v>
      </c>
    </row>
    <row r="527" spans="1:14">
      <c r="A527" s="15">
        <v>14</v>
      </c>
      <c r="B527" s="75">
        <v>41627</v>
      </c>
      <c r="C527" s="15">
        <v>2013</v>
      </c>
      <c r="D527" s="11" t="s">
        <v>39</v>
      </c>
      <c r="E527" s="15">
        <v>12</v>
      </c>
      <c r="F527" s="26">
        <v>2.052</v>
      </c>
      <c r="G527" s="27">
        <v>0.49781812500000006</v>
      </c>
    </row>
    <row r="528" spans="1:14">
      <c r="A528" s="15">
        <v>14</v>
      </c>
      <c r="B528" s="75">
        <v>41627</v>
      </c>
      <c r="C528" s="15">
        <v>2013</v>
      </c>
      <c r="D528" s="11" t="s">
        <v>39</v>
      </c>
      <c r="E528" s="15">
        <v>12</v>
      </c>
      <c r="F528" s="26">
        <v>2.052</v>
      </c>
      <c r="G528" s="27">
        <v>0.41767175000000001</v>
      </c>
      <c r="H528" t="s">
        <v>13</v>
      </c>
      <c r="I528" s="27">
        <f>AVERAGE(F525:F528)</f>
        <v>3.5145</v>
      </c>
      <c r="J528" s="27">
        <f>AVERAGE(G525:G528)</f>
        <v>0.72345206250000005</v>
      </c>
      <c r="L528">
        <f>+J528/I528</f>
        <v>0.20584779129321384</v>
      </c>
      <c r="M528">
        <f>+(L528-$L$931)/$L$932</f>
        <v>-0.16344510591948069</v>
      </c>
      <c r="N528">
        <f>+N524+M528</f>
        <v>24.030743958296867</v>
      </c>
    </row>
    <row r="529" spans="1:14">
      <c r="A529" s="15">
        <v>5</v>
      </c>
      <c r="B529" s="75">
        <v>41654</v>
      </c>
      <c r="C529" s="15">
        <v>2014</v>
      </c>
      <c r="D529" s="11" t="s">
        <v>40</v>
      </c>
      <c r="E529" s="15">
        <v>1</v>
      </c>
      <c r="F529" s="26">
        <v>2.7160000000000002</v>
      </c>
      <c r="G529" s="27">
        <v>1.0902731249999997</v>
      </c>
    </row>
    <row r="530" spans="1:14">
      <c r="A530" s="15">
        <v>7</v>
      </c>
      <c r="B530" s="75">
        <v>41655</v>
      </c>
      <c r="C530" s="15">
        <v>2014</v>
      </c>
      <c r="D530" s="11" t="s">
        <v>40</v>
      </c>
      <c r="E530" s="15">
        <v>1</v>
      </c>
      <c r="F530" s="26">
        <v>4.1989999999999998</v>
      </c>
      <c r="G530" s="27">
        <v>0.99440300000000004</v>
      </c>
    </row>
    <row r="531" spans="1:14">
      <c r="A531" s="15">
        <v>14</v>
      </c>
      <c r="B531" s="75">
        <v>41655</v>
      </c>
      <c r="C531" s="15">
        <v>2014</v>
      </c>
      <c r="D531" s="11" t="s">
        <v>40</v>
      </c>
      <c r="E531" s="15">
        <v>1</v>
      </c>
      <c r="F531" s="26">
        <v>2.839</v>
      </c>
      <c r="G531" s="27">
        <v>0.86851774999999987</v>
      </c>
      <c r="I531" s="27">
        <f>AVERAGE(F528:F531)</f>
        <v>2.9515000000000002</v>
      </c>
      <c r="J531" s="27">
        <f>AVERAGE(G528:G531)</f>
        <v>0.84271640624999988</v>
      </c>
      <c r="L531">
        <f>+J531/I531</f>
        <v>0.2855213980179569</v>
      </c>
      <c r="M531">
        <f>+(L531-$L$931)/$L$932</f>
        <v>0.59318899583007867</v>
      </c>
      <c r="N531">
        <f>+N528+M531</f>
        <v>24.623932954126946</v>
      </c>
    </row>
    <row r="532" spans="1:14">
      <c r="A532" s="15">
        <v>5</v>
      </c>
      <c r="B532" s="75">
        <v>41688</v>
      </c>
      <c r="C532" s="15">
        <v>2014</v>
      </c>
      <c r="D532" s="11" t="s">
        <v>29</v>
      </c>
      <c r="E532" s="15">
        <v>2</v>
      </c>
      <c r="F532" s="26">
        <v>2.9209999999999998</v>
      </c>
      <c r="G532" s="27">
        <v>1.080244875</v>
      </c>
    </row>
    <row r="533" spans="1:14">
      <c r="A533" s="15">
        <v>7</v>
      </c>
      <c r="B533" s="75">
        <v>41690</v>
      </c>
      <c r="C533" s="15">
        <v>2014</v>
      </c>
      <c r="D533" s="11" t="s">
        <v>29</v>
      </c>
      <c r="E533" s="15">
        <v>2</v>
      </c>
      <c r="F533" s="26">
        <v>3.8149999999999999</v>
      </c>
      <c r="G533" s="27">
        <v>1.4297617499999999</v>
      </c>
    </row>
    <row r="534" spans="1:14">
      <c r="A534" s="15">
        <v>7</v>
      </c>
      <c r="B534" s="75">
        <v>41690</v>
      </c>
      <c r="C534" s="15">
        <v>2014</v>
      </c>
      <c r="D534" s="11" t="s">
        <v>29</v>
      </c>
      <c r="E534" s="15">
        <v>2</v>
      </c>
      <c r="F534" s="26">
        <v>3.8149999999999999</v>
      </c>
      <c r="G534" s="27">
        <v>1.5665447499999998</v>
      </c>
    </row>
    <row r="535" spans="1:14">
      <c r="A535" s="15">
        <v>14</v>
      </c>
      <c r="B535" s="75">
        <v>41690</v>
      </c>
      <c r="C535" s="15">
        <v>2014</v>
      </c>
      <c r="D535" s="11" t="s">
        <v>29</v>
      </c>
      <c r="E535" s="15">
        <v>2</v>
      </c>
      <c r="F535" s="26">
        <v>4.59</v>
      </c>
      <c r="G535" s="27">
        <v>1.6685007500000002</v>
      </c>
      <c r="I535" s="27">
        <f>AVERAGE(F532:F535)</f>
        <v>3.78525</v>
      </c>
      <c r="J535" s="27">
        <f>AVERAGE(G532:G535)</f>
        <v>1.4362630312499998</v>
      </c>
      <c r="L535">
        <f>+J535/I535</f>
        <v>0.3794367693679413</v>
      </c>
      <c r="M535">
        <f>+(L535-$L$931)/$L$932</f>
        <v>1.4850724634301946</v>
      </c>
      <c r="N535">
        <f>+N531+M535</f>
        <v>26.109005417557142</v>
      </c>
    </row>
    <row r="536" spans="1:14">
      <c r="A536" s="15">
        <v>5</v>
      </c>
      <c r="B536" s="75">
        <v>41718</v>
      </c>
      <c r="C536" s="15">
        <v>2014</v>
      </c>
      <c r="D536" s="11" t="s">
        <v>30</v>
      </c>
      <c r="E536" s="15">
        <v>3</v>
      </c>
      <c r="F536" s="26">
        <v>5.923</v>
      </c>
      <c r="G536" s="27">
        <v>2.6624426249999997</v>
      </c>
    </row>
    <row r="537" spans="1:14">
      <c r="A537" s="15">
        <v>7</v>
      </c>
      <c r="B537" s="75">
        <v>41718</v>
      </c>
      <c r="C537" s="15">
        <v>2014</v>
      </c>
      <c r="D537" s="11" t="s">
        <v>30</v>
      </c>
      <c r="E537" s="15">
        <v>3</v>
      </c>
      <c r="F537" s="26">
        <v>3.7069999999999999</v>
      </c>
      <c r="G537" s="27">
        <v>1.3201890000000001</v>
      </c>
    </row>
    <row r="538" spans="1:14">
      <c r="A538" s="15">
        <v>14</v>
      </c>
      <c r="B538" s="75">
        <v>41718</v>
      </c>
      <c r="C538" s="15">
        <v>2014</v>
      </c>
      <c r="D538" s="11" t="s">
        <v>30</v>
      </c>
      <c r="E538" s="15">
        <v>3</v>
      </c>
      <c r="F538" s="26">
        <v>5.3289999999999997</v>
      </c>
      <c r="G538" s="27">
        <v>2.259413125</v>
      </c>
      <c r="I538" s="27">
        <f>AVERAGE(F535:F538)</f>
        <v>4.8872499999999999</v>
      </c>
      <c r="J538" s="27">
        <f>AVERAGE(G535:G538)</f>
        <v>1.9776363750000001</v>
      </c>
      <c r="L538">
        <f>+J538/I538</f>
        <v>0.40465218169727357</v>
      </c>
      <c r="M538">
        <f>+(L538-$L$931)/$L$932</f>
        <v>1.7245349610169149</v>
      </c>
      <c r="N538">
        <f>+N535+M538</f>
        <v>27.833540378574057</v>
      </c>
    </row>
    <row r="539" spans="1:14">
      <c r="A539" s="15">
        <v>5</v>
      </c>
      <c r="B539" s="75">
        <v>41747</v>
      </c>
      <c r="C539" s="15">
        <v>2014</v>
      </c>
      <c r="D539" s="11" t="s">
        <v>31</v>
      </c>
      <c r="E539" s="15">
        <v>4</v>
      </c>
      <c r="F539" s="33">
        <v>5.7229999999999999</v>
      </c>
      <c r="G539" s="27">
        <v>2.3290970000000004</v>
      </c>
    </row>
    <row r="540" spans="1:14">
      <c r="A540" s="15">
        <v>7</v>
      </c>
      <c r="B540" s="75">
        <v>41750</v>
      </c>
      <c r="C540" s="15">
        <v>2014</v>
      </c>
      <c r="D540" s="11" t="s">
        <v>31</v>
      </c>
      <c r="E540" s="15">
        <v>4</v>
      </c>
      <c r="F540" s="33">
        <v>2.2210000000000001</v>
      </c>
      <c r="G540" s="27">
        <v>0.70522625000000005</v>
      </c>
    </row>
    <row r="541" spans="1:14">
      <c r="A541" s="15">
        <v>7</v>
      </c>
      <c r="B541" s="75">
        <v>41750</v>
      </c>
      <c r="C541" s="15">
        <v>2014</v>
      </c>
      <c r="D541" s="11" t="s">
        <v>31</v>
      </c>
      <c r="E541" s="15">
        <v>4</v>
      </c>
      <c r="F541" s="33">
        <v>2.2210000000000001</v>
      </c>
      <c r="G541" s="27">
        <v>0.79830912499999984</v>
      </c>
      <c r="H541" t="s">
        <v>13</v>
      </c>
      <c r="I541" s="27">
        <f>AVERAGE(F538:F541)</f>
        <v>3.8734999999999999</v>
      </c>
      <c r="J541" s="27">
        <f>AVERAGE(G538:G541)</f>
        <v>1.5230113750000003</v>
      </c>
      <c r="L541">
        <f>+J541/I541</f>
        <v>0.39318739512069195</v>
      </c>
      <c r="M541">
        <f>+(L541-$L$931)/$L$932</f>
        <v>1.6156576445538673</v>
      </c>
      <c r="N541">
        <f>+N538+M541</f>
        <v>29.449198023127924</v>
      </c>
    </row>
    <row r="542" spans="1:14">
      <c r="A542" s="15">
        <v>14</v>
      </c>
      <c r="B542" s="75">
        <v>41750</v>
      </c>
      <c r="C542" s="15">
        <v>2014</v>
      </c>
      <c r="D542" s="11" t="s">
        <v>31</v>
      </c>
      <c r="E542" s="15">
        <v>4</v>
      </c>
      <c r="F542" s="34">
        <v>2.3580000000000001</v>
      </c>
      <c r="G542" s="27">
        <v>0.69970699999999997</v>
      </c>
    </row>
    <row r="543" spans="1:14">
      <c r="A543" s="15">
        <v>5</v>
      </c>
      <c r="B543" s="75">
        <v>41772</v>
      </c>
      <c r="C543" s="15">
        <v>2014</v>
      </c>
      <c r="D543" s="11" t="s">
        <v>32</v>
      </c>
      <c r="E543" s="15">
        <v>5</v>
      </c>
      <c r="F543" s="33">
        <v>1.1399999999999999</v>
      </c>
      <c r="G543" s="27">
        <v>0.32215225000000003</v>
      </c>
    </row>
    <row r="544" spans="1:14">
      <c r="A544" s="15">
        <v>7</v>
      </c>
      <c r="B544" s="75">
        <v>41406</v>
      </c>
      <c r="C544" s="15">
        <v>2014</v>
      </c>
      <c r="D544" s="11" t="s">
        <v>32</v>
      </c>
      <c r="E544" s="15">
        <v>5</v>
      </c>
      <c r="F544" s="33">
        <v>2.476</v>
      </c>
      <c r="G544" s="27">
        <v>0.13357137499999999</v>
      </c>
      <c r="I544" s="27">
        <f>AVERAGE(F541:F544)</f>
        <v>2.0487500000000001</v>
      </c>
      <c r="J544" s="27">
        <f>AVERAGE(G541:G544)</f>
        <v>0.4884349375</v>
      </c>
      <c r="L544">
        <f>+J544/I544</f>
        <v>0.23840631482611346</v>
      </c>
      <c r="M544">
        <f>+(L544-$L$931)/$L$932</f>
        <v>0.14575250945540982</v>
      </c>
      <c r="N544">
        <f>+N541+M544</f>
        <v>29.594950532583333</v>
      </c>
    </row>
    <row r="545" spans="1:14">
      <c r="A545" s="15">
        <v>14</v>
      </c>
      <c r="B545" s="75">
        <v>41406</v>
      </c>
      <c r="C545" s="15">
        <v>2014</v>
      </c>
      <c r="D545" s="11" t="s">
        <v>32</v>
      </c>
      <c r="E545" s="15">
        <v>5</v>
      </c>
      <c r="F545" s="33">
        <v>1.5740000000000001</v>
      </c>
      <c r="G545" s="27">
        <v>0.32052774999999994</v>
      </c>
    </row>
    <row r="546" spans="1:14">
      <c r="A546" s="15">
        <v>5</v>
      </c>
      <c r="B546" s="75">
        <v>41808</v>
      </c>
      <c r="C546" s="15">
        <v>2014</v>
      </c>
      <c r="D546" s="11" t="s">
        <v>33</v>
      </c>
      <c r="E546" s="15">
        <v>6</v>
      </c>
      <c r="F546" s="33">
        <v>4.274</v>
      </c>
      <c r="G546" s="27">
        <v>1.2837940000000001</v>
      </c>
    </row>
    <row r="547" spans="1:14">
      <c r="A547" s="15">
        <v>7</v>
      </c>
      <c r="B547" s="75">
        <v>41807</v>
      </c>
      <c r="C547" s="15">
        <v>2014</v>
      </c>
      <c r="D547" s="11" t="s">
        <v>33</v>
      </c>
      <c r="E547" s="15">
        <v>6</v>
      </c>
      <c r="F547" s="33">
        <v>1.589</v>
      </c>
      <c r="G547" s="27">
        <v>8.2232124999999989E-2</v>
      </c>
    </row>
    <row r="548" spans="1:14">
      <c r="A548" s="15">
        <v>14</v>
      </c>
      <c r="B548" s="75">
        <v>41807</v>
      </c>
      <c r="C548" s="15">
        <v>2014</v>
      </c>
      <c r="D548" s="11" t="s">
        <v>33</v>
      </c>
      <c r="E548" s="15">
        <v>6</v>
      </c>
      <c r="F548" s="33">
        <v>1.0229999999999999</v>
      </c>
      <c r="G548" s="27">
        <v>0.16038850000000002</v>
      </c>
      <c r="I548" s="27">
        <f>AVERAGE(F545:F548)</f>
        <v>2.1149999999999998</v>
      </c>
      <c r="J548" s="27">
        <f>AVERAGE(G545:G548)</f>
        <v>0.46173559375000001</v>
      </c>
      <c r="L548">
        <f>+J548/I548</f>
        <v>0.21831470153664306</v>
      </c>
      <c r="M548">
        <f>+(L548-$L$931)/$L$932</f>
        <v>-4.5050949794250159E-2</v>
      </c>
      <c r="N548">
        <f>+N544+M548</f>
        <v>29.549899582789084</v>
      </c>
    </row>
    <row r="549" spans="1:14">
      <c r="A549" s="15">
        <v>5</v>
      </c>
      <c r="B549" s="75">
        <v>41834</v>
      </c>
      <c r="C549" s="15">
        <v>2014</v>
      </c>
      <c r="D549" s="11" t="s">
        <v>34</v>
      </c>
      <c r="E549" s="15">
        <v>7</v>
      </c>
      <c r="F549" s="33">
        <v>10.997999999999999</v>
      </c>
      <c r="G549" s="27">
        <v>3.172333375</v>
      </c>
    </row>
    <row r="550" spans="1:14">
      <c r="A550" s="15">
        <v>5</v>
      </c>
      <c r="B550" s="75">
        <v>41834</v>
      </c>
      <c r="C550" s="15">
        <v>2014</v>
      </c>
      <c r="D550" s="11" t="s">
        <v>34</v>
      </c>
      <c r="E550" s="15">
        <v>7</v>
      </c>
      <c r="F550" s="33">
        <v>10.997999999999999</v>
      </c>
      <c r="G550" s="27">
        <v>3.2113233749999996</v>
      </c>
      <c r="H550" t="s">
        <v>13</v>
      </c>
    </row>
    <row r="551" spans="1:14">
      <c r="A551" s="15">
        <v>7</v>
      </c>
      <c r="B551" s="75">
        <v>41837</v>
      </c>
      <c r="C551" s="15">
        <v>2014</v>
      </c>
      <c r="D551" s="11" t="s">
        <v>34</v>
      </c>
      <c r="E551" s="15">
        <v>7</v>
      </c>
      <c r="F551" s="33">
        <v>5.3529999999999998</v>
      </c>
      <c r="G551" s="27">
        <v>0.3300324999999999</v>
      </c>
    </row>
    <row r="552" spans="1:14">
      <c r="A552" s="15">
        <v>14</v>
      </c>
      <c r="B552" s="75">
        <v>41837</v>
      </c>
      <c r="C552" s="15">
        <v>2014</v>
      </c>
      <c r="D552" s="11" t="s">
        <v>34</v>
      </c>
      <c r="E552" s="15">
        <v>7</v>
      </c>
      <c r="F552" s="33">
        <v>3.3460000000000001</v>
      </c>
      <c r="G552" s="27">
        <v>0.59621950000000001</v>
      </c>
      <c r="I552" s="27">
        <f>AVERAGE(F549:F552)</f>
        <v>7.6737499999999992</v>
      </c>
      <c r="J552" s="27">
        <f>AVERAGE(G549:G552)</f>
        <v>1.8274771875</v>
      </c>
      <c r="L552">
        <f>+J552/I552</f>
        <v>0.23814656295813652</v>
      </c>
      <c r="M552">
        <f>+(L552-$L$931)/$L$932</f>
        <v>0.14328573119114091</v>
      </c>
      <c r="N552">
        <f>+N548+M552</f>
        <v>29.693185313980226</v>
      </c>
    </row>
    <row r="553" spans="1:14">
      <c r="A553" s="15">
        <v>5</v>
      </c>
      <c r="B553" s="75">
        <v>41864</v>
      </c>
      <c r="C553" s="15">
        <v>2014</v>
      </c>
      <c r="D553" s="11" t="s">
        <v>35</v>
      </c>
      <c r="E553" s="15">
        <v>8</v>
      </c>
      <c r="F553" s="33">
        <v>3.7149999999999999</v>
      </c>
      <c r="G553" s="27">
        <v>1.234309125</v>
      </c>
    </row>
    <row r="554" spans="1:14">
      <c r="A554" s="15">
        <v>7</v>
      </c>
      <c r="B554" s="75">
        <v>41862</v>
      </c>
      <c r="C554" s="15">
        <v>2014</v>
      </c>
      <c r="D554" s="11" t="s">
        <v>35</v>
      </c>
      <c r="E554" s="15">
        <v>8</v>
      </c>
      <c r="F554" s="33">
        <v>9.3279999999999994</v>
      </c>
      <c r="G554" s="27">
        <v>0.7375641249999999</v>
      </c>
    </row>
    <row r="555" spans="1:14">
      <c r="A555" s="15">
        <v>14</v>
      </c>
      <c r="B555" s="75">
        <v>41862</v>
      </c>
      <c r="C555" s="15">
        <v>2014</v>
      </c>
      <c r="D555" s="11" t="s">
        <v>35</v>
      </c>
      <c r="E555" s="15">
        <v>8</v>
      </c>
      <c r="F555" s="33">
        <v>2.9540000000000002</v>
      </c>
      <c r="G555" s="27">
        <v>0.65681100000000014</v>
      </c>
    </row>
    <row r="556" spans="1:14">
      <c r="A556" s="15">
        <v>14</v>
      </c>
      <c r="B556" s="75">
        <v>41862</v>
      </c>
      <c r="C556" s="15">
        <v>2014</v>
      </c>
      <c r="D556" s="11" t="s">
        <v>35</v>
      </c>
      <c r="E556" s="15">
        <v>8</v>
      </c>
      <c r="F556" s="33">
        <v>2.9540000000000002</v>
      </c>
      <c r="G556" s="27">
        <v>0.82272712499999978</v>
      </c>
      <c r="H556" t="s">
        <v>13</v>
      </c>
      <c r="I556" s="27">
        <f>AVERAGE(F553:F556)</f>
        <v>4.7377500000000001</v>
      </c>
      <c r="J556" s="27">
        <f>AVERAGE(G553:G556)</f>
        <v>0.86285284374999993</v>
      </c>
      <c r="L556">
        <f>+J556/I556</f>
        <v>0.18212291567727296</v>
      </c>
      <c r="M556">
        <f>+(L556-$L$931)/$L$932</f>
        <v>-0.3887524653917947</v>
      </c>
      <c r="N556">
        <f>+N552+M556</f>
        <v>29.30443284858843</v>
      </c>
    </row>
    <row r="557" spans="1:14">
      <c r="A557" s="15">
        <v>5</v>
      </c>
      <c r="B557" s="75">
        <v>41898</v>
      </c>
      <c r="C557" s="15">
        <v>2014</v>
      </c>
      <c r="D557" s="11" t="s">
        <v>41</v>
      </c>
      <c r="E557" s="15">
        <v>9</v>
      </c>
      <c r="F557" s="33">
        <v>4.335</v>
      </c>
      <c r="G557" s="27">
        <v>0.67707262499999998</v>
      </c>
    </row>
    <row r="558" spans="1:14">
      <c r="A558" s="15">
        <v>7</v>
      </c>
      <c r="B558" s="75">
        <v>41897</v>
      </c>
      <c r="C558" s="15">
        <v>2014</v>
      </c>
      <c r="D558" s="11" t="s">
        <v>41</v>
      </c>
      <c r="E558" s="15">
        <v>9</v>
      </c>
      <c r="F558" s="33">
        <v>1.879</v>
      </c>
      <c r="G558" s="27">
        <v>0.18161424999999998</v>
      </c>
    </row>
    <row r="559" spans="1:14">
      <c r="A559" s="15">
        <v>14</v>
      </c>
      <c r="B559" s="75">
        <v>41897</v>
      </c>
      <c r="C559" s="15">
        <v>2014</v>
      </c>
      <c r="D559" s="11" t="s">
        <v>41</v>
      </c>
      <c r="E559" s="15">
        <v>9</v>
      </c>
      <c r="F559" s="33">
        <v>1.1180000000000001</v>
      </c>
      <c r="G559" s="27">
        <v>0.20224887499999997</v>
      </c>
      <c r="I559" s="27">
        <f>AVERAGE(F556:F559)</f>
        <v>2.5714999999999999</v>
      </c>
      <c r="J559" s="27">
        <f>AVERAGE(G556:G559)</f>
        <v>0.47091571874999993</v>
      </c>
      <c r="L559">
        <f>+J559/I559</f>
        <v>0.1831288037137857</v>
      </c>
      <c r="M559">
        <f>+(L559-$L$931)/$L$932</f>
        <v>-0.37919987674601058</v>
      </c>
      <c r="N559">
        <f>+N556+M559</f>
        <v>28.925232971842419</v>
      </c>
    </row>
    <row r="560" spans="1:14">
      <c r="A560" s="15">
        <v>5</v>
      </c>
      <c r="B560" s="75">
        <v>41929</v>
      </c>
      <c r="C560" s="15">
        <v>2014</v>
      </c>
      <c r="D560" s="11" t="s">
        <v>37</v>
      </c>
      <c r="E560" s="15">
        <v>10</v>
      </c>
      <c r="F560" s="26">
        <v>1.516</v>
      </c>
      <c r="G560" s="27">
        <v>0.48158412499999997</v>
      </c>
    </row>
    <row r="561" spans="1:14">
      <c r="A561" s="15">
        <v>7</v>
      </c>
      <c r="B561" s="75">
        <v>41928</v>
      </c>
      <c r="C561" s="15">
        <v>2014</v>
      </c>
      <c r="D561" s="11" t="s">
        <v>37</v>
      </c>
      <c r="E561" s="15">
        <v>10</v>
      </c>
      <c r="F561" s="26">
        <v>1.3819999999999999</v>
      </c>
      <c r="G561" s="27">
        <v>0.18020962500000001</v>
      </c>
    </row>
    <row r="562" spans="1:14">
      <c r="A562" s="15">
        <v>14</v>
      </c>
      <c r="B562" s="75">
        <v>41928</v>
      </c>
      <c r="C562" s="15">
        <v>2014</v>
      </c>
      <c r="D562" s="11" t="s">
        <v>37</v>
      </c>
      <c r="E562" s="15">
        <v>10</v>
      </c>
      <c r="F562" s="26">
        <v>1.58</v>
      </c>
      <c r="G562" s="27">
        <v>0.2418505</v>
      </c>
      <c r="I562" s="27">
        <f>AVERAGE(F559:F562)</f>
        <v>1.399</v>
      </c>
      <c r="J562" s="27">
        <f>AVERAGE(G559:G562)</f>
        <v>0.27647328124999998</v>
      </c>
      <c r="L562">
        <f>+J562/I562</f>
        <v>0.19762207380271621</v>
      </c>
      <c r="M562">
        <f>+(L562-$L$931)/$L$932</f>
        <v>-0.24156204602701906</v>
      </c>
      <c r="N562">
        <f>+N559+M562</f>
        <v>28.683670925815399</v>
      </c>
    </row>
    <row r="563" spans="1:14">
      <c r="A563" s="15">
        <v>5</v>
      </c>
      <c r="B563" s="75">
        <v>41953</v>
      </c>
      <c r="C563" s="15">
        <v>2014</v>
      </c>
      <c r="D563" s="11" t="s">
        <v>38</v>
      </c>
      <c r="E563" s="15">
        <v>11</v>
      </c>
      <c r="F563" s="26">
        <v>1.988</v>
      </c>
      <c r="G563" s="27">
        <v>0.15184712499999997</v>
      </c>
    </row>
    <row r="564" spans="1:14">
      <c r="A564" s="15">
        <v>7</v>
      </c>
      <c r="B564" s="75">
        <v>41955</v>
      </c>
      <c r="C564" s="15">
        <v>2014</v>
      </c>
      <c r="D564" s="11" t="s">
        <v>38</v>
      </c>
      <c r="E564" s="15">
        <v>11</v>
      </c>
      <c r="F564" s="26">
        <v>1.7809999999999999</v>
      </c>
      <c r="G564" s="27">
        <v>0.42885262500000004</v>
      </c>
    </row>
    <row r="565" spans="1:14">
      <c r="A565" s="15">
        <v>14</v>
      </c>
      <c r="B565" s="75">
        <v>41955</v>
      </c>
      <c r="C565" s="15">
        <v>2014</v>
      </c>
      <c r="D565" s="11" t="s">
        <v>38</v>
      </c>
      <c r="E565" s="15">
        <v>11</v>
      </c>
      <c r="F565" s="26">
        <v>1.137</v>
      </c>
      <c r="G565" s="27">
        <v>0.18599474999999996</v>
      </c>
      <c r="I565" s="27">
        <f>AVERAGE(F562:F565)</f>
        <v>1.6215000000000002</v>
      </c>
      <c r="J565" s="27">
        <f>AVERAGE(G562:G565)</f>
        <v>0.25213624999999995</v>
      </c>
      <c r="L565">
        <f>+J565/I565</f>
        <v>0.15549568300955902</v>
      </c>
      <c r="M565">
        <f>+(L565-$L$931)/$L$932</f>
        <v>-0.64162255750669683</v>
      </c>
      <c r="N565">
        <f>+N562+M565</f>
        <v>28.042048368308702</v>
      </c>
    </row>
    <row r="566" spans="1:14">
      <c r="A566" s="15">
        <v>5</v>
      </c>
      <c r="B566" s="75">
        <v>41988</v>
      </c>
      <c r="C566" s="15">
        <v>2014</v>
      </c>
      <c r="D566" s="11" t="s">
        <v>39</v>
      </c>
      <c r="E566" s="15">
        <v>12</v>
      </c>
      <c r="F566" s="26">
        <v>3.3159999999999998</v>
      </c>
      <c r="G566" s="27">
        <v>1.17470275</v>
      </c>
    </row>
    <row r="567" spans="1:14">
      <c r="A567" s="15">
        <v>7</v>
      </c>
      <c r="B567" s="75">
        <v>41992</v>
      </c>
      <c r="C567" s="15">
        <v>2014</v>
      </c>
      <c r="D567" s="11" t="s">
        <v>39</v>
      </c>
      <c r="E567" s="15">
        <v>12</v>
      </c>
      <c r="F567" s="26">
        <v>1.2729999999999999</v>
      </c>
      <c r="G567" s="27">
        <v>0.14250425</v>
      </c>
    </row>
    <row r="568" spans="1:14">
      <c r="A568" s="15">
        <v>14</v>
      </c>
      <c r="B568" s="75">
        <v>41992</v>
      </c>
      <c r="C568" s="15">
        <v>2014</v>
      </c>
      <c r="D568" s="11" t="s">
        <v>39</v>
      </c>
      <c r="E568" s="15">
        <v>12</v>
      </c>
      <c r="F568" s="26">
        <v>1.286</v>
      </c>
      <c r="G568" s="27">
        <v>0.20857387499999999</v>
      </c>
      <c r="I568" s="27">
        <f>AVERAGE(F565:F568)</f>
        <v>1.7529999999999997</v>
      </c>
      <c r="J568" s="27">
        <f>AVERAGE(G565:G568)</f>
        <v>0.42794390624999995</v>
      </c>
      <c r="L568">
        <f>+J568/I568</f>
        <v>0.24412088205932689</v>
      </c>
      <c r="M568">
        <f>+(L568-$L$931)/$L$932</f>
        <v>0.20002187949068292</v>
      </c>
      <c r="N568">
        <f>+N565+M568</f>
        <v>28.242070247799386</v>
      </c>
    </row>
    <row r="569" spans="1:14">
      <c r="A569" s="15">
        <v>5</v>
      </c>
      <c r="B569" s="72">
        <v>42014</v>
      </c>
      <c r="E569" s="10">
        <v>1</v>
      </c>
      <c r="F569" s="81">
        <v>4.4349999999999996</v>
      </c>
      <c r="G569" s="82">
        <v>1.27</v>
      </c>
    </row>
    <row r="570" spans="1:14">
      <c r="A570" s="15">
        <v>7</v>
      </c>
      <c r="B570" s="72">
        <v>42009</v>
      </c>
      <c r="E570" s="10">
        <v>1</v>
      </c>
      <c r="F570" s="81">
        <v>5.681</v>
      </c>
      <c r="G570" s="82">
        <v>0.83699999999999997</v>
      </c>
    </row>
    <row r="571" spans="1:14">
      <c r="A571" s="15">
        <v>14</v>
      </c>
      <c r="B571" s="72">
        <v>42009</v>
      </c>
      <c r="E571" s="10">
        <v>1</v>
      </c>
      <c r="F571" s="81">
        <v>3.4119999999999999</v>
      </c>
      <c r="G571" s="82">
        <v>0.76200000000000001</v>
      </c>
      <c r="I571" s="27">
        <f>AVERAGE(F569:F571)</f>
        <v>4.5093333333333332</v>
      </c>
      <c r="J571" s="27">
        <f>AVERAGE(G569:G571)</f>
        <v>0.95633333333333337</v>
      </c>
      <c r="L571">
        <f>+J571/I571</f>
        <v>0.21207865168539328</v>
      </c>
      <c r="M571">
        <f>+(L571-$L$931)/$L$932</f>
        <v>-0.10427266915191706</v>
      </c>
      <c r="N571">
        <f>+N568+M571</f>
        <v>28.137797578647469</v>
      </c>
    </row>
    <row r="572" spans="1:14">
      <c r="A572" s="15">
        <v>5</v>
      </c>
      <c r="B572" s="77">
        <v>42036</v>
      </c>
      <c r="E572" s="12">
        <v>2</v>
      </c>
    </row>
    <row r="573" spans="1:14">
      <c r="A573" s="15">
        <v>7</v>
      </c>
      <c r="B573" s="77">
        <v>42036</v>
      </c>
      <c r="E573" s="12">
        <v>2</v>
      </c>
    </row>
    <row r="574" spans="1:14">
      <c r="A574" s="15">
        <v>14</v>
      </c>
      <c r="B574" s="77">
        <v>42036</v>
      </c>
      <c r="E574" s="12">
        <v>2</v>
      </c>
      <c r="I574" s="27"/>
      <c r="J574" s="27"/>
    </row>
    <row r="575" spans="1:14">
      <c r="A575" s="15">
        <v>5</v>
      </c>
      <c r="B575" s="77">
        <v>42064</v>
      </c>
      <c r="E575" s="12">
        <v>3</v>
      </c>
      <c r="F575" s="81">
        <v>9.5150000000000006</v>
      </c>
      <c r="G575" s="82">
        <v>3.22</v>
      </c>
    </row>
    <row r="576" spans="1:14">
      <c r="A576" s="15">
        <v>7</v>
      </c>
      <c r="B576" s="77">
        <v>42064</v>
      </c>
      <c r="E576" s="12">
        <v>3</v>
      </c>
      <c r="F576" s="81">
        <v>3</v>
      </c>
      <c r="G576" s="82">
        <v>0.378</v>
      </c>
    </row>
    <row r="577" spans="1:14">
      <c r="A577" s="15">
        <v>14</v>
      </c>
      <c r="B577" s="77">
        <v>42064</v>
      </c>
      <c r="E577" s="12">
        <v>3</v>
      </c>
      <c r="F577" s="81">
        <v>4.8070000000000004</v>
      </c>
      <c r="G577" s="82">
        <v>1.4770000000000001</v>
      </c>
      <c r="I577" s="27">
        <f>AVERAGE(F575:F577)</f>
        <v>5.7740000000000009</v>
      </c>
      <c r="J577" s="27">
        <f>AVERAGE(G575:G577)</f>
        <v>1.6916666666666667</v>
      </c>
      <c r="L577">
        <f>+J577/I577</f>
        <v>0.29298002540122381</v>
      </c>
      <c r="M577">
        <f>+(L577-$L$931)/$L$932</f>
        <v>0.66402113287540987</v>
      </c>
      <c r="N577">
        <f>+N571+M577</f>
        <v>28.801818711522877</v>
      </c>
    </row>
    <row r="578" spans="1:14">
      <c r="A578" s="15">
        <v>5</v>
      </c>
      <c r="B578" s="77">
        <v>42095</v>
      </c>
      <c r="E578" s="12">
        <v>4</v>
      </c>
      <c r="F578" s="81">
        <v>3.8610000000000002</v>
      </c>
      <c r="G578" s="82">
        <v>1.5429999999999999</v>
      </c>
    </row>
    <row r="579" spans="1:14">
      <c r="A579" s="15">
        <v>7</v>
      </c>
      <c r="B579" s="77">
        <v>42095</v>
      </c>
      <c r="E579" s="12">
        <v>4</v>
      </c>
      <c r="F579" s="81">
        <v>1.1739999999999999</v>
      </c>
      <c r="G579" s="82">
        <v>5.5E-2</v>
      </c>
    </row>
    <row r="580" spans="1:14">
      <c r="A580" s="15">
        <v>14</v>
      </c>
      <c r="B580" s="77">
        <v>42095</v>
      </c>
      <c r="E580" s="12">
        <v>4</v>
      </c>
      <c r="F580" s="81">
        <v>1.194</v>
      </c>
      <c r="G580" s="82">
        <v>0.40100000000000002</v>
      </c>
      <c r="I580" s="27">
        <f>AVERAGE(F578:F580)</f>
        <v>2.0763333333333334</v>
      </c>
      <c r="J580" s="27">
        <f>AVERAGE(G578:G580)</f>
        <v>0.66633333333333333</v>
      </c>
      <c r="L580">
        <f>+J580/I580</f>
        <v>0.3209182854390753</v>
      </c>
      <c r="M580">
        <f>+(L580-$L$931)/$L$932</f>
        <v>0.92934162176976465</v>
      </c>
      <c r="N580">
        <f>+N577+M580</f>
        <v>29.731160333292642</v>
      </c>
    </row>
    <row r="581" spans="1:14">
      <c r="A581" s="15">
        <v>5</v>
      </c>
      <c r="B581" s="77">
        <v>42125</v>
      </c>
      <c r="E581" s="12">
        <v>5</v>
      </c>
      <c r="F581" s="81">
        <v>4.5069999999999997</v>
      </c>
      <c r="G581" s="82">
        <v>1.7150000000000001</v>
      </c>
    </row>
    <row r="582" spans="1:14">
      <c r="A582" s="15">
        <v>7</v>
      </c>
      <c r="B582" s="77">
        <v>42125</v>
      </c>
      <c r="E582" s="12">
        <v>5</v>
      </c>
      <c r="F582" s="81">
        <v>3.887</v>
      </c>
      <c r="G582" s="82">
        <v>1.008</v>
      </c>
    </row>
    <row r="583" spans="1:14">
      <c r="A583" s="15">
        <v>14</v>
      </c>
      <c r="B583" s="77">
        <v>42125</v>
      </c>
      <c r="E583" s="12">
        <v>5</v>
      </c>
      <c r="F583" s="81">
        <v>2.5880000000000001</v>
      </c>
      <c r="G583" s="82">
        <v>0.71899999999999997</v>
      </c>
      <c r="I583" s="27">
        <f>AVERAGE(F581:F583)</f>
        <v>3.6606666666666663</v>
      </c>
      <c r="J583" s="27">
        <f>AVERAGE(G581:G583)</f>
        <v>1.1473333333333333</v>
      </c>
      <c r="L583">
        <f>+J583/I583</f>
        <v>0.31342196321252963</v>
      </c>
      <c r="M583">
        <f>+(L583-$L$931)/$L$932</f>
        <v>0.85815150916568461</v>
      </c>
      <c r="N583">
        <f>+N580+M583</f>
        <v>30.589311842458326</v>
      </c>
    </row>
    <row r="584" spans="1:14">
      <c r="A584" s="15">
        <v>5</v>
      </c>
      <c r="B584" s="77">
        <v>42156</v>
      </c>
      <c r="E584" s="12">
        <v>6</v>
      </c>
      <c r="F584" s="81">
        <v>6.4160000000000004</v>
      </c>
      <c r="G584" s="82">
        <v>2.21</v>
      </c>
    </row>
    <row r="585" spans="1:14">
      <c r="A585" s="15">
        <v>7</v>
      </c>
      <c r="B585" s="77">
        <v>42156</v>
      </c>
      <c r="E585" s="12">
        <v>6</v>
      </c>
      <c r="F585" s="81">
        <v>4.3869999999999996</v>
      </c>
      <c r="G585" s="82">
        <v>0.38500000000000001</v>
      </c>
    </row>
    <row r="586" spans="1:14">
      <c r="A586" s="15">
        <v>14</v>
      </c>
      <c r="B586" s="77">
        <v>42156</v>
      </c>
      <c r="E586" s="12">
        <v>6</v>
      </c>
      <c r="F586" s="81">
        <v>2.8580000000000001</v>
      </c>
      <c r="G586" s="82">
        <v>0.34499999999999997</v>
      </c>
      <c r="I586" s="27">
        <f>AVERAGE(F584:F586)</f>
        <v>4.5536666666666674</v>
      </c>
      <c r="J586" s="27">
        <f>AVERAGE(G584:G586)</f>
        <v>0.97999999999999987</v>
      </c>
      <c r="L586">
        <f>+J586/I586</f>
        <v>0.2152111851255398</v>
      </c>
      <c r="M586">
        <f>+(L586-$L$931)/$L$932</f>
        <v>-7.4524026870989052E-2</v>
      </c>
      <c r="N586">
        <f>+N583+M586</f>
        <v>30.514787815587336</v>
      </c>
    </row>
    <row r="587" spans="1:14">
      <c r="A587" s="15">
        <v>5</v>
      </c>
      <c r="B587" s="77">
        <v>42186</v>
      </c>
      <c r="E587" s="12">
        <v>7</v>
      </c>
      <c r="F587" s="81">
        <v>8.3529999999999998</v>
      </c>
      <c r="G587" s="82">
        <v>1.6579999999999999</v>
      </c>
    </row>
    <row r="588" spans="1:14">
      <c r="A588" s="15">
        <v>7</v>
      </c>
      <c r="B588" s="77">
        <v>42186</v>
      </c>
      <c r="E588" s="12">
        <v>7</v>
      </c>
      <c r="F588" s="81">
        <v>15.036</v>
      </c>
      <c r="G588" s="82">
        <v>0.63700000000000001</v>
      </c>
    </row>
    <row r="589" spans="1:14">
      <c r="A589" s="15">
        <v>14</v>
      </c>
      <c r="B589" s="77">
        <v>42186</v>
      </c>
      <c r="E589" s="12">
        <v>7</v>
      </c>
      <c r="F589" s="81">
        <v>6.8049999999999997</v>
      </c>
      <c r="G589" s="82">
        <v>1.907</v>
      </c>
      <c r="I589" s="27">
        <f>AVERAGE(F587:F589)</f>
        <v>10.064666666666666</v>
      </c>
      <c r="J589" s="27">
        <f>AVERAGE(G587:G589)</f>
        <v>1.4006666666666667</v>
      </c>
      <c r="L589">
        <f>+J589/I589</f>
        <v>0.13916672186527126</v>
      </c>
      <c r="M589">
        <f>+(L589-$L$931)/$L$932</f>
        <v>-0.79669334387885049</v>
      </c>
      <c r="N589">
        <f>+N586+M589</f>
        <v>29.718094471708486</v>
      </c>
    </row>
    <row r="590" spans="1:14">
      <c r="A590" s="15">
        <v>5</v>
      </c>
      <c r="B590" s="77">
        <v>42217</v>
      </c>
      <c r="E590" s="12">
        <v>8</v>
      </c>
      <c r="F590" s="81">
        <v>12.521000000000001</v>
      </c>
      <c r="G590" s="82">
        <v>4.702</v>
      </c>
    </row>
    <row r="591" spans="1:14">
      <c r="A591" s="15">
        <v>7</v>
      </c>
      <c r="B591" s="77">
        <v>42217</v>
      </c>
      <c r="E591" s="12">
        <v>8</v>
      </c>
      <c r="F591" s="81">
        <v>25.341000000000001</v>
      </c>
      <c r="G591" s="82">
        <v>7.1459999999999999</v>
      </c>
    </row>
    <row r="592" spans="1:14">
      <c r="A592" s="15">
        <v>14</v>
      </c>
      <c r="B592" s="77">
        <v>42217</v>
      </c>
      <c r="E592" s="12">
        <v>8</v>
      </c>
      <c r="F592" s="81">
        <v>10.223000000000001</v>
      </c>
      <c r="G592" s="82">
        <v>3.4289999999999998</v>
      </c>
      <c r="I592" s="27">
        <f>AVERAGE(F590:F592)</f>
        <v>16.028333333333332</v>
      </c>
      <c r="J592" s="27">
        <f>AVERAGE(G590:G592)</f>
        <v>5.0923333333333334</v>
      </c>
      <c r="L592">
        <f>+J592/I592</f>
        <v>0.31770822501819695</v>
      </c>
      <c r="M592">
        <f>+(L592-$L$931)/$L$932</f>
        <v>0.8988567311898229</v>
      </c>
      <c r="N592">
        <f>+N589+M592</f>
        <v>30.61695120289831</v>
      </c>
    </row>
    <row r="593" spans="1:14">
      <c r="A593" s="15">
        <v>5</v>
      </c>
      <c r="B593" s="77">
        <v>42248</v>
      </c>
      <c r="E593" s="12">
        <v>9</v>
      </c>
      <c r="F593" s="81">
        <v>2.331</v>
      </c>
      <c r="G593" s="82">
        <v>0.55800000000000005</v>
      </c>
    </row>
    <row r="594" spans="1:14">
      <c r="A594" s="15">
        <v>7</v>
      </c>
      <c r="B594" s="77">
        <v>42248</v>
      </c>
      <c r="E594" s="12">
        <v>9</v>
      </c>
      <c r="F594" s="81">
        <v>16.768000000000001</v>
      </c>
      <c r="G594" s="82">
        <v>4.9580000000000002</v>
      </c>
    </row>
    <row r="595" spans="1:14">
      <c r="A595" s="15">
        <v>14</v>
      </c>
      <c r="B595" s="77">
        <v>42248</v>
      </c>
      <c r="E595" s="12">
        <v>9</v>
      </c>
      <c r="F595" s="81">
        <v>6.8369999999999997</v>
      </c>
      <c r="G595" s="82">
        <v>2.2189999999999999</v>
      </c>
      <c r="I595" s="27">
        <f>AVERAGE(F593:F595)</f>
        <v>8.6453333333333333</v>
      </c>
      <c r="J595" s="27">
        <f>AVERAGE(G593:G595)</f>
        <v>2.5783333333333331</v>
      </c>
      <c r="L595">
        <f>+J595/I595</f>
        <v>0.29823411474398515</v>
      </c>
      <c r="M595">
        <f>+(L595-$L$931)/$L$932</f>
        <v>0.7139174954701959</v>
      </c>
      <c r="N595">
        <f>+N592+M595</f>
        <v>31.330868698368505</v>
      </c>
    </row>
    <row r="596" spans="1:14">
      <c r="A596" s="15">
        <v>5</v>
      </c>
      <c r="B596" s="77">
        <v>42278</v>
      </c>
      <c r="E596" s="12">
        <v>10</v>
      </c>
      <c r="F596" s="81">
        <v>4.4619999999999997</v>
      </c>
      <c r="G596" s="82">
        <v>0.13700000000000001</v>
      </c>
    </row>
    <row r="597" spans="1:14">
      <c r="A597" s="15">
        <v>7</v>
      </c>
      <c r="B597" s="77">
        <v>42278</v>
      </c>
      <c r="E597" s="12">
        <v>10</v>
      </c>
      <c r="F597" s="81">
        <v>5.4770000000000003</v>
      </c>
      <c r="G597" s="82">
        <v>0.47299999999999998</v>
      </c>
    </row>
    <row r="598" spans="1:14">
      <c r="A598" s="15">
        <v>14</v>
      </c>
      <c r="B598" s="77">
        <v>42278</v>
      </c>
      <c r="E598" s="12">
        <v>10</v>
      </c>
      <c r="F598" s="81">
        <v>1.6850000000000001</v>
      </c>
      <c r="G598" s="82">
        <v>0.14899999999999999</v>
      </c>
      <c r="I598" s="27">
        <f>AVERAGE(F596:F598)</f>
        <v>3.8746666666666667</v>
      </c>
      <c r="J598" s="27">
        <f>AVERAGE(G596:G598)</f>
        <v>0.253</v>
      </c>
      <c r="L598">
        <f>+J598/I598</f>
        <v>6.5295939435650374E-2</v>
      </c>
      <c r="M598">
        <f>+(L598-$L$931)/$L$932</f>
        <v>-1.4982199272337802</v>
      </c>
      <c r="N598">
        <f>+N595+M598</f>
        <v>29.832648771134725</v>
      </c>
    </row>
    <row r="599" spans="1:14">
      <c r="A599" s="15">
        <v>5</v>
      </c>
      <c r="B599" s="77">
        <v>42309</v>
      </c>
      <c r="E599" s="12">
        <v>11</v>
      </c>
      <c r="F599" s="81">
        <v>0.39600000000000002</v>
      </c>
      <c r="G599" s="82">
        <v>2.3E-2</v>
      </c>
    </row>
    <row r="600" spans="1:14">
      <c r="A600" s="15">
        <v>7</v>
      </c>
      <c r="B600" s="77">
        <v>42309</v>
      </c>
      <c r="E600" s="12">
        <v>11</v>
      </c>
      <c r="F600" s="81">
        <v>1.89</v>
      </c>
      <c r="G600" s="82">
        <v>0.21199999999999999</v>
      </c>
    </row>
    <row r="601" spans="1:14">
      <c r="A601" s="15">
        <v>14</v>
      </c>
      <c r="B601" s="77">
        <v>42309</v>
      </c>
      <c r="E601" s="12">
        <v>11</v>
      </c>
      <c r="F601" s="81">
        <v>0.78500000000000003</v>
      </c>
      <c r="G601" s="82">
        <v>0.11600000000000001</v>
      </c>
    </row>
    <row r="602" spans="1:14">
      <c r="A602" s="15">
        <v>5</v>
      </c>
      <c r="B602" s="78">
        <v>42339</v>
      </c>
      <c r="E602" s="12">
        <v>12</v>
      </c>
      <c r="F602" s="81">
        <v>1.883</v>
      </c>
      <c r="G602" s="82">
        <v>0.06</v>
      </c>
      <c r="I602" s="27">
        <f>AVERAGE(F600:F602)</f>
        <v>1.5193333333333332</v>
      </c>
      <c r="J602" s="27">
        <f>AVERAGE(G600:G602)</f>
        <v>0.12933333333333333</v>
      </c>
      <c r="L602">
        <f>+J602/I602</f>
        <v>8.512505484861782E-2</v>
      </c>
      <c r="M602">
        <f>+(L602-$L$931)/$L$932</f>
        <v>-1.3099093241903812</v>
      </c>
      <c r="N602">
        <f>+N598+M602</f>
        <v>28.522739446944342</v>
      </c>
    </row>
    <row r="603" spans="1:14">
      <c r="A603" s="15">
        <v>7</v>
      </c>
      <c r="B603" s="77">
        <v>42339</v>
      </c>
      <c r="E603" s="12">
        <v>12</v>
      </c>
      <c r="F603" s="81">
        <v>1.6990000000000001</v>
      </c>
      <c r="G603" s="82">
        <v>0.14499999999999999</v>
      </c>
    </row>
    <row r="604" spans="1:14">
      <c r="A604" s="15">
        <v>14</v>
      </c>
      <c r="B604" s="77">
        <v>42339</v>
      </c>
      <c r="E604" s="12">
        <v>12</v>
      </c>
      <c r="F604" s="81">
        <v>1.4910000000000001</v>
      </c>
      <c r="G604" s="82">
        <v>0.26300000000000001</v>
      </c>
    </row>
    <row r="605" spans="1:14">
      <c r="A605" s="15">
        <v>5</v>
      </c>
      <c r="B605" s="72">
        <v>42379</v>
      </c>
      <c r="E605" s="10">
        <v>1</v>
      </c>
      <c r="F605" s="83">
        <v>1.357</v>
      </c>
      <c r="G605" s="83">
        <v>0.23799999999999999</v>
      </c>
      <c r="I605" s="27">
        <f>AVERAGE(F603:F605)</f>
        <v>1.5156666666666669</v>
      </c>
      <c r="J605" s="27">
        <f>AVERAGE(G603:G605)</f>
        <v>0.21533333333333335</v>
      </c>
      <c r="L605">
        <f>+J605/I605</f>
        <v>0.14207169562348801</v>
      </c>
      <c r="M605">
        <f>+(L605-$L$931)/$L$932</f>
        <v>-0.76910576123372132</v>
      </c>
      <c r="N605">
        <f>+N602+M605</f>
        <v>27.753633685710621</v>
      </c>
    </row>
    <row r="606" spans="1:14">
      <c r="A606" s="15">
        <v>7</v>
      </c>
      <c r="B606" s="72">
        <v>42374</v>
      </c>
      <c r="E606" s="10">
        <v>1</v>
      </c>
      <c r="F606" s="83">
        <v>1.921</v>
      </c>
      <c r="G606" s="83">
        <v>0.46300000000000002</v>
      </c>
    </row>
    <row r="607" spans="1:14">
      <c r="A607" s="15">
        <v>14</v>
      </c>
      <c r="B607" s="72">
        <v>42374</v>
      </c>
      <c r="E607" s="10">
        <v>1</v>
      </c>
      <c r="F607" s="83">
        <v>1.569</v>
      </c>
      <c r="G607" s="83">
        <v>0.372</v>
      </c>
    </row>
    <row r="608" spans="1:14">
      <c r="A608" s="15">
        <v>5</v>
      </c>
      <c r="B608" s="77">
        <v>42401</v>
      </c>
      <c r="E608" s="12">
        <v>2</v>
      </c>
      <c r="F608" s="83">
        <v>6.2510000000000003</v>
      </c>
      <c r="G608" s="83">
        <v>0.80100000000000005</v>
      </c>
      <c r="I608" s="27">
        <f>AVERAGE(F606:F608)</f>
        <v>3.2469999999999999</v>
      </c>
      <c r="J608" s="27">
        <f>AVERAGE(G606:G608)</f>
        <v>0.54533333333333334</v>
      </c>
      <c r="L608">
        <f>+J608/I608</f>
        <v>0.16794990247407865</v>
      </c>
      <c r="M608">
        <f>+(L608-$L$931)/$L$932</f>
        <v>-0.52334892154486157</v>
      </c>
      <c r="N608">
        <f>+N605+M608</f>
        <v>27.230284764165759</v>
      </c>
    </row>
    <row r="609" spans="1:14">
      <c r="A609" s="15">
        <v>7</v>
      </c>
      <c r="B609" s="77">
        <v>42401</v>
      </c>
      <c r="E609" s="12">
        <v>2</v>
      </c>
      <c r="F609" s="84">
        <v>5.2869999999999999</v>
      </c>
      <c r="G609" s="84">
        <v>0.69</v>
      </c>
    </row>
    <row r="610" spans="1:14">
      <c r="A610" s="15">
        <v>14</v>
      </c>
      <c r="B610" s="77">
        <v>42401</v>
      </c>
      <c r="E610" s="12">
        <v>2</v>
      </c>
      <c r="F610" s="83">
        <v>3.1019999999999999</v>
      </c>
      <c r="G610" s="83">
        <v>0.753</v>
      </c>
    </row>
    <row r="611" spans="1:14">
      <c r="A611" s="15">
        <v>5</v>
      </c>
      <c r="B611" s="77">
        <v>42430</v>
      </c>
      <c r="E611" s="12">
        <v>3</v>
      </c>
      <c r="F611" s="83">
        <v>4.0209999999999999</v>
      </c>
      <c r="G611" s="83">
        <v>1.167</v>
      </c>
      <c r="I611" s="27">
        <f>AVERAGE(F609:F611)</f>
        <v>4.1366666666666667</v>
      </c>
      <c r="J611" s="27">
        <f>AVERAGE(G609:G611)</f>
        <v>0.87000000000000011</v>
      </c>
      <c r="L611">
        <f>+J611/I611</f>
        <v>0.21031426269137796</v>
      </c>
      <c r="M611">
        <f>+(L611-$L$931)/$L$932</f>
        <v>-0.12102849252308372</v>
      </c>
      <c r="N611">
        <f>+N608+M611</f>
        <v>27.109256271642675</v>
      </c>
    </row>
    <row r="612" spans="1:14">
      <c r="A612" s="15">
        <v>7</v>
      </c>
      <c r="B612" s="77">
        <v>42430</v>
      </c>
      <c r="E612" s="12">
        <v>3</v>
      </c>
      <c r="F612" s="83">
        <v>3.9</v>
      </c>
      <c r="G612" s="83">
        <v>0.22600000000000001</v>
      </c>
    </row>
    <row r="613" spans="1:14">
      <c r="A613" s="15">
        <v>14</v>
      </c>
      <c r="B613" s="77">
        <v>42430</v>
      </c>
      <c r="E613" s="12">
        <v>3</v>
      </c>
      <c r="F613" s="83">
        <v>1.583</v>
      </c>
      <c r="G613" s="83">
        <v>0.28299999999999997</v>
      </c>
    </row>
    <row r="614" spans="1:14">
      <c r="A614" s="15">
        <v>5</v>
      </c>
      <c r="B614" s="77">
        <v>42461</v>
      </c>
      <c r="E614" s="12">
        <v>4</v>
      </c>
      <c r="F614" s="83">
        <v>3.6829999999999998</v>
      </c>
      <c r="G614" s="83">
        <v>0.996</v>
      </c>
      <c r="I614" s="27">
        <f>AVERAGE(F612:F614)</f>
        <v>3.0553333333333335</v>
      </c>
      <c r="J614" s="27">
        <f>AVERAGE(G612:G614)</f>
        <v>0.50166666666666659</v>
      </c>
      <c r="L614">
        <f>+J614/I614</f>
        <v>0.16419375954614879</v>
      </c>
      <c r="M614">
        <f>+(L614-$L$931)/$L$932</f>
        <v>-0.55901977852182538</v>
      </c>
      <c r="N614">
        <f>+N611+M614</f>
        <v>26.550236493120849</v>
      </c>
    </row>
    <row r="615" spans="1:14">
      <c r="A615" s="15">
        <v>7</v>
      </c>
      <c r="B615" s="77">
        <v>42461</v>
      </c>
      <c r="E615" s="12">
        <v>4</v>
      </c>
      <c r="F615" s="83">
        <v>4.1120000000000001</v>
      </c>
      <c r="G615" s="83">
        <v>0.53400000000000003</v>
      </c>
    </row>
    <row r="616" spans="1:14">
      <c r="A616" s="15">
        <v>14</v>
      </c>
      <c r="B616" s="77">
        <v>42461</v>
      </c>
      <c r="E616" s="12">
        <v>4</v>
      </c>
      <c r="F616" s="83">
        <v>1.421</v>
      </c>
      <c r="G616" s="83">
        <v>0.14199999999999999</v>
      </c>
    </row>
    <row r="617" spans="1:14">
      <c r="A617" s="15">
        <v>5</v>
      </c>
      <c r="B617" s="77">
        <v>42491</v>
      </c>
      <c r="E617" s="12">
        <v>5</v>
      </c>
      <c r="F617" s="83">
        <v>9.234</v>
      </c>
      <c r="G617" s="83">
        <v>3.81</v>
      </c>
    </row>
    <row r="618" spans="1:14">
      <c r="A618" s="15">
        <v>7</v>
      </c>
      <c r="B618" s="77">
        <v>42491</v>
      </c>
      <c r="E618" s="12">
        <v>5</v>
      </c>
      <c r="F618" s="83">
        <v>10.819000000000001</v>
      </c>
      <c r="G618" s="83">
        <v>3.6360000000000001</v>
      </c>
      <c r="I618" s="27">
        <f>AVERAGE(F616:F618)</f>
        <v>7.1580000000000004</v>
      </c>
      <c r="J618" s="27">
        <f>AVERAGE(G616:G618)</f>
        <v>2.5293333333333332</v>
      </c>
      <c r="L618">
        <f>+J618/I618</f>
        <v>0.3533575486635</v>
      </c>
      <c r="M618">
        <f>+(L618-$L$931)/$L$932</f>
        <v>1.2374066611249821</v>
      </c>
      <c r="N618">
        <f>+N614+M618</f>
        <v>27.787643154245831</v>
      </c>
    </row>
    <row r="619" spans="1:14">
      <c r="A619" s="15">
        <v>14</v>
      </c>
      <c r="B619" s="77">
        <v>42491</v>
      </c>
      <c r="E619" s="12">
        <v>5</v>
      </c>
      <c r="F619" s="83">
        <v>4.843</v>
      </c>
      <c r="G619" s="83">
        <v>1.653</v>
      </c>
    </row>
    <row r="620" spans="1:14">
      <c r="A620" s="15">
        <v>5</v>
      </c>
      <c r="B620" s="77">
        <v>42522</v>
      </c>
      <c r="E620" s="12">
        <v>6</v>
      </c>
      <c r="F620" s="83">
        <v>10.271000000000001</v>
      </c>
      <c r="G620" s="83">
        <v>3.5960000000000001</v>
      </c>
    </row>
    <row r="621" spans="1:14">
      <c r="A621" s="15">
        <v>7</v>
      </c>
      <c r="B621" s="77">
        <v>42522</v>
      </c>
      <c r="E621" s="12">
        <v>6</v>
      </c>
      <c r="F621" s="83">
        <v>10.773</v>
      </c>
      <c r="G621" s="83">
        <v>1.5660000000000001</v>
      </c>
      <c r="I621" s="27">
        <f>AVERAGE(F619:F621)</f>
        <v>8.6289999999999996</v>
      </c>
      <c r="J621" s="27">
        <f>AVERAGE(G619:G621)</f>
        <v>2.2716666666666669</v>
      </c>
      <c r="L621">
        <f>+J621/I621</f>
        <v>0.26325955112604787</v>
      </c>
      <c r="M621">
        <f>+(L621-$L$931)/$L$932</f>
        <v>0.38177554012273474</v>
      </c>
      <c r="N621">
        <f>+N618+M621</f>
        <v>28.169418694368566</v>
      </c>
    </row>
    <row r="622" spans="1:14">
      <c r="A622" s="15">
        <v>14</v>
      </c>
      <c r="B622" s="77">
        <v>42522</v>
      </c>
      <c r="E622" s="12">
        <v>6</v>
      </c>
      <c r="F622" s="83">
        <v>11.180999999999999</v>
      </c>
      <c r="G622" s="83">
        <v>3.0289999999999999</v>
      </c>
    </row>
    <row r="623" spans="1:14">
      <c r="A623" s="15">
        <v>5</v>
      </c>
      <c r="B623" s="77">
        <v>42552</v>
      </c>
      <c r="E623" s="12">
        <v>7</v>
      </c>
      <c r="F623" s="83">
        <v>10.353</v>
      </c>
      <c r="G623" s="83">
        <v>2.35</v>
      </c>
    </row>
    <row r="624" spans="1:14">
      <c r="A624" s="15">
        <v>7</v>
      </c>
      <c r="B624" s="77">
        <v>42552</v>
      </c>
      <c r="E624" s="12">
        <v>7</v>
      </c>
      <c r="F624" s="83">
        <v>14.101000000000001</v>
      </c>
      <c r="G624" s="83">
        <v>2.4169999999999998</v>
      </c>
      <c r="I624" s="27">
        <f>AVERAGE(F622:F624)</f>
        <v>11.878333333333332</v>
      </c>
      <c r="J624" s="27">
        <f>AVERAGE(G622:G624)</f>
        <v>2.5986666666666665</v>
      </c>
      <c r="L624">
        <f>+J624/I624</f>
        <v>0.21877367756419253</v>
      </c>
      <c r="M624">
        <f>+(L624-$L$931)/$L$932</f>
        <v>-4.06922050529804E-2</v>
      </c>
      <c r="N624">
        <f>+N621+M624</f>
        <v>28.128726489315586</v>
      </c>
    </row>
    <row r="625" spans="1:14">
      <c r="A625" s="15">
        <v>14</v>
      </c>
      <c r="B625" s="77">
        <v>42552</v>
      </c>
      <c r="E625" s="12">
        <v>7</v>
      </c>
      <c r="F625" s="83">
        <v>5.9050000000000002</v>
      </c>
      <c r="G625" s="83">
        <v>0.873</v>
      </c>
    </row>
    <row r="626" spans="1:14">
      <c r="A626" s="15">
        <v>5</v>
      </c>
      <c r="B626" s="77">
        <v>42583</v>
      </c>
      <c r="E626" s="12">
        <v>8</v>
      </c>
      <c r="F626" s="83">
        <v>14.885999999999999</v>
      </c>
      <c r="G626" s="83">
        <v>4.4889999999999999</v>
      </c>
    </row>
    <row r="627" spans="1:14">
      <c r="A627" s="15">
        <v>7</v>
      </c>
      <c r="B627" s="77">
        <v>42583</v>
      </c>
      <c r="E627" s="12">
        <v>8</v>
      </c>
      <c r="F627" s="83">
        <v>11.77</v>
      </c>
      <c r="G627" s="83">
        <v>2.448</v>
      </c>
      <c r="I627" s="27">
        <f>AVERAGE(F625:F627)</f>
        <v>10.853666666666667</v>
      </c>
      <c r="J627" s="27">
        <f>AVERAGE(G625:G627)</f>
        <v>2.6033333333333335</v>
      </c>
      <c r="L627">
        <f>+J627/I627</f>
        <v>0.23985749823408373</v>
      </c>
      <c r="M627">
        <f>+(L627-$L$931)/$L$932</f>
        <v>0.15953392214025128</v>
      </c>
      <c r="N627">
        <f>+N624+M627</f>
        <v>28.288260411455838</v>
      </c>
    </row>
    <row r="628" spans="1:14">
      <c r="A628" s="15">
        <v>14</v>
      </c>
      <c r="B628" s="77">
        <v>42583</v>
      </c>
      <c r="E628" s="12">
        <v>8</v>
      </c>
      <c r="F628" s="83">
        <v>2.694</v>
      </c>
      <c r="G628" s="83">
        <v>0.47799999999999998</v>
      </c>
    </row>
    <row r="629" spans="1:14">
      <c r="A629" s="15">
        <v>5</v>
      </c>
      <c r="B629" s="77">
        <v>42614</v>
      </c>
      <c r="E629" s="12">
        <v>9</v>
      </c>
      <c r="F629" s="83">
        <v>8.5429999999999993</v>
      </c>
      <c r="G629" s="83">
        <v>3.03</v>
      </c>
    </row>
    <row r="630" spans="1:14">
      <c r="A630" s="15">
        <v>7</v>
      </c>
      <c r="B630" s="77">
        <v>42614</v>
      </c>
      <c r="E630" s="12">
        <v>9</v>
      </c>
      <c r="F630" s="83">
        <v>22.082999999999998</v>
      </c>
      <c r="G630" s="83">
        <v>7.1449999999999996</v>
      </c>
      <c r="I630" s="27">
        <f>AVERAGE(F628:F630)</f>
        <v>11.106666666666664</v>
      </c>
      <c r="J630" s="27">
        <f>AVERAGE(G628:G630)</f>
        <v>3.5509999999999997</v>
      </c>
      <c r="L630">
        <f>+J630/I630</f>
        <v>0.31971788715486199</v>
      </c>
      <c r="M630">
        <f>+(L630-$L$931)/$L$932</f>
        <v>0.91794183312136912</v>
      </c>
      <c r="N630">
        <f>+N627+M630</f>
        <v>29.206202244577206</v>
      </c>
    </row>
    <row r="631" spans="1:14">
      <c r="A631" s="15">
        <v>14</v>
      </c>
      <c r="B631" s="77">
        <v>42614</v>
      </c>
      <c r="E631" s="12">
        <v>9</v>
      </c>
      <c r="F631" s="83">
        <v>1.5660000000000001</v>
      </c>
      <c r="G631" s="83">
        <v>0.25</v>
      </c>
    </row>
    <row r="632" spans="1:14">
      <c r="A632" s="15">
        <v>5</v>
      </c>
      <c r="B632" s="77">
        <v>42644</v>
      </c>
      <c r="E632" s="12">
        <v>10</v>
      </c>
      <c r="F632" s="83">
        <v>1.851</v>
      </c>
      <c r="G632" s="83">
        <v>0.313</v>
      </c>
    </row>
    <row r="633" spans="1:14">
      <c r="A633" s="15">
        <v>7</v>
      </c>
      <c r="B633" s="77">
        <v>42644</v>
      </c>
      <c r="E633" s="12">
        <v>10</v>
      </c>
      <c r="F633" s="83">
        <v>2.5150000000000001</v>
      </c>
      <c r="G633" s="83">
        <v>0.218</v>
      </c>
    </row>
    <row r="634" spans="1:14">
      <c r="A634" s="15">
        <v>14</v>
      </c>
      <c r="B634" s="77">
        <v>42644</v>
      </c>
      <c r="E634" s="12">
        <v>10</v>
      </c>
      <c r="F634" s="84">
        <v>1.171</v>
      </c>
      <c r="G634" s="84">
        <v>0.126</v>
      </c>
      <c r="I634" s="27">
        <f>AVERAGE(F632:F634)</f>
        <v>1.8456666666666666</v>
      </c>
      <c r="J634" s="27">
        <f>AVERAGE(G632:G634)</f>
        <v>0.219</v>
      </c>
      <c r="L634">
        <f>+J634/I634</f>
        <v>0.11865631208235507</v>
      </c>
      <c r="M634">
        <f>+(L634-$L$931)/$L$932</f>
        <v>-0.99147397601750709</v>
      </c>
      <c r="N634">
        <f>+N630+M634</f>
        <v>28.2147282685597</v>
      </c>
    </row>
    <row r="635" spans="1:14">
      <c r="A635" s="15">
        <v>5</v>
      </c>
      <c r="B635" s="77">
        <v>42675</v>
      </c>
      <c r="E635" s="12">
        <v>11</v>
      </c>
      <c r="F635" s="83">
        <v>0.311</v>
      </c>
      <c r="G635" s="83">
        <v>0.04</v>
      </c>
    </row>
    <row r="636" spans="1:14">
      <c r="A636" s="15">
        <v>7</v>
      </c>
      <c r="B636" s="77">
        <v>42675</v>
      </c>
      <c r="E636" s="12">
        <v>11</v>
      </c>
      <c r="F636" s="83">
        <v>1.7270000000000001</v>
      </c>
      <c r="G636" s="83">
        <v>0.247</v>
      </c>
    </row>
    <row r="637" spans="1:14">
      <c r="A637" s="15">
        <v>14</v>
      </c>
      <c r="B637" s="77">
        <v>42675</v>
      </c>
      <c r="E637" s="12">
        <v>11</v>
      </c>
      <c r="F637" s="83">
        <v>0.38400000000000001</v>
      </c>
      <c r="G637" s="83">
        <v>9.9000000000000005E-2</v>
      </c>
      <c r="I637" s="27">
        <f>AVERAGE(F635:F637)</f>
        <v>0.80733333333333335</v>
      </c>
      <c r="J637" s="27">
        <f>AVERAGE(G635:G637)</f>
        <v>0.12866666666666668</v>
      </c>
      <c r="L637">
        <f>+J637/I637</f>
        <v>0.15937241948802644</v>
      </c>
      <c r="M637">
        <f>+(L637-$L$931)/$L$932</f>
        <v>-0.60480646314763464</v>
      </c>
      <c r="N637">
        <f>+N634+M637</f>
        <v>27.609921805412064</v>
      </c>
    </row>
    <row r="638" spans="1:14">
      <c r="A638" s="15">
        <v>5</v>
      </c>
      <c r="B638" s="78">
        <v>42705</v>
      </c>
      <c r="E638" s="12">
        <v>12</v>
      </c>
      <c r="F638" s="83">
        <v>1.5609999999999999</v>
      </c>
      <c r="G638" s="83">
        <v>0.31900000000000001</v>
      </c>
    </row>
    <row r="639" spans="1:14">
      <c r="A639" s="15">
        <v>7</v>
      </c>
      <c r="B639" s="77">
        <v>42705</v>
      </c>
      <c r="E639" s="12">
        <v>12</v>
      </c>
      <c r="F639" s="83">
        <v>2.3180000000000001</v>
      </c>
      <c r="G639" s="83">
        <v>0.53100000000000003</v>
      </c>
    </row>
    <row r="640" spans="1:14">
      <c r="A640" s="15">
        <v>14</v>
      </c>
      <c r="B640" s="77">
        <v>42705</v>
      </c>
      <c r="E640" s="12">
        <v>12</v>
      </c>
      <c r="F640" s="83">
        <v>1.1519999999999999</v>
      </c>
      <c r="G640" s="83">
        <v>0.311</v>
      </c>
      <c r="I640" s="27">
        <f>AVERAGE(F638:F640)</f>
        <v>1.6769999999999998</v>
      </c>
      <c r="J640" s="27">
        <f>AVERAGE(G638:G640)</f>
        <v>0.38700000000000001</v>
      </c>
      <c r="L640">
        <f>+J640/I640</f>
        <v>0.23076923076923081</v>
      </c>
      <c r="M640">
        <f>+(L640-$L$931)/$L$932</f>
        <v>7.3225627933291515E-2</v>
      </c>
      <c r="N640">
        <f>+N637+M640</f>
        <v>27.683147433345354</v>
      </c>
    </row>
    <row r="641" spans="1:14">
      <c r="A641" s="15">
        <v>5</v>
      </c>
      <c r="B641" s="72">
        <v>42745</v>
      </c>
      <c r="E641" s="10">
        <v>1</v>
      </c>
    </row>
    <row r="642" spans="1:14">
      <c r="A642" s="15">
        <v>7</v>
      </c>
      <c r="B642" s="72">
        <v>42740</v>
      </c>
      <c r="E642" s="10">
        <v>1</v>
      </c>
    </row>
    <row r="643" spans="1:14">
      <c r="A643" s="15">
        <v>14</v>
      </c>
      <c r="B643" s="72">
        <v>42740</v>
      </c>
      <c r="E643" s="10">
        <v>1</v>
      </c>
      <c r="I643" s="27" t="e">
        <f>AVERAGE(F641:F643)</f>
        <v>#DIV/0!</v>
      </c>
      <c r="J643" s="27" t="e">
        <f>AVERAGE(G641:G643)</f>
        <v>#DIV/0!</v>
      </c>
    </row>
    <row r="644" spans="1:14">
      <c r="A644" s="15">
        <v>5</v>
      </c>
      <c r="B644" s="77">
        <v>42767</v>
      </c>
      <c r="E644" s="12">
        <v>2</v>
      </c>
    </row>
    <row r="645" spans="1:14">
      <c r="A645" s="15">
        <v>7</v>
      </c>
      <c r="B645" s="77">
        <v>42767</v>
      </c>
      <c r="E645" s="12">
        <v>2</v>
      </c>
    </row>
    <row r="646" spans="1:14">
      <c r="A646" s="15">
        <v>14</v>
      </c>
      <c r="B646" s="77">
        <v>42767</v>
      </c>
      <c r="E646" s="12">
        <v>2</v>
      </c>
      <c r="I646" s="27" t="e">
        <f>AVERAGE(F644:F646)</f>
        <v>#DIV/0!</v>
      </c>
      <c r="J646" s="27" t="e">
        <f>AVERAGE(G644:G646)</f>
        <v>#DIV/0!</v>
      </c>
    </row>
    <row r="647" spans="1:14">
      <c r="A647" s="15">
        <v>5</v>
      </c>
      <c r="B647" s="77">
        <v>42795</v>
      </c>
      <c r="E647" s="12">
        <v>3</v>
      </c>
      <c r="F647" s="83">
        <v>1.772</v>
      </c>
      <c r="G647" s="83">
        <v>0.58299999999999996</v>
      </c>
    </row>
    <row r="648" spans="1:14">
      <c r="A648" s="15">
        <v>7</v>
      </c>
      <c r="B648" s="77">
        <v>42795</v>
      </c>
      <c r="E648" s="12">
        <v>3</v>
      </c>
      <c r="F648" s="83">
        <v>2.4049999999999998</v>
      </c>
      <c r="G648" s="83">
        <v>0.32900000000000001</v>
      </c>
    </row>
    <row r="649" spans="1:14">
      <c r="A649" s="15">
        <v>14</v>
      </c>
      <c r="B649" s="77">
        <v>42795</v>
      </c>
      <c r="E649" s="12">
        <v>3</v>
      </c>
      <c r="F649" s="83">
        <v>0.74399999999999999</v>
      </c>
      <c r="G649" s="83">
        <v>0.188</v>
      </c>
      <c r="I649" s="27">
        <f>AVERAGE(F647:F649)</f>
        <v>1.6403333333333332</v>
      </c>
      <c r="J649" s="27">
        <f>AVERAGE(G647:G649)</f>
        <v>0.36666666666666664</v>
      </c>
      <c r="L649">
        <f>+J649/I649</f>
        <v>0.2235318024791709</v>
      </c>
      <c r="M649">
        <f>+(L649-$L$931)/$L$932</f>
        <v>4.4941460996003654E-3</v>
      </c>
      <c r="N649">
        <f>+N640+M649</f>
        <v>27.687641579444954</v>
      </c>
    </row>
    <row r="650" spans="1:14">
      <c r="A650" s="15">
        <v>5</v>
      </c>
      <c r="B650" s="77">
        <v>42826</v>
      </c>
      <c r="E650" s="12">
        <v>4</v>
      </c>
    </row>
    <row r="651" spans="1:14">
      <c r="A651" s="15">
        <v>7</v>
      </c>
      <c r="B651" s="77">
        <v>42826</v>
      </c>
      <c r="E651" s="12">
        <v>4</v>
      </c>
      <c r="F651" s="83">
        <v>2.4369999999999998</v>
      </c>
      <c r="G651" s="83">
        <v>0.45200000000000001</v>
      </c>
    </row>
    <row r="652" spans="1:14">
      <c r="A652" s="15">
        <v>14</v>
      </c>
      <c r="B652" s="77">
        <v>42826</v>
      </c>
      <c r="E652" s="12">
        <v>4</v>
      </c>
      <c r="F652" s="83">
        <v>0.60899999999999999</v>
      </c>
      <c r="G652" s="83">
        <v>9.4E-2</v>
      </c>
      <c r="I652" s="27">
        <f>AVERAGE(F650:F652)</f>
        <v>1.5229999999999999</v>
      </c>
      <c r="J652" s="27">
        <f>AVERAGE(G650:G652)</f>
        <v>0.27300000000000002</v>
      </c>
      <c r="L652">
        <f>+J652/I652</f>
        <v>0.17925147734734079</v>
      </c>
      <c r="M652">
        <f>+(L652-$L$931)/$L$932</f>
        <v>-0.41602157307764975</v>
      </c>
      <c r="N652">
        <f>+N649+M652</f>
        <v>27.271620006367304</v>
      </c>
    </row>
    <row r="653" spans="1:14">
      <c r="A653" s="15">
        <v>5</v>
      </c>
      <c r="B653" s="77">
        <v>42856</v>
      </c>
      <c r="E653" s="12">
        <v>5</v>
      </c>
      <c r="F653" s="83">
        <v>16.995999999999999</v>
      </c>
      <c r="G653" s="83">
        <v>8.6329999999999991</v>
      </c>
    </row>
    <row r="654" spans="1:14">
      <c r="A654" s="15">
        <v>7</v>
      </c>
      <c r="B654" s="77">
        <v>42856</v>
      </c>
      <c r="E654" s="12">
        <v>5</v>
      </c>
      <c r="F654" s="83">
        <v>3.274</v>
      </c>
      <c r="G654" s="83">
        <v>0.47099999999999997</v>
      </c>
    </row>
    <row r="655" spans="1:14">
      <c r="A655" s="15">
        <v>14</v>
      </c>
      <c r="B655" s="77">
        <v>42856</v>
      </c>
      <c r="E655" s="12">
        <v>5</v>
      </c>
      <c r="F655" s="83">
        <v>2.7749999999999999</v>
      </c>
      <c r="G655" s="83">
        <v>0.42799999999999999</v>
      </c>
      <c r="I655" s="27">
        <f>AVERAGE(F653:F655)</f>
        <v>7.6816666666666658</v>
      </c>
      <c r="J655" s="27">
        <f>AVERAGE(G653:G655)</f>
        <v>3.1773333333333333</v>
      </c>
      <c r="L655">
        <f>+J655/I655</f>
        <v>0.41362551529615976</v>
      </c>
      <c r="M655">
        <f>+(L655-$L$931)/$L$932</f>
        <v>1.8097517660091742</v>
      </c>
      <c r="N655">
        <f>+N652+M655</f>
        <v>29.081371772376478</v>
      </c>
    </row>
    <row r="656" spans="1:14">
      <c r="A656" s="15">
        <v>5</v>
      </c>
      <c r="B656" s="77">
        <v>42887</v>
      </c>
      <c r="E656" s="12">
        <v>6</v>
      </c>
      <c r="F656" s="83">
        <v>12.574</v>
      </c>
      <c r="G656" s="83">
        <v>2.649</v>
      </c>
    </row>
    <row r="657" spans="1:14">
      <c r="A657" s="15">
        <v>7</v>
      </c>
      <c r="B657" s="77">
        <v>42887</v>
      </c>
      <c r="E657" s="12">
        <v>6</v>
      </c>
      <c r="F657" s="83">
        <v>6.6470000000000002</v>
      </c>
      <c r="G657" s="83">
        <v>0.47299999999999998</v>
      </c>
    </row>
    <row r="658" spans="1:14">
      <c r="A658" s="15">
        <v>14</v>
      </c>
      <c r="B658" s="77">
        <v>42887</v>
      </c>
      <c r="E658" s="12">
        <v>6</v>
      </c>
      <c r="F658" s="83">
        <v>2.3959999999999999</v>
      </c>
      <c r="G658" s="83">
        <v>0.12</v>
      </c>
      <c r="I658" s="27">
        <f>AVERAGE(F656:F658)</f>
        <v>7.2056666666666667</v>
      </c>
      <c r="J658" s="27">
        <f>AVERAGE(G656:G658)</f>
        <v>1.0806666666666667</v>
      </c>
      <c r="L658">
        <f>+J658/I658</f>
        <v>0.14997455706157192</v>
      </c>
      <c r="M658">
        <f>+(L658-$L$931)/$L$932</f>
        <v>-0.69405487912524433</v>
      </c>
      <c r="N658">
        <f>+N655+M658</f>
        <v>28.387316893251235</v>
      </c>
    </row>
    <row r="659" spans="1:14">
      <c r="A659" s="15">
        <v>5</v>
      </c>
      <c r="B659" s="77">
        <v>42917</v>
      </c>
      <c r="E659" s="12">
        <v>7</v>
      </c>
      <c r="F659" s="83">
        <v>6.5910000000000002</v>
      </c>
      <c r="G659" s="83">
        <v>0.68500000000000005</v>
      </c>
    </row>
    <row r="660" spans="1:14">
      <c r="A660" s="15">
        <v>7</v>
      </c>
      <c r="B660" s="77">
        <v>42917</v>
      </c>
      <c r="E660" s="12">
        <v>7</v>
      </c>
      <c r="F660" s="83">
        <v>8.4939999999999998</v>
      </c>
      <c r="G660" s="83">
        <v>0.47599999999999998</v>
      </c>
    </row>
    <row r="661" spans="1:14">
      <c r="A661" s="15">
        <v>14</v>
      </c>
      <c r="B661" s="77">
        <v>42917</v>
      </c>
      <c r="E661" s="12">
        <v>7</v>
      </c>
      <c r="F661" s="83">
        <v>1.4570000000000001</v>
      </c>
      <c r="G661" s="83">
        <v>0.14799999999999999</v>
      </c>
      <c r="I661" s="27">
        <f>AVERAGE(F659:F661)</f>
        <v>5.5140000000000002</v>
      </c>
      <c r="J661" s="27">
        <f>AVERAGE(G659:G661)</f>
        <v>0.4363333333333333</v>
      </c>
      <c r="L661">
        <f>+J661/I661</f>
        <v>7.9131906661830481E-2</v>
      </c>
      <c r="M661">
        <f>+(L661-$L$931)/$L$932</f>
        <v>-1.366824286137919</v>
      </c>
      <c r="N661">
        <f>+N658+M661</f>
        <v>27.020492607113315</v>
      </c>
    </row>
    <row r="662" spans="1:14">
      <c r="A662" s="15">
        <v>5</v>
      </c>
      <c r="B662" s="77">
        <v>42948</v>
      </c>
      <c r="E662" s="12">
        <v>8</v>
      </c>
    </row>
    <row r="663" spans="1:14">
      <c r="A663" s="15">
        <v>7</v>
      </c>
      <c r="B663" s="77">
        <v>42948</v>
      </c>
      <c r="E663" s="12">
        <v>8</v>
      </c>
    </row>
    <row r="664" spans="1:14">
      <c r="A664" s="15">
        <v>14</v>
      </c>
      <c r="B664" s="77">
        <v>42948</v>
      </c>
      <c r="E664" s="12">
        <v>8</v>
      </c>
      <c r="I664" s="27"/>
      <c r="J664" s="27"/>
    </row>
    <row r="665" spans="1:14">
      <c r="A665" s="15">
        <v>5</v>
      </c>
      <c r="B665" s="77">
        <v>42979</v>
      </c>
      <c r="E665" s="12">
        <v>9</v>
      </c>
      <c r="F665" s="83">
        <v>1.8979999999999999</v>
      </c>
      <c r="G665" s="83">
        <v>0.307</v>
      </c>
    </row>
    <row r="666" spans="1:14">
      <c r="A666" s="15">
        <v>7</v>
      </c>
      <c r="B666" s="77">
        <v>42979</v>
      </c>
      <c r="E666" s="12">
        <v>9</v>
      </c>
      <c r="F666" s="83">
        <v>3.137</v>
      </c>
      <c r="G666" s="83">
        <v>0.22900000000000001</v>
      </c>
    </row>
    <row r="667" spans="1:14">
      <c r="A667" s="15">
        <v>14</v>
      </c>
      <c r="B667" s="77">
        <v>42979</v>
      </c>
      <c r="E667" s="12">
        <v>9</v>
      </c>
      <c r="F667" s="84">
        <v>0.66800000000000004</v>
      </c>
      <c r="G667" s="84">
        <v>5.8999999999999997E-2</v>
      </c>
      <c r="I667" s="27">
        <f>AVERAGE(F665:F667)</f>
        <v>1.901</v>
      </c>
      <c r="J667" s="27">
        <f>AVERAGE(G665:G667)</f>
        <v>0.19833333333333333</v>
      </c>
      <c r="L667">
        <f>+J667/I667</f>
        <v>0.10433105383131686</v>
      </c>
      <c r="M667">
        <f>+(L667-$L$931)/$L$932</f>
        <v>-1.1275162534375736</v>
      </c>
      <c r="N667">
        <f>+N661+M667</f>
        <v>25.892976353675742</v>
      </c>
    </row>
    <row r="668" spans="1:14">
      <c r="A668" s="15">
        <v>5</v>
      </c>
      <c r="B668" s="77">
        <v>43009</v>
      </c>
      <c r="E668" s="12">
        <v>10</v>
      </c>
    </row>
    <row r="669" spans="1:14">
      <c r="A669" s="15">
        <v>7</v>
      </c>
      <c r="B669" s="77">
        <v>43009</v>
      </c>
      <c r="E669" s="12">
        <v>10</v>
      </c>
    </row>
    <row r="670" spans="1:14">
      <c r="A670" s="15">
        <v>14</v>
      </c>
      <c r="B670" s="77">
        <v>43009</v>
      </c>
      <c r="E670" s="12">
        <v>10</v>
      </c>
      <c r="I670" s="27"/>
      <c r="J670" s="27"/>
    </row>
    <row r="671" spans="1:14">
      <c r="A671" s="15">
        <v>5</v>
      </c>
      <c r="B671" s="77">
        <v>43040</v>
      </c>
      <c r="E671" s="12">
        <v>11</v>
      </c>
      <c r="F671" s="83">
        <v>0.70399999999999996</v>
      </c>
      <c r="G671" s="83">
        <v>0.10100000000000001</v>
      </c>
    </row>
    <row r="672" spans="1:14">
      <c r="A672" s="15">
        <v>7</v>
      </c>
      <c r="B672" s="77">
        <v>43040</v>
      </c>
      <c r="E672" s="12">
        <v>11</v>
      </c>
      <c r="F672" s="83">
        <v>0.96899999999999997</v>
      </c>
      <c r="G672" s="83">
        <v>4.4999999999999998E-2</v>
      </c>
    </row>
    <row r="673" spans="1:14">
      <c r="A673" s="15">
        <v>14</v>
      </c>
      <c r="B673" s="77">
        <v>43040</v>
      </c>
      <c r="E673" s="12">
        <v>11</v>
      </c>
      <c r="F673" s="83">
        <v>0.40600000000000003</v>
      </c>
      <c r="G673" s="83">
        <v>6.0999999999999999E-2</v>
      </c>
      <c r="I673" s="27">
        <f>AVERAGE(F671:F673)</f>
        <v>0.69300000000000006</v>
      </c>
      <c r="J673" s="27">
        <f>AVERAGE(G671:G673)</f>
        <v>6.9000000000000006E-2</v>
      </c>
      <c r="L673">
        <f>+J673/I673</f>
        <v>9.9567099567099568E-2</v>
      </c>
      <c r="M673">
        <f>+(L673-$L$931)/$L$932</f>
        <v>-1.1727579640072372</v>
      </c>
      <c r="N673">
        <f>+N667+M673</f>
        <v>24.720218389668506</v>
      </c>
    </row>
    <row r="674" spans="1:14">
      <c r="A674" s="15">
        <v>5</v>
      </c>
      <c r="B674" s="78">
        <v>43070</v>
      </c>
      <c r="E674" s="12">
        <v>12</v>
      </c>
      <c r="F674" s="83">
        <v>1.8959999999999999</v>
      </c>
      <c r="G674" s="83">
        <v>0.17899999999999999</v>
      </c>
    </row>
    <row r="675" spans="1:14">
      <c r="A675" s="15">
        <v>7</v>
      </c>
      <c r="B675" s="77">
        <v>43070</v>
      </c>
      <c r="E675" s="12">
        <v>12</v>
      </c>
      <c r="F675" s="83">
        <v>3.827</v>
      </c>
      <c r="G675" s="83">
        <v>0.38900000000000001</v>
      </c>
    </row>
    <row r="676" spans="1:14">
      <c r="A676" s="15">
        <v>14</v>
      </c>
      <c r="B676" s="77">
        <v>43070</v>
      </c>
      <c r="E676" s="12">
        <v>12</v>
      </c>
      <c r="F676" s="83">
        <v>1.651</v>
      </c>
      <c r="G676" s="83">
        <v>0.31</v>
      </c>
      <c r="I676" s="27">
        <f>AVERAGE(F674:F676)</f>
        <v>2.4579999999999997</v>
      </c>
      <c r="J676" s="27">
        <f>AVERAGE(G674:G676)</f>
        <v>0.29266666666666669</v>
      </c>
      <c r="L676">
        <f>+J676/I676</f>
        <v>0.11906699213452673</v>
      </c>
      <c r="M676">
        <f>+(L676-$L$931)/$L$932</f>
        <v>-0.98757388230824528</v>
      </c>
      <c r="N676">
        <f>+N673+M676</f>
        <v>23.732644507360263</v>
      </c>
    </row>
    <row r="677" spans="1:14">
      <c r="A677" s="15">
        <v>5</v>
      </c>
      <c r="B677" s="72">
        <v>43110</v>
      </c>
      <c r="E677" s="10">
        <v>1</v>
      </c>
      <c r="F677" s="79">
        <v>3.125</v>
      </c>
      <c r="G677" s="79">
        <v>0.72299999999999998</v>
      </c>
    </row>
    <row r="678" spans="1:14">
      <c r="A678" s="15">
        <v>7</v>
      </c>
      <c r="B678" s="72">
        <v>43105</v>
      </c>
      <c r="E678" s="10">
        <v>1</v>
      </c>
      <c r="F678" s="79">
        <v>5.2939999999999996</v>
      </c>
      <c r="G678" s="79">
        <v>1.202</v>
      </c>
    </row>
    <row r="679" spans="1:14">
      <c r="A679" s="15">
        <v>14</v>
      </c>
      <c r="B679" s="72">
        <v>43105</v>
      </c>
      <c r="E679" s="10">
        <v>1</v>
      </c>
      <c r="F679" s="79">
        <v>5.2080000000000002</v>
      </c>
      <c r="G679" s="79">
        <v>1.175</v>
      </c>
      <c r="I679">
        <v>4.5423333333333336</v>
      </c>
      <c r="J679">
        <v>1.0333333333333332</v>
      </c>
      <c r="L679">
        <v>0.22748954281940262</v>
      </c>
      <c r="M679">
        <f>+(L679-$L$931)/$L$932</f>
        <v>4.2079507556059263E-2</v>
      </c>
      <c r="N679">
        <f>+N676+M679</f>
        <v>23.774724014916323</v>
      </c>
    </row>
    <row r="680" spans="1:14">
      <c r="A680" s="15">
        <v>5</v>
      </c>
      <c r="B680" s="77">
        <v>43132</v>
      </c>
      <c r="E680" s="12">
        <v>2</v>
      </c>
      <c r="F680" s="79">
        <v>3.33</v>
      </c>
      <c r="G680" s="79">
        <v>0.873</v>
      </c>
    </row>
    <row r="681" spans="1:14">
      <c r="A681" s="15">
        <v>7</v>
      </c>
      <c r="B681" s="77">
        <v>43132</v>
      </c>
      <c r="E681" s="12">
        <v>2</v>
      </c>
      <c r="F681" s="79">
        <v>3.649</v>
      </c>
      <c r="G681" s="79">
        <v>0.16700000000000001</v>
      </c>
    </row>
    <row r="682" spans="1:14">
      <c r="A682" s="15">
        <v>14</v>
      </c>
      <c r="B682" s="77">
        <v>43132</v>
      </c>
      <c r="E682" s="12">
        <v>2</v>
      </c>
      <c r="F682" s="79">
        <v>0.86699999999999999</v>
      </c>
      <c r="G682" s="79">
        <v>0.16700000000000001</v>
      </c>
      <c r="I682">
        <v>2.6153333333333335</v>
      </c>
      <c r="J682">
        <v>0.40233333333333338</v>
      </c>
      <c r="L682">
        <v>0.15383634973234769</v>
      </c>
      <c r="M682">
        <f>+(L682-$L$931)/$L$932</f>
        <v>-0.65738070120469061</v>
      </c>
      <c r="N682">
        <f>+N679+M682</f>
        <v>23.117343313711633</v>
      </c>
    </row>
    <row r="683" spans="1:14">
      <c r="A683" s="15">
        <v>5</v>
      </c>
      <c r="B683" s="77">
        <v>43160</v>
      </c>
      <c r="E683" s="12">
        <v>3</v>
      </c>
      <c r="F683" s="79">
        <v>5.3890000000000002</v>
      </c>
      <c r="G683" s="79">
        <v>2.1139999999999999</v>
      </c>
    </row>
    <row r="684" spans="1:14">
      <c r="A684" s="15">
        <v>7</v>
      </c>
      <c r="B684" s="77">
        <v>43160</v>
      </c>
      <c r="E684" s="12">
        <v>3</v>
      </c>
      <c r="F684" s="79">
        <v>3.4910000000000001</v>
      </c>
      <c r="G684" s="79">
        <v>1.194</v>
      </c>
    </row>
    <row r="685" spans="1:14">
      <c r="A685" s="15">
        <v>14</v>
      </c>
      <c r="B685" s="77">
        <v>43160</v>
      </c>
      <c r="E685" s="12">
        <v>3</v>
      </c>
      <c r="F685" s="79">
        <v>2.0699999999999998</v>
      </c>
      <c r="G685" s="79">
        <v>0.82699999999999996</v>
      </c>
      <c r="I685">
        <v>3.6500000000000004</v>
      </c>
      <c r="J685">
        <v>1.3783333333333332</v>
      </c>
      <c r="L685">
        <v>0.37762557077625564</v>
      </c>
      <c r="M685">
        <f>+(L685-$L$931)/$L$932</f>
        <v>1.4678721046684196</v>
      </c>
      <c r="N685">
        <f>+N682+M685</f>
        <v>24.585215418380052</v>
      </c>
    </row>
    <row r="686" spans="1:14">
      <c r="A686" s="15">
        <v>5</v>
      </c>
      <c r="B686" s="77">
        <v>43191</v>
      </c>
      <c r="E686" s="12">
        <v>4</v>
      </c>
      <c r="F686" s="79">
        <v>1.431</v>
      </c>
      <c r="G686" s="79">
        <v>0.59199999999999997</v>
      </c>
    </row>
    <row r="687" spans="1:14">
      <c r="A687" s="15">
        <v>7</v>
      </c>
      <c r="B687" s="77">
        <v>43191</v>
      </c>
      <c r="E687" s="12">
        <v>4</v>
      </c>
      <c r="F687" s="79">
        <v>2.3180000000000001</v>
      </c>
      <c r="G687" s="79">
        <v>0.21299999999999999</v>
      </c>
    </row>
    <row r="688" spans="1:14">
      <c r="A688" s="15">
        <v>14</v>
      </c>
      <c r="B688" s="77">
        <v>43191</v>
      </c>
      <c r="E688" s="12">
        <v>4</v>
      </c>
      <c r="F688" s="80">
        <v>0.88800000000000001</v>
      </c>
      <c r="G688" s="80">
        <v>7.8E-2</v>
      </c>
      <c r="I688">
        <v>1.5456666666666667</v>
      </c>
      <c r="J688">
        <v>0.29433333333333328</v>
      </c>
      <c r="L688">
        <v>0.19042484364891088</v>
      </c>
      <c r="M688">
        <f>+(L688-$L$931)/$L$932</f>
        <v>-0.30991177934991326</v>
      </c>
      <c r="N688">
        <f>+N685+M688</f>
        <v>24.275303639030138</v>
      </c>
    </row>
    <row r="689" spans="1:14">
      <c r="A689" s="15">
        <v>5</v>
      </c>
      <c r="B689" s="77">
        <v>43221</v>
      </c>
      <c r="E689" s="12">
        <v>5</v>
      </c>
      <c r="F689" s="80">
        <v>17.451000000000001</v>
      </c>
      <c r="G689" s="80">
        <v>6.3289999999999997</v>
      </c>
    </row>
    <row r="690" spans="1:14">
      <c r="A690" s="15">
        <v>7</v>
      </c>
      <c r="B690" s="77">
        <v>43221</v>
      </c>
      <c r="E690" s="12">
        <v>5</v>
      </c>
      <c r="F690" s="80">
        <v>6.1669999999999998</v>
      </c>
      <c r="G690" s="80">
        <v>0.68100000000000005</v>
      </c>
    </row>
    <row r="691" spans="1:14">
      <c r="A691" s="15">
        <v>14</v>
      </c>
      <c r="B691" s="77">
        <v>43221</v>
      </c>
      <c r="E691" s="12">
        <v>5</v>
      </c>
      <c r="F691" s="80">
        <v>1.347</v>
      </c>
      <c r="G691" s="80">
        <v>0.105</v>
      </c>
      <c r="I691">
        <v>8.3216666666666672</v>
      </c>
      <c r="J691">
        <v>2.3716666666666666</v>
      </c>
      <c r="L691">
        <v>0.28499899859803723</v>
      </c>
      <c r="M691">
        <f>+(L691-$L$931)/$L$932</f>
        <v>0.58822793994100653</v>
      </c>
      <c r="N691">
        <f>+N688+M691</f>
        <v>24.863531578971145</v>
      </c>
    </row>
    <row r="692" spans="1:14">
      <c r="A692" s="15">
        <v>5</v>
      </c>
      <c r="B692" s="77">
        <v>43252</v>
      </c>
      <c r="E692" s="12">
        <v>6</v>
      </c>
      <c r="F692" s="80">
        <v>5.9429999999999996</v>
      </c>
      <c r="G692" s="80">
        <v>0.72599999999999998</v>
      </c>
    </row>
    <row r="693" spans="1:14">
      <c r="A693" s="15">
        <v>7</v>
      </c>
      <c r="B693" s="77">
        <v>43252</v>
      </c>
      <c r="E693" s="12">
        <v>6</v>
      </c>
      <c r="F693" s="80">
        <v>13.451000000000001</v>
      </c>
      <c r="G693" s="80">
        <v>0.23100000000000001</v>
      </c>
    </row>
    <row r="694" spans="1:14">
      <c r="A694" s="15">
        <v>14</v>
      </c>
      <c r="B694" s="77">
        <v>43252</v>
      </c>
      <c r="E694" s="12">
        <v>6</v>
      </c>
      <c r="F694" s="80">
        <v>2.2999999999999998</v>
      </c>
      <c r="G694" s="80">
        <v>0.13300000000000001</v>
      </c>
      <c r="I694">
        <v>7.2313333333333327</v>
      </c>
      <c r="J694">
        <v>0.36333333333333329</v>
      </c>
      <c r="L694">
        <v>5.0244307181709226E-2</v>
      </c>
      <c r="M694">
        <f>+(L694-$L$931)/$L$932</f>
        <v>-1.6411603402324135</v>
      </c>
      <c r="N694">
        <f>+N691+M694</f>
        <v>23.222371238738731</v>
      </c>
    </row>
    <row r="695" spans="1:14">
      <c r="A695" s="15">
        <v>5</v>
      </c>
      <c r="B695" s="77">
        <v>43282</v>
      </c>
      <c r="E695" s="12">
        <v>7</v>
      </c>
      <c r="F695" s="80">
        <v>19.792999999999999</v>
      </c>
      <c r="G695" s="80">
        <v>1.363</v>
      </c>
    </row>
    <row r="696" spans="1:14">
      <c r="A696" s="15">
        <v>7</v>
      </c>
      <c r="B696" s="77">
        <v>43282</v>
      </c>
      <c r="E696" s="12">
        <v>7</v>
      </c>
      <c r="F696" s="80">
        <v>15.863</v>
      </c>
      <c r="G696" s="80">
        <v>2.6110000000000002</v>
      </c>
    </row>
    <row r="697" spans="1:14">
      <c r="A697" s="15">
        <v>14</v>
      </c>
      <c r="B697" s="77">
        <v>43282</v>
      </c>
      <c r="E697" s="12">
        <v>7</v>
      </c>
      <c r="F697" s="80">
        <v>3.9430000000000001</v>
      </c>
      <c r="G697" s="80">
        <v>0.77400000000000002</v>
      </c>
      <c r="I697">
        <v>13.199666666666666</v>
      </c>
      <c r="J697">
        <v>1.5826666666666667</v>
      </c>
      <c r="L697">
        <v>0.11990201772772041</v>
      </c>
      <c r="M697">
        <f>+(L697-$L$931)/$L$932</f>
        <v>-0.9796439182258263</v>
      </c>
      <c r="N697">
        <f>+N694+M697</f>
        <v>22.242727320512905</v>
      </c>
    </row>
    <row r="698" spans="1:14">
      <c r="A698" s="15">
        <v>5</v>
      </c>
      <c r="B698" s="77">
        <v>43313</v>
      </c>
      <c r="E698" s="12">
        <v>8</v>
      </c>
      <c r="F698" s="80">
        <v>7.8440000000000003</v>
      </c>
      <c r="G698" s="80">
        <v>0.83699999999999997</v>
      </c>
    </row>
    <row r="699" spans="1:14">
      <c r="A699" s="15">
        <v>7</v>
      </c>
      <c r="B699" s="77">
        <v>43313</v>
      </c>
      <c r="E699" s="12">
        <v>8</v>
      </c>
      <c r="F699" s="80">
        <v>14.576000000000001</v>
      </c>
      <c r="G699" s="80">
        <v>2.6560000000000001</v>
      </c>
    </row>
    <row r="700" spans="1:14">
      <c r="A700" s="15">
        <v>14</v>
      </c>
      <c r="B700" s="77">
        <v>43313</v>
      </c>
      <c r="E700" s="12">
        <v>8</v>
      </c>
      <c r="F700" s="80">
        <v>3.74</v>
      </c>
      <c r="G700" s="80">
        <v>0.32600000000000001</v>
      </c>
      <c r="I700">
        <v>8.7200000000000006</v>
      </c>
      <c r="J700">
        <v>1.2730000000000001</v>
      </c>
      <c r="L700">
        <v>0.1459862385321101</v>
      </c>
      <c r="M700">
        <f>+(L700-$L$931)/$L$932</f>
        <v>-0.73193063161196226</v>
      </c>
      <c r="N700">
        <f>+N697+M700</f>
        <v>21.510796688900943</v>
      </c>
    </row>
    <row r="701" spans="1:14">
      <c r="A701" s="15">
        <v>5</v>
      </c>
      <c r="B701" s="77">
        <v>43344</v>
      </c>
      <c r="E701" s="12">
        <v>9</v>
      </c>
      <c r="F701" s="80">
        <v>11.523999999999999</v>
      </c>
      <c r="G701" s="80">
        <v>2.5880000000000001</v>
      </c>
    </row>
    <row r="702" spans="1:14">
      <c r="A702" s="15">
        <v>7</v>
      </c>
      <c r="B702" s="77">
        <v>43344</v>
      </c>
      <c r="E702" s="12">
        <v>9</v>
      </c>
      <c r="F702" s="80">
        <v>15.547000000000001</v>
      </c>
      <c r="G702" s="80">
        <v>3.5470000000000002</v>
      </c>
    </row>
    <row r="703" spans="1:14">
      <c r="A703" s="15">
        <v>14</v>
      </c>
      <c r="B703" s="77">
        <v>43344</v>
      </c>
      <c r="E703" s="12">
        <v>9</v>
      </c>
      <c r="F703" s="80">
        <v>1.5720000000000001</v>
      </c>
      <c r="G703" s="80">
        <v>0.16600000000000001</v>
      </c>
      <c r="I703">
        <v>9.5476666666666663</v>
      </c>
      <c r="J703">
        <v>2.1003333333333334</v>
      </c>
      <c r="L703">
        <v>0.21998394022972456</v>
      </c>
      <c r="M703">
        <f>+(L703-$L$931)/$L$932</f>
        <v>-2.9198737611754649E-2</v>
      </c>
      <c r="N703">
        <f>+N700+M703</f>
        <v>21.481597951289189</v>
      </c>
    </row>
    <row r="704" spans="1:14">
      <c r="A704" s="15">
        <v>5</v>
      </c>
      <c r="B704" s="77">
        <v>43374</v>
      </c>
      <c r="E704" s="12">
        <v>10</v>
      </c>
      <c r="F704" s="80">
        <v>0.59199999999999997</v>
      </c>
      <c r="G704" s="80">
        <v>9.9989999999999996E-4</v>
      </c>
    </row>
    <row r="705" spans="1:14">
      <c r="A705" s="15">
        <v>7</v>
      </c>
      <c r="B705" s="77">
        <v>43374</v>
      </c>
      <c r="E705" s="12">
        <v>10</v>
      </c>
      <c r="F705" s="80">
        <v>1.4810000000000001</v>
      </c>
      <c r="G705" s="80">
        <v>9.2999999999999999E-2</v>
      </c>
    </row>
    <row r="706" spans="1:14">
      <c r="A706" s="15">
        <v>14</v>
      </c>
      <c r="B706" s="77">
        <v>43374</v>
      </c>
      <c r="E706" s="12">
        <v>10</v>
      </c>
      <c r="F706" s="80">
        <v>0.39700000000000002</v>
      </c>
      <c r="G706" s="80">
        <v>0.01</v>
      </c>
      <c r="I706">
        <v>0.82333333333333325</v>
      </c>
      <c r="J706">
        <v>3.4666633333333328E-2</v>
      </c>
      <c r="L706">
        <v>4.2105222672064777E-2</v>
      </c>
      <c r="M706">
        <f>+(L706-$L$931)/$L$932</f>
        <v>-1.7184545553455104</v>
      </c>
      <c r="N706">
        <f>+N703+M706</f>
        <v>19.763143395943679</v>
      </c>
    </row>
    <row r="707" spans="1:14">
      <c r="A707" s="15">
        <v>5</v>
      </c>
      <c r="B707" s="77">
        <v>43405</v>
      </c>
      <c r="E707" s="12">
        <v>11</v>
      </c>
      <c r="F707" s="80">
        <v>1.294</v>
      </c>
      <c r="G707" s="80">
        <v>0.23899999999999999</v>
      </c>
      <c r="I707">
        <v>1.294</v>
      </c>
      <c r="J707">
        <v>0.23899999999999999</v>
      </c>
      <c r="L707">
        <v>0.18469860896445131</v>
      </c>
      <c r="M707">
        <f>+(L707-$L$931)/$L$932</f>
        <v>-0.36429195134152093</v>
      </c>
      <c r="N707">
        <f>+N706+M707</f>
        <v>19.398851444602158</v>
      </c>
    </row>
    <row r="708" spans="1:14">
      <c r="A708" s="15">
        <v>7</v>
      </c>
      <c r="B708" s="77">
        <v>43405</v>
      </c>
      <c r="E708" s="12">
        <v>11</v>
      </c>
    </row>
    <row r="709" spans="1:14">
      <c r="A709" s="15">
        <v>14</v>
      </c>
      <c r="B709" s="77">
        <v>43405</v>
      </c>
      <c r="E709" s="12">
        <v>11</v>
      </c>
    </row>
    <row r="710" spans="1:14">
      <c r="A710" s="15">
        <v>5</v>
      </c>
      <c r="B710" s="78">
        <v>43435</v>
      </c>
      <c r="E710" s="12">
        <v>12</v>
      </c>
    </row>
    <row r="711" spans="1:14">
      <c r="A711" s="15">
        <v>7</v>
      </c>
      <c r="B711" s="77">
        <v>43435</v>
      </c>
      <c r="E711" s="12">
        <v>12</v>
      </c>
    </row>
    <row r="712" spans="1:14">
      <c r="A712" s="15">
        <v>14</v>
      </c>
      <c r="B712" s="77">
        <v>43435</v>
      </c>
      <c r="E712" s="12">
        <v>12</v>
      </c>
    </row>
    <row r="713" spans="1:14">
      <c r="A713" s="15">
        <v>5</v>
      </c>
      <c r="B713" s="72">
        <v>43475</v>
      </c>
      <c r="E713" s="10">
        <v>1</v>
      </c>
    </row>
    <row r="714" spans="1:14">
      <c r="A714" s="15">
        <v>7</v>
      </c>
      <c r="B714" s="72">
        <v>43470</v>
      </c>
      <c r="E714" s="10">
        <v>1</v>
      </c>
    </row>
    <row r="715" spans="1:14">
      <c r="A715" s="15">
        <v>14</v>
      </c>
      <c r="B715" s="72">
        <v>43470</v>
      </c>
      <c r="E715" s="10">
        <v>1</v>
      </c>
    </row>
    <row r="716" spans="1:14">
      <c r="A716" s="15">
        <v>5</v>
      </c>
      <c r="B716" s="77">
        <v>43497</v>
      </c>
      <c r="E716" s="12">
        <v>2</v>
      </c>
    </row>
    <row r="717" spans="1:14">
      <c r="A717" s="15">
        <v>7</v>
      </c>
      <c r="B717" s="77">
        <v>43497</v>
      </c>
      <c r="E717" s="12">
        <v>2</v>
      </c>
    </row>
    <row r="718" spans="1:14">
      <c r="A718" s="15">
        <v>14</v>
      </c>
      <c r="B718" s="77">
        <v>43497</v>
      </c>
      <c r="E718" s="12">
        <v>2</v>
      </c>
    </row>
    <row r="719" spans="1:14">
      <c r="A719" s="15">
        <v>5</v>
      </c>
      <c r="B719" s="77">
        <v>43525</v>
      </c>
      <c r="E719" s="12">
        <v>3</v>
      </c>
      <c r="F719" s="85">
        <v>0.61199999999999999</v>
      </c>
      <c r="G719" s="86">
        <v>9.7000000000000003E-2</v>
      </c>
    </row>
    <row r="720" spans="1:14">
      <c r="A720" s="15">
        <v>7</v>
      </c>
      <c r="B720" s="77">
        <v>43525</v>
      </c>
      <c r="E720" s="12">
        <v>3</v>
      </c>
      <c r="F720" s="85">
        <v>1.581</v>
      </c>
      <c r="G720" s="86">
        <v>0.25</v>
      </c>
    </row>
    <row r="721" spans="1:14">
      <c r="A721" s="15">
        <v>14</v>
      </c>
      <c r="B721" s="77">
        <v>43525</v>
      </c>
      <c r="E721" s="12">
        <v>3</v>
      </c>
      <c r="F721" s="85">
        <v>0.52500000000000002</v>
      </c>
      <c r="G721" s="86">
        <v>5.2999999999999999E-2</v>
      </c>
      <c r="I721" s="27">
        <f>AVERAGE(F719:F721)</f>
        <v>0.90600000000000003</v>
      </c>
      <c r="J721" s="27">
        <f>AVERAGE(G719:G721)</f>
        <v>0.13333333333333333</v>
      </c>
      <c r="L721">
        <f>+J721/I721</f>
        <v>0.14716703458425312</v>
      </c>
      <c r="M721">
        <f>+(L721-$L$931)/$L$932</f>
        <v>-0.72071699892994634</v>
      </c>
      <c r="N721">
        <f>+N707+M721</f>
        <v>18.67813444567221</v>
      </c>
    </row>
    <row r="722" spans="1:14">
      <c r="A722" s="15">
        <v>5</v>
      </c>
      <c r="B722" s="77">
        <v>43556</v>
      </c>
      <c r="E722" s="12">
        <v>4</v>
      </c>
      <c r="F722" s="79">
        <v>1.1439999999999999</v>
      </c>
      <c r="G722" s="86">
        <v>0.14799999999999999</v>
      </c>
    </row>
    <row r="723" spans="1:14">
      <c r="A723" s="15">
        <v>7</v>
      </c>
      <c r="B723" s="77">
        <v>43556</v>
      </c>
      <c r="E723" s="12">
        <v>4</v>
      </c>
      <c r="F723" s="79">
        <v>2.0779999999999998</v>
      </c>
      <c r="G723" s="86">
        <v>0.38800000000000001</v>
      </c>
    </row>
    <row r="724" spans="1:14">
      <c r="A724" s="15">
        <v>14</v>
      </c>
      <c r="B724" s="77">
        <v>43556</v>
      </c>
      <c r="E724" s="12">
        <v>4</v>
      </c>
      <c r="F724" s="79">
        <v>0.91</v>
      </c>
      <c r="G724" s="86">
        <v>0.16500000000000001</v>
      </c>
      <c r="I724" s="27">
        <f>AVERAGE(F722:F724)</f>
        <v>1.3773333333333333</v>
      </c>
      <c r="J724" s="27">
        <f>AVERAGE(G722:G724)</f>
        <v>0.23366666666666669</v>
      </c>
      <c r="L724">
        <f>+J724/I724</f>
        <v>0.16965150048402713</v>
      </c>
      <c r="M724">
        <f>+(L724-$L$931)/$L$932</f>
        <v>-0.50718940354733655</v>
      </c>
      <c r="N724">
        <f>+N721+M724</f>
        <v>18.170945042124874</v>
      </c>
    </row>
    <row r="725" spans="1:14">
      <c r="A725" s="15">
        <v>5</v>
      </c>
      <c r="B725" s="77">
        <v>43586</v>
      </c>
      <c r="E725" s="12">
        <v>5</v>
      </c>
      <c r="F725" s="79">
        <v>4.585</v>
      </c>
      <c r="G725" s="86">
        <v>1.7150000000000001</v>
      </c>
    </row>
    <row r="726" spans="1:14">
      <c r="A726" s="15">
        <v>7</v>
      </c>
      <c r="B726" s="77">
        <v>43586</v>
      </c>
      <c r="E726" s="12">
        <v>5</v>
      </c>
      <c r="F726" s="79">
        <v>1.4370000000000001</v>
      </c>
      <c r="G726" s="86">
        <v>0.14299999999999999</v>
      </c>
    </row>
    <row r="727" spans="1:14">
      <c r="A727" s="15">
        <v>14</v>
      </c>
      <c r="B727" s="77">
        <v>43586</v>
      </c>
      <c r="E727" s="12">
        <v>5</v>
      </c>
      <c r="F727" s="79">
        <v>0.255</v>
      </c>
      <c r="G727" s="86">
        <v>8.4000000000000005E-2</v>
      </c>
      <c r="I727" s="27">
        <f>AVERAGE(F725:F727)</f>
        <v>2.0923333333333334</v>
      </c>
      <c r="J727" s="27">
        <f>AVERAGE(G725:G727)</f>
        <v>0.64733333333333343</v>
      </c>
      <c r="L727">
        <f>+J727/I727</f>
        <v>0.30938346343794809</v>
      </c>
      <c r="M727">
        <f>+(L727-$L$931)/$L$932</f>
        <v>0.81979920185878641</v>
      </c>
      <c r="N727">
        <f>+N724+M727</f>
        <v>18.990744243983659</v>
      </c>
    </row>
    <row r="728" spans="1:14">
      <c r="A728" s="15">
        <v>5</v>
      </c>
      <c r="B728" s="77">
        <v>43617</v>
      </c>
      <c r="E728" s="12">
        <v>6</v>
      </c>
      <c r="F728" s="79">
        <v>10.612</v>
      </c>
      <c r="G728" s="86">
        <v>2.754</v>
      </c>
    </row>
    <row r="729" spans="1:14">
      <c r="A729" s="15">
        <v>7</v>
      </c>
      <c r="B729" s="77">
        <v>43617</v>
      </c>
      <c r="E729" s="12">
        <v>6</v>
      </c>
      <c r="F729" s="80">
        <v>6.093</v>
      </c>
      <c r="G729" s="87">
        <v>0.48699999999999999</v>
      </c>
    </row>
    <row r="730" spans="1:14">
      <c r="A730" s="15">
        <v>14</v>
      </c>
      <c r="B730" s="77">
        <v>43617</v>
      </c>
      <c r="E730" s="12">
        <v>6</v>
      </c>
      <c r="F730" s="80">
        <v>2.7280000000000002</v>
      </c>
      <c r="G730" s="87">
        <v>0.247</v>
      </c>
      <c r="I730" s="27">
        <f>AVERAGE(F728:F730)</f>
        <v>6.4776666666666669</v>
      </c>
      <c r="J730" s="27">
        <f>AVERAGE(G728:G730)</f>
        <v>1.1626666666666667</v>
      </c>
      <c r="L730">
        <f>+J730/I730</f>
        <v>0.17948849894509339</v>
      </c>
      <c r="M730">
        <f>+(L730-$L$931)/$L$932</f>
        <v>-0.4137706567317842</v>
      </c>
      <c r="N730">
        <f>+N727+M730</f>
        <v>18.576973587251874</v>
      </c>
    </row>
    <row r="731" spans="1:14">
      <c r="A731" s="15">
        <v>5</v>
      </c>
      <c r="B731" s="77">
        <v>43647</v>
      </c>
      <c r="E731" s="12">
        <v>7</v>
      </c>
      <c r="F731" s="80">
        <v>8.6959999999999997</v>
      </c>
      <c r="G731" s="87">
        <v>1.079</v>
      </c>
    </row>
    <row r="732" spans="1:14">
      <c r="A732" s="15">
        <v>7</v>
      </c>
      <c r="B732" s="77">
        <v>43647</v>
      </c>
      <c r="E732" s="12">
        <v>7</v>
      </c>
      <c r="F732" s="80">
        <v>7.12</v>
      </c>
      <c r="G732" s="87">
        <v>0.93300000000000005</v>
      </c>
    </row>
    <row r="733" spans="1:14">
      <c r="A733" s="15">
        <v>14</v>
      </c>
      <c r="B733" s="77">
        <v>43647</v>
      </c>
      <c r="E733" s="12">
        <v>7</v>
      </c>
      <c r="F733" s="80">
        <v>2.173</v>
      </c>
      <c r="G733" s="87">
        <v>0.34</v>
      </c>
      <c r="I733" s="27">
        <f>AVERAGE(F731:F733)</f>
        <v>5.9963333333333324</v>
      </c>
      <c r="J733" s="27">
        <f>AVERAGE(G731:G733)</f>
        <v>0.78399999999999992</v>
      </c>
      <c r="L733">
        <f>+J733/I733</f>
        <v>0.13074656734671189</v>
      </c>
      <c r="M733">
        <f>+(L733-$L$931)/$L$932</f>
        <v>-0.87665678864611407</v>
      </c>
      <c r="N733">
        <f>+N730+M733</f>
        <v>17.700316798605762</v>
      </c>
    </row>
    <row r="734" spans="1:14">
      <c r="A734" s="15">
        <v>5</v>
      </c>
      <c r="B734" s="77">
        <v>43678</v>
      </c>
      <c r="E734" s="12">
        <v>8</v>
      </c>
      <c r="F734" s="80">
        <v>3.7749999999999999</v>
      </c>
      <c r="G734" s="87">
        <v>0.24299999999999999</v>
      </c>
    </row>
    <row r="735" spans="1:14">
      <c r="A735" s="15">
        <v>7</v>
      </c>
      <c r="B735" s="77">
        <v>43678</v>
      </c>
      <c r="E735" s="12">
        <v>8</v>
      </c>
    </row>
    <row r="736" spans="1:14">
      <c r="A736" s="15">
        <v>14</v>
      </c>
      <c r="B736" s="77">
        <v>43678</v>
      </c>
      <c r="E736" s="12">
        <v>8</v>
      </c>
      <c r="I736" s="27">
        <f>AVERAGE(F734:F736)</f>
        <v>3.7749999999999999</v>
      </c>
      <c r="J736" s="27">
        <f>AVERAGE(G734:G736)</f>
        <v>0.24299999999999999</v>
      </c>
      <c r="L736">
        <f>+J736/I736</f>
        <v>6.4370860927152315E-2</v>
      </c>
      <c r="M736">
        <f>+(L736-$L$931)/$L$932</f>
        <v>-1.5070050943060258</v>
      </c>
      <c r="N736">
        <f>+N733+M736</f>
        <v>16.193311704299735</v>
      </c>
    </row>
    <row r="737" spans="1:14">
      <c r="A737" s="15">
        <v>5</v>
      </c>
      <c r="B737" s="77">
        <v>43709</v>
      </c>
      <c r="E737" s="12">
        <v>9</v>
      </c>
      <c r="F737" s="80">
        <v>2.1040000000000001</v>
      </c>
      <c r="G737" s="87">
        <v>0.44900000000000001</v>
      </c>
    </row>
    <row r="738" spans="1:14">
      <c r="A738" s="15">
        <v>7</v>
      </c>
      <c r="B738" s="77">
        <v>43709</v>
      </c>
      <c r="E738" s="12">
        <v>9</v>
      </c>
      <c r="F738" s="80">
        <v>6.9580000000000002</v>
      </c>
      <c r="G738" s="80">
        <v>1.05</v>
      </c>
    </row>
    <row r="739" spans="1:14">
      <c r="A739" s="15">
        <v>14</v>
      </c>
      <c r="B739" s="77">
        <v>43709</v>
      </c>
      <c r="E739" s="12">
        <v>9</v>
      </c>
      <c r="F739" s="80">
        <v>0.69899999999999995</v>
      </c>
      <c r="G739" s="80">
        <v>6.6000000000000003E-2</v>
      </c>
      <c r="I739" s="27">
        <f>AVERAGE(F737:F739)</f>
        <v>3.2536666666666672</v>
      </c>
      <c r="J739" s="27">
        <f>AVERAGE(G737:G739)</f>
        <v>0.52166666666666672</v>
      </c>
      <c r="L739">
        <f>+J739/I739</f>
        <v>0.1603319332035652</v>
      </c>
      <c r="M739">
        <f>+(L739-$L$931)/$L$932</f>
        <v>-0.59569427621249005</v>
      </c>
      <c r="N739">
        <f>+N736+M739</f>
        <v>15.597617428087245</v>
      </c>
    </row>
    <row r="740" spans="1:14">
      <c r="A740" s="15">
        <v>5</v>
      </c>
      <c r="B740" s="77">
        <v>43739</v>
      </c>
      <c r="E740" s="12">
        <v>10</v>
      </c>
      <c r="F740" s="80">
        <v>2.677</v>
      </c>
      <c r="G740" s="80">
        <v>0.193</v>
      </c>
    </row>
    <row r="741" spans="1:14">
      <c r="A741" s="15">
        <v>7</v>
      </c>
      <c r="B741" s="77">
        <v>43739</v>
      </c>
      <c r="E741" s="12">
        <v>10</v>
      </c>
      <c r="F741" s="80">
        <v>2.3660000000000001</v>
      </c>
      <c r="G741" s="80">
        <v>0.186</v>
      </c>
    </row>
    <row r="742" spans="1:14">
      <c r="A742" s="15">
        <v>14</v>
      </c>
      <c r="B742" s="77">
        <v>43739</v>
      </c>
      <c r="E742" s="12">
        <v>10</v>
      </c>
      <c r="F742" s="80">
        <v>2.4550000000000001</v>
      </c>
      <c r="G742" s="80">
        <v>0.41499999999999998</v>
      </c>
      <c r="I742" s="27">
        <f>AVERAGE(F740:F742)</f>
        <v>2.4993333333333334</v>
      </c>
      <c r="J742" s="27">
        <f>AVERAGE(G740:G742)</f>
        <v>0.26466666666666666</v>
      </c>
      <c r="L742">
        <f>+J742/I742</f>
        <v>0.10589490530808215</v>
      </c>
      <c r="M742">
        <f>+(L742-$L$931)/$L$932</f>
        <v>-1.1126648690703516</v>
      </c>
      <c r="N742">
        <f>+N739+M742</f>
        <v>14.484952559016893</v>
      </c>
    </row>
    <row r="743" spans="1:14">
      <c r="A743" s="15">
        <v>5</v>
      </c>
      <c r="B743" s="77">
        <v>43770</v>
      </c>
      <c r="E743" s="12">
        <v>11</v>
      </c>
    </row>
    <row r="744" spans="1:14">
      <c r="A744" s="15">
        <v>7</v>
      </c>
      <c r="B744" s="77">
        <v>43770</v>
      </c>
      <c r="E744" s="12">
        <v>11</v>
      </c>
    </row>
    <row r="745" spans="1:14">
      <c r="A745" s="15">
        <v>14</v>
      </c>
      <c r="B745" s="77">
        <v>43770</v>
      </c>
      <c r="E745" s="12">
        <v>11</v>
      </c>
    </row>
    <row r="746" spans="1:14">
      <c r="A746" s="15">
        <v>5</v>
      </c>
      <c r="B746" s="78">
        <v>43800</v>
      </c>
      <c r="E746" s="12">
        <v>12</v>
      </c>
      <c r="F746" s="80">
        <v>0.69099999999999995</v>
      </c>
      <c r="G746" s="80">
        <v>0.19</v>
      </c>
    </row>
    <row r="747" spans="1:14">
      <c r="A747" s="15">
        <v>7</v>
      </c>
      <c r="B747" s="77">
        <v>43800</v>
      </c>
      <c r="E747" s="12">
        <v>12</v>
      </c>
      <c r="F747" s="80">
        <v>1.2250000000000001</v>
      </c>
      <c r="G747" s="80">
        <v>0.25600000000000001</v>
      </c>
    </row>
    <row r="748" spans="1:14">
      <c r="A748" s="15">
        <v>14</v>
      </c>
      <c r="B748" s="77">
        <v>43800</v>
      </c>
      <c r="E748" s="12">
        <v>12</v>
      </c>
      <c r="F748" s="80">
        <v>1.129</v>
      </c>
      <c r="G748" s="80">
        <v>0.223</v>
      </c>
      <c r="I748" s="27">
        <f>AVERAGE(F746:F748)</f>
        <v>1.0149999999999999</v>
      </c>
      <c r="J748" s="27">
        <f>AVERAGE(G746:G748)</f>
        <v>0.223</v>
      </c>
      <c r="L748">
        <f>+J748/I748</f>
        <v>0.21970443349753696</v>
      </c>
      <c r="M748">
        <f>+(L748-$L$931)/$L$932</f>
        <v>-3.1853121339760808E-2</v>
      </c>
      <c r="N748">
        <f>+N742+M748</f>
        <v>14.453099437677132</v>
      </c>
    </row>
    <row r="749" spans="1:14">
      <c r="A749" s="93">
        <v>5</v>
      </c>
      <c r="B749" s="90">
        <v>43840</v>
      </c>
      <c r="C749" s="91">
        <v>2020</v>
      </c>
      <c r="D749" s="92" t="s">
        <v>40</v>
      </c>
      <c r="E749" s="93">
        <v>1</v>
      </c>
    </row>
    <row r="750" spans="1:14">
      <c r="A750" s="15">
        <v>7</v>
      </c>
      <c r="B750" s="73">
        <v>43835</v>
      </c>
      <c r="C750">
        <v>2020</v>
      </c>
      <c r="D750" s="11" t="s">
        <v>40</v>
      </c>
      <c r="E750" s="15">
        <v>1</v>
      </c>
    </row>
    <row r="751" spans="1:14">
      <c r="A751" s="15">
        <v>14</v>
      </c>
      <c r="B751" s="73">
        <v>43835</v>
      </c>
      <c r="C751">
        <v>2020</v>
      </c>
      <c r="D751" s="11" t="s">
        <v>40</v>
      </c>
      <c r="E751" s="15">
        <v>1</v>
      </c>
    </row>
    <row r="752" spans="1:14">
      <c r="A752" s="15">
        <v>5</v>
      </c>
      <c r="B752" s="77">
        <v>43862</v>
      </c>
      <c r="C752">
        <v>2020</v>
      </c>
      <c r="D752" s="11" t="s">
        <v>29</v>
      </c>
      <c r="E752" s="15">
        <v>2</v>
      </c>
      <c r="F752" s="95">
        <v>0.373</v>
      </c>
      <c r="G752" s="95">
        <v>8.2000000000000003E-2</v>
      </c>
    </row>
    <row r="753" spans="1:14">
      <c r="A753" s="15">
        <v>7</v>
      </c>
      <c r="B753" s="77">
        <v>43862</v>
      </c>
      <c r="C753">
        <v>2020</v>
      </c>
      <c r="D753" s="11" t="s">
        <v>29</v>
      </c>
      <c r="E753" s="15">
        <v>2</v>
      </c>
      <c r="F753" s="95">
        <v>0.80500000000000005</v>
      </c>
      <c r="G753" s="95">
        <v>0.153</v>
      </c>
    </row>
    <row r="754" spans="1:14">
      <c r="A754" s="15">
        <v>14</v>
      </c>
      <c r="B754" s="77">
        <v>43862</v>
      </c>
      <c r="C754">
        <v>2020</v>
      </c>
      <c r="D754" s="11" t="s">
        <v>29</v>
      </c>
      <c r="E754" s="15">
        <v>2</v>
      </c>
      <c r="I754" s="27">
        <f>AVERAGE(F752:F754)</f>
        <v>0.58899999999999997</v>
      </c>
      <c r="J754" s="27">
        <f>AVERAGE(G752:G754)</f>
        <v>0.11749999999999999</v>
      </c>
      <c r="L754">
        <f>+J754/I754</f>
        <v>0.19949066213921901</v>
      </c>
      <c r="M754">
        <f>+(L754-$L$931)/$L$932</f>
        <v>-0.22381667568858268</v>
      </c>
      <c r="N754">
        <f>+N748+M754</f>
        <v>14.229282761988548</v>
      </c>
    </row>
    <row r="755" spans="1:14">
      <c r="A755" s="15">
        <v>5</v>
      </c>
      <c r="B755" s="77">
        <v>43891</v>
      </c>
      <c r="C755">
        <v>2020</v>
      </c>
      <c r="D755" s="11" t="s">
        <v>30</v>
      </c>
      <c r="E755" s="15">
        <v>3</v>
      </c>
    </row>
    <row r="756" spans="1:14">
      <c r="A756" s="15">
        <v>7</v>
      </c>
      <c r="B756" s="77">
        <v>43891</v>
      </c>
      <c r="C756">
        <v>2020</v>
      </c>
      <c r="D756" s="11" t="s">
        <v>30</v>
      </c>
      <c r="E756" s="15">
        <v>3</v>
      </c>
    </row>
    <row r="757" spans="1:14">
      <c r="A757" s="15">
        <v>14</v>
      </c>
      <c r="B757" s="77">
        <v>43891</v>
      </c>
      <c r="C757">
        <v>2020</v>
      </c>
      <c r="D757" s="11" t="s">
        <v>30</v>
      </c>
      <c r="E757" s="15">
        <v>3</v>
      </c>
    </row>
    <row r="758" spans="1:14">
      <c r="A758" s="15">
        <v>5</v>
      </c>
      <c r="B758" s="77">
        <v>43922</v>
      </c>
      <c r="C758">
        <v>2020</v>
      </c>
      <c r="D758" s="11" t="s">
        <v>31</v>
      </c>
      <c r="E758" s="15">
        <v>4</v>
      </c>
    </row>
    <row r="759" spans="1:14">
      <c r="A759" s="15">
        <v>7</v>
      </c>
      <c r="B759" s="77">
        <v>43922</v>
      </c>
      <c r="C759">
        <v>2020</v>
      </c>
      <c r="D759" s="11" t="s">
        <v>31</v>
      </c>
      <c r="E759" s="15">
        <v>4</v>
      </c>
    </row>
    <row r="760" spans="1:14">
      <c r="A760" s="15">
        <v>14</v>
      </c>
      <c r="B760" s="77">
        <v>43922</v>
      </c>
      <c r="C760">
        <v>2020</v>
      </c>
      <c r="D760" s="11" t="s">
        <v>31</v>
      </c>
      <c r="E760" s="15">
        <v>4</v>
      </c>
    </row>
    <row r="761" spans="1:14">
      <c r="A761" s="15">
        <v>5</v>
      </c>
      <c r="B761" s="77">
        <v>43952</v>
      </c>
      <c r="C761">
        <v>2020</v>
      </c>
      <c r="D761" s="11" t="s">
        <v>32</v>
      </c>
      <c r="E761" s="15">
        <v>5</v>
      </c>
    </row>
    <row r="762" spans="1:14">
      <c r="A762" s="15">
        <v>7</v>
      </c>
      <c r="B762" s="77">
        <v>43952</v>
      </c>
      <c r="C762">
        <v>2020</v>
      </c>
      <c r="D762" s="11" t="s">
        <v>32</v>
      </c>
      <c r="E762" s="15">
        <v>5</v>
      </c>
    </row>
    <row r="763" spans="1:14">
      <c r="A763" s="15">
        <v>14</v>
      </c>
      <c r="B763" s="77">
        <v>43952</v>
      </c>
      <c r="C763">
        <v>2020</v>
      </c>
      <c r="D763" s="11" t="s">
        <v>32</v>
      </c>
      <c r="E763" s="15">
        <v>5</v>
      </c>
    </row>
    <row r="764" spans="1:14">
      <c r="A764" s="15">
        <v>5</v>
      </c>
      <c r="B764" s="77">
        <v>43983</v>
      </c>
      <c r="C764">
        <v>2020</v>
      </c>
      <c r="D764" s="11" t="s">
        <v>33</v>
      </c>
      <c r="E764" s="15">
        <v>6</v>
      </c>
      <c r="F764" s="95">
        <v>1.6439999999999999</v>
      </c>
      <c r="G764" s="95">
        <v>0.438</v>
      </c>
    </row>
    <row r="765" spans="1:14">
      <c r="A765" s="15">
        <v>7</v>
      </c>
      <c r="B765" s="77">
        <v>43983</v>
      </c>
      <c r="C765">
        <v>2020</v>
      </c>
      <c r="D765" s="11" t="s">
        <v>33</v>
      </c>
      <c r="E765" s="15">
        <v>6</v>
      </c>
      <c r="F765" s="95">
        <v>6.1440000000000001</v>
      </c>
      <c r="G765" s="95">
        <v>1.2110000000000001</v>
      </c>
    </row>
    <row r="766" spans="1:14">
      <c r="A766" s="15">
        <v>14</v>
      </c>
      <c r="B766" s="77">
        <v>43983</v>
      </c>
      <c r="C766">
        <v>2020</v>
      </c>
      <c r="D766" s="11" t="s">
        <v>33</v>
      </c>
      <c r="E766" s="15">
        <v>6</v>
      </c>
      <c r="F766" s="95">
        <v>2.0430000000000001</v>
      </c>
      <c r="G766" s="95">
        <v>0.155</v>
      </c>
      <c r="I766" s="27">
        <f>AVERAGE(F764:F766)</f>
        <v>3.2769999999999997</v>
      </c>
      <c r="J766" s="27">
        <f>AVERAGE(G764:G766)</f>
        <v>0.60133333333333339</v>
      </c>
      <c r="L766">
        <f>+J766/I766</f>
        <v>0.18350116976909778</v>
      </c>
      <c r="M766">
        <f>+(L766-$L$931)/$L$932</f>
        <v>-0.37566363849390721</v>
      </c>
      <c r="N766">
        <f>+N754+M766</f>
        <v>13.85361912349464</v>
      </c>
    </row>
    <row r="767" spans="1:14">
      <c r="A767" s="15">
        <v>5</v>
      </c>
      <c r="B767" s="77">
        <v>44013</v>
      </c>
      <c r="C767">
        <v>2020</v>
      </c>
      <c r="D767" s="11" t="s">
        <v>34</v>
      </c>
      <c r="E767" s="15">
        <v>7</v>
      </c>
      <c r="F767" s="99">
        <v>15.592000000000001</v>
      </c>
      <c r="G767" s="100">
        <v>1.2615000000000001</v>
      </c>
      <c r="H767" s="98" t="s">
        <v>102</v>
      </c>
    </row>
    <row r="768" spans="1:14">
      <c r="A768" s="15">
        <v>7</v>
      </c>
      <c r="B768" s="77">
        <v>44013</v>
      </c>
      <c r="C768">
        <v>2020</v>
      </c>
      <c r="D768" s="11" t="s">
        <v>34</v>
      </c>
      <c r="E768" s="15">
        <v>7</v>
      </c>
      <c r="F768" s="95">
        <v>10.538</v>
      </c>
      <c r="G768" s="95">
        <v>1.5609999999999999</v>
      </c>
    </row>
    <row r="769" spans="1:14">
      <c r="A769" s="15">
        <v>14</v>
      </c>
      <c r="B769" s="77">
        <v>44013</v>
      </c>
      <c r="C769">
        <v>2020</v>
      </c>
      <c r="D769" s="11" t="s">
        <v>34</v>
      </c>
      <c r="E769" s="15">
        <v>7</v>
      </c>
      <c r="F769" s="95">
        <v>5.3460000000000001</v>
      </c>
      <c r="G769" s="95">
        <v>0.4</v>
      </c>
      <c r="I769" s="27">
        <f t="shared" ref="I769:J769" si="0">AVERAGE(F767:F769)</f>
        <v>10.492000000000001</v>
      </c>
      <c r="J769" s="27">
        <f t="shared" si="0"/>
        <v>1.0741666666666665</v>
      </c>
      <c r="L769">
        <f t="shared" ref="L769" si="1">+J769/I769</f>
        <v>0.10237959079933916</v>
      </c>
      <c r="M769">
        <f t="shared" ref="M769" si="2">+(L769-$L$931)/$L$932</f>
        <v>-1.1460486575673261</v>
      </c>
      <c r="N769">
        <f>+N766+M769</f>
        <v>12.707570465927315</v>
      </c>
    </row>
    <row r="770" spans="1:14">
      <c r="A770" s="15">
        <v>5</v>
      </c>
      <c r="B770" s="77">
        <v>44044</v>
      </c>
      <c r="C770">
        <v>2020</v>
      </c>
      <c r="D770" s="11" t="s">
        <v>35</v>
      </c>
      <c r="E770" s="15">
        <v>8</v>
      </c>
      <c r="F770" s="95">
        <v>3.669</v>
      </c>
      <c r="G770" s="95">
        <v>0.36499999999999999</v>
      </c>
    </row>
    <row r="771" spans="1:14">
      <c r="A771" s="15">
        <v>7</v>
      </c>
      <c r="B771" s="77">
        <v>44044</v>
      </c>
      <c r="C771">
        <v>2020</v>
      </c>
      <c r="D771" s="11" t="s">
        <v>35</v>
      </c>
      <c r="E771" s="15">
        <v>8</v>
      </c>
      <c r="F771" s="95">
        <v>17.402999999999999</v>
      </c>
      <c r="G771" s="95">
        <v>1.7</v>
      </c>
    </row>
    <row r="772" spans="1:14">
      <c r="A772" s="15">
        <v>14</v>
      </c>
      <c r="B772" s="77">
        <v>44044</v>
      </c>
      <c r="C772">
        <v>2020</v>
      </c>
      <c r="D772" s="11" t="s">
        <v>35</v>
      </c>
      <c r="E772" s="15">
        <v>8</v>
      </c>
      <c r="F772" s="95">
        <v>5.0720000000000001</v>
      </c>
      <c r="G772" s="95">
        <v>0.27600000000000002</v>
      </c>
      <c r="I772" s="27">
        <f t="shared" ref="I772:J772" si="3">AVERAGE(F770:F772)</f>
        <v>8.7146666666666661</v>
      </c>
      <c r="J772" s="27">
        <f t="shared" si="3"/>
        <v>0.78033333333333343</v>
      </c>
      <c r="L772">
        <f t="shared" ref="L772" si="4">+J772/I772</f>
        <v>8.9542533659730736E-2</v>
      </c>
      <c r="M772">
        <f t="shared" ref="M772" si="5">+(L772-$L$931)/$L$932</f>
        <v>-1.2679579773184928</v>
      </c>
      <c r="N772">
        <f t="shared" ref="N772" si="6">+N769+M772</f>
        <v>11.439612488608823</v>
      </c>
    </row>
    <row r="773" spans="1:14">
      <c r="A773" s="15">
        <v>5</v>
      </c>
      <c r="B773" s="77">
        <v>44075</v>
      </c>
      <c r="C773">
        <v>2020</v>
      </c>
      <c r="D773" s="11" t="s">
        <v>41</v>
      </c>
      <c r="E773" s="15">
        <v>9</v>
      </c>
      <c r="F773" s="95">
        <v>1.829</v>
      </c>
      <c r="G773" s="95">
        <v>0.25</v>
      </c>
    </row>
    <row r="774" spans="1:14">
      <c r="A774" s="15">
        <v>7</v>
      </c>
      <c r="B774" s="77">
        <v>44075</v>
      </c>
      <c r="C774">
        <v>2020</v>
      </c>
      <c r="D774" s="11" t="s">
        <v>41</v>
      </c>
      <c r="E774" s="15">
        <v>9</v>
      </c>
      <c r="F774" s="95">
        <v>2.294</v>
      </c>
      <c r="G774" s="95">
        <v>0.16500000000000001</v>
      </c>
    </row>
    <row r="775" spans="1:14">
      <c r="A775" s="15">
        <v>14</v>
      </c>
      <c r="B775" s="77">
        <v>44075</v>
      </c>
      <c r="C775">
        <v>2020</v>
      </c>
      <c r="D775" s="11" t="s">
        <v>41</v>
      </c>
      <c r="E775" s="15">
        <v>9</v>
      </c>
      <c r="F775" s="95">
        <v>0.78200000000000003</v>
      </c>
      <c r="G775" s="95">
        <v>6.4000000000000001E-2</v>
      </c>
      <c r="I775" s="27">
        <f t="shared" ref="I775:J775" si="7">AVERAGE(F773:F775)</f>
        <v>1.635</v>
      </c>
      <c r="J775" s="27">
        <f t="shared" si="7"/>
        <v>0.15966666666666668</v>
      </c>
      <c r="L775">
        <f t="shared" ref="L775" si="8">+J775/I775</f>
        <v>9.7655453618756383E-2</v>
      </c>
      <c r="M775">
        <f t="shared" ref="M775" si="9">+(L775-$L$931)/$L$932</f>
        <v>-1.1909122383579003</v>
      </c>
      <c r="N775">
        <f t="shared" ref="N775" si="10">+N772+M775</f>
        <v>10.248700250250923</v>
      </c>
    </row>
    <row r="776" spans="1:14">
      <c r="A776" s="15">
        <v>5</v>
      </c>
      <c r="B776" s="77">
        <v>44105</v>
      </c>
      <c r="C776">
        <v>2020</v>
      </c>
      <c r="D776" s="11" t="s">
        <v>37</v>
      </c>
      <c r="E776" s="15">
        <v>10</v>
      </c>
      <c r="F776" s="95">
        <v>1.798</v>
      </c>
      <c r="G776" s="95">
        <v>0.14199999999999999</v>
      </c>
    </row>
    <row r="777" spans="1:14">
      <c r="A777" s="15">
        <v>7</v>
      </c>
      <c r="B777" s="77">
        <v>44105</v>
      </c>
      <c r="C777">
        <v>2020</v>
      </c>
      <c r="D777" s="11" t="s">
        <v>37</v>
      </c>
      <c r="E777" s="15">
        <v>10</v>
      </c>
      <c r="F777" s="95">
        <v>4.4989999999999997</v>
      </c>
      <c r="G777" s="95">
        <v>0.23699999999999999</v>
      </c>
    </row>
    <row r="778" spans="1:14">
      <c r="A778" s="15">
        <v>14</v>
      </c>
      <c r="B778" s="77">
        <v>44105</v>
      </c>
      <c r="C778">
        <v>2020</v>
      </c>
      <c r="D778" s="11" t="s">
        <v>37</v>
      </c>
      <c r="E778" s="15">
        <v>10</v>
      </c>
      <c r="F778" s="95">
        <v>1.04</v>
      </c>
      <c r="G778" s="95">
        <v>5.6000000000000001E-2</v>
      </c>
      <c r="I778" s="27">
        <f t="shared" ref="I778:J778" si="11">AVERAGE(F776:F778)</f>
        <v>2.4456666666666664</v>
      </c>
      <c r="J778" s="27">
        <f t="shared" si="11"/>
        <v>0.14499999999999999</v>
      </c>
      <c r="L778">
        <f t="shared" ref="L778" si="12">+J778/I778</f>
        <v>5.9288537549407119E-2</v>
      </c>
      <c r="M778">
        <f t="shared" ref="M778" si="13">+(L778-$L$931)/$L$932</f>
        <v>-1.5552702518883392</v>
      </c>
      <c r="N778">
        <f t="shared" ref="N778" si="14">+N775+M778</f>
        <v>8.6934299983625838</v>
      </c>
    </row>
    <row r="779" spans="1:14">
      <c r="A779" s="15">
        <v>5</v>
      </c>
      <c r="B779" s="77">
        <v>44136</v>
      </c>
      <c r="C779">
        <v>2020</v>
      </c>
      <c r="D779" s="11" t="s">
        <v>38</v>
      </c>
      <c r="E779" s="15">
        <v>11</v>
      </c>
      <c r="F779" s="95">
        <v>0.88</v>
      </c>
      <c r="G779" s="95">
        <v>0.11799999999999999</v>
      </c>
    </row>
    <row r="780" spans="1:14">
      <c r="A780" s="15">
        <v>7</v>
      </c>
      <c r="B780" s="77">
        <v>44136</v>
      </c>
      <c r="C780">
        <v>2020</v>
      </c>
      <c r="D780" s="11" t="s">
        <v>38</v>
      </c>
      <c r="E780" s="15">
        <v>11</v>
      </c>
      <c r="F780" s="95">
        <v>2.1760000000000002</v>
      </c>
      <c r="G780" s="95">
        <v>0.13800000000000001</v>
      </c>
    </row>
    <row r="781" spans="1:14">
      <c r="A781" s="15">
        <v>14</v>
      </c>
      <c r="B781" s="77">
        <v>44136</v>
      </c>
      <c r="C781">
        <v>2020</v>
      </c>
      <c r="D781" s="11" t="s">
        <v>38</v>
      </c>
      <c r="E781" s="15">
        <v>11</v>
      </c>
      <c r="F781" s="95">
        <v>0.85499999999999998</v>
      </c>
      <c r="G781" s="95">
        <v>0.111</v>
      </c>
      <c r="I781" s="27">
        <f t="shared" ref="I781:J781" si="15">AVERAGE(F779:F781)</f>
        <v>1.3036666666666668</v>
      </c>
      <c r="J781" s="27">
        <f t="shared" si="15"/>
        <v>0.12233333333333334</v>
      </c>
      <c r="L781">
        <f t="shared" ref="L781" si="16">+J781/I781</f>
        <v>9.3837893121963695E-2</v>
      </c>
      <c r="M781">
        <f t="shared" ref="M781" si="17">+(L781-$L$931)/$L$932</f>
        <v>-1.2271663578349379</v>
      </c>
      <c r="N781">
        <f t="shared" ref="N781" si="18">+N778+M781</f>
        <v>7.4662636405276457</v>
      </c>
    </row>
    <row r="782" spans="1:14">
      <c r="A782" s="15">
        <v>5</v>
      </c>
      <c r="B782" s="78">
        <v>44166</v>
      </c>
      <c r="C782">
        <v>2020</v>
      </c>
      <c r="D782" s="11" t="s">
        <v>39</v>
      </c>
      <c r="E782" s="15">
        <v>12</v>
      </c>
    </row>
    <row r="783" spans="1:14">
      <c r="A783" s="15">
        <v>7</v>
      </c>
      <c r="B783" s="77">
        <v>44166</v>
      </c>
      <c r="C783">
        <v>2020</v>
      </c>
      <c r="D783" s="11" t="s">
        <v>39</v>
      </c>
      <c r="E783" s="15">
        <v>12</v>
      </c>
    </row>
    <row r="784" spans="1:14">
      <c r="A784" s="15">
        <v>14</v>
      </c>
      <c r="B784" s="77">
        <v>44166</v>
      </c>
      <c r="C784">
        <v>2020</v>
      </c>
      <c r="D784" s="11" t="s">
        <v>39</v>
      </c>
      <c r="E784" s="15">
        <v>12</v>
      </c>
      <c r="I784" s="27"/>
      <c r="J784" s="27"/>
    </row>
    <row r="785" spans="1:14">
      <c r="A785" s="93">
        <v>5</v>
      </c>
      <c r="B785" s="90">
        <v>44206</v>
      </c>
      <c r="C785" s="91">
        <v>2021</v>
      </c>
      <c r="D785" s="92" t="s">
        <v>40</v>
      </c>
      <c r="E785" s="93">
        <v>1</v>
      </c>
    </row>
    <row r="786" spans="1:14">
      <c r="A786" s="15">
        <v>7</v>
      </c>
      <c r="B786" s="73">
        <v>44201</v>
      </c>
      <c r="C786">
        <v>2021</v>
      </c>
      <c r="D786" s="11" t="s">
        <v>40</v>
      </c>
      <c r="E786" s="15">
        <v>1</v>
      </c>
    </row>
    <row r="787" spans="1:14">
      <c r="A787" s="15">
        <v>14</v>
      </c>
      <c r="B787" s="73">
        <v>44201</v>
      </c>
      <c r="C787">
        <v>2021</v>
      </c>
      <c r="D787" s="11" t="s">
        <v>40</v>
      </c>
      <c r="E787" s="15">
        <v>1</v>
      </c>
      <c r="I787" s="27"/>
      <c r="J787" s="27"/>
    </row>
    <row r="788" spans="1:14">
      <c r="A788" s="15">
        <v>5</v>
      </c>
      <c r="B788" s="77">
        <v>44228</v>
      </c>
      <c r="C788">
        <v>2021</v>
      </c>
      <c r="D788" s="11" t="s">
        <v>29</v>
      </c>
      <c r="E788" s="15">
        <v>2</v>
      </c>
      <c r="F788" s="95">
        <v>4.7380000000000004</v>
      </c>
      <c r="G788" s="95">
        <v>1.3049999999999999</v>
      </c>
    </row>
    <row r="789" spans="1:14">
      <c r="A789" s="15">
        <v>7</v>
      </c>
      <c r="B789" s="77">
        <v>44228</v>
      </c>
      <c r="C789">
        <v>2021</v>
      </c>
      <c r="D789" s="11" t="s">
        <v>29</v>
      </c>
      <c r="E789" s="15">
        <v>2</v>
      </c>
      <c r="F789" s="95">
        <v>2.7160000000000002</v>
      </c>
      <c r="G789" s="95">
        <v>0.627</v>
      </c>
    </row>
    <row r="790" spans="1:14">
      <c r="A790" s="15">
        <v>14</v>
      </c>
      <c r="B790" s="77">
        <v>44228</v>
      </c>
      <c r="C790">
        <v>2021</v>
      </c>
      <c r="D790" s="11" t="s">
        <v>29</v>
      </c>
      <c r="E790" s="15">
        <v>2</v>
      </c>
      <c r="F790" s="95">
        <v>2.9409999999999998</v>
      </c>
      <c r="G790" s="95">
        <v>0.81100000000000005</v>
      </c>
      <c r="I790" s="27">
        <f t="shared" ref="I790:J790" si="19">AVERAGE(F788:F790)</f>
        <v>3.4649999999999999</v>
      </c>
      <c r="J790" s="27">
        <f t="shared" si="19"/>
        <v>0.91433333333333333</v>
      </c>
      <c r="L790">
        <f t="shared" ref="L790" si="20">+J790/I790</f>
        <v>0.26387686387686388</v>
      </c>
      <c r="M790">
        <f t="shared" ref="M790" si="21">+(L790-$L$931)/$L$932</f>
        <v>0.38763795677378315</v>
      </c>
      <c r="N790">
        <f>+N781+M790</f>
        <v>7.8539015973014292</v>
      </c>
    </row>
    <row r="791" spans="1:14">
      <c r="A791" s="15">
        <v>5</v>
      </c>
      <c r="B791" s="77">
        <v>44256</v>
      </c>
      <c r="C791">
        <v>2021</v>
      </c>
      <c r="D791" s="11" t="s">
        <v>30</v>
      </c>
      <c r="E791" s="15">
        <v>3</v>
      </c>
      <c r="F791" s="95">
        <v>2.9289999999999998</v>
      </c>
      <c r="G791" s="95">
        <v>1.046</v>
      </c>
    </row>
    <row r="792" spans="1:14">
      <c r="A792" s="15">
        <v>7</v>
      </c>
      <c r="B792" s="77">
        <v>44256</v>
      </c>
      <c r="C792">
        <v>2021</v>
      </c>
      <c r="D792" s="11" t="s">
        <v>30</v>
      </c>
      <c r="E792" s="15">
        <v>3</v>
      </c>
      <c r="F792" s="95">
        <v>1.3540000000000001</v>
      </c>
      <c r="G792" s="95">
        <v>0.255</v>
      </c>
    </row>
    <row r="793" spans="1:14">
      <c r="A793" s="15">
        <v>14</v>
      </c>
      <c r="B793" s="77">
        <v>44256</v>
      </c>
      <c r="C793">
        <v>2021</v>
      </c>
      <c r="D793" s="11" t="s">
        <v>30</v>
      </c>
      <c r="E793" s="15">
        <v>3</v>
      </c>
      <c r="F793" s="95">
        <v>1.39</v>
      </c>
      <c r="G793" s="95">
        <v>0.36699999999999999</v>
      </c>
      <c r="I793" s="27">
        <f t="shared" ref="I793:J793" si="22">AVERAGE(F791:F793)</f>
        <v>1.8909999999999998</v>
      </c>
      <c r="J793" s="27">
        <f t="shared" si="22"/>
        <v>0.55600000000000005</v>
      </c>
      <c r="L793">
        <f t="shared" ref="L793" si="23">+J793/I793</f>
        <v>0.29402432575356957</v>
      </c>
      <c r="M793">
        <f t="shared" ref="M793" si="24">+(L793-$L$931)/$L$932</f>
        <v>0.67393851068138411</v>
      </c>
      <c r="N793">
        <f t="shared" ref="N793" si="25">+N790+M793</f>
        <v>8.5278401079828132</v>
      </c>
    </row>
    <row r="794" spans="1:14">
      <c r="A794" s="15">
        <v>5</v>
      </c>
      <c r="B794" s="77">
        <v>44287</v>
      </c>
      <c r="C794">
        <v>2021</v>
      </c>
      <c r="D794" s="11" t="s">
        <v>31</v>
      </c>
      <c r="E794" s="15">
        <v>4</v>
      </c>
      <c r="F794" s="95">
        <v>1.0609999999999999</v>
      </c>
      <c r="G794" s="95">
        <v>0.19400000000000001</v>
      </c>
    </row>
    <row r="795" spans="1:14">
      <c r="A795" s="15">
        <v>7</v>
      </c>
      <c r="B795" s="77">
        <v>44287</v>
      </c>
      <c r="C795">
        <v>2021</v>
      </c>
      <c r="D795" s="11" t="s">
        <v>31</v>
      </c>
      <c r="E795" s="15">
        <v>4</v>
      </c>
      <c r="F795" s="95">
        <v>1.3049999999999999</v>
      </c>
      <c r="G795" s="95">
        <v>0.18</v>
      </c>
    </row>
    <row r="796" spans="1:14">
      <c r="A796" s="15">
        <v>14</v>
      </c>
      <c r="B796" s="77">
        <v>44287</v>
      </c>
      <c r="C796">
        <v>2021</v>
      </c>
      <c r="D796" s="11" t="s">
        <v>31</v>
      </c>
      <c r="E796" s="15">
        <v>4</v>
      </c>
      <c r="F796" s="95">
        <v>0.66200000000000003</v>
      </c>
      <c r="G796" s="95">
        <v>9.9000000000000005E-2</v>
      </c>
      <c r="I796" s="27">
        <f t="shared" ref="I796:J796" si="26">AVERAGE(F794:F796)</f>
        <v>1.0093333333333332</v>
      </c>
      <c r="J796" s="27">
        <f t="shared" si="26"/>
        <v>0.15766666666666665</v>
      </c>
      <c r="L796">
        <f t="shared" ref="L796" si="27">+J796/I796</f>
        <v>0.15620871862615587</v>
      </c>
      <c r="M796">
        <f t="shared" ref="M796" si="28">+(L796-$L$931)/$L$932</f>
        <v>-0.63485109220648639</v>
      </c>
      <c r="N796">
        <f t="shared" ref="N796" si="29">+N793+M796</f>
        <v>7.8929890157763269</v>
      </c>
    </row>
    <row r="797" spans="1:14">
      <c r="A797" s="15">
        <v>5</v>
      </c>
      <c r="B797" s="77">
        <v>44317</v>
      </c>
      <c r="C797">
        <v>2021</v>
      </c>
      <c r="D797" s="11" t="s">
        <v>32</v>
      </c>
      <c r="E797" s="15">
        <v>5</v>
      </c>
      <c r="F797" s="95">
        <v>1.105</v>
      </c>
      <c r="G797" s="95">
        <v>0.30399999999999999</v>
      </c>
    </row>
    <row r="798" spans="1:14">
      <c r="A798" s="15">
        <v>7</v>
      </c>
      <c r="B798" s="77">
        <v>44317</v>
      </c>
      <c r="C798">
        <v>2021</v>
      </c>
      <c r="D798" s="11" t="s">
        <v>32</v>
      </c>
      <c r="E798" s="15">
        <v>5</v>
      </c>
      <c r="F798" s="95">
        <v>3.7360000000000002</v>
      </c>
      <c r="G798" s="95">
        <v>0.28599999999999998</v>
      </c>
    </row>
    <row r="799" spans="1:14">
      <c r="A799" s="15">
        <v>14</v>
      </c>
      <c r="B799" s="77">
        <v>44317</v>
      </c>
      <c r="C799">
        <v>2021</v>
      </c>
      <c r="D799" s="11" t="s">
        <v>32</v>
      </c>
      <c r="E799" s="15">
        <v>5</v>
      </c>
      <c r="F799" s="95">
        <v>0.89200000000000002</v>
      </c>
      <c r="G799" s="95">
        <v>7.1999999999999995E-2</v>
      </c>
      <c r="I799" s="27">
        <f t="shared" ref="I799:J799" si="30">AVERAGE(F797:F799)</f>
        <v>1.9110000000000003</v>
      </c>
      <c r="J799" s="27">
        <f t="shared" si="30"/>
        <v>0.22066666666666665</v>
      </c>
      <c r="L799">
        <f t="shared" ref="L799" si="31">+J799/I799</f>
        <v>0.11547182975754403</v>
      </c>
      <c r="M799">
        <f t="shared" ref="M799" si="32">+(L799-$L$931)/$L$932</f>
        <v>-1.021715959811401</v>
      </c>
      <c r="N799">
        <f t="shared" ref="N799" si="33">+N796+M799</f>
        <v>6.8712730559649255</v>
      </c>
    </row>
    <row r="800" spans="1:14">
      <c r="A800" s="15">
        <v>5</v>
      </c>
      <c r="B800" s="77">
        <v>44348</v>
      </c>
      <c r="C800">
        <v>2021</v>
      </c>
      <c r="D800" s="11" t="s">
        <v>33</v>
      </c>
      <c r="E800" s="15">
        <v>6</v>
      </c>
      <c r="F800" s="95">
        <v>5.8959999999999999</v>
      </c>
      <c r="G800" s="95">
        <v>1.238</v>
      </c>
    </row>
    <row r="801" spans="1:14">
      <c r="A801" s="15">
        <v>7</v>
      </c>
      <c r="B801" s="77">
        <v>44348</v>
      </c>
      <c r="C801">
        <v>2021</v>
      </c>
      <c r="D801" s="11" t="s">
        <v>33</v>
      </c>
      <c r="E801" s="15">
        <v>6</v>
      </c>
      <c r="F801" s="95">
        <v>11.476000000000001</v>
      </c>
      <c r="G801" s="95">
        <v>0.95199999999999996</v>
      </c>
    </row>
    <row r="802" spans="1:14">
      <c r="A802" s="15">
        <v>14</v>
      </c>
      <c r="B802" s="77">
        <v>44348</v>
      </c>
      <c r="C802">
        <v>2021</v>
      </c>
      <c r="D802" s="11" t="s">
        <v>33</v>
      </c>
      <c r="E802" s="15">
        <v>6</v>
      </c>
      <c r="F802" s="95">
        <v>3.0630000000000002</v>
      </c>
      <c r="G802" s="95">
        <v>0.47599999999999998</v>
      </c>
      <c r="I802" s="27">
        <f t="shared" ref="I802:J802" si="34">AVERAGE(F800:F802)</f>
        <v>6.8116666666666665</v>
      </c>
      <c r="J802" s="27">
        <f t="shared" si="34"/>
        <v>0.8886666666666666</v>
      </c>
      <c r="L802">
        <f t="shared" ref="L802" si="35">+J802/I802</f>
        <v>0.13046244188891606</v>
      </c>
      <c r="M802">
        <f t="shared" ref="M802" si="36">+(L802-$L$931)/$L$932</f>
        <v>-0.87935503489579414</v>
      </c>
      <c r="N802">
        <f t="shared" ref="N802" si="37">+N799+M802</f>
        <v>5.9919180210691314</v>
      </c>
    </row>
    <row r="803" spans="1:14">
      <c r="A803" s="15">
        <v>5</v>
      </c>
      <c r="B803" s="77">
        <v>44378</v>
      </c>
      <c r="C803">
        <v>2021</v>
      </c>
      <c r="D803" s="11" t="s">
        <v>34</v>
      </c>
      <c r="E803" s="15">
        <v>7</v>
      </c>
      <c r="H803" s="98" t="s">
        <v>100</v>
      </c>
    </row>
    <row r="804" spans="1:14">
      <c r="A804" s="15">
        <v>7</v>
      </c>
      <c r="B804" s="77">
        <v>44378</v>
      </c>
      <c r="C804">
        <v>2021</v>
      </c>
      <c r="D804" s="11" t="s">
        <v>34</v>
      </c>
      <c r="E804" s="15">
        <v>7</v>
      </c>
      <c r="H804" s="98" t="s">
        <v>101</v>
      </c>
    </row>
    <row r="805" spans="1:14">
      <c r="A805" s="15">
        <v>14</v>
      </c>
      <c r="B805" s="77">
        <v>44378</v>
      </c>
      <c r="C805">
        <v>2021</v>
      </c>
      <c r="D805" s="11" t="s">
        <v>34</v>
      </c>
      <c r="E805" s="15">
        <v>7</v>
      </c>
      <c r="I805" s="27"/>
      <c r="J805" s="27"/>
    </row>
    <row r="806" spans="1:14">
      <c r="A806" s="15">
        <v>5</v>
      </c>
      <c r="B806" s="77">
        <v>44409</v>
      </c>
      <c r="C806">
        <v>2021</v>
      </c>
      <c r="D806" s="11" t="s">
        <v>35</v>
      </c>
      <c r="E806" s="15">
        <v>8</v>
      </c>
      <c r="F806" s="95">
        <v>4.2329999999999997</v>
      </c>
      <c r="G806" s="95">
        <v>0.42899999999999999</v>
      </c>
    </row>
    <row r="807" spans="1:14">
      <c r="A807" s="15">
        <v>7</v>
      </c>
      <c r="B807" s="77">
        <v>44409</v>
      </c>
      <c r="C807">
        <v>2021</v>
      </c>
      <c r="D807" s="11" t="s">
        <v>35</v>
      </c>
      <c r="E807" s="15">
        <v>8</v>
      </c>
      <c r="F807" s="95">
        <v>10.93</v>
      </c>
      <c r="G807" s="95">
        <v>1.113</v>
      </c>
    </row>
    <row r="808" spans="1:14">
      <c r="A808" s="15">
        <v>14</v>
      </c>
      <c r="B808" s="77">
        <v>44409</v>
      </c>
      <c r="C808">
        <v>2021</v>
      </c>
      <c r="D808" s="11" t="s">
        <v>35</v>
      </c>
      <c r="E808" s="15">
        <v>8</v>
      </c>
      <c r="F808" s="95">
        <v>2.1480000000000001</v>
      </c>
      <c r="G808" s="95">
        <v>0.17499999999999999</v>
      </c>
      <c r="I808" s="27">
        <f t="shared" ref="I808:J808" si="38">AVERAGE(F806:F808)</f>
        <v>5.7703333333333333</v>
      </c>
      <c r="J808" s="27">
        <f t="shared" si="38"/>
        <v>0.57233333333333336</v>
      </c>
      <c r="L808">
        <f t="shared" ref="L808" si="39">+J808/I808</f>
        <v>9.918548899543643E-2</v>
      </c>
      <c r="M808">
        <f t="shared" ref="M808" si="40">+(L808-$L$931)/$L$932</f>
        <v>-1.1763819943979537</v>
      </c>
      <c r="N808">
        <f>+N802+M808</f>
        <v>4.815536026671178</v>
      </c>
    </row>
    <row r="809" spans="1:14">
      <c r="A809" s="15">
        <v>5</v>
      </c>
      <c r="B809" s="77">
        <v>44440</v>
      </c>
      <c r="C809">
        <v>2021</v>
      </c>
      <c r="D809" s="11" t="s">
        <v>41</v>
      </c>
      <c r="E809" s="15">
        <v>9</v>
      </c>
      <c r="F809" s="95">
        <v>1.4059999999999999</v>
      </c>
      <c r="G809" s="95">
        <v>0.224</v>
      </c>
    </row>
    <row r="810" spans="1:14">
      <c r="A810" s="15">
        <v>7</v>
      </c>
      <c r="B810" s="77">
        <v>44440</v>
      </c>
      <c r="C810">
        <v>2021</v>
      </c>
      <c r="D810" s="11" t="s">
        <v>41</v>
      </c>
      <c r="E810" s="15">
        <v>9</v>
      </c>
      <c r="F810" s="95">
        <v>3.7690000000000001</v>
      </c>
      <c r="G810" s="95">
        <v>0.155</v>
      </c>
    </row>
    <row r="811" spans="1:14">
      <c r="A811" s="15">
        <v>14</v>
      </c>
      <c r="B811" s="77">
        <v>44440</v>
      </c>
      <c r="C811">
        <v>2021</v>
      </c>
      <c r="D811" s="11" t="s">
        <v>41</v>
      </c>
      <c r="E811" s="15">
        <v>9</v>
      </c>
      <c r="F811" s="95">
        <v>1.5569999999999999</v>
      </c>
      <c r="G811" s="95">
        <v>0.34</v>
      </c>
      <c r="I811" s="27">
        <f t="shared" ref="I811:J811" si="41">AVERAGE(F809:F811)</f>
        <v>2.2439999999999998</v>
      </c>
      <c r="J811" s="27">
        <f t="shared" si="41"/>
        <v>0.23966666666666669</v>
      </c>
      <c r="L811">
        <f t="shared" ref="L811" si="42">+J811/I811</f>
        <v>0.1068033273915627</v>
      </c>
      <c r="M811">
        <f t="shared" ref="M811" si="43">+(L811-$L$931)/$L$932</f>
        <v>-1.1040378826014396</v>
      </c>
      <c r="N811">
        <f t="shared" ref="N811" si="44">+N808+M811</f>
        <v>3.7114981440697381</v>
      </c>
    </row>
    <row r="812" spans="1:14">
      <c r="A812" s="15">
        <v>5</v>
      </c>
      <c r="B812" s="77">
        <v>44470</v>
      </c>
      <c r="C812">
        <v>2021</v>
      </c>
      <c r="D812" s="11" t="s">
        <v>37</v>
      </c>
      <c r="E812" s="15">
        <v>10</v>
      </c>
      <c r="F812" s="95">
        <v>2.2650000000000001</v>
      </c>
      <c r="G812" s="95">
        <v>0.58699999999999997</v>
      </c>
    </row>
    <row r="813" spans="1:14">
      <c r="A813" s="15">
        <v>7</v>
      </c>
      <c r="B813" s="77">
        <v>44470</v>
      </c>
      <c r="C813">
        <v>2021</v>
      </c>
      <c r="D813" s="11" t="s">
        <v>37</v>
      </c>
      <c r="E813" s="15">
        <v>10</v>
      </c>
      <c r="F813" s="95">
        <v>2.258</v>
      </c>
      <c r="G813" s="95">
        <v>0.57399999999999995</v>
      </c>
    </row>
    <row r="814" spans="1:14">
      <c r="A814" s="15">
        <v>14</v>
      </c>
      <c r="B814" s="77">
        <v>44470</v>
      </c>
      <c r="C814">
        <v>2021</v>
      </c>
      <c r="D814" s="11" t="s">
        <v>37</v>
      </c>
      <c r="E814" s="15">
        <v>10</v>
      </c>
      <c r="F814" s="95">
        <v>2.2509999999999999</v>
      </c>
      <c r="G814" s="95">
        <v>0.59099999999999997</v>
      </c>
      <c r="I814" s="27">
        <f t="shared" ref="I814:J814" si="45">AVERAGE(F812:F814)</f>
        <v>2.2579999999999996</v>
      </c>
      <c r="J814" s="27">
        <f t="shared" si="45"/>
        <v>0.58399999999999996</v>
      </c>
      <c r="L814">
        <f t="shared" ref="L814" si="46">+J814/I814</f>
        <v>0.25863596102745795</v>
      </c>
      <c r="M814">
        <f t="shared" ref="M814" si="47">+(L814-$L$931)/$L$932</f>
        <v>0.33786682197983803</v>
      </c>
      <c r="N814">
        <f t="shared" ref="N814" si="48">+N811+M814</f>
        <v>4.0493649660495761</v>
      </c>
    </row>
    <row r="815" spans="1:14">
      <c r="A815" s="15">
        <v>5</v>
      </c>
      <c r="B815" s="77">
        <v>44501</v>
      </c>
      <c r="C815">
        <v>2021</v>
      </c>
      <c r="D815" s="11" t="s">
        <v>38</v>
      </c>
      <c r="E815" s="15">
        <v>11</v>
      </c>
      <c r="F815" s="95">
        <v>0.85899999999999999</v>
      </c>
      <c r="G815" s="95">
        <v>0.18</v>
      </c>
    </row>
    <row r="816" spans="1:14">
      <c r="A816" s="15">
        <v>7</v>
      </c>
      <c r="B816" s="77">
        <v>44501</v>
      </c>
      <c r="C816">
        <v>2021</v>
      </c>
      <c r="D816" s="11" t="s">
        <v>38</v>
      </c>
      <c r="E816" s="15">
        <v>11</v>
      </c>
      <c r="F816" s="95">
        <v>0.83199999999999996</v>
      </c>
      <c r="G816" s="95">
        <v>0.18</v>
      </c>
    </row>
    <row r="817" spans="1:14">
      <c r="A817" s="15">
        <v>14</v>
      </c>
      <c r="B817" s="77">
        <v>44501</v>
      </c>
      <c r="C817">
        <v>2021</v>
      </c>
      <c r="D817" s="11" t="s">
        <v>38</v>
      </c>
      <c r="E817" s="15">
        <v>11</v>
      </c>
      <c r="F817" s="95">
        <v>0.39700000000000002</v>
      </c>
      <c r="G817" s="95">
        <v>8.5999999999999993E-2</v>
      </c>
      <c r="I817" s="27">
        <f t="shared" ref="I817:J817" si="49">AVERAGE(F815:F817)</f>
        <v>0.69600000000000006</v>
      </c>
      <c r="J817" s="27">
        <f t="shared" si="49"/>
        <v>0.14866666666666664</v>
      </c>
      <c r="L817">
        <f t="shared" ref="L817" si="50">+J817/I817</f>
        <v>0.21360153256704975</v>
      </c>
      <c r="M817">
        <f t="shared" ref="M817" si="51">+(L817-$L$931)/$L$932</f>
        <v>-8.9810369083783176E-2</v>
      </c>
      <c r="N817">
        <f t="shared" ref="N817" si="52">+N814+M817</f>
        <v>3.959554596965793</v>
      </c>
    </row>
    <row r="818" spans="1:14">
      <c r="A818" s="15">
        <v>5</v>
      </c>
      <c r="B818" s="78">
        <v>44531</v>
      </c>
      <c r="C818">
        <v>2021</v>
      </c>
      <c r="D818" s="11" t="s">
        <v>39</v>
      </c>
      <c r="E818" s="15">
        <v>12</v>
      </c>
      <c r="F818" s="95">
        <v>0.73899999999999999</v>
      </c>
      <c r="G818" s="95">
        <v>0.20699999999999999</v>
      </c>
    </row>
    <row r="819" spans="1:14">
      <c r="A819" s="15">
        <v>7</v>
      </c>
      <c r="B819" s="77">
        <v>44531</v>
      </c>
      <c r="C819">
        <v>2021</v>
      </c>
      <c r="D819" s="11" t="s">
        <v>39</v>
      </c>
      <c r="E819" s="15">
        <v>12</v>
      </c>
      <c r="F819" s="95">
        <v>0.71899999999999997</v>
      </c>
      <c r="G819" s="95">
        <v>0.20499999999999999</v>
      </c>
    </row>
    <row r="820" spans="1:14">
      <c r="A820" s="15">
        <v>14</v>
      </c>
      <c r="B820" s="77">
        <v>44531</v>
      </c>
      <c r="C820">
        <v>2021</v>
      </c>
      <c r="D820" s="11" t="s">
        <v>39</v>
      </c>
      <c r="E820" s="15">
        <v>12</v>
      </c>
      <c r="F820" s="95">
        <v>0.72899999999999998</v>
      </c>
      <c r="G820" s="95">
        <v>0.20100000000000001</v>
      </c>
      <c r="I820" s="27">
        <f t="shared" ref="I820:J820" si="53">AVERAGE(F818:F820)</f>
        <v>0.72899999999999998</v>
      </c>
      <c r="J820" s="27">
        <f t="shared" si="53"/>
        <v>0.20433333333333334</v>
      </c>
      <c r="L820">
        <f t="shared" ref="L820" si="54">+J820/I820</f>
        <v>0.2802926383173297</v>
      </c>
      <c r="M820">
        <f t="shared" ref="M820" si="55">+(L820-$L$931)/$L$932</f>
        <v>0.54353318053585631</v>
      </c>
      <c r="N820">
        <f t="shared" ref="N820" si="56">+N817+M820</f>
        <v>4.5030877775016496</v>
      </c>
    </row>
    <row r="821" spans="1:14">
      <c r="A821" s="93">
        <v>5</v>
      </c>
      <c r="B821" s="90">
        <v>44571</v>
      </c>
      <c r="C821" s="91">
        <v>2022</v>
      </c>
      <c r="D821" s="92" t="s">
        <v>40</v>
      </c>
      <c r="E821" s="93">
        <v>1</v>
      </c>
      <c r="H821" s="98" t="s">
        <v>97</v>
      </c>
    </row>
    <row r="822" spans="1:14">
      <c r="A822" s="15">
        <v>7</v>
      </c>
      <c r="B822" s="73">
        <v>44566</v>
      </c>
      <c r="C822">
        <v>2022</v>
      </c>
      <c r="D822" s="11" t="s">
        <v>40</v>
      </c>
      <c r="E822" s="15">
        <v>1</v>
      </c>
      <c r="H822" s="98" t="s">
        <v>98</v>
      </c>
    </row>
    <row r="823" spans="1:14">
      <c r="A823" s="15">
        <v>14</v>
      </c>
      <c r="B823" s="73">
        <v>44566</v>
      </c>
      <c r="C823">
        <v>2022</v>
      </c>
      <c r="D823" s="11" t="s">
        <v>40</v>
      </c>
      <c r="E823" s="15">
        <v>1</v>
      </c>
      <c r="H823" s="98" t="s">
        <v>99</v>
      </c>
    </row>
    <row r="824" spans="1:14">
      <c r="A824" s="15">
        <v>5</v>
      </c>
      <c r="B824" s="77">
        <v>44593</v>
      </c>
      <c r="C824">
        <v>2022</v>
      </c>
      <c r="D824" s="11" t="s">
        <v>29</v>
      </c>
      <c r="E824" s="15">
        <v>2</v>
      </c>
    </row>
    <row r="825" spans="1:14">
      <c r="A825" s="15">
        <v>7</v>
      </c>
      <c r="B825" s="77">
        <v>44593</v>
      </c>
      <c r="C825">
        <v>2022</v>
      </c>
      <c r="D825" s="11" t="s">
        <v>29</v>
      </c>
      <c r="E825" s="15">
        <v>2</v>
      </c>
    </row>
    <row r="826" spans="1:14">
      <c r="A826" s="15">
        <v>14</v>
      </c>
      <c r="B826" s="77">
        <v>44593</v>
      </c>
      <c r="C826">
        <v>2022</v>
      </c>
      <c r="D826" s="11" t="s">
        <v>29</v>
      </c>
      <c r="E826" s="15">
        <v>2</v>
      </c>
    </row>
    <row r="827" spans="1:14">
      <c r="A827" s="15">
        <v>5</v>
      </c>
      <c r="B827" s="77">
        <v>44621</v>
      </c>
      <c r="C827">
        <v>2022</v>
      </c>
      <c r="D827" s="11" t="s">
        <v>30</v>
      </c>
      <c r="E827" s="15">
        <v>3</v>
      </c>
    </row>
    <row r="828" spans="1:14">
      <c r="A828" s="15">
        <v>7</v>
      </c>
      <c r="B828" s="77">
        <v>44621</v>
      </c>
      <c r="C828">
        <v>2022</v>
      </c>
      <c r="D828" s="11" t="s">
        <v>30</v>
      </c>
      <c r="E828" s="15">
        <v>3</v>
      </c>
    </row>
    <row r="829" spans="1:14">
      <c r="A829" s="15">
        <v>14</v>
      </c>
      <c r="B829" s="77">
        <v>44621</v>
      </c>
      <c r="C829">
        <v>2022</v>
      </c>
      <c r="D829" s="11" t="s">
        <v>30</v>
      </c>
      <c r="E829" s="15">
        <v>3</v>
      </c>
    </row>
    <row r="830" spans="1:14">
      <c r="A830" s="15">
        <v>5</v>
      </c>
      <c r="B830" s="77">
        <v>44652</v>
      </c>
      <c r="C830">
        <v>2022</v>
      </c>
      <c r="D830" s="11" t="s">
        <v>31</v>
      </c>
      <c r="E830" s="15">
        <v>4</v>
      </c>
    </row>
    <row r="831" spans="1:14">
      <c r="A831" s="15">
        <v>7</v>
      </c>
      <c r="B831" s="77">
        <v>44652</v>
      </c>
      <c r="C831">
        <v>2022</v>
      </c>
      <c r="D831" s="11" t="s">
        <v>31</v>
      </c>
      <c r="E831" s="15">
        <v>4</v>
      </c>
    </row>
    <row r="832" spans="1:14">
      <c r="A832" s="15">
        <v>14</v>
      </c>
      <c r="B832" s="77">
        <v>44652</v>
      </c>
      <c r="C832">
        <v>2022</v>
      </c>
      <c r="D832" s="11" t="s">
        <v>31</v>
      </c>
      <c r="E832" s="15">
        <v>4</v>
      </c>
    </row>
    <row r="833" spans="1:5">
      <c r="A833" s="15">
        <v>5</v>
      </c>
      <c r="B833" s="77">
        <v>44682</v>
      </c>
      <c r="C833">
        <v>2022</v>
      </c>
      <c r="D833" s="11" t="s">
        <v>32</v>
      </c>
      <c r="E833" s="15">
        <v>5</v>
      </c>
    </row>
    <row r="834" spans="1:5">
      <c r="A834" s="15">
        <v>7</v>
      </c>
      <c r="B834" s="77">
        <v>44682</v>
      </c>
      <c r="C834">
        <v>2022</v>
      </c>
      <c r="D834" s="11" t="s">
        <v>32</v>
      </c>
      <c r="E834" s="15">
        <v>5</v>
      </c>
    </row>
    <row r="835" spans="1:5">
      <c r="A835" s="15">
        <v>14</v>
      </c>
      <c r="B835" s="77">
        <v>44682</v>
      </c>
      <c r="C835">
        <v>2022</v>
      </c>
      <c r="D835" s="11" t="s">
        <v>32</v>
      </c>
      <c r="E835" s="15">
        <v>5</v>
      </c>
    </row>
    <row r="836" spans="1:5">
      <c r="A836" s="15">
        <v>5</v>
      </c>
      <c r="B836" s="77">
        <v>44713</v>
      </c>
      <c r="C836">
        <v>2022</v>
      </c>
      <c r="D836" s="11" t="s">
        <v>33</v>
      </c>
      <c r="E836" s="15">
        <v>6</v>
      </c>
    </row>
    <row r="837" spans="1:5">
      <c r="A837" s="15">
        <v>7</v>
      </c>
      <c r="B837" s="77">
        <v>44713</v>
      </c>
      <c r="C837">
        <v>2022</v>
      </c>
      <c r="D837" s="11" t="s">
        <v>33</v>
      </c>
      <c r="E837" s="15">
        <v>6</v>
      </c>
    </row>
    <row r="838" spans="1:5">
      <c r="A838" s="15">
        <v>14</v>
      </c>
      <c r="B838" s="77">
        <v>44713</v>
      </c>
      <c r="C838">
        <v>2022</v>
      </c>
      <c r="D838" s="11" t="s">
        <v>33</v>
      </c>
      <c r="E838" s="15">
        <v>6</v>
      </c>
    </row>
    <row r="839" spans="1:5">
      <c r="A839" s="15">
        <v>5</v>
      </c>
      <c r="B839" s="77">
        <v>44743</v>
      </c>
      <c r="C839">
        <v>2022</v>
      </c>
      <c r="D839" s="11" t="s">
        <v>34</v>
      </c>
      <c r="E839" s="15">
        <v>7</v>
      </c>
    </row>
    <row r="840" spans="1:5">
      <c r="A840" s="15">
        <v>7</v>
      </c>
      <c r="B840" s="77">
        <v>44743</v>
      </c>
      <c r="C840">
        <v>2022</v>
      </c>
      <c r="D840" s="11" t="s">
        <v>34</v>
      </c>
      <c r="E840" s="15">
        <v>7</v>
      </c>
    </row>
    <row r="841" spans="1:5">
      <c r="A841" s="15">
        <v>14</v>
      </c>
      <c r="B841" s="77">
        <v>44743</v>
      </c>
      <c r="C841">
        <v>2022</v>
      </c>
      <c r="D841" s="11" t="s">
        <v>34</v>
      </c>
      <c r="E841" s="15">
        <v>7</v>
      </c>
    </row>
    <row r="842" spans="1:5">
      <c r="A842" s="15">
        <v>5</v>
      </c>
      <c r="B842" s="77">
        <v>44774</v>
      </c>
      <c r="C842">
        <v>2022</v>
      </c>
      <c r="D842" s="11" t="s">
        <v>35</v>
      </c>
      <c r="E842" s="15">
        <v>8</v>
      </c>
    </row>
    <row r="843" spans="1:5">
      <c r="A843" s="15">
        <v>7</v>
      </c>
      <c r="B843" s="77">
        <v>44774</v>
      </c>
      <c r="C843">
        <v>2022</v>
      </c>
      <c r="D843" s="11" t="s">
        <v>35</v>
      </c>
      <c r="E843" s="15">
        <v>8</v>
      </c>
    </row>
    <row r="844" spans="1:5">
      <c r="A844" s="15">
        <v>14</v>
      </c>
      <c r="B844" s="77">
        <v>44774</v>
      </c>
      <c r="C844">
        <v>2022</v>
      </c>
      <c r="D844" s="11" t="s">
        <v>35</v>
      </c>
      <c r="E844" s="15">
        <v>8</v>
      </c>
    </row>
    <row r="845" spans="1:5">
      <c r="A845" s="15">
        <v>5</v>
      </c>
      <c r="B845" s="77">
        <v>44805</v>
      </c>
      <c r="C845">
        <v>2022</v>
      </c>
      <c r="D845" s="11" t="s">
        <v>41</v>
      </c>
      <c r="E845" s="15">
        <v>9</v>
      </c>
    </row>
    <row r="846" spans="1:5">
      <c r="A846" s="15">
        <v>7</v>
      </c>
      <c r="B846" s="77">
        <v>44805</v>
      </c>
      <c r="C846">
        <v>2022</v>
      </c>
      <c r="D846" s="11" t="s">
        <v>41</v>
      </c>
      <c r="E846" s="15">
        <v>9</v>
      </c>
    </row>
    <row r="847" spans="1:5">
      <c r="A847" s="15">
        <v>14</v>
      </c>
      <c r="B847" s="77">
        <v>44805</v>
      </c>
      <c r="C847">
        <v>2022</v>
      </c>
      <c r="D847" s="11" t="s">
        <v>41</v>
      </c>
      <c r="E847" s="15">
        <v>9</v>
      </c>
    </row>
    <row r="848" spans="1:5">
      <c r="A848" s="15">
        <v>5</v>
      </c>
      <c r="B848" s="77">
        <v>44835</v>
      </c>
      <c r="C848">
        <v>2022</v>
      </c>
      <c r="D848" s="11" t="s">
        <v>37</v>
      </c>
      <c r="E848" s="15">
        <v>10</v>
      </c>
    </row>
    <row r="849" spans="1:14">
      <c r="A849" s="15">
        <v>7</v>
      </c>
      <c r="B849" s="77">
        <v>44835</v>
      </c>
      <c r="C849">
        <v>2022</v>
      </c>
      <c r="D849" s="11" t="s">
        <v>37</v>
      </c>
      <c r="E849" s="15">
        <v>10</v>
      </c>
    </row>
    <row r="850" spans="1:14">
      <c r="A850" s="15">
        <v>14</v>
      </c>
      <c r="B850" s="77">
        <v>44835</v>
      </c>
      <c r="C850">
        <v>2022</v>
      </c>
      <c r="D850" s="11" t="s">
        <v>37</v>
      </c>
      <c r="E850" s="15">
        <v>10</v>
      </c>
    </row>
    <row r="851" spans="1:14">
      <c r="A851" s="15">
        <v>5</v>
      </c>
      <c r="B851" s="77">
        <v>44866</v>
      </c>
      <c r="C851">
        <v>2022</v>
      </c>
      <c r="D851" s="11" t="s">
        <v>38</v>
      </c>
      <c r="E851" s="15">
        <v>11</v>
      </c>
    </row>
    <row r="852" spans="1:14">
      <c r="A852" s="15">
        <v>7</v>
      </c>
      <c r="B852" s="77">
        <v>44866</v>
      </c>
      <c r="C852">
        <v>2022</v>
      </c>
      <c r="D852" s="11" t="s">
        <v>38</v>
      </c>
      <c r="E852" s="15">
        <v>11</v>
      </c>
    </row>
    <row r="853" spans="1:14">
      <c r="A853" s="15">
        <v>14</v>
      </c>
      <c r="B853" s="77">
        <v>44866</v>
      </c>
      <c r="C853">
        <v>2022</v>
      </c>
      <c r="D853" s="11" t="s">
        <v>38</v>
      </c>
      <c r="E853" s="15">
        <v>11</v>
      </c>
    </row>
    <row r="854" spans="1:14">
      <c r="A854" s="15">
        <v>5</v>
      </c>
      <c r="B854" s="78">
        <v>44896</v>
      </c>
      <c r="C854">
        <v>2022</v>
      </c>
      <c r="D854" s="11" t="s">
        <v>39</v>
      </c>
      <c r="E854" s="15">
        <v>12</v>
      </c>
    </row>
    <row r="855" spans="1:14">
      <c r="A855" s="15">
        <v>7</v>
      </c>
      <c r="B855" s="77">
        <v>44896</v>
      </c>
      <c r="C855">
        <v>2022</v>
      </c>
      <c r="D855" s="11" t="s">
        <v>39</v>
      </c>
      <c r="E855" s="15">
        <v>12</v>
      </c>
    </row>
    <row r="856" spans="1:14">
      <c r="A856" s="15">
        <v>14</v>
      </c>
      <c r="B856" s="77">
        <v>44896</v>
      </c>
      <c r="C856">
        <v>2022</v>
      </c>
      <c r="D856" s="11" t="s">
        <v>39</v>
      </c>
      <c r="E856" s="15">
        <v>12</v>
      </c>
    </row>
    <row r="857" spans="1:14">
      <c r="A857" s="93">
        <v>5</v>
      </c>
      <c r="B857" s="90">
        <v>44936</v>
      </c>
      <c r="C857" s="91">
        <v>2023</v>
      </c>
      <c r="D857" s="92" t="s">
        <v>40</v>
      </c>
      <c r="E857" s="93">
        <v>1</v>
      </c>
      <c r="F857" s="96">
        <v>6.3940000000000001</v>
      </c>
      <c r="G857" s="95">
        <v>0.28399999999999997</v>
      </c>
    </row>
    <row r="858" spans="1:14">
      <c r="A858" s="15">
        <v>7</v>
      </c>
      <c r="B858" s="73">
        <v>44931</v>
      </c>
      <c r="C858">
        <v>2023</v>
      </c>
      <c r="D858" s="11" t="s">
        <v>40</v>
      </c>
      <c r="E858" s="15">
        <v>1</v>
      </c>
      <c r="F858" s="96">
        <v>7.2549999999999999</v>
      </c>
      <c r="G858" s="95">
        <v>0.46500000000000002</v>
      </c>
    </row>
    <row r="859" spans="1:14">
      <c r="A859" s="15">
        <v>14</v>
      </c>
      <c r="B859" s="73">
        <v>44931</v>
      </c>
      <c r="C859">
        <v>2023</v>
      </c>
      <c r="D859" s="11" t="s">
        <v>40</v>
      </c>
      <c r="E859" s="15">
        <v>1</v>
      </c>
      <c r="F859" s="96">
        <v>5.67</v>
      </c>
      <c r="G859" s="95">
        <v>0.43099999999999999</v>
      </c>
      <c r="I859" s="27">
        <f>AVERAGE(F857:F859)</f>
        <v>6.4396666666666675</v>
      </c>
      <c r="J859" s="27">
        <f>AVERAGE(G857:G859)</f>
        <v>0.39333333333333331</v>
      </c>
      <c r="L859">
        <f>+J859/I859</f>
        <v>6.1079766033438572E-2</v>
      </c>
      <c r="M859">
        <f>+(L859-$L$931)/$L$932</f>
        <v>-1.5382595426866628</v>
      </c>
      <c r="N859">
        <f>+N820+M859</f>
        <v>2.9648282348149868</v>
      </c>
    </row>
    <row r="860" spans="1:14">
      <c r="A860" s="15">
        <v>5</v>
      </c>
      <c r="B860" s="77">
        <v>44958</v>
      </c>
      <c r="C860">
        <v>2023</v>
      </c>
      <c r="D860" s="11" t="s">
        <v>29</v>
      </c>
      <c r="E860" s="15">
        <v>2</v>
      </c>
      <c r="F860" s="80">
        <v>0.93</v>
      </c>
      <c r="G860" s="80">
        <v>0.311</v>
      </c>
    </row>
    <row r="861" spans="1:14">
      <c r="A861" s="15">
        <v>7</v>
      </c>
      <c r="B861" s="77">
        <v>44958</v>
      </c>
      <c r="C861">
        <v>2023</v>
      </c>
      <c r="D861" s="11" t="s">
        <v>29</v>
      </c>
      <c r="E861" s="15">
        <v>2</v>
      </c>
      <c r="F861" s="80">
        <v>1.798</v>
      </c>
      <c r="G861" s="80">
        <v>0.161</v>
      </c>
    </row>
    <row r="862" spans="1:14">
      <c r="A862" s="15">
        <v>14</v>
      </c>
      <c r="B862" s="77">
        <v>44958</v>
      </c>
      <c r="C862">
        <v>2023</v>
      </c>
      <c r="D862" s="11" t="s">
        <v>29</v>
      </c>
      <c r="E862" s="15">
        <v>2</v>
      </c>
      <c r="F862" s="80">
        <v>1.34</v>
      </c>
      <c r="G862" s="80">
        <v>0.19900000000000001</v>
      </c>
      <c r="I862" s="27">
        <f t="shared" ref="I862:J862" si="57">AVERAGE(F860:F862)</f>
        <v>1.3560000000000001</v>
      </c>
      <c r="J862" s="27">
        <f t="shared" si="57"/>
        <v>0.22366666666666668</v>
      </c>
      <c r="L862">
        <f t="shared" ref="L862" si="58">+J862/I862</f>
        <v>0.16494591937069814</v>
      </c>
      <c r="M862">
        <f t="shared" ref="M862" si="59">+(L862-$L$931)/$L$932</f>
        <v>-0.5518767634555416</v>
      </c>
      <c r="N862">
        <f>+N859+M862</f>
        <v>2.4129514713594453</v>
      </c>
    </row>
    <row r="863" spans="1:14">
      <c r="A863" s="15">
        <v>5</v>
      </c>
      <c r="B863" s="77">
        <v>44986</v>
      </c>
      <c r="C863">
        <v>2023</v>
      </c>
      <c r="D863" s="11" t="s">
        <v>30</v>
      </c>
      <c r="E863" s="15">
        <v>3</v>
      </c>
      <c r="F863" s="80">
        <v>0.79900000000000004</v>
      </c>
      <c r="G863" s="80">
        <v>0.218</v>
      </c>
    </row>
    <row r="864" spans="1:14">
      <c r="A864" s="15">
        <v>7</v>
      </c>
      <c r="B864" s="77">
        <v>44986</v>
      </c>
      <c r="C864">
        <v>2023</v>
      </c>
      <c r="D864" s="11" t="s">
        <v>30</v>
      </c>
      <c r="E864" s="15">
        <v>3</v>
      </c>
      <c r="F864" s="80">
        <v>1.361</v>
      </c>
      <c r="G864" s="80">
        <v>0.45200000000000001</v>
      </c>
    </row>
    <row r="865" spans="1:14">
      <c r="A865" s="15">
        <v>14</v>
      </c>
      <c r="B865" s="77">
        <v>44986</v>
      </c>
      <c r="C865">
        <v>2023</v>
      </c>
      <c r="D865" s="11" t="s">
        <v>30</v>
      </c>
      <c r="E865" s="15">
        <v>3</v>
      </c>
      <c r="F865" s="80">
        <v>2.032</v>
      </c>
      <c r="G865" s="80">
        <v>0.74099999999999999</v>
      </c>
      <c r="I865" s="27">
        <f t="shared" ref="I865:J865" si="60">AVERAGE(F863:F865)</f>
        <v>1.3973333333333333</v>
      </c>
      <c r="J865" s="27">
        <f t="shared" si="60"/>
        <v>0.47033333333333333</v>
      </c>
      <c r="L865">
        <f t="shared" ref="L865" si="61">+J865/I865</f>
        <v>0.33659351145038169</v>
      </c>
      <c r="M865">
        <f t="shared" ref="M865" si="62">+(L865-$L$931)/$L$932</f>
        <v>1.0782041000778142</v>
      </c>
      <c r="N865">
        <f t="shared" ref="N865" si="63">+N862+M865</f>
        <v>3.4911555714372593</v>
      </c>
    </row>
    <row r="866" spans="1:14">
      <c r="A866" s="15">
        <v>5</v>
      </c>
      <c r="B866" s="77">
        <v>45017</v>
      </c>
      <c r="C866">
        <v>2023</v>
      </c>
      <c r="D866" s="11" t="s">
        <v>31</v>
      </c>
      <c r="E866" s="15">
        <v>4</v>
      </c>
      <c r="F866" s="80">
        <v>0.82499999999999996</v>
      </c>
      <c r="G866" s="80">
        <v>0.22</v>
      </c>
    </row>
    <row r="867" spans="1:14">
      <c r="A867" s="15">
        <v>7</v>
      </c>
      <c r="B867" s="77">
        <v>45017</v>
      </c>
      <c r="C867">
        <v>2023</v>
      </c>
      <c r="D867" s="11" t="s">
        <v>31</v>
      </c>
      <c r="E867" s="15">
        <v>4</v>
      </c>
      <c r="F867" s="80">
        <v>1.524</v>
      </c>
      <c r="G867" s="80">
        <v>0.53</v>
      </c>
    </row>
    <row r="868" spans="1:14">
      <c r="A868" s="15">
        <v>14</v>
      </c>
      <c r="B868" s="77">
        <v>45017</v>
      </c>
      <c r="C868">
        <v>2023</v>
      </c>
      <c r="D868" s="11" t="s">
        <v>31</v>
      </c>
      <c r="E868" s="15">
        <v>4</v>
      </c>
      <c r="F868" s="80">
        <v>1.94</v>
      </c>
      <c r="G868" s="80">
        <v>0.70499999999999996</v>
      </c>
      <c r="I868" s="27">
        <f t="shared" ref="I868:J868" si="64">AVERAGE(F866:F868)</f>
        <v>1.4296666666666666</v>
      </c>
      <c r="J868" s="27">
        <f t="shared" si="64"/>
        <v>0.48500000000000004</v>
      </c>
      <c r="L868">
        <f t="shared" ref="L868" si="65">+J868/I868</f>
        <v>0.33923991606435072</v>
      </c>
      <c r="M868">
        <f t="shared" ref="M868" si="66">+(L868-$L$931)/$L$932</f>
        <v>1.1033361363978733</v>
      </c>
      <c r="N868">
        <f t="shared" ref="N868" si="67">+N865+M868</f>
        <v>4.5944917078351324</v>
      </c>
    </row>
    <row r="869" spans="1:14">
      <c r="A869" s="15">
        <v>5</v>
      </c>
      <c r="B869" s="77">
        <v>45047</v>
      </c>
      <c r="C869">
        <v>2023</v>
      </c>
      <c r="D869" s="11" t="s">
        <v>32</v>
      </c>
      <c r="E869" s="15">
        <v>5</v>
      </c>
      <c r="F869" s="80">
        <v>3.706</v>
      </c>
      <c r="G869" s="80">
        <v>0.46700000000000003</v>
      </c>
    </row>
    <row r="870" spans="1:14">
      <c r="A870" s="15">
        <v>7</v>
      </c>
      <c r="B870" s="77">
        <v>45047</v>
      </c>
      <c r="C870">
        <v>2023</v>
      </c>
      <c r="D870" s="11" t="s">
        <v>32</v>
      </c>
      <c r="E870" s="15">
        <v>5</v>
      </c>
      <c r="F870" s="80">
        <v>2.5590000000000002</v>
      </c>
      <c r="G870" s="80">
        <v>0.41599999999999998</v>
      </c>
    </row>
    <row r="871" spans="1:14">
      <c r="A871" s="15">
        <v>14</v>
      </c>
      <c r="B871" s="77">
        <v>45047</v>
      </c>
      <c r="C871">
        <v>2023</v>
      </c>
      <c r="D871" s="11" t="s">
        <v>32</v>
      </c>
      <c r="E871" s="15">
        <v>5</v>
      </c>
      <c r="F871" s="80">
        <v>3.8759999999999999</v>
      </c>
      <c r="G871" s="80">
        <v>1.389</v>
      </c>
      <c r="I871" s="27">
        <f t="shared" ref="I871:J871" si="68">AVERAGE(F869:F871)</f>
        <v>3.3803333333333332</v>
      </c>
      <c r="J871" s="27">
        <f t="shared" si="68"/>
        <v>0.75733333333333341</v>
      </c>
      <c r="L871">
        <f t="shared" ref="L871" si="69">+J871/I871</f>
        <v>0.22404102159550343</v>
      </c>
      <c r="M871">
        <f t="shared" ref="M871" si="70">+(L871-$L$931)/$L$932</f>
        <v>9.3300329700301329E-3</v>
      </c>
      <c r="N871">
        <f t="shared" ref="N871" si="71">+N868+M871</f>
        <v>4.6038217408051629</v>
      </c>
    </row>
    <row r="872" spans="1:14">
      <c r="A872" s="15">
        <v>5</v>
      </c>
      <c r="B872" s="77">
        <v>45078</v>
      </c>
      <c r="C872">
        <v>2023</v>
      </c>
      <c r="D872" s="11" t="s">
        <v>33</v>
      </c>
      <c r="E872" s="15">
        <v>6</v>
      </c>
      <c r="F872" s="80">
        <v>3.6909999999999998</v>
      </c>
      <c r="G872" s="80">
        <v>0.68300000000000005</v>
      </c>
    </row>
    <row r="873" spans="1:14">
      <c r="A873" s="15">
        <v>7</v>
      </c>
      <c r="B873" s="77">
        <v>45078</v>
      </c>
      <c r="C873">
        <v>2023</v>
      </c>
      <c r="D873" s="11" t="s">
        <v>33</v>
      </c>
      <c r="E873" s="15">
        <v>6</v>
      </c>
      <c r="F873" s="80">
        <v>15.792</v>
      </c>
      <c r="G873" s="80">
        <v>2.6379999999999999</v>
      </c>
    </row>
    <row r="874" spans="1:14">
      <c r="A874" s="15">
        <v>14</v>
      </c>
      <c r="B874" s="77">
        <v>45078</v>
      </c>
      <c r="C874">
        <v>2023</v>
      </c>
      <c r="D874" s="11" t="s">
        <v>33</v>
      </c>
      <c r="E874" s="15">
        <v>6</v>
      </c>
      <c r="F874" s="80">
        <v>16.486999999999998</v>
      </c>
      <c r="G874" s="80">
        <v>3.105</v>
      </c>
      <c r="I874" s="27">
        <f t="shared" ref="I874:J874" si="72">AVERAGE(F872:F874)</f>
        <v>11.99</v>
      </c>
      <c r="J874" s="27">
        <f t="shared" si="72"/>
        <v>2.1419999999999999</v>
      </c>
      <c r="L874">
        <f t="shared" ref="L874" si="73">+J874/I874</f>
        <v>0.17864887406171809</v>
      </c>
      <c r="M874">
        <f t="shared" ref="M874" si="74">+(L874-$L$931)/$L$932</f>
        <v>-0.42174429876400765</v>
      </c>
      <c r="N874">
        <f t="shared" ref="N874" si="75">+N871+M874</f>
        <v>4.1820774420411553</v>
      </c>
    </row>
    <row r="875" spans="1:14">
      <c r="A875" s="15">
        <v>5</v>
      </c>
      <c r="B875" s="77">
        <v>45108</v>
      </c>
      <c r="C875">
        <v>2023</v>
      </c>
      <c r="D875" s="11" t="s">
        <v>34</v>
      </c>
      <c r="E875" s="15">
        <v>7</v>
      </c>
      <c r="F875" s="80">
        <v>5.4820000000000002</v>
      </c>
      <c r="G875" s="80">
        <v>1.522</v>
      </c>
    </row>
    <row r="876" spans="1:14">
      <c r="A876" s="15">
        <v>7</v>
      </c>
      <c r="B876" s="77">
        <v>45108</v>
      </c>
      <c r="C876">
        <v>2023</v>
      </c>
      <c r="D876" s="11" t="s">
        <v>34</v>
      </c>
      <c r="E876" s="15">
        <v>7</v>
      </c>
      <c r="F876" s="80">
        <v>14.909000000000001</v>
      </c>
      <c r="G876" s="80">
        <v>2.4159999999999999</v>
      </c>
    </row>
    <row r="877" spans="1:14">
      <c r="A877" s="15">
        <v>14</v>
      </c>
      <c r="B877" s="77">
        <v>45108</v>
      </c>
      <c r="C877">
        <v>2023</v>
      </c>
      <c r="D877" s="11" t="s">
        <v>34</v>
      </c>
      <c r="E877" s="15">
        <v>7</v>
      </c>
      <c r="F877" s="80">
        <v>4.3810000000000002</v>
      </c>
      <c r="G877" s="80">
        <v>0.78600000000000003</v>
      </c>
      <c r="I877" s="27">
        <f t="shared" ref="I877:J877" si="76">AVERAGE(F875:F877)</f>
        <v>8.2573333333333334</v>
      </c>
      <c r="J877" s="27">
        <f t="shared" si="76"/>
        <v>1.5746666666666667</v>
      </c>
      <c r="L877">
        <f t="shared" ref="L877" si="77">+J877/I877</f>
        <v>0.19069917648958501</v>
      </c>
      <c r="M877">
        <f t="shared" ref="M877" si="78">+(L877-$L$931)/$L$932</f>
        <v>-0.30730653037203043</v>
      </c>
      <c r="N877">
        <f t="shared" ref="N877" si="79">+N874+M877</f>
        <v>3.8747709116691249</v>
      </c>
    </row>
    <row r="878" spans="1:14">
      <c r="A878" s="15">
        <v>5</v>
      </c>
      <c r="B878" s="77">
        <v>45139</v>
      </c>
      <c r="C878">
        <v>2023</v>
      </c>
      <c r="D878" s="11" t="s">
        <v>35</v>
      </c>
      <c r="E878" s="15">
        <v>8</v>
      </c>
      <c r="F878" s="80">
        <v>3.0329999999999999</v>
      </c>
      <c r="G878" s="80">
        <v>0.53400000000000003</v>
      </c>
    </row>
    <row r="879" spans="1:14">
      <c r="A879" s="15">
        <v>7</v>
      </c>
      <c r="B879" s="77">
        <v>45139</v>
      </c>
      <c r="C879">
        <v>2023</v>
      </c>
      <c r="D879" s="11" t="s">
        <v>35</v>
      </c>
      <c r="E879" s="15">
        <v>8</v>
      </c>
      <c r="F879" s="80">
        <v>12.757</v>
      </c>
      <c r="G879" s="80">
        <v>3.3660000000000001</v>
      </c>
    </row>
    <row r="880" spans="1:14">
      <c r="A880" s="15">
        <v>14</v>
      </c>
      <c r="B880" s="77">
        <v>45139</v>
      </c>
      <c r="C880">
        <v>2023</v>
      </c>
      <c r="D880" s="11" t="s">
        <v>35</v>
      </c>
      <c r="E880" s="15">
        <v>8</v>
      </c>
      <c r="F880" s="80">
        <v>3.6960000000000002</v>
      </c>
      <c r="G880" s="80">
        <v>0.77500000000000002</v>
      </c>
      <c r="I880" s="27">
        <f t="shared" ref="I880:J880" si="80">AVERAGE(F878:F880)</f>
        <v>6.4953333333333338</v>
      </c>
      <c r="J880" s="27">
        <f t="shared" si="80"/>
        <v>1.5583333333333336</v>
      </c>
      <c r="L880">
        <f t="shared" ref="L880" si="81">+J880/I880</f>
        <v>0.23991583701118754</v>
      </c>
      <c r="M880">
        <f t="shared" ref="M880" si="82">+(L880-$L$931)/$L$932</f>
        <v>0.16008794636515694</v>
      </c>
      <c r="N880">
        <f t="shared" ref="N880" si="83">+N877+M880</f>
        <v>4.0348588580342817</v>
      </c>
    </row>
    <row r="881" spans="1:14">
      <c r="A881" s="15">
        <v>5</v>
      </c>
      <c r="B881" s="77">
        <v>45170</v>
      </c>
      <c r="C881">
        <v>2023</v>
      </c>
      <c r="D881" s="11" t="s">
        <v>41</v>
      </c>
      <c r="E881" s="15">
        <v>9</v>
      </c>
      <c r="F881" s="80">
        <v>4.7759999999999998</v>
      </c>
      <c r="G881" s="80">
        <v>6.9000000000000006E-2</v>
      </c>
    </row>
    <row r="882" spans="1:14">
      <c r="A882" s="15">
        <v>7</v>
      </c>
      <c r="B882" s="77">
        <v>45170</v>
      </c>
      <c r="C882">
        <v>2023</v>
      </c>
      <c r="D882" s="11" t="s">
        <v>41</v>
      </c>
      <c r="E882" s="15">
        <v>9</v>
      </c>
      <c r="F882" s="80">
        <v>4.3460000000000001</v>
      </c>
      <c r="G882" s="80">
        <v>0.64900000000000002</v>
      </c>
    </row>
    <row r="883" spans="1:14">
      <c r="A883" s="15">
        <v>14</v>
      </c>
      <c r="B883" s="77">
        <v>45170</v>
      </c>
      <c r="C883">
        <v>2023</v>
      </c>
      <c r="D883" s="11" t="s">
        <v>41</v>
      </c>
      <c r="E883" s="15">
        <v>9</v>
      </c>
      <c r="F883" s="80">
        <v>2.02</v>
      </c>
      <c r="G883" s="80">
        <v>0.128</v>
      </c>
      <c r="I883" s="27">
        <f t="shared" ref="I883:J883" si="84">AVERAGE(F881:F883)</f>
        <v>3.714</v>
      </c>
      <c r="J883" s="27">
        <f t="shared" si="84"/>
        <v>0.28199999999999997</v>
      </c>
      <c r="L883">
        <f t="shared" ref="L883" si="85">+J883/I883</f>
        <v>7.5928917609046839E-2</v>
      </c>
      <c r="M883">
        <f t="shared" ref="M883" si="86">+(L883-$L$931)/$L$932</f>
        <v>-1.3972420222552171</v>
      </c>
      <c r="N883">
        <f t="shared" ref="N883" si="87">+N880+M883</f>
        <v>2.6376168357790646</v>
      </c>
    </row>
    <row r="884" spans="1:14">
      <c r="A884" s="15">
        <v>5</v>
      </c>
      <c r="B884" s="77">
        <v>45200</v>
      </c>
      <c r="C884">
        <v>2023</v>
      </c>
      <c r="D884" s="11" t="s">
        <v>37</v>
      </c>
      <c r="E884" s="15">
        <v>10</v>
      </c>
      <c r="F884" s="97">
        <v>1.401</v>
      </c>
      <c r="G884" s="80">
        <v>0.6</v>
      </c>
    </row>
    <row r="885" spans="1:14">
      <c r="A885" s="15">
        <v>7</v>
      </c>
      <c r="B885" s="77">
        <v>45200</v>
      </c>
      <c r="C885">
        <v>2023</v>
      </c>
      <c r="D885" s="11" t="s">
        <v>37</v>
      </c>
      <c r="E885" s="15">
        <v>10</v>
      </c>
      <c r="F885" s="97">
        <v>1.2589999999999999</v>
      </c>
      <c r="G885" s="80">
        <v>0.14099999999999999</v>
      </c>
    </row>
    <row r="886" spans="1:14">
      <c r="A886" s="15">
        <v>14</v>
      </c>
      <c r="B886" s="77">
        <v>45200</v>
      </c>
      <c r="C886">
        <v>2023</v>
      </c>
      <c r="D886" s="11" t="s">
        <v>37</v>
      </c>
      <c r="E886" s="15">
        <v>10</v>
      </c>
      <c r="F886" s="80">
        <v>1.1599999999999999</v>
      </c>
      <c r="G886" s="80">
        <v>0.45200000000000001</v>
      </c>
      <c r="I886" s="27">
        <f t="shared" ref="I886:J886" si="88">AVERAGE(F884:F886)</f>
        <v>1.2733333333333334</v>
      </c>
      <c r="J886" s="27">
        <f t="shared" si="88"/>
        <v>0.39766666666666667</v>
      </c>
      <c r="L886">
        <f t="shared" ref="L886" si="89">+J886/I886</f>
        <v>0.31230366492146594</v>
      </c>
      <c r="M886">
        <f t="shared" ref="M886" si="90">+(L886-$L$931)/$L$932</f>
        <v>0.84753139721480608</v>
      </c>
      <c r="N886">
        <f t="shared" ref="N886" si="91">+N883+M886</f>
        <v>3.4851482329938706</v>
      </c>
    </row>
    <row r="887" spans="1:14">
      <c r="A887" s="15">
        <v>5</v>
      </c>
      <c r="B887" s="77">
        <v>45231</v>
      </c>
      <c r="C887">
        <v>2023</v>
      </c>
      <c r="D887" s="11" t="s">
        <v>38</v>
      </c>
      <c r="E887" s="15">
        <v>11</v>
      </c>
      <c r="F887" s="80">
        <v>2.0880000000000001</v>
      </c>
      <c r="G887" s="80">
        <v>0.182</v>
      </c>
    </row>
    <row r="888" spans="1:14">
      <c r="A888" s="15">
        <v>7</v>
      </c>
      <c r="B888" s="77">
        <v>45231</v>
      </c>
      <c r="C888">
        <v>2023</v>
      </c>
      <c r="D888" s="11" t="s">
        <v>38</v>
      </c>
      <c r="E888" s="15">
        <v>11</v>
      </c>
      <c r="F888" s="80">
        <v>0.88</v>
      </c>
      <c r="G888" s="80">
        <v>0.04</v>
      </c>
    </row>
    <row r="889" spans="1:14">
      <c r="A889" s="15">
        <v>14</v>
      </c>
      <c r="B889" s="77">
        <v>45231</v>
      </c>
      <c r="C889">
        <v>2023</v>
      </c>
      <c r="D889" s="11" t="s">
        <v>38</v>
      </c>
      <c r="E889" s="15">
        <v>11</v>
      </c>
      <c r="F889" s="80">
        <v>0.66400000000000003</v>
      </c>
      <c r="G889" s="80">
        <v>0.17499999999999999</v>
      </c>
      <c r="I889" s="27">
        <f t="shared" ref="I889:J889" si="92">AVERAGE(F887:F889)</f>
        <v>1.2106666666666668</v>
      </c>
      <c r="J889" s="27">
        <f t="shared" si="92"/>
        <v>0.13233333333333333</v>
      </c>
      <c r="L889">
        <f t="shared" ref="L889" si="93">+J889/I889</f>
        <v>0.10930616740088105</v>
      </c>
      <c r="M889">
        <f t="shared" ref="M889" si="94">+(L889-$L$931)/$L$932</f>
        <v>-1.0802692322274716</v>
      </c>
      <c r="N889">
        <f t="shared" ref="N889" si="95">+N886+M889</f>
        <v>2.4048790007663987</v>
      </c>
    </row>
    <row r="890" spans="1:14">
      <c r="A890" s="15">
        <v>5</v>
      </c>
      <c r="B890" s="78">
        <v>45261</v>
      </c>
      <c r="C890">
        <v>2023</v>
      </c>
      <c r="D890" s="11" t="s">
        <v>39</v>
      </c>
      <c r="E890" s="15">
        <v>12</v>
      </c>
      <c r="F890" s="80">
        <v>0.63800000000000001</v>
      </c>
      <c r="G890" s="80">
        <v>9.2999999999999999E-2</v>
      </c>
    </row>
    <row r="891" spans="1:14">
      <c r="A891" s="15">
        <v>7</v>
      </c>
      <c r="B891" s="77">
        <v>45261</v>
      </c>
      <c r="C891">
        <v>2023</v>
      </c>
      <c r="D891" s="11" t="s">
        <v>39</v>
      </c>
      <c r="E891" s="15">
        <v>12</v>
      </c>
      <c r="F891" s="80">
        <v>1.714</v>
      </c>
      <c r="G891" s="80">
        <v>0.47799999999999998</v>
      </c>
    </row>
    <row r="892" spans="1:14">
      <c r="A892" s="15">
        <v>14</v>
      </c>
      <c r="B892" s="77">
        <v>45261</v>
      </c>
      <c r="C892">
        <v>2023</v>
      </c>
      <c r="D892" s="11" t="s">
        <v>39</v>
      </c>
      <c r="E892" s="15">
        <v>12</v>
      </c>
      <c r="F892" s="80">
        <v>1.41</v>
      </c>
      <c r="G892" s="80">
        <v>0.54900000000000004</v>
      </c>
      <c r="I892" s="27">
        <f t="shared" ref="I892:J892" si="96">AVERAGE(F890:F892)</f>
        <v>1.2539999999999998</v>
      </c>
      <c r="J892" s="27">
        <f t="shared" si="96"/>
        <v>0.37333333333333335</v>
      </c>
      <c r="L892">
        <f t="shared" ref="L892" si="97">+J892/I892</f>
        <v>0.29771398192450832</v>
      </c>
      <c r="M892">
        <f t="shared" ref="M892" si="98">+(L892-$L$931)/$L$932</f>
        <v>0.70897796474184627</v>
      </c>
      <c r="N892">
        <f t="shared" ref="N892" si="99">+N889+M892</f>
        <v>3.1138569655082451</v>
      </c>
    </row>
    <row r="893" spans="1:14">
      <c r="A893" s="93">
        <v>5</v>
      </c>
      <c r="B893" s="90">
        <v>45292</v>
      </c>
      <c r="C893" s="91">
        <v>2024</v>
      </c>
      <c r="D893" s="92" t="s">
        <v>40</v>
      </c>
      <c r="E893" s="93">
        <v>1</v>
      </c>
      <c r="F893" s="80">
        <v>0.82399999999999995</v>
      </c>
      <c r="G893" s="80">
        <v>5.7000000000000002E-2</v>
      </c>
    </row>
    <row r="894" spans="1:14">
      <c r="A894" s="15">
        <v>7</v>
      </c>
      <c r="B894" s="73">
        <v>45292</v>
      </c>
      <c r="C894">
        <v>2024</v>
      </c>
      <c r="D894" s="11" t="s">
        <v>40</v>
      </c>
      <c r="E894" s="15">
        <v>1</v>
      </c>
      <c r="F894" s="80">
        <v>0.79500000000000004</v>
      </c>
      <c r="G894" s="80">
        <v>0.126</v>
      </c>
    </row>
    <row r="895" spans="1:14">
      <c r="A895" s="15">
        <v>14</v>
      </c>
      <c r="B895" s="73">
        <v>45292</v>
      </c>
      <c r="C895">
        <v>2024</v>
      </c>
      <c r="D895" s="11" t="s">
        <v>40</v>
      </c>
      <c r="E895" s="15">
        <v>1</v>
      </c>
      <c r="F895" s="80">
        <v>0.4</v>
      </c>
      <c r="G895" s="80">
        <v>0.114</v>
      </c>
      <c r="I895" s="27">
        <f t="shared" ref="I895:J895" si="100">AVERAGE(F893:F895)</f>
        <v>0.67300000000000004</v>
      </c>
      <c r="J895" s="27">
        <f t="shared" si="100"/>
        <v>9.8999999999999991E-2</v>
      </c>
      <c r="L895">
        <f t="shared" ref="L895" si="101">+J895/I895</f>
        <v>0.14710252600297175</v>
      </c>
      <c r="M895">
        <f t="shared" ref="M895" si="102">+(L895-$L$931)/$L$932</f>
        <v>-0.72132961576078214</v>
      </c>
      <c r="N895">
        <f t="shared" ref="N895" si="103">+N892+M895</f>
        <v>2.3925273497474628</v>
      </c>
    </row>
    <row r="896" spans="1:14">
      <c r="A896" s="15">
        <v>5</v>
      </c>
      <c r="B896" s="77">
        <v>45323</v>
      </c>
      <c r="C896">
        <v>2024</v>
      </c>
      <c r="D896" s="11" t="s">
        <v>29</v>
      </c>
      <c r="E896" s="15">
        <v>2</v>
      </c>
    </row>
    <row r="897" spans="1:14">
      <c r="A897" s="15">
        <v>7</v>
      </c>
      <c r="B897" s="77">
        <v>45323</v>
      </c>
      <c r="C897">
        <v>2024</v>
      </c>
      <c r="D897" s="11" t="s">
        <v>29</v>
      </c>
      <c r="E897" s="15">
        <v>2</v>
      </c>
    </row>
    <row r="898" spans="1:14">
      <c r="A898" s="15">
        <v>14</v>
      </c>
      <c r="B898" s="77">
        <v>45323</v>
      </c>
      <c r="C898">
        <v>2024</v>
      </c>
      <c r="D898" s="11" t="s">
        <v>29</v>
      </c>
      <c r="E898" s="15">
        <v>2</v>
      </c>
      <c r="I898" s="27"/>
      <c r="J898" s="27"/>
    </row>
    <row r="899" spans="1:14">
      <c r="A899" s="15">
        <v>5</v>
      </c>
      <c r="B899" s="77">
        <v>45352</v>
      </c>
      <c r="C899">
        <v>2024</v>
      </c>
      <c r="D899" s="11" t="s">
        <v>30</v>
      </c>
      <c r="E899" s="15">
        <v>3</v>
      </c>
      <c r="F899" s="80">
        <v>0.36799999999999999</v>
      </c>
      <c r="G899" s="80">
        <v>6.0999999999999999E-2</v>
      </c>
    </row>
    <row r="900" spans="1:14">
      <c r="A900" s="15">
        <v>7</v>
      </c>
      <c r="B900" s="77">
        <v>45352</v>
      </c>
      <c r="C900">
        <v>2024</v>
      </c>
      <c r="D900" s="11" t="s">
        <v>30</v>
      </c>
      <c r="E900" s="15">
        <v>3</v>
      </c>
      <c r="F900" s="80">
        <v>0.78500000000000003</v>
      </c>
      <c r="G900" s="80">
        <v>0.11</v>
      </c>
    </row>
    <row r="901" spans="1:14">
      <c r="A901" s="15">
        <v>14</v>
      </c>
      <c r="B901" s="77">
        <v>45352</v>
      </c>
      <c r="C901">
        <v>2024</v>
      </c>
      <c r="D901" s="11" t="s">
        <v>30</v>
      </c>
      <c r="E901" s="15">
        <v>3</v>
      </c>
      <c r="F901" s="80">
        <v>0.66900000000000004</v>
      </c>
      <c r="G901" s="80">
        <v>0.11799999999999999</v>
      </c>
      <c r="I901" s="27">
        <f t="shared" ref="I901:J901" si="104">AVERAGE(F899:F901)</f>
        <v>0.60733333333333339</v>
      </c>
      <c r="J901" s="27">
        <f t="shared" si="104"/>
        <v>9.6333333333333326E-2</v>
      </c>
      <c r="L901">
        <f t="shared" ref="L901" si="105">+J901/I901</f>
        <v>0.15861690450054883</v>
      </c>
      <c r="M901">
        <f t="shared" ref="M901" si="106">+(L901-$L$931)/$L$932</f>
        <v>-0.61198134109540203</v>
      </c>
      <c r="N901">
        <f>+N895+M901</f>
        <v>1.7805460086520608</v>
      </c>
    </row>
    <row r="902" spans="1:14">
      <c r="A902" s="15">
        <v>5</v>
      </c>
      <c r="B902" s="77">
        <v>45383</v>
      </c>
      <c r="C902">
        <v>2024</v>
      </c>
      <c r="D902" s="11" t="s">
        <v>31</v>
      </c>
      <c r="E902" s="15">
        <v>4</v>
      </c>
      <c r="F902" s="80">
        <v>0.58799999999999997</v>
      </c>
      <c r="G902" s="80">
        <v>7.3999999999999996E-2</v>
      </c>
    </row>
    <row r="903" spans="1:14">
      <c r="A903" s="15">
        <v>7</v>
      </c>
      <c r="B903" s="77">
        <v>45383</v>
      </c>
      <c r="C903">
        <v>2024</v>
      </c>
      <c r="D903" s="11" t="s">
        <v>31</v>
      </c>
      <c r="E903" s="15">
        <v>4</v>
      </c>
      <c r="F903" s="80">
        <v>2.5880000000000001</v>
      </c>
      <c r="G903" s="80">
        <v>0.34300000000000003</v>
      </c>
    </row>
    <row r="904" spans="1:14">
      <c r="A904" s="15">
        <v>14</v>
      </c>
      <c r="B904" s="77">
        <v>45383</v>
      </c>
      <c r="C904">
        <v>2024</v>
      </c>
      <c r="D904" s="11" t="s">
        <v>31</v>
      </c>
      <c r="E904" s="15">
        <v>4</v>
      </c>
      <c r="I904" s="27">
        <f t="shared" ref="I904:J904" si="107">AVERAGE(F902:F904)</f>
        <v>1.5880000000000001</v>
      </c>
      <c r="J904" s="27">
        <f t="shared" si="107"/>
        <v>0.20850000000000002</v>
      </c>
      <c r="L904">
        <f t="shared" ref="L904" si="108">+J904/I904</f>
        <v>0.13129722921914358</v>
      </c>
      <c r="M904">
        <f t="shared" ref="M904" si="109">+(L904-$L$931)/$L$932</f>
        <v>-0.87142733351858948</v>
      </c>
      <c r="N904">
        <f t="shared" ref="N904" si="110">+N901+M904</f>
        <v>0.90911867513347133</v>
      </c>
    </row>
    <row r="905" spans="1:14">
      <c r="A905" s="15">
        <v>5</v>
      </c>
      <c r="B905" s="77">
        <v>45413</v>
      </c>
      <c r="C905">
        <v>2024</v>
      </c>
      <c r="D905" s="11" t="s">
        <v>32</v>
      </c>
      <c r="E905" s="15">
        <v>5</v>
      </c>
      <c r="F905" s="80">
        <v>0.57699999999999996</v>
      </c>
      <c r="G905" s="80">
        <v>0.16200000000000001</v>
      </c>
    </row>
    <row r="906" spans="1:14">
      <c r="A906" s="15">
        <v>7</v>
      </c>
      <c r="B906" s="77">
        <v>45413</v>
      </c>
      <c r="C906">
        <v>2024</v>
      </c>
      <c r="D906" s="11" t="s">
        <v>32</v>
      </c>
      <c r="E906" s="15">
        <v>5</v>
      </c>
      <c r="F906" s="80">
        <v>1.8759999999999999</v>
      </c>
      <c r="G906" s="80">
        <v>0.156</v>
      </c>
    </row>
    <row r="907" spans="1:14">
      <c r="A907" s="15">
        <v>14</v>
      </c>
      <c r="B907" s="77">
        <v>45413</v>
      </c>
      <c r="C907">
        <v>2024</v>
      </c>
      <c r="D907" s="11" t="s">
        <v>32</v>
      </c>
      <c r="E907" s="15">
        <v>5</v>
      </c>
      <c r="F907" s="80">
        <v>1.1439999999999999</v>
      </c>
      <c r="G907" s="80">
        <v>0.14000000000000001</v>
      </c>
      <c r="I907" s="27">
        <f t="shared" ref="I907:J907" si="111">AVERAGE(F905:F907)</f>
        <v>1.1989999999999998</v>
      </c>
      <c r="J907" s="27">
        <f t="shared" si="111"/>
        <v>0.15266666666666667</v>
      </c>
      <c r="L907">
        <f t="shared" ref="L907" si="112">+J907/I907</f>
        <v>0.12732832916319156</v>
      </c>
      <c r="M907">
        <f t="shared" ref="M907" si="113">+(L907-$L$931)/$L$932</f>
        <v>-0.90911867513368461</v>
      </c>
      <c r="N907">
        <f t="shared" ref="N907" si="114">+N904+M907</f>
        <v>-2.1327384303049257E-13</v>
      </c>
    </row>
    <row r="908" spans="1:14">
      <c r="A908" s="15">
        <v>5</v>
      </c>
      <c r="B908" s="77">
        <v>45444</v>
      </c>
      <c r="C908">
        <v>2024</v>
      </c>
      <c r="D908" s="11" t="s">
        <v>33</v>
      </c>
      <c r="E908" s="15">
        <v>6</v>
      </c>
      <c r="H908" s="98" t="s">
        <v>95</v>
      </c>
    </row>
    <row r="909" spans="1:14">
      <c r="A909" s="15">
        <v>7</v>
      </c>
      <c r="B909" s="77">
        <v>45444</v>
      </c>
      <c r="C909">
        <v>2024</v>
      </c>
      <c r="D909" s="11" t="s">
        <v>33</v>
      </c>
      <c r="E909" s="15">
        <v>6</v>
      </c>
      <c r="H909" s="98" t="s">
        <v>96</v>
      </c>
    </row>
    <row r="910" spans="1:14">
      <c r="A910" s="15">
        <v>14</v>
      </c>
      <c r="B910" s="77">
        <v>45444</v>
      </c>
      <c r="C910">
        <v>2024</v>
      </c>
      <c r="D910" s="11" t="s">
        <v>33</v>
      </c>
      <c r="E910" s="15">
        <v>6</v>
      </c>
    </row>
    <row r="911" spans="1:14">
      <c r="A911" s="15">
        <v>5</v>
      </c>
      <c r="B911" s="77">
        <v>45474</v>
      </c>
      <c r="C911">
        <v>2024</v>
      </c>
      <c r="D911" s="11" t="s">
        <v>34</v>
      </c>
      <c r="E911" s="15">
        <v>7</v>
      </c>
    </row>
    <row r="912" spans="1:14">
      <c r="A912" s="15">
        <v>7</v>
      </c>
      <c r="B912" s="77">
        <v>45474</v>
      </c>
      <c r="C912">
        <v>2024</v>
      </c>
      <c r="D912" s="11" t="s">
        <v>34</v>
      </c>
      <c r="E912" s="15">
        <v>7</v>
      </c>
    </row>
    <row r="913" spans="1:5">
      <c r="A913" s="15">
        <v>14</v>
      </c>
      <c r="B913" s="77">
        <v>45474</v>
      </c>
      <c r="C913">
        <v>2024</v>
      </c>
      <c r="D913" s="11" t="s">
        <v>34</v>
      </c>
      <c r="E913" s="15">
        <v>7</v>
      </c>
    </row>
    <row r="914" spans="1:5">
      <c r="A914" s="15">
        <v>5</v>
      </c>
      <c r="B914" s="77">
        <v>45505</v>
      </c>
      <c r="C914">
        <v>2024</v>
      </c>
      <c r="D914" s="11" t="s">
        <v>35</v>
      </c>
      <c r="E914" s="15">
        <v>8</v>
      </c>
    </row>
    <row r="915" spans="1:5">
      <c r="A915" s="15">
        <v>7</v>
      </c>
      <c r="B915" s="77">
        <v>45505</v>
      </c>
      <c r="C915">
        <v>2024</v>
      </c>
      <c r="D915" s="11" t="s">
        <v>35</v>
      </c>
      <c r="E915" s="15">
        <v>8</v>
      </c>
    </row>
    <row r="916" spans="1:5">
      <c r="A916" s="15">
        <v>14</v>
      </c>
      <c r="B916" s="77">
        <v>45505</v>
      </c>
      <c r="C916">
        <v>2024</v>
      </c>
      <c r="D916" s="11" t="s">
        <v>35</v>
      </c>
      <c r="E916" s="15">
        <v>8</v>
      </c>
    </row>
    <row r="917" spans="1:5">
      <c r="A917" s="15">
        <v>5</v>
      </c>
      <c r="B917" s="77">
        <v>45536</v>
      </c>
      <c r="C917">
        <v>2024</v>
      </c>
      <c r="D917" s="11" t="s">
        <v>41</v>
      </c>
      <c r="E917" s="15">
        <v>9</v>
      </c>
    </row>
    <row r="918" spans="1:5">
      <c r="A918" s="15">
        <v>7</v>
      </c>
      <c r="B918" s="77">
        <v>45536</v>
      </c>
      <c r="C918">
        <v>2024</v>
      </c>
      <c r="D918" s="11" t="s">
        <v>41</v>
      </c>
      <c r="E918" s="15">
        <v>9</v>
      </c>
    </row>
    <row r="919" spans="1:5">
      <c r="A919" s="15">
        <v>14</v>
      </c>
      <c r="B919" s="77">
        <v>45536</v>
      </c>
      <c r="C919">
        <v>2024</v>
      </c>
      <c r="D919" s="11" t="s">
        <v>41</v>
      </c>
      <c r="E919" s="15">
        <v>9</v>
      </c>
    </row>
    <row r="920" spans="1:5">
      <c r="A920" s="15">
        <v>5</v>
      </c>
      <c r="B920" s="77">
        <v>45566</v>
      </c>
      <c r="C920">
        <v>2024</v>
      </c>
      <c r="D920" s="11" t="s">
        <v>37</v>
      </c>
      <c r="E920" s="15">
        <v>10</v>
      </c>
    </row>
    <row r="921" spans="1:5">
      <c r="A921" s="15">
        <v>7</v>
      </c>
      <c r="B921" s="77">
        <v>45566</v>
      </c>
      <c r="C921">
        <v>2024</v>
      </c>
      <c r="D921" s="11" t="s">
        <v>37</v>
      </c>
      <c r="E921" s="15">
        <v>10</v>
      </c>
    </row>
    <row r="922" spans="1:5">
      <c r="A922" s="15">
        <v>14</v>
      </c>
      <c r="B922" s="77">
        <v>45566</v>
      </c>
      <c r="C922">
        <v>2024</v>
      </c>
      <c r="D922" s="11" t="s">
        <v>37</v>
      </c>
      <c r="E922" s="15">
        <v>10</v>
      </c>
    </row>
    <row r="923" spans="1:5">
      <c r="A923" s="15">
        <v>5</v>
      </c>
      <c r="B923" s="77">
        <v>45597</v>
      </c>
      <c r="C923">
        <v>2024</v>
      </c>
      <c r="D923" s="11" t="s">
        <v>38</v>
      </c>
      <c r="E923" s="15">
        <v>11</v>
      </c>
    </row>
    <row r="924" spans="1:5">
      <c r="A924" s="15">
        <v>7</v>
      </c>
      <c r="B924" s="77">
        <v>45597</v>
      </c>
      <c r="C924">
        <v>2024</v>
      </c>
      <c r="D924" s="11" t="s">
        <v>38</v>
      </c>
      <c r="E924" s="15">
        <v>11</v>
      </c>
    </row>
    <row r="925" spans="1:5">
      <c r="A925" s="15">
        <v>14</v>
      </c>
      <c r="B925" s="77">
        <v>45597</v>
      </c>
      <c r="C925">
        <v>2024</v>
      </c>
      <c r="D925" s="11" t="s">
        <v>38</v>
      </c>
      <c r="E925" s="15">
        <v>11</v>
      </c>
    </row>
    <row r="926" spans="1:5">
      <c r="A926" s="15">
        <v>5</v>
      </c>
      <c r="B926" s="78">
        <v>45627</v>
      </c>
      <c r="C926">
        <v>2024</v>
      </c>
      <c r="D926" s="11" t="s">
        <v>39</v>
      </c>
      <c r="E926" s="15">
        <v>12</v>
      </c>
    </row>
    <row r="927" spans="1:5">
      <c r="A927" s="15">
        <v>7</v>
      </c>
      <c r="B927" s="77">
        <v>45627</v>
      </c>
      <c r="C927">
        <v>2024</v>
      </c>
      <c r="D927" s="11" t="s">
        <v>39</v>
      </c>
      <c r="E927" s="15">
        <v>12</v>
      </c>
    </row>
    <row r="928" spans="1:5">
      <c r="A928" s="15">
        <v>14</v>
      </c>
      <c r="B928" s="77">
        <v>45627</v>
      </c>
      <c r="C928">
        <v>2024</v>
      </c>
      <c r="D928" s="11" t="s">
        <v>39</v>
      </c>
      <c r="E928" s="15">
        <v>12</v>
      </c>
    </row>
    <row r="931" spans="11:12">
      <c r="K931" s="89" t="s">
        <v>91</v>
      </c>
      <c r="L931" s="89">
        <f>AVERAGE(L4:L928)</f>
        <v>0.22305856868218085</v>
      </c>
    </row>
    <row r="932" spans="11:12">
      <c r="K932" s="89" t="s">
        <v>92</v>
      </c>
      <c r="L932" s="89">
        <f>STDEV(L4:L928)</f>
        <v>0.10530004732870799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1DF0-DB79-614F-9F9B-59A49AF7EF28}">
  <sheetPr>
    <tabColor theme="9" tint="0.39997558519241921"/>
  </sheetPr>
  <dimension ref="A1:Q932"/>
  <sheetViews>
    <sheetView topLeftCell="B1" workbookViewId="0">
      <pane ySplit="2" topLeftCell="A747" activePane="bottomLeft" state="frozen"/>
      <selection pane="bottomLeft" activeCell="O750" sqref="O750"/>
    </sheetView>
  </sheetViews>
  <sheetFormatPr defaultColWidth="11.42578125" defaultRowHeight="15"/>
  <cols>
    <col min="2" max="2" width="10.85546875" style="72"/>
  </cols>
  <sheetData>
    <row r="1" spans="1:17" ht="18">
      <c r="F1" s="1" t="s">
        <v>0</v>
      </c>
      <c r="G1" s="1" t="s">
        <v>1</v>
      </c>
      <c r="I1" s="71" t="s">
        <v>83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9</v>
      </c>
      <c r="I2" s="6" t="s">
        <v>7</v>
      </c>
      <c r="J2" s="6" t="s">
        <v>9</v>
      </c>
      <c r="L2" s="69" t="s">
        <v>88</v>
      </c>
      <c r="M2" s="70" t="s">
        <v>86</v>
      </c>
      <c r="N2" s="70" t="s">
        <v>87</v>
      </c>
    </row>
    <row r="3" spans="1:17">
      <c r="A3" s="8">
        <v>5</v>
      </c>
      <c r="B3" s="74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0</v>
      </c>
    </row>
    <row r="4" spans="1:17">
      <c r="A4" s="8">
        <v>7</v>
      </c>
      <c r="B4" s="74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0</v>
      </c>
      <c r="Q4" t="s">
        <v>103</v>
      </c>
    </row>
    <row r="5" spans="1:17">
      <c r="A5" s="8">
        <v>14</v>
      </c>
      <c r="B5" s="74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0</v>
      </c>
      <c r="I5" s="27">
        <f>AVERAGE(F3:F5)</f>
        <v>3.8350004868141387</v>
      </c>
      <c r="J5" s="27">
        <f>AVERAGE(G3:G5)</f>
        <v>0</v>
      </c>
      <c r="L5">
        <f>+J5/I5</f>
        <v>0</v>
      </c>
      <c r="M5">
        <f>+(L5-$L$931)/$L$932</f>
        <v>-0.3615226880513247</v>
      </c>
      <c r="N5">
        <f>+M5</f>
        <v>-0.3615226880513247</v>
      </c>
    </row>
    <row r="6" spans="1:17">
      <c r="A6" s="8">
        <v>5</v>
      </c>
      <c r="B6" s="74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0</v>
      </c>
    </row>
    <row r="7" spans="1:17">
      <c r="A7" s="8">
        <v>7</v>
      </c>
      <c r="B7" s="74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0</v>
      </c>
    </row>
    <row r="8" spans="1:17">
      <c r="A8" s="8">
        <v>14</v>
      </c>
      <c r="B8" s="74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0</v>
      </c>
      <c r="I8" s="27">
        <f>AVERAGE(F6:F8)</f>
        <v>0.77014041265829736</v>
      </c>
      <c r="J8" s="27">
        <f>AVERAGE(G6:G8)</f>
        <v>0</v>
      </c>
      <c r="L8">
        <f>+J8/I8</f>
        <v>0</v>
      </c>
      <c r="M8">
        <f>+(L8-$L$931)/$L$932</f>
        <v>-0.3615226880513247</v>
      </c>
      <c r="N8">
        <f>+N5+M8</f>
        <v>-0.72304537610264941</v>
      </c>
    </row>
    <row r="9" spans="1:17">
      <c r="A9" s="8">
        <v>5</v>
      </c>
      <c r="B9" s="74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0</v>
      </c>
    </row>
    <row r="10" spans="1:17">
      <c r="A10" s="8">
        <v>7</v>
      </c>
      <c r="B10" s="74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0</v>
      </c>
    </row>
    <row r="11" spans="1:17">
      <c r="A11" s="8">
        <v>14</v>
      </c>
      <c r="B11" s="74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1.8829226000000001E-2</v>
      </c>
      <c r="I11" s="27">
        <f>AVERAGE(F9:F11)</f>
        <v>1.5490617878900848</v>
      </c>
      <c r="J11" s="27">
        <f>AVERAGE(G9:G11)</f>
        <v>6.276408666666667E-3</v>
      </c>
      <c r="L11">
        <f>+J11/I11</f>
        <v>4.05174842974825E-3</v>
      </c>
      <c r="M11">
        <f>+(L11-$L$931)/$L$932</f>
        <v>-0.23225999130140307</v>
      </c>
      <c r="N11">
        <f>+N8+M11</f>
        <v>-0.95530536740405247</v>
      </c>
    </row>
    <row r="12" spans="1:17">
      <c r="A12" s="8">
        <v>5</v>
      </c>
      <c r="B12" s="74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0</v>
      </c>
    </row>
    <row r="13" spans="1:17">
      <c r="A13" s="8">
        <v>7</v>
      </c>
      <c r="B13" s="74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0</v>
      </c>
    </row>
    <row r="14" spans="1:17">
      <c r="A14" s="8">
        <v>14</v>
      </c>
      <c r="B14" s="74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0</v>
      </c>
      <c r="I14" s="27">
        <f>AVERAGE(F12:F14)</f>
        <v>3.2847373725269953</v>
      </c>
      <c r="J14" s="27">
        <f>AVERAGE(G12:G14)</f>
        <v>0</v>
      </c>
      <c r="L14">
        <f>+J14/I14</f>
        <v>0</v>
      </c>
      <c r="M14">
        <f>+(L14-$L$931)/$L$932</f>
        <v>-0.3615226880513247</v>
      </c>
      <c r="N14">
        <f>+N11+M14</f>
        <v>-1.3168280554553773</v>
      </c>
    </row>
    <row r="15" spans="1:17">
      <c r="A15" s="8">
        <v>5</v>
      </c>
      <c r="B15" s="74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0</v>
      </c>
    </row>
    <row r="16" spans="1:17">
      <c r="A16" s="8">
        <v>7</v>
      </c>
      <c r="B16" s="74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0</v>
      </c>
    </row>
    <row r="17" spans="1:14">
      <c r="A17" s="8">
        <v>14</v>
      </c>
      <c r="B17" s="74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0</v>
      </c>
      <c r="I17" s="27">
        <f>AVERAGE(F15:F17)</f>
        <v>3.4698255354309997</v>
      </c>
      <c r="J17" s="27">
        <f>AVERAGE(G15:G17)</f>
        <v>0</v>
      </c>
      <c r="L17">
        <f>+J17/I17</f>
        <v>0</v>
      </c>
      <c r="M17">
        <f>+(L17-$L$931)/$L$932</f>
        <v>-0.3615226880513247</v>
      </c>
      <c r="N17">
        <f>+N14+M17</f>
        <v>-1.678350743506702</v>
      </c>
    </row>
    <row r="18" spans="1:14">
      <c r="A18" s="8">
        <v>5</v>
      </c>
      <c r="B18" s="74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4.7302477333333329E-2</v>
      </c>
    </row>
    <row r="19" spans="1:14">
      <c r="A19" s="8">
        <v>7</v>
      </c>
      <c r="B19" s="74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0</v>
      </c>
    </row>
    <row r="20" spans="1:14">
      <c r="A20" s="8">
        <v>14</v>
      </c>
      <c r="B20" s="74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0</v>
      </c>
      <c r="I20" s="27">
        <f>AVERAGE(F18:F20)</f>
        <v>3.1518001303173935</v>
      </c>
      <c r="J20" s="27">
        <f>AVERAGE(G18:G20)</f>
        <v>1.5767492444444444E-2</v>
      </c>
      <c r="L20">
        <f>+J20/I20</f>
        <v>5.0026942675634135E-3</v>
      </c>
      <c r="M20">
        <f>+(L20-$L$931)/$L$932</f>
        <v>-0.20192202101761145</v>
      </c>
      <c r="N20">
        <f>+N17+M20</f>
        <v>-1.8802727645243134</v>
      </c>
    </row>
    <row r="21" spans="1:14">
      <c r="A21" s="8">
        <v>5</v>
      </c>
      <c r="B21" s="74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1.7670699666666664E-2</v>
      </c>
    </row>
    <row r="22" spans="1:14">
      <c r="A22" s="8">
        <v>7</v>
      </c>
      <c r="B22" s="74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0</v>
      </c>
    </row>
    <row r="23" spans="1:14">
      <c r="A23" s="8">
        <v>14</v>
      </c>
      <c r="B23" s="74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0</v>
      </c>
      <c r="I23" s="27">
        <f>AVERAGE(F21:F23)</f>
        <v>4.6253770759036277</v>
      </c>
      <c r="J23" s="27">
        <f>AVERAGE(G21:G23)</f>
        <v>5.8902332222222215E-3</v>
      </c>
      <c r="L23">
        <f>+J23/I23</f>
        <v>1.2734601148321487E-3</v>
      </c>
      <c r="M23">
        <f>+(L23-$L$931)/$L$932</f>
        <v>-0.32089556336656327</v>
      </c>
      <c r="N23">
        <f>+N20+M23</f>
        <v>-2.2011683278908767</v>
      </c>
    </row>
    <row r="24" spans="1:14">
      <c r="A24" s="8">
        <v>5</v>
      </c>
      <c r="B24" s="74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0.89007840099999991</v>
      </c>
    </row>
    <row r="25" spans="1:14">
      <c r="A25" s="8">
        <v>7</v>
      </c>
      <c r="B25" s="74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0</v>
      </c>
    </row>
    <row r="26" spans="1:14">
      <c r="A26" s="8">
        <v>14</v>
      </c>
      <c r="B26" s="74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0</v>
      </c>
      <c r="I26" s="27">
        <f>AVERAGE(F24:F26)</f>
        <v>3.6411893777364637</v>
      </c>
      <c r="J26" s="27">
        <f>AVERAGE(G24:G26)</f>
        <v>0.29669280033333328</v>
      </c>
      <c r="L26">
        <f>+J26/I26</f>
        <v>8.1482386537602064E-2</v>
      </c>
      <c r="M26">
        <f>+(L26-$L$931)/$L$932</f>
        <v>2.2380051957971765</v>
      </c>
      <c r="N26">
        <f>+N23+M26</f>
        <v>3.6836867906299808E-2</v>
      </c>
    </row>
    <row r="27" spans="1:14">
      <c r="A27" s="8">
        <v>5</v>
      </c>
      <c r="B27" s="74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3.1005776213333331</v>
      </c>
    </row>
    <row r="28" spans="1:14">
      <c r="A28" s="8">
        <v>7</v>
      </c>
      <c r="B28" s="74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5.9331934666666662E-2</v>
      </c>
    </row>
    <row r="29" spans="1:14">
      <c r="A29" s="8">
        <v>14</v>
      </c>
      <c r="B29" s="74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0.25668190899999999</v>
      </c>
      <c r="I29" s="27">
        <f>AVERAGE(F27:F29)</f>
        <v>18.700563755464856</v>
      </c>
      <c r="J29" s="27">
        <f>AVERAGE(G27:G29)</f>
        <v>1.1388638216666667</v>
      </c>
      <c r="L29">
        <f>+J29/I29</f>
        <v>6.0899972672420484E-2</v>
      </c>
      <c r="M29">
        <f>+(L29-$L$931)/$L$932</f>
        <v>1.5813656319233502</v>
      </c>
      <c r="N29">
        <f>+N26+M29</f>
        <v>1.61820249982965</v>
      </c>
    </row>
    <row r="30" spans="1:14">
      <c r="A30" s="8">
        <v>5</v>
      </c>
      <c r="B30" s="74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9.5690609583333336E-2</v>
      </c>
    </row>
    <row r="31" spans="1:14">
      <c r="A31" s="8">
        <v>7</v>
      </c>
      <c r="B31" s="74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2.1917322000000003E-2</v>
      </c>
    </row>
    <row r="32" spans="1:14">
      <c r="A32" s="8">
        <v>14</v>
      </c>
      <c r="B32" s="74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1.41024945E-2</v>
      </c>
      <c r="I32" s="27">
        <f>AVERAGE(F30:F32)</f>
        <v>12.95580481464267</v>
      </c>
      <c r="J32" s="27">
        <f>AVERAGE(G30:G32)</f>
        <v>4.3903475361111111E-2</v>
      </c>
      <c r="L32">
        <f>+J32/I32</f>
        <v>3.3887107739915419E-3</v>
      </c>
      <c r="M32">
        <f>+(L32-$L$931)/$L$932</f>
        <v>-0.25341284343817394</v>
      </c>
      <c r="N32">
        <f>+N29+M32</f>
        <v>1.3647896563914761</v>
      </c>
    </row>
    <row r="33" spans="1:14">
      <c r="A33" s="8">
        <v>5</v>
      </c>
      <c r="B33" s="74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1.3696055666666668E-2</v>
      </c>
    </row>
    <row r="34" spans="1:14">
      <c r="A34" s="8">
        <v>7</v>
      </c>
      <c r="B34" s="74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0</v>
      </c>
    </row>
    <row r="35" spans="1:14">
      <c r="A35" s="8">
        <v>14</v>
      </c>
      <c r="B35" s="74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0</v>
      </c>
      <c r="I35" s="27">
        <f>AVERAGE(F33:F35)</f>
        <v>12.079354975929611</v>
      </c>
      <c r="J35" s="27">
        <f>AVERAGE(G33:G35)</f>
        <v>4.5653518888888892E-3</v>
      </c>
      <c r="L35">
        <f>+J35/I35</f>
        <v>3.7794666172044882E-4</v>
      </c>
      <c r="M35">
        <f>+(L35-$L$931)/$L$932</f>
        <v>-0.34946507747438893</v>
      </c>
      <c r="N35">
        <f>+N32+M35</f>
        <v>1.0153245789170873</v>
      </c>
    </row>
    <row r="36" spans="1:14">
      <c r="A36" s="8">
        <v>5</v>
      </c>
      <c r="B36" s="74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2.190324766666667E-2</v>
      </c>
    </row>
    <row r="37" spans="1:14">
      <c r="A37" s="8">
        <v>7</v>
      </c>
      <c r="B37" s="74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0</v>
      </c>
    </row>
    <row r="38" spans="1:14">
      <c r="A38" s="8">
        <v>14</v>
      </c>
      <c r="B38" s="74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0</v>
      </c>
      <c r="I38" s="27">
        <f>AVERAGE(F36:F38)</f>
        <v>11.492512107833406</v>
      </c>
      <c r="J38" s="27">
        <f>AVERAGE(G36:G38)</f>
        <v>7.3010825555555568E-3</v>
      </c>
      <c r="L38">
        <f>+J38/I38</f>
        <v>6.352903949154049E-4</v>
      </c>
      <c r="M38">
        <f>+(L38-$L$931)/$L$932</f>
        <v>-0.34125505517876992</v>
      </c>
      <c r="N38">
        <f>+N35+M38</f>
        <v>0.67406952373831741</v>
      </c>
    </row>
    <row r="39" spans="1:14">
      <c r="A39" s="8">
        <v>5</v>
      </c>
      <c r="B39" s="74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0</v>
      </c>
    </row>
    <row r="40" spans="1:14">
      <c r="A40" s="8">
        <v>7</v>
      </c>
      <c r="B40" s="74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2.6477335666666667E-2</v>
      </c>
    </row>
    <row r="41" spans="1:14">
      <c r="A41" s="8">
        <v>14</v>
      </c>
      <c r="B41" s="74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0</v>
      </c>
      <c r="I41" s="27">
        <f>AVERAGE(F39:F41)</f>
        <v>6.8490543512505395</v>
      </c>
      <c r="J41" s="27">
        <f>AVERAGE(G39:G41)</f>
        <v>8.8257785555555558E-3</v>
      </c>
      <c r="L41">
        <f>+J41/I41</f>
        <v>1.2886127197901554E-3</v>
      </c>
      <c r="M41">
        <f>+(L41-$L$931)/$L$932</f>
        <v>-0.3204121506834664</v>
      </c>
      <c r="N41">
        <f>+N38+M41</f>
        <v>0.35365737305485101</v>
      </c>
    </row>
    <row r="42" spans="1:14">
      <c r="A42" s="8">
        <v>5</v>
      </c>
      <c r="B42" s="74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0</v>
      </c>
    </row>
    <row r="43" spans="1:14">
      <c r="A43" s="8">
        <v>7</v>
      </c>
      <c r="B43" s="74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0</v>
      </c>
    </row>
    <row r="44" spans="1:14">
      <c r="A44" s="8">
        <v>14</v>
      </c>
      <c r="B44" s="74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0</v>
      </c>
      <c r="I44" s="27">
        <f>AVERAGE(F42:F44)</f>
        <v>1.3523225807809862</v>
      </c>
      <c r="J44" s="27">
        <f>AVERAGE(G42:G44)</f>
        <v>0</v>
      </c>
      <c r="L44">
        <f>+J44/I44</f>
        <v>0</v>
      </c>
      <c r="M44">
        <f>+(L44-$L$931)/$L$932</f>
        <v>-0.3615226880513247</v>
      </c>
      <c r="N44">
        <f>+N41+M44</f>
        <v>-7.8653149964736935E-3</v>
      </c>
    </row>
    <row r="45" spans="1:14">
      <c r="A45" s="8">
        <v>5</v>
      </c>
      <c r="B45" s="74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0</v>
      </c>
    </row>
    <row r="46" spans="1:14">
      <c r="A46" s="8">
        <v>7</v>
      </c>
      <c r="B46" s="74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</v>
      </c>
    </row>
    <row r="47" spans="1:14">
      <c r="A47" s="8">
        <v>14</v>
      </c>
      <c r="B47" s="74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0</v>
      </c>
      <c r="I47" s="27">
        <f>AVERAGE(F45:F47)</f>
        <v>2.3240791245816266</v>
      </c>
      <c r="J47" s="27">
        <f>AVERAGE(G45:G47)</f>
        <v>0</v>
      </c>
      <c r="L47">
        <f>+J47/I47</f>
        <v>0</v>
      </c>
      <c r="M47">
        <f>+(L47-$L$931)/$L$932</f>
        <v>-0.3615226880513247</v>
      </c>
      <c r="N47">
        <f>+N44+M47</f>
        <v>-0.3693880030477984</v>
      </c>
    </row>
    <row r="48" spans="1:14">
      <c r="A48" s="8">
        <v>5</v>
      </c>
      <c r="B48" s="74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0</v>
      </c>
    </row>
    <row r="49" spans="1:14">
      <c r="A49" s="8">
        <v>7</v>
      </c>
      <c r="B49" s="74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0</v>
      </c>
    </row>
    <row r="50" spans="1:14">
      <c r="A50" s="8">
        <v>14</v>
      </c>
      <c r="B50" s="74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0</v>
      </c>
      <c r="I50" s="27">
        <f>AVERAGE(F48:F50)</f>
        <v>5.1605916192358565</v>
      </c>
      <c r="J50" s="27">
        <f>AVERAGE(G48:G50)</f>
        <v>0</v>
      </c>
      <c r="L50">
        <f>+J50/I50</f>
        <v>0</v>
      </c>
      <c r="M50">
        <f>+(L50-$L$931)/$L$932</f>
        <v>-0.3615226880513247</v>
      </c>
      <c r="N50">
        <f>+N47+M50</f>
        <v>-0.7309106910991231</v>
      </c>
    </row>
    <row r="51" spans="1:14">
      <c r="A51" s="12">
        <v>5</v>
      </c>
      <c r="B51" s="74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0</v>
      </c>
    </row>
    <row r="52" spans="1:14">
      <c r="A52" s="12">
        <v>7</v>
      </c>
      <c r="B52" s="74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1.2141691833333334E-2</v>
      </c>
    </row>
    <row r="53" spans="1:14">
      <c r="A53" s="12">
        <v>14</v>
      </c>
      <c r="B53" s="74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3.1155103833333329E-2</v>
      </c>
      <c r="I53" s="27">
        <f>AVERAGE(F51:F53)</f>
        <v>4.0769794100746513</v>
      </c>
      <c r="J53" s="27">
        <f>AVERAGE(G51:G53)</f>
        <v>1.4432265222222221E-2</v>
      </c>
      <c r="L53">
        <f>+J53/I53</f>
        <v>3.5399406694472269E-3</v>
      </c>
      <c r="M53">
        <f>+(L53-$L$931)/$L$932</f>
        <v>-0.24858816479517507</v>
      </c>
      <c r="N53">
        <f>+N50+M53</f>
        <v>-0.97949885589429819</v>
      </c>
    </row>
    <row r="54" spans="1:14">
      <c r="A54" s="8">
        <v>5</v>
      </c>
      <c r="B54" s="74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0.10580183786666668</v>
      </c>
    </row>
    <row r="55" spans="1:14">
      <c r="A55" s="8">
        <v>7</v>
      </c>
      <c r="B55" s="74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5.7272651499999994E-2</v>
      </c>
    </row>
    <row r="56" spans="1:14">
      <c r="A56" s="8">
        <v>14</v>
      </c>
      <c r="B56" s="74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8.4992017599999997E-2</v>
      </c>
      <c r="I56" s="27">
        <f>AVERAGE(F54:F56)</f>
        <v>5.8227537277562291</v>
      </c>
      <c r="J56" s="27">
        <f>AVERAGE(G54:G56)</f>
        <v>8.2688835655555556E-2</v>
      </c>
      <c r="L56">
        <f>+J56/I56</f>
        <v>1.420098453784672E-2</v>
      </c>
      <c r="M56">
        <f>+(L56-$L$931)/$L$932</f>
        <v>9.153050360007875E-2</v>
      </c>
      <c r="N56">
        <f>+N53+M56</f>
        <v>-0.88796835229421944</v>
      </c>
    </row>
    <row r="57" spans="1:14">
      <c r="A57" s="8">
        <v>5</v>
      </c>
      <c r="B57" s="74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0</v>
      </c>
    </row>
    <row r="58" spans="1:14">
      <c r="A58" s="8">
        <v>7</v>
      </c>
      <c r="B58" s="74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0</v>
      </c>
    </row>
    <row r="59" spans="1:14">
      <c r="A59" s="8">
        <v>14</v>
      </c>
      <c r="B59" s="74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0</v>
      </c>
      <c r="I59" s="27">
        <f>AVERAGE(F57:F59)</f>
        <v>1.8377721677325185</v>
      </c>
      <c r="J59" s="27">
        <f>AVERAGE(G57:G59)</f>
        <v>0</v>
      </c>
      <c r="L59">
        <f>+J59/I59</f>
        <v>0</v>
      </c>
      <c r="M59">
        <f>+(L59-$L$931)/$L$932</f>
        <v>-0.3615226880513247</v>
      </c>
      <c r="N59">
        <f>+N56+M59</f>
        <v>-1.2494910403455441</v>
      </c>
    </row>
    <row r="60" spans="1:14">
      <c r="A60" s="8">
        <v>5</v>
      </c>
      <c r="B60" s="74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0.7577818793333333</v>
      </c>
    </row>
    <row r="61" spans="1:14">
      <c r="A61" s="8">
        <v>7</v>
      </c>
      <c r="B61" s="74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0.40954535949999998</v>
      </c>
    </row>
    <row r="62" spans="1:14">
      <c r="A62" s="8">
        <v>14</v>
      </c>
      <c r="B62" s="74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0.40239321016666663</v>
      </c>
      <c r="I62" s="27">
        <f>AVERAGE(F60:F62)</f>
        <v>3.0659266594178849</v>
      </c>
      <c r="J62" s="27">
        <f>AVERAGE(G60:G62)</f>
        <v>0.52324014966666665</v>
      </c>
      <c r="L62">
        <f>+J62/I62</f>
        <v>0.17066297005487149</v>
      </c>
      <c r="M62">
        <f>+(L62-$L$931)/$L$932</f>
        <v>5.0831282144269681</v>
      </c>
      <c r="N62">
        <f>+N59+M62</f>
        <v>3.8336371740814239</v>
      </c>
    </row>
    <row r="63" spans="1:14">
      <c r="A63" s="8">
        <v>5</v>
      </c>
      <c r="B63" s="74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6.7075853423333331</v>
      </c>
    </row>
    <row r="64" spans="1:14">
      <c r="A64" s="8">
        <v>7</v>
      </c>
      <c r="B64" s="74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0</v>
      </c>
    </row>
    <row r="65" spans="1:14">
      <c r="A65" s="8">
        <v>14</v>
      </c>
      <c r="B65" s="74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0</v>
      </c>
      <c r="I65" s="27">
        <f>AVERAGE(F63:F65)</f>
        <v>10.898804139979097</v>
      </c>
      <c r="J65" s="27">
        <f>AVERAGE(G63:G65)</f>
        <v>2.2358617807777779</v>
      </c>
      <c r="L65">
        <f>+J65/I65</f>
        <v>0.20514744113770872</v>
      </c>
      <c r="M65">
        <f>+(L65-$L$931)/$L$932</f>
        <v>6.1832843088760976</v>
      </c>
      <c r="N65">
        <f>+N62+M65</f>
        <v>10.016921482957521</v>
      </c>
    </row>
    <row r="66" spans="1:14">
      <c r="A66" s="8">
        <v>5</v>
      </c>
      <c r="B66" s="74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9.1410968444444449E-2</v>
      </c>
    </row>
    <row r="67" spans="1:14">
      <c r="A67" s="8">
        <v>7</v>
      </c>
      <c r="B67" s="74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4.0755845333333332E-2</v>
      </c>
    </row>
    <row r="68" spans="1:14">
      <c r="A68" s="8">
        <v>14</v>
      </c>
      <c r="B68" s="74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2.8033541666666665E-2</v>
      </c>
      <c r="I68" s="27">
        <f>AVERAGE(F66:F68)</f>
        <v>10.594569016466346</v>
      </c>
      <c r="J68" s="27">
        <f>AVERAGE(G66:G68)</f>
        <v>5.3400118481481483E-2</v>
      </c>
      <c r="L68">
        <f>+J68/I68</f>
        <v>5.0403294743264849E-3</v>
      </c>
      <c r="M68">
        <f>+(L68-$L$931)/$L$932</f>
        <v>-0.20072134718425658</v>
      </c>
      <c r="N68">
        <f>+N65+M68</f>
        <v>9.8162001357732649</v>
      </c>
    </row>
    <row r="69" spans="1:14">
      <c r="A69" s="8">
        <v>5</v>
      </c>
      <c r="B69" s="74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0.12124571199999998</v>
      </c>
    </row>
    <row r="70" spans="1:14">
      <c r="A70" s="8">
        <v>7</v>
      </c>
      <c r="B70" s="74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</v>
      </c>
    </row>
    <row r="71" spans="1:14">
      <c r="A71" s="8">
        <v>14</v>
      </c>
      <c r="B71" s="74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0</v>
      </c>
      <c r="I71" s="27">
        <f>AVERAGE(F69:F71)</f>
        <v>15.48252347424701</v>
      </c>
      <c r="J71" s="27">
        <f>AVERAGE(G69:G71)</f>
        <v>4.0415237333333326E-2</v>
      </c>
      <c r="L71">
        <f>+J71/I71</f>
        <v>2.6103779142049007E-3</v>
      </c>
      <c r="M71">
        <f>+(L71-$L$931)/$L$932</f>
        <v>-0.27824395182743566</v>
      </c>
      <c r="N71">
        <f>+N68+M71</f>
        <v>9.5379561839458287</v>
      </c>
    </row>
    <row r="72" spans="1:14">
      <c r="A72" s="8">
        <v>5</v>
      </c>
      <c r="B72" s="74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0</v>
      </c>
    </row>
    <row r="73" spans="1:14">
      <c r="A73" s="8">
        <v>7</v>
      </c>
      <c r="B73" s="74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0.15914653983333335</v>
      </c>
    </row>
    <row r="74" spans="1:14">
      <c r="A74" s="8">
        <v>14</v>
      </c>
      <c r="B74" s="74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0</v>
      </c>
      <c r="I74" s="27">
        <f>AVERAGE(F72:F74)</f>
        <v>13.583508259070472</v>
      </c>
      <c r="J74" s="27">
        <f>AVERAGE(G72:G74)</f>
        <v>5.3048846611111117E-2</v>
      </c>
      <c r="L74">
        <f>+J74/I74</f>
        <v>3.9053862668863488E-3</v>
      </c>
      <c r="M74">
        <f>+(L74-$L$931)/$L$932</f>
        <v>-0.23692937495187222</v>
      </c>
      <c r="N74">
        <f>+N71+M74</f>
        <v>9.3010268089939565</v>
      </c>
    </row>
    <row r="75" spans="1:14">
      <c r="A75" s="8">
        <v>5</v>
      </c>
      <c r="B75" s="74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7">
        <v>5.2162035954882384E-2</v>
      </c>
    </row>
    <row r="76" spans="1:14">
      <c r="A76" s="8">
        <v>7</v>
      </c>
      <c r="B76" s="74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7">
        <v>1.0841694102448514E-2</v>
      </c>
    </row>
    <row r="77" spans="1:14">
      <c r="A77" s="8">
        <v>14</v>
      </c>
      <c r="B77" s="74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7">
        <v>0</v>
      </c>
      <c r="I77" s="27">
        <f>AVERAGE(F75:F77)</f>
        <v>3.2429348428042473</v>
      </c>
      <c r="J77" s="27">
        <f>AVERAGE(G75:G77)</f>
        <v>2.1001243352443633E-2</v>
      </c>
      <c r="L77">
        <f>+J77/I77</f>
        <v>6.4759991706411623E-3</v>
      </c>
      <c r="M77">
        <f>+(L77-$L$931)/$L$932</f>
        <v>-0.15491925956567584</v>
      </c>
      <c r="N77">
        <f>+N74+M77</f>
        <v>9.1461075494282813</v>
      </c>
    </row>
    <row r="78" spans="1:14">
      <c r="A78" s="8">
        <v>5</v>
      </c>
      <c r="B78" s="74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7">
        <v>0</v>
      </c>
    </row>
    <row r="79" spans="1:14">
      <c r="A79" s="8">
        <v>7</v>
      </c>
      <c r="B79" s="74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7">
        <v>0</v>
      </c>
    </row>
    <row r="80" spans="1:14">
      <c r="A80" s="8">
        <v>14</v>
      </c>
      <c r="B80" s="74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7">
        <v>3.1414089644994023E-2</v>
      </c>
      <c r="I80" s="27">
        <f>AVERAGE(F78:F80)</f>
        <v>1.4252134868626225</v>
      </c>
      <c r="J80" s="27">
        <f>AVERAGE(G78:G80)</f>
        <v>1.0471363214998008E-2</v>
      </c>
      <c r="L80">
        <f>+J80/I80</f>
        <v>7.3472243362284091E-3</v>
      </c>
      <c r="M80">
        <f>+(L80-$L$931)/$L$932</f>
        <v>-0.12712461329559585</v>
      </c>
      <c r="N80">
        <f>+N77+M80</f>
        <v>9.0189829361326854</v>
      </c>
    </row>
    <row r="81" spans="1:14">
      <c r="A81" s="8">
        <v>5</v>
      </c>
      <c r="B81" s="74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7">
        <v>0</v>
      </c>
    </row>
    <row r="82" spans="1:14">
      <c r="A82" s="8">
        <v>7</v>
      </c>
      <c r="B82" s="74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7">
        <v>0</v>
      </c>
    </row>
    <row r="83" spans="1:14">
      <c r="A83" s="8">
        <v>14</v>
      </c>
      <c r="B83" s="74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7">
        <v>0</v>
      </c>
      <c r="I83" s="27">
        <f>AVERAGE(F81:F83)</f>
        <v>1.2741841929726074</v>
      </c>
      <c r="J83" s="27">
        <f>AVERAGE(G81:G83)</f>
        <v>0</v>
      </c>
      <c r="L83">
        <f>+J83/I83</f>
        <v>0</v>
      </c>
      <c r="M83">
        <f>+(L83-$L$931)/$L$932</f>
        <v>-0.3615226880513247</v>
      </c>
      <c r="N83">
        <f>+N80+M83</f>
        <v>8.6574602480813603</v>
      </c>
    </row>
    <row r="84" spans="1:14">
      <c r="A84" s="8">
        <v>5</v>
      </c>
      <c r="B84" s="74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7">
        <v>0</v>
      </c>
    </row>
    <row r="85" spans="1:14">
      <c r="A85" s="8">
        <v>7</v>
      </c>
      <c r="B85" s="74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7">
        <v>0</v>
      </c>
    </row>
    <row r="86" spans="1:14">
      <c r="A86" s="8">
        <v>14</v>
      </c>
      <c r="B86" s="74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7">
        <v>0</v>
      </c>
      <c r="I86" s="27">
        <f>AVERAGE(F84:F86)</f>
        <v>4.3185437010364005</v>
      </c>
      <c r="J86" s="27">
        <f>AVERAGE(G84:G86)</f>
        <v>0</v>
      </c>
      <c r="L86">
        <f>+J86/I86</f>
        <v>0</v>
      </c>
      <c r="M86">
        <f>+(L86-$L$931)/$L$932</f>
        <v>-0.3615226880513247</v>
      </c>
      <c r="N86">
        <f>+N83+M86</f>
        <v>8.2959375600300351</v>
      </c>
    </row>
    <row r="87" spans="1:14">
      <c r="A87" s="8">
        <v>5</v>
      </c>
      <c r="B87" s="74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7">
        <v>7.0347981373627327E-2</v>
      </c>
    </row>
    <row r="88" spans="1:14">
      <c r="A88" s="8">
        <v>7</v>
      </c>
      <c r="B88" s="74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7">
        <v>0</v>
      </c>
    </row>
    <row r="89" spans="1:14">
      <c r="A89" s="8">
        <v>14</v>
      </c>
      <c r="B89" s="74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7">
        <v>3.1080649864447717E-2</v>
      </c>
      <c r="I89" s="27">
        <f>AVERAGE(F87:F89)</f>
        <v>1.4375421806420461</v>
      </c>
      <c r="J89" s="27">
        <f>AVERAGE(G87:G89)</f>
        <v>3.3809543746025017E-2</v>
      </c>
      <c r="L89">
        <f>+J89/I89</f>
        <v>2.3518992486832448E-2</v>
      </c>
      <c r="M89">
        <f>+(L89-$L$931)/$L$932</f>
        <v>0.38880237442497589</v>
      </c>
      <c r="N89">
        <f>+N86+M89</f>
        <v>8.6847399344550116</v>
      </c>
    </row>
    <row r="90" spans="1:14">
      <c r="A90" s="8">
        <v>5</v>
      </c>
      <c r="B90" s="72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7">
        <v>6.833126298152771E-2</v>
      </c>
    </row>
    <row r="91" spans="1:14">
      <c r="A91" s="8">
        <v>7</v>
      </c>
      <c r="B91" s="72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7">
        <v>0</v>
      </c>
    </row>
    <row r="92" spans="1:14">
      <c r="A92" s="8">
        <v>14</v>
      </c>
      <c r="B92" s="72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7">
        <v>1.6903266309695301E-2</v>
      </c>
      <c r="I92" s="27">
        <f>AVERAGE(F90:F92)</f>
        <v>2.7736922436780582</v>
      </c>
      <c r="J92" s="27">
        <f>AVERAGE(G90:G92)</f>
        <v>2.8411509763741002E-2</v>
      </c>
      <c r="L92">
        <f>+J92/I92</f>
        <v>1.0243209147841825E-2</v>
      </c>
      <c r="M92">
        <f>+(L92-$L$931)/$L$932</f>
        <v>-3.4734176676305725E-2</v>
      </c>
      <c r="N92">
        <f>+N89+M92</f>
        <v>8.6500057577787057</v>
      </c>
    </row>
    <row r="93" spans="1:14">
      <c r="A93" s="8">
        <v>5</v>
      </c>
      <c r="B93" s="72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7">
        <v>0</v>
      </c>
    </row>
    <row r="94" spans="1:14">
      <c r="A94" s="8">
        <v>7</v>
      </c>
      <c r="B94" s="72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7">
        <v>0</v>
      </c>
    </row>
    <row r="95" spans="1:14">
      <c r="A95" s="8">
        <v>14</v>
      </c>
      <c r="B95" s="72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7">
        <v>0</v>
      </c>
      <c r="I95" s="27">
        <f>AVERAGE(F93:F95)</f>
        <v>2.0218744747941595</v>
      </c>
      <c r="J95" s="27">
        <f>AVERAGE(G93:G95)</f>
        <v>0</v>
      </c>
      <c r="L95">
        <f>+J95/I95</f>
        <v>0</v>
      </c>
      <c r="M95">
        <f>+(L95-$L$931)/$L$932</f>
        <v>-0.3615226880513247</v>
      </c>
      <c r="N95">
        <f>+N92+M95</f>
        <v>8.2884830697273806</v>
      </c>
    </row>
    <row r="96" spans="1:14">
      <c r="A96" s="8">
        <v>5</v>
      </c>
      <c r="B96" s="72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3">
        <v>0</v>
      </c>
    </row>
    <row r="97" spans="1:12">
      <c r="A97" s="8">
        <v>7</v>
      </c>
      <c r="B97" s="72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3">
        <v>2.7956321528156181E-2</v>
      </c>
    </row>
    <row r="98" spans="1:12">
      <c r="A98" s="8">
        <v>14</v>
      </c>
      <c r="B98" s="72">
        <v>37392</v>
      </c>
      <c r="C98" s="12">
        <v>2002</v>
      </c>
      <c r="D98" s="15" t="s">
        <v>22</v>
      </c>
      <c r="E98" s="12">
        <v>5</v>
      </c>
      <c r="F98" s="20" t="s">
        <v>28</v>
      </c>
      <c r="I98" s="27">
        <f>AVERAGE(F96:F98)</f>
        <v>2.9292003229186161</v>
      </c>
      <c r="J98" s="27">
        <f>AVERAGE(G96:G98)</f>
        <v>1.3978160764078091E-2</v>
      </c>
      <c r="L98">
        <f>+J98/I98</f>
        <v>4.7720057432434114E-3</v>
      </c>
    </row>
    <row r="99" spans="1:12">
      <c r="A99" s="8">
        <v>5</v>
      </c>
      <c r="B99" s="72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3">
        <v>6.845844967785621</v>
      </c>
    </row>
    <row r="100" spans="1:12">
      <c r="A100" s="8">
        <v>7</v>
      </c>
      <c r="B100" s="72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3">
        <v>4.5095003723220443E-2</v>
      </c>
    </row>
    <row r="101" spans="1:12">
      <c r="A101" s="8">
        <v>14</v>
      </c>
      <c r="B101" s="72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3">
        <v>4.0361815528345807E-2</v>
      </c>
      <c r="I101" s="27">
        <f>AVERAGE(F99:F101)</f>
        <v>14.514084952286561</v>
      </c>
      <c r="J101" s="27">
        <f>AVERAGE(G99:G101)</f>
        <v>2.3104339290123961</v>
      </c>
      <c r="L101">
        <f>+J101/I101</f>
        <v>0.15918564185118733</v>
      </c>
    </row>
    <row r="102" spans="1:12">
      <c r="A102" s="8">
        <v>5</v>
      </c>
      <c r="B102" s="72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3">
        <v>5.8342901489878862E-2</v>
      </c>
    </row>
    <row r="103" spans="1:12">
      <c r="A103" s="8">
        <v>7</v>
      </c>
      <c r="B103" s="72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3">
        <v>3.7194636779788973E-2</v>
      </c>
    </row>
    <row r="104" spans="1:12">
      <c r="A104" s="8">
        <v>14</v>
      </c>
      <c r="B104" s="72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3">
        <v>0</v>
      </c>
      <c r="I104" s="27">
        <f>AVERAGE(F102:F104)</f>
        <v>10.562959667291089</v>
      </c>
      <c r="J104" s="27">
        <f>AVERAGE(G102:G104)</f>
        <v>3.1845846089889281E-2</v>
      </c>
      <c r="L104">
        <f>+J104/I104</f>
        <v>3.0148601427024352E-3</v>
      </c>
    </row>
    <row r="105" spans="1:12">
      <c r="A105" s="8">
        <v>5</v>
      </c>
      <c r="B105" s="72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3">
        <v>0</v>
      </c>
    </row>
    <row r="106" spans="1:12">
      <c r="A106" s="8">
        <v>7</v>
      </c>
      <c r="B106" s="72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3">
        <v>7.39608194679576E-2</v>
      </c>
    </row>
    <row r="107" spans="1:12">
      <c r="A107" s="8">
        <v>14</v>
      </c>
      <c r="B107" s="72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3">
        <v>0</v>
      </c>
      <c r="I107" s="27">
        <f>AVERAGE(F105:F107)</f>
        <v>15.357615191776491</v>
      </c>
      <c r="J107" s="27">
        <f>AVERAGE(G105:G107)</f>
        <v>2.4653606489319201E-2</v>
      </c>
      <c r="L107">
        <f>+J107/I107</f>
        <v>1.6053017464925424E-3</v>
      </c>
    </row>
    <row r="108" spans="1:12">
      <c r="A108" s="8">
        <v>5</v>
      </c>
      <c r="B108" s="72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3">
        <v>0</v>
      </c>
    </row>
    <row r="109" spans="1:12">
      <c r="A109" s="8">
        <v>7</v>
      </c>
      <c r="B109" s="72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3">
        <v>2.8175768405430145E-2</v>
      </c>
    </row>
    <row r="110" spans="1:12">
      <c r="A110" s="8">
        <v>14</v>
      </c>
      <c r="B110" s="72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3">
        <v>0</v>
      </c>
      <c r="I110" s="27">
        <f>AVERAGE(F108:F110)</f>
        <v>7.4643510314456192</v>
      </c>
      <c r="J110" s="27">
        <f>AVERAGE(G108:G110)</f>
        <v>9.3919228018100476E-3</v>
      </c>
      <c r="L110">
        <f>+J110/I110</f>
        <v>1.2582370205050655E-3</v>
      </c>
    </row>
    <row r="111" spans="1:12">
      <c r="A111" s="8">
        <v>5</v>
      </c>
      <c r="B111" s="72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0</v>
      </c>
    </row>
    <row r="112" spans="1:12">
      <c r="A112" s="8">
        <v>7</v>
      </c>
      <c r="B112" s="72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0</v>
      </c>
    </row>
    <row r="113" spans="1:14">
      <c r="A113" s="8">
        <v>14</v>
      </c>
      <c r="B113" s="72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0</v>
      </c>
      <c r="I113" s="27">
        <f>AVERAGE(F111:F113)</f>
        <v>5.7309301240391948</v>
      </c>
      <c r="J113" s="27">
        <f>AVERAGE(G111:G113)</f>
        <v>0</v>
      </c>
      <c r="L113">
        <f>+J113/I113</f>
        <v>0</v>
      </c>
      <c r="M113">
        <f>+(L113-$L$931)/$L$932</f>
        <v>-0.3615226880513247</v>
      </c>
      <c r="N113">
        <f>+N95+M113</f>
        <v>7.9269603816760554</v>
      </c>
    </row>
    <row r="114" spans="1:14">
      <c r="A114" s="8">
        <v>5</v>
      </c>
      <c r="B114" s="72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</v>
      </c>
    </row>
    <row r="115" spans="1:14">
      <c r="A115" s="8">
        <v>7</v>
      </c>
      <c r="B115" s="72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0</v>
      </c>
    </row>
    <row r="116" spans="1:14">
      <c r="A116" s="8">
        <v>14</v>
      </c>
      <c r="B116" s="72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0</v>
      </c>
      <c r="I116" s="27">
        <f>AVERAGE(F114:F116)</f>
        <v>3.384427131883418</v>
      </c>
      <c r="J116" s="27">
        <f>AVERAGE(G114:G116)</f>
        <v>0</v>
      </c>
      <c r="L116">
        <f>+J116/I116</f>
        <v>0</v>
      </c>
      <c r="M116">
        <f>+(L116-$L$931)/$L$932</f>
        <v>-0.3615226880513247</v>
      </c>
      <c r="N116">
        <f>+N113+M116</f>
        <v>7.5654376936247303</v>
      </c>
    </row>
    <row r="117" spans="1:14">
      <c r="A117" s="8">
        <v>5</v>
      </c>
      <c r="B117" s="72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0</v>
      </c>
    </row>
    <row r="118" spans="1:14">
      <c r="A118" s="8">
        <v>7</v>
      </c>
      <c r="B118" s="72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0</v>
      </c>
    </row>
    <row r="119" spans="1:14">
      <c r="A119" s="8">
        <v>14</v>
      </c>
      <c r="B119" s="72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0</v>
      </c>
      <c r="I119" s="27">
        <f>AVERAGE(F117:F119)</f>
        <v>5.667312868329204</v>
      </c>
      <c r="J119" s="27">
        <f>AVERAGE(G117:G119)</f>
        <v>0</v>
      </c>
      <c r="L119">
        <f>+J119/I119</f>
        <v>0</v>
      </c>
      <c r="M119">
        <f>+(L119-$L$931)/$L$932</f>
        <v>-0.3615226880513247</v>
      </c>
      <c r="N119">
        <f>+N116+M119</f>
        <v>7.2039150055734051</v>
      </c>
    </row>
    <row r="120" spans="1:14">
      <c r="A120" s="8">
        <v>5</v>
      </c>
      <c r="B120" s="72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0</v>
      </c>
    </row>
    <row r="121" spans="1:14">
      <c r="A121" s="8">
        <v>7</v>
      </c>
      <c r="B121" s="72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0</v>
      </c>
    </row>
    <row r="122" spans="1:14">
      <c r="A122" s="8">
        <v>14</v>
      </c>
      <c r="B122" s="72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0</v>
      </c>
      <c r="I122" s="27">
        <f>AVERAGE(F120:F122)</f>
        <v>3.9687137332533777</v>
      </c>
      <c r="J122" s="27">
        <f>AVERAGE(G120:G122)</f>
        <v>0</v>
      </c>
      <c r="L122">
        <f>+J122/I122</f>
        <v>0</v>
      </c>
      <c r="M122">
        <f>+(L122-$L$931)/$L$932</f>
        <v>-0.3615226880513247</v>
      </c>
      <c r="N122">
        <f>+N119+M122</f>
        <v>6.84239231752208</v>
      </c>
    </row>
    <row r="123" spans="1:14">
      <c r="A123" s="8">
        <v>5</v>
      </c>
      <c r="B123" s="72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0</v>
      </c>
    </row>
    <row r="124" spans="1:14">
      <c r="A124" s="8">
        <v>7</v>
      </c>
      <c r="B124" s="72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0</v>
      </c>
    </row>
    <row r="125" spans="1:14">
      <c r="A125" s="8">
        <v>14</v>
      </c>
      <c r="B125" s="72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0</v>
      </c>
      <c r="I125" s="27">
        <f>AVERAGE(F123:F125)</f>
        <v>5.4307846297847933</v>
      </c>
      <c r="J125" s="27">
        <f>AVERAGE(G123:G125)</f>
        <v>0</v>
      </c>
      <c r="L125">
        <f>+J125/I125</f>
        <v>0</v>
      </c>
      <c r="M125">
        <f>+(L125-$L$931)/$L$932</f>
        <v>-0.3615226880513247</v>
      </c>
      <c r="N125">
        <f>+N122+M125</f>
        <v>6.4808696294707548</v>
      </c>
    </row>
    <row r="126" spans="1:14">
      <c r="A126" s="8">
        <v>5</v>
      </c>
      <c r="B126" s="72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0</v>
      </c>
    </row>
    <row r="127" spans="1:14">
      <c r="A127" s="8">
        <v>7</v>
      </c>
      <c r="B127" s="72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0</v>
      </c>
    </row>
    <row r="128" spans="1:14">
      <c r="A128" s="8">
        <v>14</v>
      </c>
      <c r="B128" s="72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2.9170831444885352E-2</v>
      </c>
      <c r="I128" s="27">
        <f>AVERAGE(F126:F128)</f>
        <v>6.6989562409248258</v>
      </c>
      <c r="J128" s="27">
        <f>AVERAGE(G126:G128)</f>
        <v>9.7236104816284512E-3</v>
      </c>
      <c r="L128">
        <f>+J128/I128</f>
        <v>1.4515112701028864E-3</v>
      </c>
      <c r="M128">
        <f>+(L128-$L$931)/$L$932</f>
        <v>-0.31521520761674576</v>
      </c>
      <c r="N128">
        <f>+N125+M128</f>
        <v>6.1656544218540095</v>
      </c>
    </row>
    <row r="129" spans="1:14">
      <c r="A129" s="8">
        <v>5</v>
      </c>
      <c r="B129" s="72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7.6099118214118744E-2</v>
      </c>
    </row>
    <row r="130" spans="1:14">
      <c r="A130" s="8">
        <v>7</v>
      </c>
      <c r="B130" s="72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0</v>
      </c>
    </row>
    <row r="131" spans="1:14">
      <c r="A131" s="8">
        <v>14</v>
      </c>
      <c r="B131" s="72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5.5433323391815413E-2</v>
      </c>
      <c r="I131" s="27">
        <f>AVERAGE(F129:F131)</f>
        <v>6.4711282129704406</v>
      </c>
      <c r="J131" s="27">
        <f>AVERAGE(G129:G131)</f>
        <v>4.3844147201978052E-2</v>
      </c>
      <c r="L131">
        <f>+J131/I131</f>
        <v>6.7753482482542692E-3</v>
      </c>
      <c r="M131">
        <f>+(L131-$L$931)/$L$932</f>
        <v>-0.14536914318683736</v>
      </c>
      <c r="N131">
        <f>+N128+M131</f>
        <v>6.0202852786671723</v>
      </c>
    </row>
    <row r="132" spans="1:14">
      <c r="A132" s="8">
        <v>5</v>
      </c>
      <c r="B132" s="72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0.74880994819766411</v>
      </c>
    </row>
    <row r="133" spans="1:14">
      <c r="A133" s="8">
        <v>7</v>
      </c>
      <c r="B133" s="72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0.81767243750311125</v>
      </c>
    </row>
    <row r="134" spans="1:14">
      <c r="A134" s="8">
        <v>14</v>
      </c>
      <c r="B134" s="72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0.25623796758308287</v>
      </c>
      <c r="I134" s="27">
        <f>AVERAGE(F132:F134)</f>
        <v>5.1183499738120117</v>
      </c>
      <c r="J134" s="27">
        <f>AVERAGE(G132:G134)</f>
        <v>0.60757345109461947</v>
      </c>
      <c r="L134">
        <f>+J134/I134</f>
        <v>0.11870494479730052</v>
      </c>
      <c r="M134">
        <f>+(L134-$L$931)/$L$932</f>
        <v>3.4255143277199225</v>
      </c>
      <c r="N134">
        <f>+N131+M134</f>
        <v>9.4457996063870944</v>
      </c>
    </row>
    <row r="135" spans="1:14">
      <c r="A135" s="8">
        <v>5</v>
      </c>
      <c r="B135" s="72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5.1255917759256571</v>
      </c>
    </row>
    <row r="136" spans="1:14">
      <c r="A136" s="8">
        <v>7</v>
      </c>
      <c r="B136" s="72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0</v>
      </c>
    </row>
    <row r="137" spans="1:14">
      <c r="A137" s="8">
        <v>14</v>
      </c>
      <c r="B137" s="72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0.30314748652062457</v>
      </c>
      <c r="I137" s="27">
        <f>AVERAGE(F135:F137)</f>
        <v>23.037631081699022</v>
      </c>
      <c r="J137" s="27">
        <f>AVERAGE(G135:G137)</f>
        <v>1.8095797541487606</v>
      </c>
      <c r="L137">
        <f>+J137/I137</f>
        <v>7.8548864148896003E-2</v>
      </c>
      <c r="M137">
        <f>+(L137-$L$931)/$L$932</f>
        <v>2.1444172000182831</v>
      </c>
      <c r="N137">
        <f>+N134+M137</f>
        <v>11.590216806405378</v>
      </c>
    </row>
    <row r="138" spans="1:14">
      <c r="A138" s="8">
        <v>5</v>
      </c>
      <c r="B138" s="72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0</v>
      </c>
    </row>
    <row r="139" spans="1:14">
      <c r="A139" s="8">
        <v>7</v>
      </c>
      <c r="B139" s="72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0</v>
      </c>
    </row>
    <row r="140" spans="1:14">
      <c r="A140" s="8">
        <v>14</v>
      </c>
      <c r="B140" s="72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0</v>
      </c>
      <c r="I140" s="27">
        <f>AVERAGE(F138:F140)</f>
        <v>15.104275980879535</v>
      </c>
      <c r="J140" s="27">
        <f>AVERAGE(G138:G140)</f>
        <v>0</v>
      </c>
      <c r="L140">
        <f>+J140/I140</f>
        <v>0</v>
      </c>
      <c r="M140">
        <f>+(L140-$L$931)/$L$932</f>
        <v>-0.3615226880513247</v>
      </c>
      <c r="N140">
        <f>+N137+M140</f>
        <v>11.228694118354053</v>
      </c>
    </row>
    <row r="141" spans="1:14">
      <c r="A141" s="8">
        <v>5</v>
      </c>
      <c r="B141" s="72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0</v>
      </c>
    </row>
    <row r="142" spans="1:14">
      <c r="A142" s="8">
        <v>7</v>
      </c>
      <c r="B142" s="72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6.4802535626351701E-2</v>
      </c>
    </row>
    <row r="143" spans="1:14">
      <c r="A143" s="8">
        <v>14</v>
      </c>
      <c r="B143" s="72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0</v>
      </c>
      <c r="I143" s="27">
        <f>AVERAGE(F141:F143)</f>
        <v>8.2407798408794353</v>
      </c>
      <c r="J143" s="27">
        <f>AVERAGE(G141:G143)</f>
        <v>2.16008452087839E-2</v>
      </c>
      <c r="L143">
        <f>+J143/I143</f>
        <v>2.6212137232000986E-3</v>
      </c>
      <c r="M143">
        <f>+(L143-$L$931)/$L$932</f>
        <v>-0.27789825763726766</v>
      </c>
      <c r="N143">
        <f>+N140+M143</f>
        <v>10.950795860716784</v>
      </c>
    </row>
    <row r="144" spans="1:14">
      <c r="A144" s="8">
        <v>5</v>
      </c>
      <c r="B144" s="72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0</v>
      </c>
    </row>
    <row r="145" spans="1:14">
      <c r="A145" s="8">
        <v>7</v>
      </c>
      <c r="B145" s="72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4.2509117471454798E-2</v>
      </c>
    </row>
    <row r="146" spans="1:14">
      <c r="A146" s="8">
        <v>14</v>
      </c>
      <c r="B146" s="72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0</v>
      </c>
      <c r="I146" s="27">
        <f>AVERAGE(F144:F146)</f>
        <v>11.241516703460741</v>
      </c>
      <c r="J146" s="27">
        <f>AVERAGE(G144:G146)</f>
        <v>1.4169705823818267E-2</v>
      </c>
      <c r="L146">
        <f>+J146/I146</f>
        <v>1.2604798976508279E-3</v>
      </c>
      <c r="M146">
        <f>+(L146-$L$931)/$L$932</f>
        <v>-0.32130967048756276</v>
      </c>
      <c r="N146">
        <f>+N143+M146</f>
        <v>10.629486190229221</v>
      </c>
    </row>
    <row r="147" spans="1:14">
      <c r="A147" s="8">
        <v>5</v>
      </c>
      <c r="B147" s="72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0</v>
      </c>
    </row>
    <row r="148" spans="1:14">
      <c r="A148" s="8">
        <v>7</v>
      </c>
      <c r="B148" s="72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0</v>
      </c>
    </row>
    <row r="149" spans="1:14">
      <c r="A149" s="8">
        <v>14</v>
      </c>
      <c r="B149" s="72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0</v>
      </c>
      <c r="I149" s="27">
        <f>AVERAGE(F147:F149)</f>
        <v>3.4937</v>
      </c>
      <c r="J149" s="27">
        <f>AVERAGE(G147:G149)</f>
        <v>0</v>
      </c>
      <c r="L149">
        <f>+J149/I149</f>
        <v>0</v>
      </c>
      <c r="M149">
        <f>+(L149-$L$931)/$L$932</f>
        <v>-0.3615226880513247</v>
      </c>
      <c r="N149">
        <f>+N146+M149</f>
        <v>10.267963502177896</v>
      </c>
    </row>
    <row r="150" spans="1:14">
      <c r="A150" s="8">
        <v>5</v>
      </c>
      <c r="B150" s="72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0</v>
      </c>
    </row>
    <row r="151" spans="1:14">
      <c r="A151" s="8">
        <v>7</v>
      </c>
      <c r="B151" s="72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0</v>
      </c>
    </row>
    <row r="152" spans="1:14">
      <c r="A152" s="8">
        <v>14</v>
      </c>
      <c r="B152" s="72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0</v>
      </c>
      <c r="I152" s="27">
        <f>AVERAGE(F150:F152)</f>
        <v>2.3850000000000002</v>
      </c>
      <c r="J152" s="27">
        <f>AVERAGE(G150:G152)</f>
        <v>0</v>
      </c>
      <c r="L152">
        <f>+J152/I152</f>
        <v>0</v>
      </c>
      <c r="M152">
        <f>+(L152-$L$931)/$L$932</f>
        <v>-0.3615226880513247</v>
      </c>
      <c r="N152">
        <f>+N149+M152</f>
        <v>9.9064408141265705</v>
      </c>
    </row>
    <row r="153" spans="1:14">
      <c r="A153" s="8">
        <v>5</v>
      </c>
      <c r="B153" s="72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0</v>
      </c>
    </row>
    <row r="154" spans="1:14">
      <c r="A154" s="8">
        <v>7</v>
      </c>
      <c r="B154" s="72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0</v>
      </c>
    </row>
    <row r="155" spans="1:14">
      <c r="A155" s="8">
        <v>14</v>
      </c>
      <c r="B155" s="72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0</v>
      </c>
      <c r="I155" s="27">
        <f>AVERAGE(F153:F155)</f>
        <v>3.4090000000000003</v>
      </c>
      <c r="J155" s="27">
        <f>AVERAGE(G153:G155)</f>
        <v>0</v>
      </c>
      <c r="L155">
        <f>+J155/I155</f>
        <v>0</v>
      </c>
      <c r="M155">
        <f>+(L155-$L$931)/$L$932</f>
        <v>-0.3615226880513247</v>
      </c>
      <c r="N155">
        <f>+N152+M155</f>
        <v>9.5449181260752454</v>
      </c>
    </row>
    <row r="156" spans="1:14">
      <c r="A156" s="8">
        <v>5</v>
      </c>
      <c r="B156" s="72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0</v>
      </c>
    </row>
    <row r="157" spans="1:14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14</v>
      </c>
      <c r="C158" s="12">
        <v>2004</v>
      </c>
      <c r="D158" s="15" t="s">
        <v>18</v>
      </c>
      <c r="E158" s="12">
        <v>1</v>
      </c>
      <c r="F158" s="13"/>
      <c r="I158" s="27">
        <f>AVERAGE(F156:F158)</f>
        <v>8.5737000000000005</v>
      </c>
      <c r="J158" s="27">
        <f>AVERAGE(G156:G158)</f>
        <v>0</v>
      </c>
      <c r="L158">
        <f>+J158/I158</f>
        <v>0</v>
      </c>
      <c r="M158">
        <f>+(L158-$L$931)/$L$932</f>
        <v>-0.3615226880513247</v>
      </c>
      <c r="N158">
        <f>+N155+M158</f>
        <v>9.1833954380239202</v>
      </c>
    </row>
    <row r="159" spans="1:14">
      <c r="A159" s="8">
        <v>5</v>
      </c>
      <c r="B159" s="72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0</v>
      </c>
    </row>
    <row r="160" spans="1:14">
      <c r="A160" s="8">
        <v>7</v>
      </c>
      <c r="B160" s="72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0</v>
      </c>
    </row>
    <row r="161" spans="1:14">
      <c r="A161" s="8">
        <v>14</v>
      </c>
      <c r="B161" s="72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0</v>
      </c>
      <c r="I161" s="27">
        <f>AVERAGE(F159:F161)</f>
        <v>6.1598666666666659</v>
      </c>
      <c r="J161" s="27">
        <f>AVERAGE(G159:G161)</f>
        <v>0</v>
      </c>
      <c r="L161">
        <f>+J161/I161</f>
        <v>0</v>
      </c>
      <c r="M161">
        <f>+(L161-$L$931)/$L$932</f>
        <v>-0.3615226880513247</v>
      </c>
      <c r="N161">
        <f>+N158+M161</f>
        <v>8.8218727499725951</v>
      </c>
    </row>
    <row r="162" spans="1:14">
      <c r="A162" s="8">
        <v>5</v>
      </c>
      <c r="B162" s="72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0</v>
      </c>
    </row>
    <row r="163" spans="1:14">
      <c r="A163" s="8">
        <v>7</v>
      </c>
      <c r="B163" s="72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0</v>
      </c>
    </row>
    <row r="164" spans="1:14">
      <c r="A164" s="8">
        <v>14</v>
      </c>
      <c r="B164" s="72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0</v>
      </c>
      <c r="I164" s="27">
        <f>AVERAGE(F162:F164)</f>
        <v>7.6201999999999996</v>
      </c>
      <c r="J164" s="27">
        <f>AVERAGE(G162:G164)</f>
        <v>0</v>
      </c>
      <c r="L164">
        <f>+J164/I164</f>
        <v>0</v>
      </c>
      <c r="M164">
        <f>+(L164-$L$931)/$L$932</f>
        <v>-0.3615226880513247</v>
      </c>
      <c r="N164">
        <f>+N161+M164</f>
        <v>8.4603500619212699</v>
      </c>
    </row>
    <row r="165" spans="1:14">
      <c r="A165" s="8">
        <v>5</v>
      </c>
      <c r="B165" s="72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0</v>
      </c>
    </row>
    <row r="166" spans="1:14">
      <c r="A166" s="8">
        <v>7</v>
      </c>
      <c r="B166" s="72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0</v>
      </c>
    </row>
    <row r="167" spans="1:14">
      <c r="A167" s="8">
        <v>14</v>
      </c>
      <c r="B167" s="72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0</v>
      </c>
      <c r="I167" s="27">
        <f>AVERAGE(F165:F167)</f>
        <v>1.7581333333333333</v>
      </c>
      <c r="J167" s="27">
        <f>AVERAGE(G165:G167)</f>
        <v>0</v>
      </c>
      <c r="L167">
        <f>+J167/I167</f>
        <v>0</v>
      </c>
      <c r="M167">
        <f>+(L167-$L$931)/$L$932</f>
        <v>-0.3615226880513247</v>
      </c>
      <c r="N167">
        <f>+N164+M167</f>
        <v>8.0988273738699448</v>
      </c>
    </row>
    <row r="168" spans="1:14">
      <c r="A168" s="8">
        <v>5</v>
      </c>
      <c r="B168" s="72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0.21968112606794668</v>
      </c>
    </row>
    <row r="169" spans="1:14">
      <c r="A169" s="8">
        <v>7</v>
      </c>
      <c r="B169" s="72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0</v>
      </c>
    </row>
    <row r="170" spans="1:14">
      <c r="A170" s="8">
        <v>14</v>
      </c>
      <c r="B170" s="72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0.15013009494741217</v>
      </c>
      <c r="I170" s="27">
        <f>AVERAGE(F168:F170)</f>
        <v>4.7757000000000005</v>
      </c>
      <c r="J170" s="27">
        <f>AVERAGE(G168:G170)</f>
        <v>0.12327040700511961</v>
      </c>
      <c r="L170">
        <f>+J170/I170</f>
        <v>2.5812008083656763E-2</v>
      </c>
      <c r="M170">
        <f>+(L170-$L$931)/$L$932</f>
        <v>0.46195631891939226</v>
      </c>
      <c r="N170">
        <f>+N167+M170</f>
        <v>8.5607836927893377</v>
      </c>
    </row>
    <row r="171" spans="1:14">
      <c r="A171" s="8">
        <v>5</v>
      </c>
      <c r="B171" s="72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2.215528999315771</v>
      </c>
    </row>
    <row r="172" spans="1:14">
      <c r="A172" s="8">
        <v>7</v>
      </c>
      <c r="B172" s="72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5.3197136681675382E-2</v>
      </c>
    </row>
    <row r="173" spans="1:14">
      <c r="A173" s="8">
        <v>14</v>
      </c>
      <c r="B173" s="72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0.74916018198416046</v>
      </c>
      <c r="I173" s="27">
        <f>AVERAGE(F171:F173)</f>
        <v>15.7821</v>
      </c>
      <c r="J173" s="27">
        <f>AVERAGE(G171:G173)</f>
        <v>1.0059621059938688</v>
      </c>
      <c r="L173">
        <f>+J173/I173</f>
        <v>6.3740700286645552E-2</v>
      </c>
      <c r="M173">
        <f>+(L173-$L$931)/$L$932</f>
        <v>1.6719932013574967</v>
      </c>
      <c r="N173">
        <f>+N170+M173</f>
        <v>10.232776894146834</v>
      </c>
    </row>
    <row r="174" spans="1:14">
      <c r="A174" s="8">
        <v>5</v>
      </c>
      <c r="B174" s="72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0</v>
      </c>
    </row>
    <row r="175" spans="1:14">
      <c r="A175" s="8">
        <v>7</v>
      </c>
      <c r="B175" s="72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0</v>
      </c>
    </row>
    <row r="176" spans="1:14">
      <c r="A176" s="8">
        <v>14</v>
      </c>
      <c r="B176" s="72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0</v>
      </c>
      <c r="I176" s="27">
        <f>AVERAGE(F174:F176)</f>
        <v>15.866500000000002</v>
      </c>
      <c r="J176" s="27">
        <f>AVERAGE(G174:G176)</f>
        <v>0</v>
      </c>
      <c r="L176">
        <f>+J176/I176</f>
        <v>0</v>
      </c>
      <c r="M176">
        <f>+(L176-$L$931)/$L$932</f>
        <v>-0.3615226880513247</v>
      </c>
      <c r="N176">
        <f>+N173+M176</f>
        <v>9.8712542060955091</v>
      </c>
    </row>
    <row r="177" spans="1:14">
      <c r="A177" s="8">
        <v>5</v>
      </c>
      <c r="B177" s="72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0</v>
      </c>
    </row>
    <row r="178" spans="1:14">
      <c r="A178" s="8">
        <v>7</v>
      </c>
      <c r="B178" s="72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0</v>
      </c>
    </row>
    <row r="179" spans="1:14">
      <c r="A179" s="8">
        <v>14</v>
      </c>
      <c r="B179" s="72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I179" s="27">
        <f>AVERAGE(F177:F179)</f>
        <v>25.913566666666668</v>
      </c>
      <c r="J179" s="27">
        <f>AVERAGE(G177:G179)</f>
        <v>0</v>
      </c>
      <c r="L179">
        <f>+J179/I179</f>
        <v>0</v>
      </c>
      <c r="M179">
        <f>+(L179-$L$931)/$L$932</f>
        <v>-0.3615226880513247</v>
      </c>
      <c r="N179">
        <f>+N176+M179</f>
        <v>9.5097315180441839</v>
      </c>
    </row>
    <row r="180" spans="1:14">
      <c r="A180" s="8">
        <v>5</v>
      </c>
      <c r="B180" s="72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0</v>
      </c>
    </row>
    <row r="181" spans="1:14">
      <c r="A181" s="8">
        <v>7</v>
      </c>
      <c r="B181" s="72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0</v>
      </c>
    </row>
    <row r="182" spans="1:14">
      <c r="A182" s="8">
        <v>14</v>
      </c>
      <c r="B182" s="72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0</v>
      </c>
      <c r="I182" s="27">
        <f>AVERAGE(F180:F182)</f>
        <v>13.428733333333334</v>
      </c>
      <c r="J182" s="27">
        <f>AVERAGE(G180:G182)</f>
        <v>0</v>
      </c>
      <c r="L182">
        <f>+J182/I182</f>
        <v>0</v>
      </c>
      <c r="M182">
        <f>+(L182-$L$931)/$L$932</f>
        <v>-0.3615226880513247</v>
      </c>
      <c r="N182">
        <f>+N179+M182</f>
        <v>9.1482088299928588</v>
      </c>
    </row>
    <row r="183" spans="1:14">
      <c r="A183" s="8">
        <v>5</v>
      </c>
      <c r="B183" s="72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0</v>
      </c>
    </row>
    <row r="184" spans="1:14">
      <c r="A184" s="8">
        <v>7</v>
      </c>
      <c r="B184" s="72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0</v>
      </c>
    </row>
    <row r="185" spans="1:14">
      <c r="A185" s="8">
        <v>14</v>
      </c>
      <c r="B185" s="72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0</v>
      </c>
      <c r="I185" s="27">
        <f>AVERAGE(F183:F185)</f>
        <v>3.1029</v>
      </c>
      <c r="J185" s="27">
        <f>AVERAGE(G183:G185)</f>
        <v>0</v>
      </c>
      <c r="L185">
        <f>+J185/I185</f>
        <v>0</v>
      </c>
      <c r="M185">
        <f>+(L185-$L$931)/$L$932</f>
        <v>-0.3615226880513247</v>
      </c>
      <c r="N185">
        <f>+N182+M185</f>
        <v>8.7866861419415336</v>
      </c>
    </row>
    <row r="186" spans="1:14">
      <c r="A186" s="8">
        <v>5</v>
      </c>
      <c r="B186" s="72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0</v>
      </c>
    </row>
    <row r="187" spans="1:14">
      <c r="A187" s="8">
        <v>7</v>
      </c>
      <c r="B187" s="72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0</v>
      </c>
    </row>
    <row r="188" spans="1:14">
      <c r="A188" s="8">
        <v>14</v>
      </c>
      <c r="B188" s="72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0</v>
      </c>
      <c r="I188" s="27">
        <f>AVERAGE(F186:F188)</f>
        <v>2.0789166666666667</v>
      </c>
      <c r="J188" s="27">
        <f>AVERAGE(G186:G188)</f>
        <v>0</v>
      </c>
      <c r="L188">
        <f>+J188/I188</f>
        <v>0</v>
      </c>
      <c r="M188">
        <f>+(L188-$L$931)/$L$932</f>
        <v>-0.3615226880513247</v>
      </c>
      <c r="N188">
        <f>+N185+M188</f>
        <v>8.4251634538902085</v>
      </c>
    </row>
    <row r="189" spans="1:14">
      <c r="A189" s="8">
        <v>5</v>
      </c>
      <c r="B189" s="72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0</v>
      </c>
    </row>
    <row r="190" spans="1:14">
      <c r="A190" s="8">
        <v>7</v>
      </c>
      <c r="B190" s="72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0</v>
      </c>
    </row>
    <row r="191" spans="1:14">
      <c r="A191" s="8">
        <v>14</v>
      </c>
      <c r="B191" s="72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0</v>
      </c>
      <c r="I191" s="27">
        <f>AVERAGE(F189:F191)</f>
        <v>1.9878833333333334</v>
      </c>
      <c r="J191" s="27">
        <f>AVERAGE(G189:G191)</f>
        <v>0</v>
      </c>
      <c r="L191">
        <f>+J191/I191</f>
        <v>0</v>
      </c>
      <c r="M191">
        <f>+(L191-$L$931)/$L$932</f>
        <v>-0.3615226880513247</v>
      </c>
      <c r="N191">
        <f>+N188+M191</f>
        <v>8.0636407658388833</v>
      </c>
    </row>
    <row r="192" spans="1:14">
      <c r="A192" s="8">
        <v>5</v>
      </c>
      <c r="B192" s="75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3.5255080617288201E-2</v>
      </c>
    </row>
    <row r="193" spans="1:14">
      <c r="A193" s="8">
        <v>7</v>
      </c>
      <c r="B193" s="75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0</v>
      </c>
    </row>
    <row r="194" spans="1:14">
      <c r="A194" s="8">
        <v>14</v>
      </c>
      <c r="B194" s="75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0</v>
      </c>
      <c r="I194" s="27">
        <f>AVERAGE(F192:F194)</f>
        <v>4.2194533333333331</v>
      </c>
      <c r="J194" s="27">
        <f>AVERAGE(G192:G194)</f>
        <v>1.1751693539096067E-2</v>
      </c>
      <c r="L194">
        <f>+J194/I194</f>
        <v>2.7851222920890388E-3</v>
      </c>
      <c r="M194">
        <f>+(L194-$L$931)/$L$932</f>
        <v>-0.27266909200609318</v>
      </c>
      <c r="N194">
        <f>+N191+M194</f>
        <v>7.7909716738327903</v>
      </c>
    </row>
    <row r="195" spans="1:14">
      <c r="A195" s="8">
        <v>5</v>
      </c>
      <c r="B195" s="75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0</v>
      </c>
    </row>
    <row r="196" spans="1:14">
      <c r="A196" s="8">
        <v>7</v>
      </c>
      <c r="B196" s="75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0</v>
      </c>
    </row>
    <row r="197" spans="1:14">
      <c r="A197" s="8">
        <v>14</v>
      </c>
      <c r="B197" s="75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0</v>
      </c>
      <c r="I197" s="27">
        <f>AVERAGE(F195:F197)</f>
        <v>4.8213766666666666</v>
      </c>
      <c r="J197" s="27">
        <f>AVERAGE(G195:G197)</f>
        <v>0</v>
      </c>
      <c r="L197">
        <f>+J197/I197</f>
        <v>0</v>
      </c>
      <c r="M197">
        <f>+(L197-$L$931)/$L$932</f>
        <v>-0.3615226880513247</v>
      </c>
      <c r="N197">
        <f>+N194+M197</f>
        <v>7.4294489857814661</v>
      </c>
    </row>
    <row r="198" spans="1:14">
      <c r="A198" s="8">
        <v>5</v>
      </c>
      <c r="B198" s="75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0</v>
      </c>
    </row>
    <row r="199" spans="1:14">
      <c r="A199" s="8">
        <v>7</v>
      </c>
      <c r="B199" s="75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0</v>
      </c>
    </row>
    <row r="200" spans="1:14">
      <c r="A200" s="8">
        <v>14</v>
      </c>
      <c r="B200" s="75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0</v>
      </c>
      <c r="I200" s="27">
        <f>AVERAGE(F198:F200)</f>
        <v>1.9800333333333333</v>
      </c>
      <c r="J200" s="27">
        <f>AVERAGE(G198:G200)</f>
        <v>0</v>
      </c>
      <c r="L200">
        <f>+J200/I200</f>
        <v>0</v>
      </c>
      <c r="M200">
        <f>+(L200-$L$931)/$L$932</f>
        <v>-0.3615226880513247</v>
      </c>
      <c r="N200">
        <f>+N197+M200</f>
        <v>7.0679262977301409</v>
      </c>
    </row>
    <row r="201" spans="1:14">
      <c r="A201" s="8">
        <v>5</v>
      </c>
      <c r="B201" s="75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3.5810545584977753E-2</v>
      </c>
    </row>
    <row r="202" spans="1:14">
      <c r="A202" s="8">
        <v>7</v>
      </c>
      <c r="B202" s="75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8.0829281226623223E-2</v>
      </c>
    </row>
    <row r="203" spans="1:14">
      <c r="A203" s="8">
        <v>14</v>
      </c>
      <c r="B203" s="75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0.13277586248071774</v>
      </c>
      <c r="I203" s="27">
        <f>AVERAGE(F201:F203)</f>
        <v>3.1268766666666665</v>
      </c>
      <c r="J203" s="27">
        <f>AVERAGE(G201:G203)</f>
        <v>8.3138563097439569E-2</v>
      </c>
      <c r="L203">
        <f>+J203/I203</f>
        <v>2.6588372986922917E-2</v>
      </c>
      <c r="M203">
        <f>+(L203-$L$931)/$L$932</f>
        <v>0.48672464370514668</v>
      </c>
      <c r="N203">
        <f>+N200+M203</f>
        <v>7.5546509414352876</v>
      </c>
    </row>
    <row r="204" spans="1:14">
      <c r="A204" s="8">
        <v>5</v>
      </c>
      <c r="B204" s="75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0.99381743638759046</v>
      </c>
    </row>
    <row r="205" spans="1:14">
      <c r="A205" s="8">
        <v>7</v>
      </c>
      <c r="B205" s="75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0</v>
      </c>
    </row>
    <row r="206" spans="1:14">
      <c r="A206" s="8">
        <v>14</v>
      </c>
      <c r="B206" s="75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0</v>
      </c>
      <c r="I206" s="27">
        <f>AVERAGE(F204:F206)</f>
        <v>3.7244799999999998</v>
      </c>
      <c r="J206" s="27">
        <f>AVERAGE(G204:G206)</f>
        <v>0.33127247879586347</v>
      </c>
      <c r="L206">
        <f>+J206/I206</f>
        <v>8.8944625503657823E-2</v>
      </c>
      <c r="M206">
        <f>+(L206-$L$931)/$L$932</f>
        <v>2.4760725756627737</v>
      </c>
      <c r="N206">
        <f>+N203+M206</f>
        <v>10.03072351709806</v>
      </c>
    </row>
    <row r="207" spans="1:14">
      <c r="A207" s="8">
        <v>5</v>
      </c>
      <c r="B207" s="75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0.27179668834843757</v>
      </c>
    </row>
    <row r="208" spans="1:14">
      <c r="A208" s="8">
        <v>7</v>
      </c>
      <c r="B208" s="75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</v>
      </c>
    </row>
    <row r="209" spans="1:14">
      <c r="A209" s="8">
        <v>14</v>
      </c>
      <c r="B209" s="75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0</v>
      </c>
      <c r="I209" s="27">
        <f>AVERAGE(F207:F209)</f>
        <v>8.6896233333333335</v>
      </c>
      <c r="J209" s="27">
        <f>AVERAGE(G207:G209)</f>
        <v>9.0598896116145855E-2</v>
      </c>
      <c r="L209">
        <f>+J209/I209</f>
        <v>1.0426101643394499E-2</v>
      </c>
      <c r="M209">
        <f>+(L209-$L$931)/$L$932</f>
        <v>-2.8899367926363023E-2</v>
      </c>
      <c r="N209">
        <f>+N206+M209</f>
        <v>10.001824149171698</v>
      </c>
    </row>
    <row r="210" spans="1:14">
      <c r="A210" s="8">
        <v>5</v>
      </c>
      <c r="B210" s="75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5.0667282399810928E-2</v>
      </c>
    </row>
    <row r="211" spans="1:14">
      <c r="A211" s="8">
        <v>7</v>
      </c>
      <c r="B211" s="75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0.13855613727435218</v>
      </c>
    </row>
    <row r="212" spans="1:14">
      <c r="A212" s="8">
        <v>14</v>
      </c>
      <c r="B212" s="75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0</v>
      </c>
      <c r="I212" s="27">
        <f>AVERAGE(F210:F212)</f>
        <v>12.620293333333331</v>
      </c>
      <c r="J212" s="27">
        <f>AVERAGE(G210:G212)</f>
        <v>6.3074473224721039E-2</v>
      </c>
      <c r="L212">
        <f>+J212/I212</f>
        <v>4.9978611081983081E-3</v>
      </c>
      <c r="M212">
        <f>+(L212-$L$931)/$L$932</f>
        <v>-0.20207621302241827</v>
      </c>
      <c r="N212">
        <f>+N209+M212</f>
        <v>9.7997479361492807</v>
      </c>
    </row>
    <row r="213" spans="1:14">
      <c r="A213" s="8">
        <v>5</v>
      </c>
      <c r="B213" s="75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0</v>
      </c>
    </row>
    <row r="214" spans="1:14">
      <c r="A214" s="8">
        <v>7</v>
      </c>
      <c r="B214" s="75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0</v>
      </c>
    </row>
    <row r="215" spans="1:14">
      <c r="A215" s="8">
        <v>14</v>
      </c>
      <c r="B215" s="75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0</v>
      </c>
      <c r="I215" s="27">
        <f>AVERAGE(F213:F215)</f>
        <v>31.520896666666669</v>
      </c>
      <c r="J215" s="27">
        <f>AVERAGE(G213:G215)</f>
        <v>0</v>
      </c>
      <c r="L215">
        <f>+J215/I215</f>
        <v>0</v>
      </c>
      <c r="M215">
        <f>+(L215-$L$931)/$L$932</f>
        <v>-0.3615226880513247</v>
      </c>
      <c r="N215">
        <f>+N212+M215</f>
        <v>9.4382252480979556</v>
      </c>
    </row>
    <row r="216" spans="1:14">
      <c r="A216" s="8">
        <v>5</v>
      </c>
      <c r="B216" s="75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0</v>
      </c>
    </row>
    <row r="217" spans="1:14">
      <c r="A217" s="8">
        <v>7</v>
      </c>
      <c r="B217" s="75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0</v>
      </c>
    </row>
    <row r="218" spans="1:14">
      <c r="A218" s="8">
        <v>14</v>
      </c>
      <c r="B218" s="75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0</v>
      </c>
      <c r="I218" s="27">
        <f>AVERAGE(F216:F218)</f>
        <v>21.641296666666666</v>
      </c>
      <c r="J218" s="27">
        <f>AVERAGE(G216:G218)</f>
        <v>0</v>
      </c>
      <c r="L218">
        <f>+J218/I218</f>
        <v>0</v>
      </c>
      <c r="M218">
        <f>+(L218-$L$931)/$L$932</f>
        <v>-0.3615226880513247</v>
      </c>
      <c r="N218">
        <f>+N215+M218</f>
        <v>9.0767025600466305</v>
      </c>
    </row>
    <row r="219" spans="1:14">
      <c r="A219" s="8">
        <v>5</v>
      </c>
      <c r="B219" s="75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1E-4</v>
      </c>
    </row>
    <row r="220" spans="1:14">
      <c r="A220" s="8">
        <v>7</v>
      </c>
      <c r="B220" s="75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1E-4</v>
      </c>
    </row>
    <row r="221" spans="1:14">
      <c r="A221" s="8">
        <v>14</v>
      </c>
      <c r="B221" s="75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1E-4</v>
      </c>
      <c r="I221" s="27">
        <f>AVERAGE(F219:F221)</f>
        <v>7.2339000000000011</v>
      </c>
      <c r="J221" s="27">
        <f>AVERAGE(G219:G221)</f>
        <v>1E-4</v>
      </c>
      <c r="L221">
        <f>+J221/I221</f>
        <v>1.3823801821977078E-5</v>
      </c>
      <c r="M221">
        <f>+(L221-$L$931)/$L$932</f>
        <v>-0.3610816680981298</v>
      </c>
      <c r="N221">
        <f>+N218+M221</f>
        <v>8.7156208919485003</v>
      </c>
    </row>
    <row r="222" spans="1:14">
      <c r="A222" s="8">
        <v>5</v>
      </c>
      <c r="B222" s="75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1E-4</v>
      </c>
    </row>
    <row r="223" spans="1:14">
      <c r="A223" s="8">
        <v>7</v>
      </c>
      <c r="B223" s="75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0.11409999999999999</v>
      </c>
    </row>
    <row r="224" spans="1:14">
      <c r="A224" s="8">
        <v>14</v>
      </c>
      <c r="B224" s="75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7.8399999999999997E-2</v>
      </c>
      <c r="I224" s="27">
        <f>AVERAGE(F222:F224)</f>
        <v>3.3963000000000001</v>
      </c>
      <c r="J224" s="27">
        <f>AVERAGE(G222:G224)</f>
        <v>6.4199999999999993E-2</v>
      </c>
      <c r="L224">
        <f>+J224/I224</f>
        <v>1.8902923769984981E-2</v>
      </c>
      <c r="M224">
        <f>+(L224-$L$931)/$L$932</f>
        <v>0.2415362000638672</v>
      </c>
      <c r="N224">
        <f>+N221+M224</f>
        <v>8.957157092012368</v>
      </c>
    </row>
    <row r="225" spans="1:14">
      <c r="A225" s="8">
        <v>5</v>
      </c>
      <c r="B225" s="75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1E-4</v>
      </c>
    </row>
    <row r="226" spans="1:14">
      <c r="A226" s="8">
        <v>7</v>
      </c>
      <c r="B226" s="75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1E-4</v>
      </c>
    </row>
    <row r="227" spans="1:14">
      <c r="A227" s="8">
        <v>14</v>
      </c>
      <c r="B227" s="75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1E-4</v>
      </c>
      <c r="I227" s="27">
        <f>AVERAGE(F225:F227)</f>
        <v>2.668133333333333</v>
      </c>
      <c r="J227" s="27">
        <f>AVERAGE(G225:G227)</f>
        <v>1E-4</v>
      </c>
      <c r="L227">
        <f>+J227/I227</f>
        <v>3.7479386337514373E-5</v>
      </c>
      <c r="M227">
        <f>+(L227-$L$931)/$L$932</f>
        <v>-0.3603269853480302</v>
      </c>
      <c r="N227">
        <f>+N224+M227</f>
        <v>8.5968301066643384</v>
      </c>
    </row>
    <row r="228" spans="1:14">
      <c r="A228" s="12">
        <v>5</v>
      </c>
      <c r="B228" s="75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1E-4</v>
      </c>
    </row>
    <row r="229" spans="1:14">
      <c r="A229" s="12">
        <v>7</v>
      </c>
      <c r="B229" s="75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1E-4</v>
      </c>
    </row>
    <row r="230" spans="1:14">
      <c r="A230" s="12">
        <v>14</v>
      </c>
      <c r="B230" s="75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1E-4</v>
      </c>
      <c r="I230" s="27">
        <f>AVERAGE(F228:F230)</f>
        <v>3.5735000000000006</v>
      </c>
      <c r="J230" s="27">
        <f>AVERAGE(G228:G230)</f>
        <v>1E-4</v>
      </c>
      <c r="L230">
        <f>+J230/I230</f>
        <v>2.7983769413740029E-5</v>
      </c>
      <c r="M230">
        <f>+(L230-$L$931)/$L$932</f>
        <v>-0.36062992346774647</v>
      </c>
      <c r="N230">
        <f>+N227+M230</f>
        <v>8.2362001831965923</v>
      </c>
    </row>
    <row r="231" spans="1:14">
      <c r="A231" s="12">
        <v>5</v>
      </c>
      <c r="B231" s="75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7.0699999999999999E-2</v>
      </c>
    </row>
    <row r="232" spans="1:14">
      <c r="A232" s="12">
        <v>7</v>
      </c>
      <c r="B232" s="75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2.75E-2</v>
      </c>
    </row>
    <row r="233" spans="1:14">
      <c r="A233" s="12">
        <v>14</v>
      </c>
      <c r="B233" s="75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4.2999999999999997E-2</v>
      </c>
      <c r="I233" s="27">
        <f>AVERAGE(F231:F233)</f>
        <v>5.3810000000000002</v>
      </c>
      <c r="J233" s="27">
        <f>AVERAGE(G231:G233)</f>
        <v>4.7066666666666666E-2</v>
      </c>
      <c r="L233">
        <f>+J233/I233</f>
        <v>8.7468252493340757E-3</v>
      </c>
      <c r="M233">
        <f>+(L233-$L$931)/$L$932</f>
        <v>-8.2473225989959958E-2</v>
      </c>
      <c r="N233">
        <f>+N230+M233</f>
        <v>8.1537269572066329</v>
      </c>
    </row>
    <row r="234" spans="1:14">
      <c r="A234" s="12">
        <v>5</v>
      </c>
      <c r="B234" s="75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7.8299999999999995E-2</v>
      </c>
    </row>
    <row r="235" spans="1:14">
      <c r="A235" s="12">
        <v>7</v>
      </c>
      <c r="B235" s="75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2.0199999999999999E-2</v>
      </c>
    </row>
    <row r="236" spans="1:14">
      <c r="A236" s="12">
        <v>14</v>
      </c>
      <c r="B236" s="75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5.1299999999999998E-2</v>
      </c>
      <c r="I236" s="27">
        <f>AVERAGE(F234:F236)</f>
        <v>2.0474000000000001</v>
      </c>
      <c r="J236" s="27">
        <f>AVERAGE(G234:G236)</f>
        <v>4.993333333333333E-2</v>
      </c>
      <c r="L236">
        <f>+J236/I236</f>
        <v>2.4388655530591642E-2</v>
      </c>
      <c r="M236">
        <f>+(L236-$L$931)/$L$932</f>
        <v>0.41654718441236283</v>
      </c>
      <c r="N236">
        <f>+N233+M236</f>
        <v>8.5702741416189951</v>
      </c>
    </row>
    <row r="237" spans="1:14">
      <c r="A237" s="12">
        <v>5</v>
      </c>
      <c r="B237" s="74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0.34320000000000001</v>
      </c>
    </row>
    <row r="238" spans="1:14">
      <c r="A238" s="12">
        <v>7</v>
      </c>
      <c r="B238" s="74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2.81E-2</v>
      </c>
    </row>
    <row r="239" spans="1:14">
      <c r="A239" s="12">
        <v>14</v>
      </c>
      <c r="B239" s="74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1E-4</v>
      </c>
      <c r="I239" s="27">
        <f>AVERAGE(F237:F239)</f>
        <v>3.9091</v>
      </c>
      <c r="J239" s="27">
        <f>AVERAGE(G237:G239)</f>
        <v>0.12380000000000001</v>
      </c>
      <c r="L239">
        <f>+J239/I239</f>
        <v>3.1669693791409791E-2</v>
      </c>
      <c r="M239">
        <f>+(L239-$L$931)/$L$932</f>
        <v>0.64883372861698196</v>
      </c>
      <c r="N239">
        <f>+N236+M239</f>
        <v>9.2191078702359768</v>
      </c>
    </row>
    <row r="240" spans="1:14">
      <c r="A240" s="12">
        <v>5</v>
      </c>
      <c r="B240" s="74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0.71540000000000004</v>
      </c>
    </row>
    <row r="241" spans="1:14">
      <c r="A241" s="12">
        <v>7</v>
      </c>
      <c r="B241" s="74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0.65800000000000003</v>
      </c>
    </row>
    <row r="242" spans="1:14">
      <c r="A242" s="12">
        <v>14</v>
      </c>
      <c r="B242" s="74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0.49399999999999999</v>
      </c>
      <c r="I242" s="27">
        <f>AVERAGE(F240:F242)</f>
        <v>9.1555666666666671</v>
      </c>
      <c r="J242" s="27">
        <f>AVERAGE(G240:G242)</f>
        <v>0.62246666666666672</v>
      </c>
      <c r="L242">
        <f>+J242/I242</f>
        <v>6.7987781568226255E-2</v>
      </c>
      <c r="M242">
        <f>+(L242-$L$931)/$L$932</f>
        <v>1.8074875908271177</v>
      </c>
      <c r="N242">
        <f>+N239+M242</f>
        <v>11.026595461063094</v>
      </c>
    </row>
    <row r="243" spans="1:14">
      <c r="A243" s="12">
        <v>5</v>
      </c>
      <c r="B243" s="74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1.7673000000000001</v>
      </c>
    </row>
    <row r="244" spans="1:14">
      <c r="A244" s="12">
        <v>7</v>
      </c>
      <c r="B244" s="74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2.0459999999999998</v>
      </c>
    </row>
    <row r="245" spans="1:14">
      <c r="A245" s="12">
        <v>14</v>
      </c>
      <c r="B245" s="74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1.6073</v>
      </c>
      <c r="I245" s="27">
        <f>AVERAGE(F243:F245)</f>
        <v>18.530133333333335</v>
      </c>
      <c r="J245" s="27">
        <f>AVERAGE(G243:G245)</f>
        <v>1.8068666666666668</v>
      </c>
      <c r="L245">
        <f>+J245/I245</f>
        <v>9.7509641952567352E-2</v>
      </c>
      <c r="M245">
        <f>+(L245-$L$931)/$L$932</f>
        <v>2.7493218020374415</v>
      </c>
      <c r="N245">
        <f>+N242+M245</f>
        <v>13.775917263100535</v>
      </c>
    </row>
    <row r="246" spans="1:14">
      <c r="A246" s="12">
        <v>5</v>
      </c>
      <c r="B246" s="74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1E-4</v>
      </c>
    </row>
    <row r="247" spans="1:14">
      <c r="A247" s="12">
        <v>7</v>
      </c>
      <c r="B247" s="74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1E-4</v>
      </c>
    </row>
    <row r="248" spans="1:14">
      <c r="A248" s="12">
        <v>14</v>
      </c>
      <c r="B248" s="74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1E-4</v>
      </c>
      <c r="I248" s="27">
        <f>AVERAGE(F246:F248)</f>
        <v>18.311699999999998</v>
      </c>
      <c r="J248" s="27">
        <f>AVERAGE(G246:G248)</f>
        <v>1E-4</v>
      </c>
      <c r="L248">
        <f>+J248/I248</f>
        <v>5.46098942206349E-6</v>
      </c>
      <c r="M248">
        <f>+(L248-$L$931)/$L$932</f>
        <v>-0.36134846642037743</v>
      </c>
      <c r="N248">
        <f>+N245+M248</f>
        <v>13.414568796680157</v>
      </c>
    </row>
    <row r="249" spans="1:14">
      <c r="A249" s="12">
        <v>5</v>
      </c>
      <c r="B249" s="74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1E-4</v>
      </c>
    </row>
    <row r="250" spans="1:14">
      <c r="A250" s="12">
        <v>7</v>
      </c>
      <c r="B250" s="74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1E-4</v>
      </c>
    </row>
    <row r="251" spans="1:14">
      <c r="A251" s="12">
        <v>14</v>
      </c>
      <c r="B251" s="74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1E-4</v>
      </c>
      <c r="I251" s="27">
        <f>AVERAGE(F249:F251)</f>
        <v>22.757333333333335</v>
      </c>
      <c r="J251" s="27">
        <f>AVERAGE(G249:G251)</f>
        <v>1E-4</v>
      </c>
      <c r="L251">
        <f>+J251/I251</f>
        <v>4.3941879540660884E-6</v>
      </c>
      <c r="M251">
        <f>+(L251-$L$931)/$L$932</f>
        <v>-0.36138250052615695</v>
      </c>
      <c r="N251">
        <f>+N248+M251</f>
        <v>13.053186296154001</v>
      </c>
    </row>
    <row r="252" spans="1:14">
      <c r="A252" s="12">
        <v>5</v>
      </c>
      <c r="B252" s="74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1E-4</v>
      </c>
    </row>
    <row r="253" spans="1:14">
      <c r="A253" s="12">
        <v>7</v>
      </c>
      <c r="B253" s="74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1E-4</v>
      </c>
    </row>
    <row r="254" spans="1:14">
      <c r="A254" s="12">
        <v>14</v>
      </c>
      <c r="B254" s="74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1E-4</v>
      </c>
      <c r="I254" s="27">
        <f>AVERAGE(F252:F254)</f>
        <v>19.939600000000002</v>
      </c>
      <c r="J254" s="27">
        <f>AVERAGE(G252:G254)</f>
        <v>1E-4</v>
      </c>
      <c r="L254">
        <f>+J254/I254</f>
        <v>5.0151457401352076E-6</v>
      </c>
      <c r="M254">
        <f>+(L254-$L$931)/$L$932</f>
        <v>-0.36136269014567879</v>
      </c>
      <c r="N254">
        <f>+N251+M254</f>
        <v>12.691823606008322</v>
      </c>
    </row>
    <row r="255" spans="1:14">
      <c r="A255" s="12">
        <v>5</v>
      </c>
      <c r="B255" s="74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9.9989999999999996E-4</v>
      </c>
    </row>
    <row r="256" spans="1:14">
      <c r="A256" s="12">
        <v>7</v>
      </c>
      <c r="B256" s="74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9.9989999999999996E-4</v>
      </c>
    </row>
    <row r="257" spans="1:14">
      <c r="A257" s="12">
        <v>14</v>
      </c>
      <c r="B257" s="74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9.9989999999999996E-4</v>
      </c>
      <c r="I257" s="27">
        <f>AVERAGE(F255:F257)</f>
        <v>5.996666666666667</v>
      </c>
      <c r="J257" s="27">
        <f>AVERAGE(G255:G257)</f>
        <v>9.9989999999999996E-4</v>
      </c>
      <c r="L257">
        <f>+J257/I257</f>
        <v>1.6674263479710949E-4</v>
      </c>
      <c r="M257">
        <f>+(L257-$L$931)/$L$932</f>
        <v>-0.35620310737874061</v>
      </c>
      <c r="N257">
        <f>+N254+M257</f>
        <v>12.335620498629581</v>
      </c>
    </row>
    <row r="258" spans="1:14">
      <c r="A258" s="12">
        <v>5</v>
      </c>
      <c r="B258" s="74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0.40899999999999997</v>
      </c>
    </row>
    <row r="259" spans="1:14">
      <c r="A259" s="12">
        <v>7</v>
      </c>
      <c r="B259" s="74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9.9989999999999996E-4</v>
      </c>
    </row>
    <row r="260" spans="1:14">
      <c r="A260" s="12">
        <v>14</v>
      </c>
      <c r="B260" s="74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9.9989999999999996E-4</v>
      </c>
      <c r="I260" s="27">
        <f>AVERAGE(F258:F260)</f>
        <v>5.6020000000000003</v>
      </c>
      <c r="J260" s="27">
        <f>AVERAGE(G258:G260)</f>
        <v>0.13699993333333332</v>
      </c>
      <c r="L260">
        <f>+J260/I260</f>
        <v>2.4455539688206591E-2</v>
      </c>
      <c r="M260">
        <f>+(L260-$L$931)/$L$932</f>
        <v>0.41868098583983504</v>
      </c>
      <c r="N260">
        <f>+N257+M260</f>
        <v>12.754301484469416</v>
      </c>
    </row>
    <row r="261" spans="1:14">
      <c r="A261" s="12">
        <v>5</v>
      </c>
      <c r="B261" s="75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0.61799999999999999</v>
      </c>
    </row>
    <row r="262" spans="1:14">
      <c r="A262" s="12">
        <v>7</v>
      </c>
      <c r="B262" s="75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9.9989999999999996E-4</v>
      </c>
    </row>
    <row r="263" spans="1:14">
      <c r="A263" s="12">
        <v>14</v>
      </c>
      <c r="B263" s="75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9.9989999999999996E-4</v>
      </c>
      <c r="I263" s="27">
        <f>AVERAGE(F261:F263)</f>
        <v>6.4036666666666671</v>
      </c>
      <c r="J263" s="27">
        <f>AVERAGE(G261:G263)</f>
        <v>0.20666660000000003</v>
      </c>
      <c r="L263">
        <f>+J263/I263</f>
        <v>3.2273166415074703E-2</v>
      </c>
      <c r="M263">
        <f>+(L263-$L$931)/$L$932</f>
        <v>0.66808628096622147</v>
      </c>
      <c r="N263">
        <f>+N260+M263</f>
        <v>13.422387765435637</v>
      </c>
    </row>
    <row r="264" spans="1:14">
      <c r="A264" s="15">
        <v>5</v>
      </c>
      <c r="B264" s="75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8.1000000000000003E-2</v>
      </c>
    </row>
    <row r="265" spans="1:14">
      <c r="A265" s="15">
        <v>7</v>
      </c>
      <c r="B265" s="75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9.9989999999999996E-4</v>
      </c>
    </row>
    <row r="266" spans="1:14">
      <c r="A266" s="15">
        <v>14</v>
      </c>
      <c r="B266" s="75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9.9989999999999996E-4</v>
      </c>
      <c r="I266" s="27">
        <f>AVERAGE(F264:F266)</f>
        <v>4.6513333333333335</v>
      </c>
      <c r="J266" s="27">
        <f>AVERAGE(G264:G266)</f>
        <v>2.76666E-2</v>
      </c>
      <c r="L266">
        <f>+J266/I266</f>
        <v>5.9481009029668909E-3</v>
      </c>
      <c r="M266">
        <f>+(L266-$L$931)/$L$932</f>
        <v>-0.17176076758926953</v>
      </c>
      <c r="N266">
        <f>+N263+M266</f>
        <v>13.250626997846368</v>
      </c>
    </row>
    <row r="267" spans="1:14">
      <c r="A267" s="15">
        <v>5</v>
      </c>
      <c r="B267" s="75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3.9E-2</v>
      </c>
    </row>
    <row r="268" spans="1:14">
      <c r="A268" s="15">
        <v>7</v>
      </c>
      <c r="B268" s="75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9.9989999999999996E-4</v>
      </c>
    </row>
    <row r="269" spans="1:14">
      <c r="A269" s="15">
        <v>14</v>
      </c>
      <c r="B269" s="75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3.5999999999999997E-2</v>
      </c>
      <c r="I269" s="27">
        <f>AVERAGE(F267:F269)</f>
        <v>6.5593333333333321</v>
      </c>
      <c r="J269" s="27">
        <f>AVERAGE(G267:G269)</f>
        <v>2.53333E-2</v>
      </c>
      <c r="L269">
        <f>+J269/I269</f>
        <v>3.8621760341498125E-3</v>
      </c>
      <c r="M269">
        <f>+(L269-$L$931)/$L$932</f>
        <v>-0.23830790851770456</v>
      </c>
      <c r="N269">
        <f>+N266+M269</f>
        <v>13.012319089328663</v>
      </c>
    </row>
    <row r="270" spans="1:14">
      <c r="A270" s="15">
        <v>5</v>
      </c>
      <c r="B270" s="75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5.8999999999999997E-2</v>
      </c>
    </row>
    <row r="271" spans="1:14">
      <c r="A271" s="15">
        <v>7</v>
      </c>
      <c r="B271" s="75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3.7999999999999999E-2</v>
      </c>
    </row>
    <row r="272" spans="1:14">
      <c r="A272" s="15">
        <v>14</v>
      </c>
      <c r="B272" s="75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6.9000000000000006E-2</v>
      </c>
      <c r="I272" s="27">
        <f>AVERAGE(F270:F272)</f>
        <v>2.6906666666666665</v>
      </c>
      <c r="J272" s="27">
        <f>AVERAGE(G270:G272)</f>
        <v>5.5333333333333339E-2</v>
      </c>
      <c r="L272">
        <f>+J272/I272</f>
        <v>2.0564915758176414E-2</v>
      </c>
      <c r="M272">
        <f>+(L272-$L$931)/$L$932</f>
        <v>0.29455863472270827</v>
      </c>
      <c r="N272">
        <f>+N269+M272</f>
        <v>13.306877724051372</v>
      </c>
    </row>
    <row r="273" spans="1:14">
      <c r="A273" s="15">
        <v>5</v>
      </c>
      <c r="B273" s="75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3.7999999999999999E-2</v>
      </c>
    </row>
    <row r="274" spans="1:14">
      <c r="A274" s="15">
        <v>7</v>
      </c>
      <c r="B274" s="75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9.9989999999999996E-4</v>
      </c>
    </row>
    <row r="275" spans="1:14">
      <c r="A275" s="15">
        <v>14</v>
      </c>
      <c r="B275" s="75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9.9989999999999996E-4</v>
      </c>
      <c r="I275" s="27">
        <f>AVERAGE(F273:F275)</f>
        <v>3.5393333333333334</v>
      </c>
      <c r="J275" s="27">
        <f>AVERAGE(G273:G275)</f>
        <v>1.3333266666666664E-2</v>
      </c>
      <c r="L275">
        <f>+J275/I275</f>
        <v>3.767168958372574E-3</v>
      </c>
      <c r="M275">
        <f>+(L275-$L$931)/$L$932</f>
        <v>-0.24133891378326422</v>
      </c>
      <c r="N275">
        <f>+N272+M275</f>
        <v>13.065538810268107</v>
      </c>
    </row>
    <row r="276" spans="1:14">
      <c r="A276" s="15">
        <v>5</v>
      </c>
      <c r="B276" s="75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2.1469999999999998</v>
      </c>
    </row>
    <row r="277" spans="1:14">
      <c r="A277" s="15">
        <v>7</v>
      </c>
      <c r="B277" s="75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1.7090000000000001</v>
      </c>
    </row>
    <row r="278" spans="1:14">
      <c r="A278" s="15">
        <v>14</v>
      </c>
      <c r="B278" s="75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1.768</v>
      </c>
      <c r="I278" s="27">
        <f>AVERAGE(F276:F278)</f>
        <v>11.448666666666666</v>
      </c>
      <c r="J278" s="27">
        <f>AVERAGE(G276:G278)</f>
        <v>1.8746666666666665</v>
      </c>
      <c r="L278">
        <f>+J278/I278</f>
        <v>0.163745414313166</v>
      </c>
      <c r="M278">
        <f>+(L278-$L$931)/$L$932</f>
        <v>4.8624378320908868</v>
      </c>
      <c r="N278">
        <f>+N275+M278</f>
        <v>17.927976642358992</v>
      </c>
    </row>
    <row r="279" spans="1:14">
      <c r="A279" s="15">
        <v>5</v>
      </c>
      <c r="B279" s="75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8.7569999999999997</v>
      </c>
    </row>
    <row r="280" spans="1:14">
      <c r="A280" s="15">
        <v>7</v>
      </c>
      <c r="B280" s="75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1.327</v>
      </c>
    </row>
    <row r="281" spans="1:14">
      <c r="A281" s="15">
        <v>14</v>
      </c>
      <c r="B281" s="75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5.7919999999999998</v>
      </c>
      <c r="I281" s="27">
        <f>AVERAGE(F279:F281)</f>
        <v>31.111666666666668</v>
      </c>
      <c r="J281" s="27">
        <f>AVERAGE(G279:G281)</f>
        <v>5.2919999999999998</v>
      </c>
      <c r="L281">
        <f>+J281/I281</f>
        <v>0.17009696255424009</v>
      </c>
      <c r="M281">
        <f>+(L281-$L$931)/$L$932</f>
        <v>5.0650709097396565</v>
      </c>
      <c r="N281">
        <f>+N278+M281</f>
        <v>22.993047552098648</v>
      </c>
    </row>
    <row r="282" spans="1:14">
      <c r="A282" s="15">
        <v>5</v>
      </c>
      <c r="B282" s="75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9.9989999999999996E-4</v>
      </c>
    </row>
    <row r="283" spans="1:14">
      <c r="A283" s="15">
        <v>7</v>
      </c>
      <c r="B283" s="75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4.8000000000000001E-2</v>
      </c>
    </row>
    <row r="284" spans="1:14">
      <c r="A284" s="15">
        <v>14</v>
      </c>
      <c r="B284" s="75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9.9989999999999996E-4</v>
      </c>
      <c r="I284" s="27">
        <f>AVERAGE(F282:F284)</f>
        <v>17.929000000000002</v>
      </c>
      <c r="J284" s="27">
        <f>AVERAGE(G282:G284)</f>
        <v>1.66666E-2</v>
      </c>
      <c r="L284">
        <f>+J284/I284</f>
        <v>9.2958893412906454E-4</v>
      </c>
      <c r="M284">
        <f>+(L284-$L$931)/$L$932</f>
        <v>-0.33186606583554856</v>
      </c>
      <c r="N284">
        <f>+N281+M284</f>
        <v>22.6611814862631</v>
      </c>
    </row>
    <row r="285" spans="1:14">
      <c r="A285" s="15">
        <v>5</v>
      </c>
      <c r="B285" s="75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9.9989999999999996E-4</v>
      </c>
    </row>
    <row r="286" spans="1:14">
      <c r="A286" s="15">
        <v>7</v>
      </c>
      <c r="B286" s="75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9.9989999999999996E-4</v>
      </c>
    </row>
    <row r="287" spans="1:14">
      <c r="A287" s="15">
        <v>14</v>
      </c>
      <c r="B287" s="75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9.9989999999999996E-4</v>
      </c>
      <c r="I287" s="27">
        <f>AVERAGE(F285:F287)</f>
        <v>20.196666666666669</v>
      </c>
      <c r="J287" s="27">
        <f>AVERAGE(G285:G287)</f>
        <v>9.9989999999999996E-4</v>
      </c>
      <c r="L287">
        <f>+J287/I287</f>
        <v>4.9508169664961206E-5</v>
      </c>
      <c r="M287">
        <f>+(L287-$L$931)/$L$932</f>
        <v>-0.35994323176646276</v>
      </c>
      <c r="N287">
        <f>+N284+M287</f>
        <v>22.301238254496639</v>
      </c>
    </row>
    <row r="288" spans="1:14">
      <c r="A288" s="15">
        <v>5</v>
      </c>
      <c r="B288" s="75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4.5999999999999999E-2</v>
      </c>
    </row>
    <row r="289" spans="1:14">
      <c r="A289" s="15">
        <v>7</v>
      </c>
      <c r="B289" s="75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3.5999999999999997E-2</v>
      </c>
    </row>
    <row r="290" spans="1:14">
      <c r="A290" s="15">
        <v>14</v>
      </c>
      <c r="B290" s="75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9.9989999999999996E-4</v>
      </c>
      <c r="I290" s="27">
        <f>AVERAGE(F288:F290)</f>
        <v>21.102999999999998</v>
      </c>
      <c r="J290" s="27">
        <f>AVERAGE(G288:G290)</f>
        <v>2.7666633333333329E-2</v>
      </c>
      <c r="L290">
        <f>+J290/I290</f>
        <v>1.3110284477720387E-3</v>
      </c>
      <c r="M290">
        <f>+(L290-$L$931)/$L$932</f>
        <v>-0.31969702300493702</v>
      </c>
      <c r="N290">
        <f>+N287+M290</f>
        <v>21.9815412314917</v>
      </c>
    </row>
    <row r="291" spans="1:14">
      <c r="A291" s="15">
        <v>5</v>
      </c>
      <c r="B291" s="75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9.9989999999999996E-4</v>
      </c>
    </row>
    <row r="292" spans="1:14">
      <c r="A292" s="15">
        <v>7</v>
      </c>
      <c r="B292" s="75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9.9989999999999996E-4</v>
      </c>
    </row>
    <row r="293" spans="1:14">
      <c r="A293" s="15">
        <v>14</v>
      </c>
      <c r="B293" s="75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9.9989999999999996E-4</v>
      </c>
      <c r="I293" s="27">
        <f>AVERAGE(F291:F293)</f>
        <v>4.5990000000000002</v>
      </c>
      <c r="J293" s="27">
        <f>AVERAGE(G291:G293)</f>
        <v>9.9989999999999996E-4</v>
      </c>
      <c r="L293">
        <f>+J293/I293</f>
        <v>2.1741682974559686E-4</v>
      </c>
      <c r="M293">
        <f>+(L293-$L$931)/$L$932</f>
        <v>-0.3545864514564282</v>
      </c>
      <c r="N293">
        <f>+N290+M293</f>
        <v>21.626954780035273</v>
      </c>
    </row>
    <row r="294" spans="1:14">
      <c r="A294" s="15">
        <v>5</v>
      </c>
      <c r="B294" s="75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1.2E-2</v>
      </c>
    </row>
    <row r="295" spans="1:14">
      <c r="A295" s="15">
        <v>7</v>
      </c>
      <c r="B295" s="75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9.9989999999999996E-4</v>
      </c>
    </row>
    <row r="296" spans="1:14">
      <c r="A296" s="15">
        <v>14</v>
      </c>
      <c r="B296" s="75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9.9989999999999996E-4</v>
      </c>
      <c r="I296" s="27">
        <f>AVERAGE(F294:F296)</f>
        <v>3.9233333333333333</v>
      </c>
      <c r="J296" s="27">
        <f>AVERAGE(G294:G296)</f>
        <v>4.6665999999999999E-3</v>
      </c>
      <c r="L296">
        <f>+J296/I296</f>
        <v>1.1894477485131691E-3</v>
      </c>
      <c r="M296">
        <f>+(L296-$L$931)/$L$932</f>
        <v>-0.32357580504963546</v>
      </c>
      <c r="N296">
        <f>+N293+M296</f>
        <v>21.303378974985637</v>
      </c>
    </row>
    <row r="297" spans="1:14">
      <c r="A297" s="15">
        <v>5</v>
      </c>
      <c r="B297" s="75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9.9989999999999996E-4</v>
      </c>
    </row>
    <row r="298" spans="1:14">
      <c r="A298" s="15">
        <v>7</v>
      </c>
      <c r="B298" s="75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9.9989999999999996E-4</v>
      </c>
    </row>
    <row r="299" spans="1:14">
      <c r="A299" s="15">
        <v>14</v>
      </c>
      <c r="B299" s="75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9.9989999999999996E-4</v>
      </c>
      <c r="I299" s="27">
        <f>AVERAGE(F297:F299)</f>
        <v>2.4013333333333331</v>
      </c>
      <c r="J299" s="27">
        <f>AVERAGE(G297:G299)</f>
        <v>9.9989999999999996E-4</v>
      </c>
      <c r="L299">
        <f>+J299/I299</f>
        <v>4.1639367018323154E-4</v>
      </c>
      <c r="M299">
        <f>+(L299-$L$931)/$L$932</f>
        <v>-0.34823850477817264</v>
      </c>
      <c r="N299">
        <f>+N296+M299</f>
        <v>20.955140470207464</v>
      </c>
    </row>
    <row r="300" spans="1:14">
      <c r="A300" s="15">
        <v>5</v>
      </c>
      <c r="B300" s="75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1.7999999999999999E-2</v>
      </c>
    </row>
    <row r="301" spans="1:14">
      <c r="A301" s="15">
        <v>7</v>
      </c>
      <c r="B301" s="75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9.9989999999999996E-4</v>
      </c>
    </row>
    <row r="302" spans="1:14">
      <c r="A302" s="15">
        <v>14</v>
      </c>
      <c r="B302" s="75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9.9989999999999996E-4</v>
      </c>
      <c r="I302" s="27">
        <f>AVERAGE(F300:F302)</f>
        <v>2.5076666666666667</v>
      </c>
      <c r="J302" s="27">
        <f>AVERAGE(G300:G302)</f>
        <v>6.6666000000000008E-3</v>
      </c>
      <c r="L302">
        <f>+J302/I302</f>
        <v>2.6584873055961718E-3</v>
      </c>
      <c r="M302">
        <f>+(L302-$L$931)/$L$932</f>
        <v>-0.27670912068526143</v>
      </c>
      <c r="N302">
        <f>+N299+M302</f>
        <v>20.678431349522203</v>
      </c>
    </row>
    <row r="303" spans="1:14">
      <c r="A303" s="15">
        <v>5</v>
      </c>
      <c r="B303" s="75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6.5000000000000002E-2</v>
      </c>
    </row>
    <row r="304" spans="1:14">
      <c r="A304" s="15">
        <v>7</v>
      </c>
      <c r="B304" s="75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9.9989999999999996E-4</v>
      </c>
    </row>
    <row r="305" spans="1:14">
      <c r="A305" s="15">
        <v>14</v>
      </c>
      <c r="B305" s="75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9.9989999999999996E-4</v>
      </c>
      <c r="I305" s="27">
        <f>AVERAGE(F303:F305)</f>
        <v>2.734666666666667</v>
      </c>
      <c r="J305" s="27">
        <f>AVERAGE(G303:G305)</f>
        <v>2.2333266666666667E-2</v>
      </c>
      <c r="L305">
        <f>+J305/I305</f>
        <v>8.166723549488053E-3</v>
      </c>
      <c r="M305">
        <f>+(L305-$L$931)/$L$932</f>
        <v>-0.10098017710290692</v>
      </c>
      <c r="N305">
        <f>+N302+M305</f>
        <v>20.577451172419295</v>
      </c>
    </row>
    <row r="306" spans="1:14">
      <c r="A306" s="15">
        <v>5</v>
      </c>
      <c r="B306" s="75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9.9989999999999996E-4</v>
      </c>
    </row>
    <row r="307" spans="1:14">
      <c r="A307" s="15">
        <v>7</v>
      </c>
      <c r="B307" s="75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9.9989999999999996E-4</v>
      </c>
    </row>
    <row r="308" spans="1:14">
      <c r="A308" s="15">
        <v>14</v>
      </c>
      <c r="B308" s="75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9.9989999999999996E-4</v>
      </c>
      <c r="I308" s="27">
        <f>AVERAGE(F306:F308)</f>
        <v>1.9829999999999999</v>
      </c>
      <c r="J308" s="27">
        <f>AVERAGE(G306:G308)</f>
        <v>9.9989999999999996E-4</v>
      </c>
      <c r="L308">
        <f>+J308/I308</f>
        <v>5.0423600605143727E-4</v>
      </c>
      <c r="M308">
        <f>+(L308-$L$931)/$L$932</f>
        <v>-0.34543607579720004</v>
      </c>
      <c r="N308">
        <f>+N305+M308</f>
        <v>20.232015096622096</v>
      </c>
    </row>
    <row r="309" spans="1:14">
      <c r="A309" s="15">
        <v>5</v>
      </c>
      <c r="B309" s="75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0.19700000000000001</v>
      </c>
    </row>
    <row r="310" spans="1:14">
      <c r="A310" s="15">
        <v>7</v>
      </c>
      <c r="B310" s="75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9.9989999999999996E-4</v>
      </c>
    </row>
    <row r="311" spans="1:14">
      <c r="A311" s="15">
        <v>14</v>
      </c>
      <c r="B311" s="75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9.9989999999999996E-4</v>
      </c>
      <c r="I311" s="27">
        <f>AVERAGE(F309:F311)</f>
        <v>3.7159999999999997</v>
      </c>
      <c r="J311" s="27">
        <f>AVERAGE(G309:G311)</f>
        <v>6.6333266666666668E-2</v>
      </c>
      <c r="L311">
        <f>+J311/I311</f>
        <v>1.7850717617509868E-2</v>
      </c>
      <c r="M311">
        <f>+(L311-$L$931)/$L$932</f>
        <v>0.20796772779466385</v>
      </c>
      <c r="N311">
        <f>+N308+M311</f>
        <v>20.439982824416759</v>
      </c>
    </row>
    <row r="312" spans="1:14">
      <c r="A312" s="15">
        <v>5</v>
      </c>
      <c r="B312" s="75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4.7E-2</v>
      </c>
    </row>
    <row r="313" spans="1:14">
      <c r="A313" s="15">
        <v>7</v>
      </c>
      <c r="B313" s="75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9.9989999999999996E-4</v>
      </c>
    </row>
    <row r="314" spans="1:14">
      <c r="A314" s="15">
        <v>14</v>
      </c>
      <c r="B314" s="75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9.9989999999999996E-4</v>
      </c>
      <c r="I314" s="27">
        <f>AVERAGE(F312:F314)</f>
        <v>4.0766666666666671</v>
      </c>
      <c r="J314" s="27">
        <f>AVERAGE(G312:G314)</f>
        <v>1.6333266666666665E-2</v>
      </c>
      <c r="L314">
        <f>+J314/I314</f>
        <v>4.0065249386753874E-3</v>
      </c>
      <c r="M314">
        <f>+(L314-$L$931)/$L$932</f>
        <v>-0.23370275373196378</v>
      </c>
      <c r="N314">
        <f>+N311+M314</f>
        <v>20.206280070684794</v>
      </c>
    </row>
    <row r="315" spans="1:14">
      <c r="A315" s="15">
        <v>5</v>
      </c>
      <c r="B315" s="75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9.9989999999999996E-4</v>
      </c>
    </row>
    <row r="316" spans="1:14">
      <c r="A316" s="15">
        <v>7</v>
      </c>
      <c r="B316" s="75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9.9989999999999996E-4</v>
      </c>
    </row>
    <row r="317" spans="1:14">
      <c r="A317" s="15">
        <v>14</v>
      </c>
      <c r="B317" s="75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9.9989999999999996E-4</v>
      </c>
      <c r="I317" s="27">
        <f>AVERAGE(F315:F317)</f>
        <v>14.377666666666665</v>
      </c>
      <c r="J317" s="27">
        <f>AVERAGE(G315:G317)</f>
        <v>9.9989999999999996E-4</v>
      </c>
      <c r="L317">
        <f>+J317/I317</f>
        <v>6.9545359701388737E-5</v>
      </c>
      <c r="M317">
        <f>+(L317-$L$931)/$L$932</f>
        <v>-0.35930398644698958</v>
      </c>
      <c r="N317">
        <f>+N314+M317</f>
        <v>19.846976084237806</v>
      </c>
    </row>
    <row r="318" spans="1:14">
      <c r="A318" s="15">
        <v>5</v>
      </c>
      <c r="B318" s="75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9.9989999999999996E-4</v>
      </c>
    </row>
    <row r="319" spans="1:14">
      <c r="A319" s="15">
        <v>7</v>
      </c>
      <c r="B319" s="75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9.9989999999999996E-4</v>
      </c>
    </row>
    <row r="320" spans="1:14">
      <c r="A320" s="15">
        <v>14</v>
      </c>
      <c r="B320" s="75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9.9989999999999996E-4</v>
      </c>
      <c r="I320" s="27">
        <f>AVERAGE(F318:F320)</f>
        <v>21.003</v>
      </c>
      <c r="J320" s="27">
        <f>AVERAGE(G318:G320)</f>
        <v>9.9989999999999996E-4</v>
      </c>
      <c r="L320">
        <f>+J320/I320</f>
        <v>4.7607484645050708E-5</v>
      </c>
      <c r="M320">
        <f>+(L320-$L$931)/$L$932</f>
        <v>-0.3600038692111624</v>
      </c>
      <c r="N320">
        <f>+N317+M320</f>
        <v>19.486972215026643</v>
      </c>
    </row>
    <row r="321" spans="1:14">
      <c r="A321" s="15">
        <v>5</v>
      </c>
      <c r="B321" s="75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9.9989999999999996E-4</v>
      </c>
    </row>
    <row r="322" spans="1:14">
      <c r="A322" s="15">
        <v>7</v>
      </c>
      <c r="B322" s="75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9.9989999999999996E-4</v>
      </c>
    </row>
    <row r="323" spans="1:14">
      <c r="A323" s="15">
        <v>14</v>
      </c>
      <c r="B323" s="75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9.9989999999999996E-4</v>
      </c>
      <c r="I323" s="27">
        <f>AVERAGE(F321:F323)</f>
        <v>25.507333333333332</v>
      </c>
      <c r="J323" s="27">
        <f>AVERAGE(G321:G323)</f>
        <v>9.9989999999999996E-4</v>
      </c>
      <c r="L323">
        <f>+J323/I323</f>
        <v>3.9200491361961269E-5</v>
      </c>
      <c r="M323">
        <f>+(L323-$L$931)/$L$932</f>
        <v>-0.36027207703358094</v>
      </c>
      <c r="N323">
        <f>+N320+M323</f>
        <v>19.126700137993062</v>
      </c>
    </row>
    <row r="324" spans="1:14">
      <c r="A324" s="15">
        <v>5</v>
      </c>
      <c r="B324" s="75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2.8650000000000002</v>
      </c>
    </row>
    <row r="325" spans="1:14">
      <c r="A325" s="15">
        <v>7</v>
      </c>
      <c r="B325" s="75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9.9989999999999996E-4</v>
      </c>
    </row>
    <row r="326" spans="1:14">
      <c r="A326" s="15">
        <v>14</v>
      </c>
      <c r="B326" s="75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9.9989999999999996E-4</v>
      </c>
      <c r="I326" s="27">
        <f>AVERAGE(F324:F326)</f>
        <v>15.575333333333333</v>
      </c>
      <c r="J326" s="27">
        <f>AVERAGE(G324:G326)</f>
        <v>0.95566660000000014</v>
      </c>
      <c r="L326">
        <f>+J326/I326</f>
        <v>6.135769806959724E-2</v>
      </c>
      <c r="M326">
        <f>+(L326-$L$931)/$L$932</f>
        <v>1.5959684189018284</v>
      </c>
      <c r="N326">
        <f>+N323+M326</f>
        <v>20.722668556894892</v>
      </c>
    </row>
    <row r="327" spans="1:14">
      <c r="A327" s="15">
        <v>5</v>
      </c>
      <c r="B327" s="75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1.41</v>
      </c>
    </row>
    <row r="328" spans="1:14">
      <c r="A328" s="15">
        <v>7</v>
      </c>
      <c r="B328" s="75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1.3660000000000001</v>
      </c>
    </row>
    <row r="329" spans="1:14">
      <c r="A329" s="15">
        <v>14</v>
      </c>
      <c r="B329" s="75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5.0999999999999997E-2</v>
      </c>
      <c r="I329" s="27">
        <f>AVERAGE(F327:F329)</f>
        <v>10.895333333333333</v>
      </c>
      <c r="J329" s="27">
        <f>AVERAGE(G327:G329)</f>
        <v>0.94233333333333336</v>
      </c>
      <c r="L329">
        <f>+J329/I329</f>
        <v>8.6489628587162706E-2</v>
      </c>
      <c r="M329">
        <f>+(L329-$L$931)/$L$932</f>
        <v>2.3977509504579686</v>
      </c>
      <c r="N329">
        <f>+N326+M329</f>
        <v>23.12041950735286</v>
      </c>
    </row>
    <row r="330" spans="1:14">
      <c r="A330" s="15">
        <v>5</v>
      </c>
      <c r="B330" s="75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9.9989999999999996E-4</v>
      </c>
    </row>
    <row r="331" spans="1:14">
      <c r="A331" s="15">
        <v>7</v>
      </c>
      <c r="B331" s="75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9.9989999999999996E-4</v>
      </c>
    </row>
    <row r="332" spans="1:14">
      <c r="A332" s="15">
        <v>14</v>
      </c>
      <c r="B332" s="75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9.9989999999999996E-4</v>
      </c>
      <c r="I332" s="27">
        <f>AVERAGE(F330:F332)</f>
        <v>2.5489999999999999</v>
      </c>
      <c r="J332" s="27">
        <f>AVERAGE(G330:G332)</f>
        <v>9.9989999999999996E-4</v>
      </c>
      <c r="L332">
        <f>+J332/I332</f>
        <v>3.9227147901137703E-4</v>
      </c>
      <c r="M332">
        <f>+(L332-$L$931)/$L$932</f>
        <v>-0.34900807365354941</v>
      </c>
      <c r="N332">
        <f>+N329+M332</f>
        <v>22.77141143369931</v>
      </c>
    </row>
    <row r="333" spans="1:14">
      <c r="A333" s="15">
        <v>5</v>
      </c>
      <c r="B333" s="75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9.9989999999999996E-4</v>
      </c>
    </row>
    <row r="334" spans="1:14">
      <c r="A334" s="15">
        <v>7</v>
      </c>
      <c r="B334" s="75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9.9989999999999996E-4</v>
      </c>
    </row>
    <row r="335" spans="1:14">
      <c r="A335" s="15">
        <v>14</v>
      </c>
      <c r="B335" s="75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9.9989999999999996E-4</v>
      </c>
      <c r="I335" s="27">
        <f>AVERAGE(F333:F335)</f>
        <v>3.0293333333333332</v>
      </c>
      <c r="J335" s="27">
        <f>AVERAGE(G333:G335)</f>
        <v>9.9989999999999996E-4</v>
      </c>
      <c r="L335">
        <f>+J335/I335</f>
        <v>3.3007262323943661E-4</v>
      </c>
      <c r="M335">
        <f>+(L335-$L$931)/$L$932</f>
        <v>-0.35099240016622485</v>
      </c>
      <c r="N335">
        <f>+N332+M335</f>
        <v>22.420419033533086</v>
      </c>
    </row>
    <row r="336" spans="1:14">
      <c r="A336" s="15">
        <v>5</v>
      </c>
      <c r="B336" s="75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0.03</v>
      </c>
    </row>
    <row r="337" spans="1:14">
      <c r="A337" s="15">
        <v>7</v>
      </c>
      <c r="B337" s="75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9.9989999999999996E-4</v>
      </c>
    </row>
    <row r="338" spans="1:14">
      <c r="A338" s="15">
        <v>14</v>
      </c>
      <c r="B338" s="75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9.9989999999999996E-4</v>
      </c>
      <c r="I338" s="27">
        <f>AVERAGE(F336:F338)</f>
        <v>4.1296666666666662</v>
      </c>
      <c r="J338" s="27">
        <f>AVERAGE(G336:G338)</f>
        <v>1.06666E-2</v>
      </c>
      <c r="L338">
        <f>+J338/I338</f>
        <v>2.5829203325530717E-3</v>
      </c>
      <c r="M338">
        <f>+(L338-$L$931)/$L$932</f>
        <v>-0.27911992947315711</v>
      </c>
      <c r="N338">
        <f>+N335+M338</f>
        <v>22.141299104059929</v>
      </c>
    </row>
    <row r="339" spans="1:14">
      <c r="A339" s="12">
        <v>5</v>
      </c>
      <c r="B339" s="75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1E-3</v>
      </c>
    </row>
    <row r="340" spans="1:14">
      <c r="A340" s="12">
        <v>7</v>
      </c>
      <c r="B340" s="75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9.9989999999999996E-4</v>
      </c>
    </row>
    <row r="341" spans="1:14">
      <c r="A341" s="12">
        <v>14</v>
      </c>
      <c r="B341" s="75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9.9989999999999996E-4</v>
      </c>
      <c r="I341" s="27">
        <f>AVERAGE(F339:F341)</f>
        <v>3.9983333333333335</v>
      </c>
      <c r="J341" s="27">
        <f>AVERAGE(G339:G341)</f>
        <v>9.999333333333331E-4</v>
      </c>
      <c r="L341">
        <f>+J341/I341</f>
        <v>2.5008753647353055E-4</v>
      </c>
      <c r="M341">
        <f>+(L341-$L$931)/$L$932</f>
        <v>-0.35354415978171011</v>
      </c>
      <c r="N341">
        <f>+N338+M341</f>
        <v>21.78775494427822</v>
      </c>
    </row>
    <row r="342" spans="1:14">
      <c r="A342" s="12">
        <v>5</v>
      </c>
      <c r="B342" s="75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2.5999999999999999E-2</v>
      </c>
    </row>
    <row r="343" spans="1:14">
      <c r="A343" s="12">
        <v>7</v>
      </c>
      <c r="B343" s="75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1E-3</v>
      </c>
    </row>
    <row r="344" spans="1:14">
      <c r="A344" s="12">
        <v>14</v>
      </c>
      <c r="B344" s="75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9.9989999999999996E-4</v>
      </c>
      <c r="I344" s="27">
        <f>AVERAGE(F342:F344)</f>
        <v>4.4609999999999994</v>
      </c>
      <c r="J344" s="27">
        <f>AVERAGE(G342:G344)</f>
        <v>9.333300000000001E-3</v>
      </c>
      <c r="L344">
        <f>+J344/I344</f>
        <v>2.0921990585070615E-3</v>
      </c>
      <c r="M344">
        <f>+(L344-$L$931)/$L$932</f>
        <v>-0.29477538201064007</v>
      </c>
      <c r="N344">
        <f>+N341+M344</f>
        <v>21.492979562267578</v>
      </c>
    </row>
    <row r="345" spans="1:14">
      <c r="A345" s="12">
        <v>5</v>
      </c>
      <c r="B345" s="75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1E-3</v>
      </c>
    </row>
    <row r="346" spans="1:14">
      <c r="A346" s="12">
        <v>7</v>
      </c>
      <c r="B346" s="75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9.9989999999999996E-4</v>
      </c>
    </row>
    <row r="347" spans="1:14">
      <c r="A347" s="12">
        <v>14</v>
      </c>
      <c r="B347" s="75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9.9989999999999996E-4</v>
      </c>
      <c r="I347" s="27">
        <f>AVERAGE(F345:F347)</f>
        <v>1.7963333333333333</v>
      </c>
      <c r="J347" s="27">
        <f>AVERAGE(G345:G347)</f>
        <v>9.999333333333331E-4</v>
      </c>
      <c r="L347">
        <f>+J347/I347</f>
        <v>5.5665244015587294E-4</v>
      </c>
      <c r="M347">
        <f>+(L347-$L$931)/$L$932</f>
        <v>-0.34376383731945848</v>
      </c>
      <c r="N347">
        <f>+N344+M347</f>
        <v>21.149215724948121</v>
      </c>
    </row>
    <row r="348" spans="1:14">
      <c r="A348" s="12">
        <v>5</v>
      </c>
      <c r="B348" s="75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7.5999999999999998E-2</v>
      </c>
    </row>
    <row r="349" spans="1:14">
      <c r="A349" s="12">
        <v>7</v>
      </c>
      <c r="B349" s="75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9.9989999999999996E-4</v>
      </c>
    </row>
    <row r="350" spans="1:14">
      <c r="A350" s="12">
        <v>14</v>
      </c>
      <c r="B350" s="75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9.9989999999999996E-4</v>
      </c>
      <c r="I350" s="27">
        <f>AVERAGE(F348:F350)</f>
        <v>2.0110000000000001</v>
      </c>
      <c r="J350" s="27">
        <f>AVERAGE(G348:G350)</f>
        <v>2.5999933333333333E-2</v>
      </c>
      <c r="L350">
        <f>+J350/I350</f>
        <v>1.2928857947952925E-2</v>
      </c>
      <c r="M350">
        <f>+(L350-$L$931)/$L$932</f>
        <v>5.0945922284606801E-2</v>
      </c>
      <c r="N350">
        <f>+N347+M350</f>
        <v>21.200161647232729</v>
      </c>
    </row>
    <row r="351" spans="1:14">
      <c r="A351" s="15">
        <v>5</v>
      </c>
      <c r="B351" s="75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2.5270000000000001</v>
      </c>
    </row>
    <row r="352" spans="1:14">
      <c r="A352" s="15">
        <v>7</v>
      </c>
      <c r="B352" s="75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1E-3</v>
      </c>
    </row>
    <row r="353" spans="1:14">
      <c r="A353" s="15">
        <v>14</v>
      </c>
      <c r="B353" s="75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1E-3</v>
      </c>
      <c r="I353" s="27">
        <f>AVERAGE(F351:F353)</f>
        <v>10.795999999999999</v>
      </c>
      <c r="J353" s="27">
        <f>AVERAGE(G351:G353)</f>
        <v>0.84299999999999997</v>
      </c>
      <c r="L353">
        <f>+J353/I353</f>
        <v>7.8084475731752506E-2</v>
      </c>
      <c r="M353">
        <f>+(L353-$L$931)/$L$932</f>
        <v>2.1296018430976349</v>
      </c>
      <c r="N353">
        <f>+N350+M353</f>
        <v>23.329763490330365</v>
      </c>
    </row>
    <row r="354" spans="1:14">
      <c r="A354" s="15">
        <v>5</v>
      </c>
      <c r="B354" s="75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6.5000000000000002E-2</v>
      </c>
    </row>
    <row r="355" spans="1:14">
      <c r="A355" s="15">
        <v>7</v>
      </c>
      <c r="B355" s="75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1E-3</v>
      </c>
    </row>
    <row r="356" spans="1:14">
      <c r="A356" s="15">
        <v>14</v>
      </c>
      <c r="B356" s="75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1E-3</v>
      </c>
      <c r="I356" s="27">
        <f>AVERAGE(F354:F356)</f>
        <v>9.3033333333333328</v>
      </c>
      <c r="J356" s="27">
        <f>AVERAGE(G354:G356)</f>
        <v>2.2333333333333334E-2</v>
      </c>
      <c r="L356">
        <f>+J356/I356</f>
        <v>2.4005732712289504E-3</v>
      </c>
      <c r="M356">
        <f>+(L356-$L$931)/$L$932</f>
        <v>-0.28493733726632653</v>
      </c>
      <c r="N356">
        <f>+N353+M356</f>
        <v>23.044826153064037</v>
      </c>
    </row>
    <row r="357" spans="1:14">
      <c r="A357" s="15">
        <v>5</v>
      </c>
      <c r="B357" s="75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9.9989999999999996E-4</v>
      </c>
    </row>
    <row r="358" spans="1:14">
      <c r="A358" s="15">
        <v>7</v>
      </c>
      <c r="B358" s="75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9.9989999999999996E-4</v>
      </c>
    </row>
    <row r="359" spans="1:14">
      <c r="A359" s="15">
        <v>14</v>
      </c>
      <c r="B359" s="75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1E-3</v>
      </c>
      <c r="I359" s="27">
        <f>AVERAGE(F357:F359)</f>
        <v>34.262</v>
      </c>
      <c r="J359" s="27">
        <f>AVERAGE(G357:G359)</f>
        <v>9.9993333333333332E-4</v>
      </c>
      <c r="L359">
        <f>+J359/I359</f>
        <v>2.9184908450567197E-5</v>
      </c>
      <c r="M359">
        <f>+(L359-$L$931)/$L$932</f>
        <v>-0.36059160359824716</v>
      </c>
      <c r="N359">
        <f>+N356+M359</f>
        <v>22.684234549465788</v>
      </c>
    </row>
    <row r="360" spans="1:14">
      <c r="A360" s="15">
        <v>5</v>
      </c>
      <c r="B360" s="75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1E-3</v>
      </c>
    </row>
    <row r="361" spans="1:14">
      <c r="A361" s="15">
        <v>7</v>
      </c>
      <c r="B361" s="75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1E-3</v>
      </c>
    </row>
    <row r="362" spans="1:14">
      <c r="A362" s="15">
        <v>14</v>
      </c>
      <c r="B362" s="75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9.9989999999999996E-4</v>
      </c>
      <c r="I362" s="27">
        <f>AVERAGE(F360:F362)</f>
        <v>13.954333333333333</v>
      </c>
      <c r="J362" s="27">
        <f>AVERAGE(G360:G362)</f>
        <v>9.9996666666666667E-4</v>
      </c>
      <c r="L362">
        <f>+J362/I362</f>
        <v>7.1659938370398691E-5</v>
      </c>
      <c r="M362">
        <f>+(L362-$L$931)/$L$932</f>
        <v>-0.35923652516552423</v>
      </c>
      <c r="N362">
        <f>+N359+M362</f>
        <v>22.324998024300264</v>
      </c>
    </row>
    <row r="363" spans="1:14">
      <c r="A363" s="15">
        <v>5</v>
      </c>
      <c r="B363" s="75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1E-3</v>
      </c>
    </row>
    <row r="364" spans="1:14">
      <c r="A364" s="15">
        <v>7</v>
      </c>
      <c r="B364" s="75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9.9989999999999996E-4</v>
      </c>
    </row>
    <row r="365" spans="1:14">
      <c r="A365" s="15">
        <v>14</v>
      </c>
      <c r="B365" s="75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9.9989999999999996E-4</v>
      </c>
      <c r="I365" s="27">
        <f>AVERAGE(F363:F365)</f>
        <v>3.9159999999999999</v>
      </c>
      <c r="J365" s="27">
        <f>AVERAGE(G363:G365)</f>
        <v>9.999333333333331E-4</v>
      </c>
      <c r="L365">
        <f>+J365/I365</f>
        <v>2.5534559073884909E-4</v>
      </c>
      <c r="M365">
        <f>+(L365-$L$931)/$L$932</f>
        <v>-0.35337641237937822</v>
      </c>
      <c r="N365">
        <f>+N362+M365</f>
        <v>21.971621611920884</v>
      </c>
    </row>
    <row r="366" spans="1:14">
      <c r="A366" s="15">
        <v>5</v>
      </c>
      <c r="B366" s="75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9.9989999999999996E-4</v>
      </c>
    </row>
    <row r="367" spans="1:14">
      <c r="A367" s="15">
        <v>7</v>
      </c>
      <c r="B367" s="75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9.9989999999999996E-4</v>
      </c>
    </row>
    <row r="368" spans="1:14">
      <c r="A368" s="15">
        <v>14</v>
      </c>
      <c r="B368" s="75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9.9989999999999996E-4</v>
      </c>
      <c r="I368" s="27">
        <f>AVERAGE(F366:F368)</f>
        <v>2.601</v>
      </c>
      <c r="J368" s="27">
        <f>AVERAGE(G366:G368)</f>
        <v>9.9989999999999996E-4</v>
      </c>
      <c r="L368">
        <f>+J368/I368</f>
        <v>3.8442906574394462E-4</v>
      </c>
      <c r="M368">
        <f>+(L368-$L$931)/$L$932</f>
        <v>-0.34925826971225155</v>
      </c>
      <c r="N368">
        <f>+N365+M368</f>
        <v>21.622363342208633</v>
      </c>
    </row>
    <row r="369" spans="1:14">
      <c r="A369" s="15">
        <v>5</v>
      </c>
      <c r="B369" s="75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9.9989999999999996E-4</v>
      </c>
    </row>
    <row r="370" spans="1:14">
      <c r="A370" s="15">
        <v>7</v>
      </c>
      <c r="B370" s="75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9.9989999999999996E-4</v>
      </c>
    </row>
    <row r="371" spans="1:14">
      <c r="A371" s="15">
        <v>14</v>
      </c>
      <c r="B371" s="75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9.9989999999999996E-4</v>
      </c>
      <c r="I371" s="27">
        <f>AVERAGE(F369:F371)</f>
        <v>12.871333333333334</v>
      </c>
      <c r="J371" s="27">
        <f>AVERAGE(G369:G371)</f>
        <v>9.9989999999999996E-4</v>
      </c>
      <c r="L371">
        <f>+J371/I371</f>
        <v>7.7684259594965543E-5</v>
      </c>
      <c r="M371">
        <f>+(L371-$L$931)/$L$932</f>
        <v>-0.35904433159253291</v>
      </c>
      <c r="N371">
        <f>+N368+M371</f>
        <v>21.263319010616101</v>
      </c>
    </row>
    <row r="372" spans="1:14">
      <c r="A372" s="15">
        <v>5</v>
      </c>
      <c r="B372" s="72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0</v>
      </c>
    </row>
    <row r="373" spans="1:14">
      <c r="A373" s="15">
        <v>7</v>
      </c>
      <c r="B373" s="72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0</v>
      </c>
    </row>
    <row r="374" spans="1:14">
      <c r="A374" s="15">
        <v>14</v>
      </c>
      <c r="B374" s="72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0</v>
      </c>
      <c r="I374" s="27">
        <f>AVERAGE(F372:F374)</f>
        <v>5.7053333333333329</v>
      </c>
      <c r="J374" s="27">
        <f>AVERAGE(G372:G374)</f>
        <v>0</v>
      </c>
      <c r="L374">
        <f>+J374/I374</f>
        <v>0</v>
      </c>
      <c r="M374">
        <f>+(L374-$L$931)/$L$932</f>
        <v>-0.3615226880513247</v>
      </c>
      <c r="N374">
        <f>+N371+M374</f>
        <v>20.901796322564778</v>
      </c>
    </row>
    <row r="375" spans="1:14">
      <c r="A375" s="15">
        <v>5</v>
      </c>
      <c r="B375" s="72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0</v>
      </c>
    </row>
    <row r="376" spans="1:14">
      <c r="A376" s="15">
        <v>7</v>
      </c>
      <c r="B376" s="72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0</v>
      </c>
    </row>
    <row r="377" spans="1:14">
      <c r="A377" s="15">
        <v>14</v>
      </c>
      <c r="B377" s="72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0</v>
      </c>
      <c r="I377" s="27"/>
      <c r="J377" s="27"/>
    </row>
    <row r="378" spans="1:14">
      <c r="A378" s="15">
        <v>14</v>
      </c>
      <c r="B378" s="72">
        <v>40225</v>
      </c>
      <c r="C378" s="15">
        <v>2010</v>
      </c>
      <c r="D378" s="11" t="s">
        <v>29</v>
      </c>
      <c r="E378" s="15">
        <v>2</v>
      </c>
      <c r="F378" s="26">
        <v>5.359</v>
      </c>
      <c r="G378" s="27">
        <v>0</v>
      </c>
      <c r="H378" t="s">
        <v>13</v>
      </c>
      <c r="I378" s="27">
        <f>AVERAGE(F375:F378)</f>
        <v>3.2992499999999998</v>
      </c>
      <c r="J378" s="27">
        <f>AVERAGE(G375:G378)</f>
        <v>0</v>
      </c>
      <c r="L378">
        <f>+J378/I378</f>
        <v>0</v>
      </c>
      <c r="M378">
        <f>+(L378-$L$931)/$L$932</f>
        <v>-0.3615226880513247</v>
      </c>
      <c r="N378">
        <f>+N374+M378</f>
        <v>20.540273634513454</v>
      </c>
    </row>
    <row r="379" spans="1:14">
      <c r="A379" s="15">
        <v>5</v>
      </c>
      <c r="B379" s="72">
        <v>40254</v>
      </c>
      <c r="C379" s="15">
        <v>2010</v>
      </c>
      <c r="D379" s="11" t="s">
        <v>30</v>
      </c>
      <c r="E379" s="15">
        <v>3</v>
      </c>
      <c r="F379" s="26">
        <v>8.8989999999999991</v>
      </c>
      <c r="G379" s="27">
        <v>0</v>
      </c>
    </row>
    <row r="380" spans="1:14">
      <c r="A380" s="15">
        <v>7</v>
      </c>
      <c r="B380" s="72">
        <v>40255</v>
      </c>
      <c r="C380" s="15">
        <v>2010</v>
      </c>
      <c r="D380" s="11" t="s">
        <v>30</v>
      </c>
      <c r="E380" s="15">
        <v>3</v>
      </c>
      <c r="F380" s="26">
        <v>6.4260000000000002</v>
      </c>
      <c r="G380" s="27">
        <v>0</v>
      </c>
      <c r="I380" s="27"/>
      <c r="J380" s="27"/>
    </row>
    <row r="381" spans="1:14">
      <c r="A381" s="15">
        <v>14</v>
      </c>
      <c r="B381" s="72">
        <v>40255</v>
      </c>
      <c r="C381" s="15">
        <v>2010</v>
      </c>
      <c r="D381" s="11" t="s">
        <v>30</v>
      </c>
      <c r="E381" s="15">
        <v>3</v>
      </c>
      <c r="F381" s="26">
        <v>6.8689999999999998</v>
      </c>
      <c r="G381" s="27">
        <v>0</v>
      </c>
      <c r="I381" s="27">
        <f>AVERAGE(F379:F381)</f>
        <v>7.3979999999999997</v>
      </c>
      <c r="J381" s="27">
        <f>AVERAGE(G379:G381)</f>
        <v>0</v>
      </c>
      <c r="L381">
        <f>+J381/I381</f>
        <v>0</v>
      </c>
      <c r="M381">
        <f>+(L381-$L$931)/$L$932</f>
        <v>-0.3615226880513247</v>
      </c>
      <c r="N381">
        <f>+N378+M381</f>
        <v>20.178750946462131</v>
      </c>
    </row>
    <row r="382" spans="1:14">
      <c r="A382" s="15">
        <v>5</v>
      </c>
      <c r="B382" s="72">
        <v>40280</v>
      </c>
      <c r="C382" s="15">
        <v>2010</v>
      </c>
      <c r="D382" s="11" t="s">
        <v>31</v>
      </c>
      <c r="E382" s="15">
        <v>4</v>
      </c>
      <c r="F382" s="26">
        <v>4.75</v>
      </c>
      <c r="G382" s="27">
        <v>0</v>
      </c>
    </row>
    <row r="383" spans="1:14">
      <c r="A383" s="15">
        <v>7</v>
      </c>
      <c r="B383" s="72">
        <v>40281</v>
      </c>
      <c r="C383" s="15">
        <v>2010</v>
      </c>
      <c r="D383" s="11" t="s">
        <v>31</v>
      </c>
      <c r="E383" s="15">
        <v>4</v>
      </c>
      <c r="F383" s="26">
        <v>3.3580000000000001</v>
      </c>
      <c r="G383" s="27">
        <v>0</v>
      </c>
    </row>
    <row r="384" spans="1:14">
      <c r="A384" s="15">
        <v>14</v>
      </c>
      <c r="B384" s="72">
        <v>40281</v>
      </c>
      <c r="C384" s="15">
        <v>2010</v>
      </c>
      <c r="D384" s="11" t="s">
        <v>31</v>
      </c>
      <c r="E384" s="15">
        <v>4</v>
      </c>
      <c r="F384" s="26">
        <v>1.8879999999999999</v>
      </c>
      <c r="G384" s="27">
        <v>0</v>
      </c>
      <c r="I384" s="27">
        <f>AVERAGE(F382:F384)</f>
        <v>3.3320000000000003</v>
      </c>
      <c r="J384" s="27">
        <f>AVERAGE(G382:G384)</f>
        <v>0</v>
      </c>
      <c r="L384">
        <f>+J384/I384</f>
        <v>0</v>
      </c>
      <c r="M384">
        <f>+(L384-$L$931)/$L$932</f>
        <v>-0.3615226880513247</v>
      </c>
      <c r="N384">
        <f>+N381+M384</f>
        <v>19.817228258410807</v>
      </c>
    </row>
    <row r="385" spans="1:14">
      <c r="A385" s="15">
        <v>5</v>
      </c>
      <c r="B385" s="75">
        <v>40315</v>
      </c>
      <c r="C385" s="15">
        <v>2010</v>
      </c>
      <c r="D385" s="11" t="s">
        <v>32</v>
      </c>
      <c r="E385" s="15">
        <v>5</v>
      </c>
      <c r="F385" s="28">
        <v>10.981999999999999</v>
      </c>
      <c r="G385" s="27">
        <v>0.78130937499999997</v>
      </c>
    </row>
    <row r="386" spans="1:14">
      <c r="A386" s="15">
        <v>7</v>
      </c>
      <c r="B386" s="75">
        <v>40317</v>
      </c>
      <c r="C386" s="15">
        <v>2010</v>
      </c>
      <c r="D386" s="11" t="s">
        <v>32</v>
      </c>
      <c r="E386" s="15">
        <v>5</v>
      </c>
      <c r="F386" s="28">
        <v>5.1840000000000002</v>
      </c>
      <c r="G386" s="27">
        <v>0</v>
      </c>
    </row>
    <row r="387" spans="1:14">
      <c r="A387" s="15">
        <v>14</v>
      </c>
      <c r="B387" s="75">
        <v>40317</v>
      </c>
      <c r="C387" s="15">
        <v>2010</v>
      </c>
      <c r="D387" s="11" t="s">
        <v>32</v>
      </c>
      <c r="E387" s="15">
        <v>5</v>
      </c>
      <c r="F387" s="28">
        <v>5.593</v>
      </c>
      <c r="G387" s="27">
        <v>0.41625099999999998</v>
      </c>
      <c r="I387" s="27">
        <f>AVERAGE(F385:F387)</f>
        <v>7.2530000000000001</v>
      </c>
      <c r="J387" s="27">
        <f>AVERAGE(G385:G387)</f>
        <v>0.39918679166666665</v>
      </c>
      <c r="L387">
        <f>+J387/I387</f>
        <v>5.5037472999678289E-2</v>
      </c>
      <c r="M387">
        <f>+(L387-$L$931)/$L$932</f>
        <v>1.3943346425780234</v>
      </c>
      <c r="N387">
        <f>+N384+M387</f>
        <v>21.211562900988831</v>
      </c>
    </row>
    <row r="388" spans="1:14">
      <c r="A388" s="15">
        <v>5</v>
      </c>
      <c r="B388" s="75">
        <v>40344</v>
      </c>
      <c r="C388" s="15">
        <v>2010</v>
      </c>
      <c r="D388" s="11" t="s">
        <v>33</v>
      </c>
      <c r="E388" s="15">
        <v>6</v>
      </c>
      <c r="F388" s="28">
        <v>12.042999999999999</v>
      </c>
      <c r="G388" s="27">
        <v>7.7362874999999998E-2</v>
      </c>
    </row>
    <row r="389" spans="1:14">
      <c r="A389" s="15">
        <v>7</v>
      </c>
      <c r="B389" s="75">
        <v>40345</v>
      </c>
      <c r="C389" s="15">
        <v>2010</v>
      </c>
      <c r="D389" s="11" t="s">
        <v>33</v>
      </c>
      <c r="E389" s="15">
        <v>6</v>
      </c>
      <c r="F389" s="28">
        <v>20.408999999999999</v>
      </c>
      <c r="G389" s="27">
        <v>0</v>
      </c>
      <c r="I389" s="27"/>
      <c r="J389" s="27"/>
    </row>
    <row r="390" spans="1:14">
      <c r="A390" s="15">
        <v>14</v>
      </c>
      <c r="B390" s="75">
        <v>40345</v>
      </c>
      <c r="C390" s="15">
        <v>2010</v>
      </c>
      <c r="D390" s="11" t="s">
        <v>33</v>
      </c>
      <c r="E390" s="15">
        <v>6</v>
      </c>
      <c r="F390" s="28">
        <v>9.24</v>
      </c>
      <c r="G390" s="27">
        <v>4.1124750000000002E-2</v>
      </c>
      <c r="I390" s="27">
        <f>AVERAGE(F388:F390)</f>
        <v>13.897333333333334</v>
      </c>
      <c r="J390" s="27">
        <f>AVERAGE(G388:G390)</f>
        <v>3.9495875E-2</v>
      </c>
      <c r="L390">
        <f>+J390/I390</f>
        <v>2.8419750791518756E-3</v>
      </c>
      <c r="M390">
        <f>+(L390-$L$931)/$L$932</f>
        <v>-0.27085532081547953</v>
      </c>
      <c r="N390">
        <f>+N387+M390</f>
        <v>20.940707580173353</v>
      </c>
    </row>
    <row r="391" spans="1:14">
      <c r="A391" s="15">
        <v>5</v>
      </c>
      <c r="B391" s="75">
        <v>40373</v>
      </c>
      <c r="C391" s="15">
        <v>2010</v>
      </c>
      <c r="D391" s="11" t="s">
        <v>34</v>
      </c>
      <c r="E391" s="15">
        <v>7</v>
      </c>
      <c r="F391" s="28">
        <v>19.992000000000001</v>
      </c>
      <c r="G391" s="27">
        <v>0</v>
      </c>
    </row>
    <row r="392" spans="1:14">
      <c r="A392" s="15">
        <v>7</v>
      </c>
      <c r="B392" s="75">
        <v>40373</v>
      </c>
      <c r="C392" s="15">
        <v>2010</v>
      </c>
      <c r="D392" s="11" t="s">
        <v>34</v>
      </c>
      <c r="E392" s="15">
        <v>7</v>
      </c>
      <c r="F392" s="28">
        <v>18.753</v>
      </c>
      <c r="G392" s="27">
        <v>0</v>
      </c>
      <c r="I392" s="27"/>
      <c r="J392" s="27"/>
    </row>
    <row r="393" spans="1:14">
      <c r="A393" s="15">
        <v>7</v>
      </c>
      <c r="B393" s="75">
        <v>40373</v>
      </c>
      <c r="C393" s="15">
        <v>2010</v>
      </c>
      <c r="D393" s="11" t="s">
        <v>34</v>
      </c>
      <c r="E393" s="15">
        <v>7</v>
      </c>
      <c r="F393" s="28">
        <v>18.753</v>
      </c>
      <c r="G393" s="27">
        <v>0.111479125</v>
      </c>
      <c r="H393" t="s">
        <v>13</v>
      </c>
    </row>
    <row r="394" spans="1:14">
      <c r="A394" s="15">
        <v>14</v>
      </c>
      <c r="B394" s="75">
        <v>40373</v>
      </c>
      <c r="C394" s="15">
        <v>2010</v>
      </c>
      <c r="D394" s="11" t="s">
        <v>34</v>
      </c>
      <c r="E394" s="15">
        <v>7</v>
      </c>
      <c r="F394" s="28">
        <v>11.59</v>
      </c>
      <c r="G394" s="27">
        <v>6.2762249999999992E-2</v>
      </c>
      <c r="I394" s="27">
        <f>AVERAGE(F391:F394)</f>
        <v>17.272000000000002</v>
      </c>
      <c r="J394" s="27">
        <f>AVERAGE(G391:G394)</f>
        <v>4.3560343749999994E-2</v>
      </c>
      <c r="L394">
        <f>+J394/I394</f>
        <v>2.522020828508568E-3</v>
      </c>
      <c r="M394">
        <f>+(L394-$L$931)/$L$932</f>
        <v>-0.28106280284252239</v>
      </c>
      <c r="N394">
        <f>+N390+M394</f>
        <v>20.659644777330829</v>
      </c>
    </row>
    <row r="395" spans="1:14">
      <c r="A395" s="15">
        <v>5</v>
      </c>
      <c r="B395" s="75">
        <v>40407</v>
      </c>
      <c r="C395" s="15">
        <v>2010</v>
      </c>
      <c r="D395" s="11" t="s">
        <v>35</v>
      </c>
      <c r="E395" s="15">
        <v>8</v>
      </c>
      <c r="F395" s="28">
        <v>22.228999999999999</v>
      </c>
      <c r="G395" s="27">
        <v>0</v>
      </c>
    </row>
    <row r="396" spans="1:14">
      <c r="A396" s="15">
        <v>7</v>
      </c>
      <c r="B396" s="75">
        <v>40409</v>
      </c>
      <c r="C396" s="15">
        <v>2010</v>
      </c>
      <c r="D396" s="11" t="s">
        <v>35</v>
      </c>
      <c r="E396" s="15">
        <v>8</v>
      </c>
      <c r="F396" s="28">
        <v>27.542000000000002</v>
      </c>
      <c r="G396" s="27">
        <v>0.10209412499999999</v>
      </c>
    </row>
    <row r="397" spans="1:14">
      <c r="A397" s="15">
        <v>14</v>
      </c>
      <c r="B397" s="75">
        <v>40409</v>
      </c>
      <c r="C397" s="15">
        <v>2010</v>
      </c>
      <c r="D397" s="11" t="s">
        <v>35</v>
      </c>
      <c r="E397" s="15">
        <v>8</v>
      </c>
      <c r="F397" s="28">
        <v>10.205</v>
      </c>
      <c r="G397" s="27">
        <v>3.8677375E-2</v>
      </c>
      <c r="I397" s="27">
        <f>AVERAGE(F395:F397)</f>
        <v>19.992000000000001</v>
      </c>
      <c r="J397" s="27">
        <f>AVERAGE(G395:G397)</f>
        <v>4.6923833333333331E-2</v>
      </c>
      <c r="L397">
        <f>+J397/I397</f>
        <v>2.347130518874216E-3</v>
      </c>
      <c r="M397">
        <f>+(L397-$L$931)/$L$932</f>
        <v>-0.28664231831608544</v>
      </c>
      <c r="N397">
        <f>+N394+M397</f>
        <v>20.373002459014742</v>
      </c>
    </row>
    <row r="398" spans="1:14">
      <c r="A398" s="15">
        <v>5</v>
      </c>
      <c r="B398" s="75">
        <v>40436</v>
      </c>
      <c r="C398" s="15">
        <v>2010</v>
      </c>
      <c r="D398" s="11" t="s">
        <v>41</v>
      </c>
      <c r="E398" s="15">
        <v>9</v>
      </c>
      <c r="F398" s="28">
        <v>12.015000000000001</v>
      </c>
      <c r="G398" s="27">
        <v>0</v>
      </c>
    </row>
    <row r="399" spans="1:14">
      <c r="A399" s="15">
        <v>7</v>
      </c>
      <c r="B399" s="75">
        <v>40434</v>
      </c>
      <c r="C399" s="15">
        <v>2010</v>
      </c>
      <c r="D399" s="11" t="s">
        <v>41</v>
      </c>
      <c r="E399" s="15">
        <v>9</v>
      </c>
      <c r="F399" s="28">
        <v>13.039</v>
      </c>
      <c r="G399" s="27">
        <v>0</v>
      </c>
    </row>
    <row r="400" spans="1:14">
      <c r="A400" s="15">
        <v>14</v>
      </c>
      <c r="B400" s="75">
        <v>40434</v>
      </c>
      <c r="C400" s="15">
        <v>2010</v>
      </c>
      <c r="D400" s="11" t="s">
        <v>41</v>
      </c>
      <c r="E400" s="15">
        <v>9</v>
      </c>
      <c r="F400" s="28">
        <v>9.4990000000000006</v>
      </c>
      <c r="G400" s="27">
        <v>0</v>
      </c>
      <c r="I400" s="27">
        <f>AVERAGE(F398:F400)</f>
        <v>11.517666666666669</v>
      </c>
      <c r="J400" s="27">
        <f>AVERAGE(G398:G400)</f>
        <v>0</v>
      </c>
      <c r="L400">
        <f>+J400/I400</f>
        <v>0</v>
      </c>
      <c r="M400">
        <f>+(L400-$L$931)/$L$932</f>
        <v>-0.3615226880513247</v>
      </c>
      <c r="N400">
        <f>+N397+M400</f>
        <v>20.011479770963419</v>
      </c>
    </row>
    <row r="401" spans="1:14">
      <c r="A401" s="15">
        <v>5</v>
      </c>
      <c r="B401" s="75">
        <v>40464</v>
      </c>
      <c r="C401" s="15">
        <v>2010</v>
      </c>
      <c r="D401" s="11" t="s">
        <v>37</v>
      </c>
      <c r="E401" s="15">
        <v>10</v>
      </c>
      <c r="F401" s="26">
        <v>9.34</v>
      </c>
      <c r="G401" s="27">
        <v>0</v>
      </c>
    </row>
    <row r="402" spans="1:14">
      <c r="A402" s="15">
        <v>7</v>
      </c>
      <c r="B402" s="75">
        <v>40463</v>
      </c>
      <c r="C402" s="15">
        <v>2010</v>
      </c>
      <c r="D402" s="11" t="s">
        <v>37</v>
      </c>
      <c r="E402" s="15">
        <v>10</v>
      </c>
      <c r="F402" s="26">
        <v>6.4480000000000004</v>
      </c>
      <c r="G402" s="27">
        <v>0</v>
      </c>
    </row>
    <row r="403" spans="1:14">
      <c r="A403" s="15">
        <v>14</v>
      </c>
      <c r="B403" s="75">
        <v>40463</v>
      </c>
      <c r="C403" s="15">
        <v>2010</v>
      </c>
      <c r="D403" s="11" t="s">
        <v>37</v>
      </c>
      <c r="E403" s="15">
        <v>10</v>
      </c>
      <c r="F403" s="26">
        <v>4.7690000000000001</v>
      </c>
      <c r="G403" s="27">
        <v>0</v>
      </c>
      <c r="I403" s="27">
        <f>AVERAGE(F401:F403)</f>
        <v>6.8523333333333341</v>
      </c>
      <c r="J403" s="27">
        <f>AVERAGE(G401:G403)</f>
        <v>0</v>
      </c>
      <c r="L403">
        <f>+J403/I403</f>
        <v>0</v>
      </c>
      <c r="M403">
        <f>+(L403-$L$931)/$L$932</f>
        <v>-0.3615226880513247</v>
      </c>
      <c r="N403">
        <f>+N400+M403</f>
        <v>19.649957082912096</v>
      </c>
    </row>
    <row r="404" spans="1:14">
      <c r="A404" s="15">
        <v>5</v>
      </c>
      <c r="B404" s="75">
        <v>40498</v>
      </c>
      <c r="C404" s="15">
        <v>2010</v>
      </c>
      <c r="D404" s="11" t="s">
        <v>38</v>
      </c>
      <c r="E404" s="15">
        <v>11</v>
      </c>
      <c r="F404" s="26">
        <v>2.137</v>
      </c>
      <c r="G404" s="27">
        <v>0</v>
      </c>
    </row>
    <row r="405" spans="1:14">
      <c r="A405" s="15">
        <v>7</v>
      </c>
      <c r="B405" s="75">
        <v>40500</v>
      </c>
      <c r="C405" s="15">
        <v>2010</v>
      </c>
      <c r="D405" s="11" t="s">
        <v>38</v>
      </c>
      <c r="E405" s="15">
        <v>11</v>
      </c>
      <c r="F405" s="26">
        <v>3.3730000000000002</v>
      </c>
      <c r="G405" s="27">
        <v>0</v>
      </c>
    </row>
    <row r="406" spans="1:14">
      <c r="A406" s="15">
        <v>14</v>
      </c>
      <c r="B406" s="75">
        <v>40500</v>
      </c>
      <c r="C406" s="15">
        <v>2010</v>
      </c>
      <c r="D406" s="11" t="s">
        <v>38</v>
      </c>
      <c r="E406" s="15">
        <v>11</v>
      </c>
      <c r="F406" s="26">
        <v>2.2999999999999998</v>
      </c>
      <c r="G406" s="27">
        <v>0</v>
      </c>
      <c r="I406" s="27">
        <f>AVERAGE(F404:F406)</f>
        <v>2.6033333333333331</v>
      </c>
      <c r="J406" s="27">
        <f>AVERAGE(G404:G406)</f>
        <v>0</v>
      </c>
      <c r="L406">
        <f>+J406/I406</f>
        <v>0</v>
      </c>
      <c r="M406">
        <f>+(L406-$L$931)/$L$932</f>
        <v>-0.3615226880513247</v>
      </c>
      <c r="N406">
        <f>+N403+M406</f>
        <v>19.288434394860772</v>
      </c>
    </row>
    <row r="407" spans="1:14">
      <c r="A407" s="15">
        <v>5</v>
      </c>
      <c r="B407" s="75">
        <v>40520</v>
      </c>
      <c r="C407" s="15">
        <v>2010</v>
      </c>
      <c r="D407" s="11" t="s">
        <v>39</v>
      </c>
      <c r="E407" s="15">
        <v>12</v>
      </c>
      <c r="F407" s="26">
        <v>1.663</v>
      </c>
      <c r="G407" s="27">
        <v>1.5008374999999999E-2</v>
      </c>
    </row>
    <row r="408" spans="1:14">
      <c r="A408" s="15">
        <v>7</v>
      </c>
      <c r="B408" s="75">
        <v>40521</v>
      </c>
      <c r="C408" s="15">
        <v>2010</v>
      </c>
      <c r="D408" s="11" t="s">
        <v>39</v>
      </c>
      <c r="E408" s="15">
        <v>12</v>
      </c>
      <c r="F408" s="26">
        <v>0.93799999999999994</v>
      </c>
      <c r="G408" s="27">
        <v>0</v>
      </c>
    </row>
    <row r="409" spans="1:14">
      <c r="A409" s="15">
        <v>14</v>
      </c>
      <c r="B409" s="75">
        <v>40521</v>
      </c>
      <c r="C409" s="15">
        <v>2010</v>
      </c>
      <c r="D409" s="11" t="s">
        <v>39</v>
      </c>
      <c r="E409" s="15">
        <v>12</v>
      </c>
      <c r="F409" s="26">
        <v>0.92800000000000005</v>
      </c>
      <c r="G409" s="27">
        <v>0</v>
      </c>
      <c r="I409" s="27">
        <f>AVERAGE(F407:F409)</f>
        <v>1.1763333333333332</v>
      </c>
      <c r="J409" s="27">
        <f>AVERAGE(G407:G409)</f>
        <v>5.0027916666666667E-3</v>
      </c>
      <c r="L409">
        <f>+J409/I409</f>
        <v>4.2528690847265516E-3</v>
      </c>
      <c r="M409">
        <f>+(L409-$L$931)/$L$932</f>
        <v>-0.22584365063135284</v>
      </c>
      <c r="N409">
        <f>+N406+M409</f>
        <v>19.062590744229418</v>
      </c>
    </row>
    <row r="410" spans="1:14">
      <c r="A410" s="15">
        <v>5</v>
      </c>
      <c r="B410" s="75">
        <v>40562</v>
      </c>
      <c r="C410" s="15">
        <v>2011</v>
      </c>
      <c r="D410" s="11" t="s">
        <v>40</v>
      </c>
      <c r="E410" s="15">
        <v>1</v>
      </c>
      <c r="F410" s="26">
        <v>4.2149999999999999</v>
      </c>
      <c r="G410" s="27">
        <v>0</v>
      </c>
    </row>
    <row r="411" spans="1:14">
      <c r="A411" s="15">
        <v>7</v>
      </c>
      <c r="B411" s="75">
        <v>40563</v>
      </c>
      <c r="C411" s="15">
        <v>2011</v>
      </c>
      <c r="D411" s="11" t="s">
        <v>40</v>
      </c>
      <c r="E411" s="15">
        <v>1</v>
      </c>
      <c r="F411" s="26">
        <v>3.4990000000000001</v>
      </c>
      <c r="G411" s="27">
        <v>0</v>
      </c>
    </row>
    <row r="412" spans="1:14">
      <c r="A412" s="15">
        <v>14</v>
      </c>
      <c r="B412" s="75">
        <v>40563</v>
      </c>
      <c r="C412" s="15">
        <v>2011</v>
      </c>
      <c r="D412" s="11" t="s">
        <v>40</v>
      </c>
      <c r="E412" s="15">
        <v>1</v>
      </c>
      <c r="F412" s="26">
        <v>2.98</v>
      </c>
      <c r="G412" s="27">
        <v>0</v>
      </c>
      <c r="I412" s="27">
        <f>AVERAGE(F410:F412)</f>
        <v>3.5646666666666671</v>
      </c>
      <c r="J412" s="27">
        <f>AVERAGE(G410:G412)</f>
        <v>0</v>
      </c>
      <c r="L412">
        <f>+J412/I412</f>
        <v>0</v>
      </c>
      <c r="M412">
        <f>+(L412-$L$931)/$L$932</f>
        <v>-0.3615226880513247</v>
      </c>
      <c r="N412">
        <f>+N409+M412</f>
        <v>18.701068056178094</v>
      </c>
    </row>
    <row r="413" spans="1:14">
      <c r="A413" s="15">
        <v>5</v>
      </c>
      <c r="B413" s="75">
        <v>40591</v>
      </c>
      <c r="C413" s="15">
        <v>2011</v>
      </c>
      <c r="D413" s="11" t="s">
        <v>29</v>
      </c>
      <c r="E413" s="15">
        <v>2</v>
      </c>
      <c r="F413" s="26">
        <v>1.84</v>
      </c>
      <c r="G413" s="27">
        <v>0</v>
      </c>
    </row>
    <row r="414" spans="1:14">
      <c r="A414" s="15">
        <v>7</v>
      </c>
      <c r="B414" s="75">
        <v>40598</v>
      </c>
      <c r="C414" s="15">
        <v>2011</v>
      </c>
      <c r="D414" s="11" t="s">
        <v>29</v>
      </c>
      <c r="E414" s="15">
        <v>2</v>
      </c>
      <c r="F414" s="26">
        <v>2.8570000000000002</v>
      </c>
      <c r="G414" s="27">
        <v>3.0378374999999999E-2</v>
      </c>
    </row>
    <row r="415" spans="1:14">
      <c r="A415" s="15">
        <v>14</v>
      </c>
      <c r="B415" s="75">
        <v>40598</v>
      </c>
      <c r="C415" s="15">
        <v>2011</v>
      </c>
      <c r="D415" s="11" t="s">
        <v>29</v>
      </c>
      <c r="E415" s="15">
        <v>2</v>
      </c>
      <c r="F415" s="26">
        <v>3.6110000000000002</v>
      </c>
      <c r="G415" s="27">
        <v>0</v>
      </c>
    </row>
    <row r="416" spans="1:14">
      <c r="A416" s="15">
        <v>14</v>
      </c>
      <c r="B416" s="75">
        <v>40598</v>
      </c>
      <c r="C416" s="15">
        <v>2011</v>
      </c>
      <c r="D416" s="11" t="s">
        <v>29</v>
      </c>
      <c r="E416" s="15">
        <v>2</v>
      </c>
      <c r="F416" s="26">
        <v>3.6110000000000002</v>
      </c>
      <c r="G416" s="27">
        <v>1.8909875E-2</v>
      </c>
      <c r="H416" t="s">
        <v>13</v>
      </c>
      <c r="I416" s="27">
        <f>AVERAGE(F413:F416)</f>
        <v>2.9797500000000001</v>
      </c>
      <c r="J416" s="27">
        <f>AVERAGE(G413:G416)</f>
        <v>1.23220625E-2</v>
      </c>
      <c r="L416">
        <f>+J416/I416</f>
        <v>4.1352672204043959E-3</v>
      </c>
      <c r="M416">
        <f>+(L416-$L$931)/$L$932</f>
        <v>-0.22959549613426941</v>
      </c>
      <c r="N416">
        <f>+N412+M416</f>
        <v>18.471472560043825</v>
      </c>
    </row>
    <row r="417" spans="1:14">
      <c r="A417" s="15">
        <v>5</v>
      </c>
      <c r="B417" s="75">
        <v>40619</v>
      </c>
      <c r="C417" s="15">
        <v>2011</v>
      </c>
      <c r="D417" s="11" t="s">
        <v>30</v>
      </c>
      <c r="E417" s="15">
        <v>3</v>
      </c>
      <c r="F417" s="26">
        <v>1.3129999999999999</v>
      </c>
      <c r="G417" s="27">
        <v>0</v>
      </c>
    </row>
    <row r="418" spans="1:14">
      <c r="A418" s="15">
        <v>7</v>
      </c>
      <c r="B418" s="75">
        <v>40617</v>
      </c>
      <c r="C418" s="15">
        <v>2011</v>
      </c>
      <c r="D418" s="11" t="s">
        <v>30</v>
      </c>
      <c r="E418" s="15">
        <v>3</v>
      </c>
      <c r="F418" s="26">
        <v>1.3180000000000001</v>
      </c>
      <c r="G418" s="27">
        <v>1.6179625E-2</v>
      </c>
      <c r="I418" s="27"/>
      <c r="J418" s="27"/>
    </row>
    <row r="419" spans="1:14">
      <c r="A419" s="15">
        <v>14</v>
      </c>
      <c r="B419" s="75">
        <v>40617</v>
      </c>
      <c r="C419" s="15">
        <v>2011</v>
      </c>
      <c r="D419" s="11" t="s">
        <v>30</v>
      </c>
      <c r="E419" s="15">
        <v>3</v>
      </c>
      <c r="F419" s="26">
        <v>0.77200000000000002</v>
      </c>
      <c r="G419" s="27">
        <v>0</v>
      </c>
      <c r="I419" s="27">
        <f>AVERAGE(F417:F419)</f>
        <v>1.1343333333333334</v>
      </c>
      <c r="J419" s="27">
        <f>AVERAGE(G417:G419)</f>
        <v>5.3932083333333332E-3</v>
      </c>
      <c r="L419">
        <f>+J419/I419</f>
        <v>4.7545180722891565E-3</v>
      </c>
      <c r="M419">
        <f>+(L419-$L$931)/$L$932</f>
        <v>-0.20983957187905003</v>
      </c>
      <c r="N419">
        <f>+N416+M419</f>
        <v>18.261632988164774</v>
      </c>
    </row>
    <row r="420" spans="1:14">
      <c r="A420" s="15">
        <v>5</v>
      </c>
      <c r="B420" s="75">
        <v>40646</v>
      </c>
      <c r="C420" s="15">
        <v>2011</v>
      </c>
      <c r="D420" s="11" t="s">
        <v>31</v>
      </c>
      <c r="E420" s="15">
        <v>4</v>
      </c>
      <c r="F420" s="26">
        <v>1.1399999999999999</v>
      </c>
      <c r="G420" s="27">
        <v>0</v>
      </c>
    </row>
    <row r="421" spans="1:14">
      <c r="A421" s="15">
        <v>7</v>
      </c>
      <c r="B421" s="75">
        <v>40647</v>
      </c>
      <c r="C421" s="15">
        <v>2011</v>
      </c>
      <c r="D421" s="11" t="s">
        <v>31</v>
      </c>
      <c r="E421" s="15">
        <v>4</v>
      </c>
      <c r="F421" s="26">
        <v>4.4039999999999999</v>
      </c>
      <c r="G421" s="27">
        <v>0</v>
      </c>
    </row>
    <row r="422" spans="1:14">
      <c r="A422" s="15">
        <v>14</v>
      </c>
      <c r="B422" s="75">
        <v>40647</v>
      </c>
      <c r="C422" s="15">
        <v>2011</v>
      </c>
      <c r="D422" s="11" t="s">
        <v>31</v>
      </c>
      <c r="E422" s="15">
        <v>4</v>
      </c>
      <c r="F422" s="26">
        <v>0.46700000000000003</v>
      </c>
      <c r="G422" s="27">
        <v>0</v>
      </c>
      <c r="I422" s="27">
        <f>AVERAGE(F420:F422)</f>
        <v>2.0036666666666663</v>
      </c>
      <c r="J422" s="27">
        <f>AVERAGE(G420:G422)</f>
        <v>0</v>
      </c>
      <c r="L422">
        <f>+J422/I422</f>
        <v>0</v>
      </c>
      <c r="M422">
        <f>+(L422-$L$931)/$L$932</f>
        <v>-0.3615226880513247</v>
      </c>
      <c r="N422">
        <f>+N419+M422</f>
        <v>17.90011030011345</v>
      </c>
    </row>
    <row r="423" spans="1:14">
      <c r="A423" s="15">
        <v>5</v>
      </c>
      <c r="B423" s="75">
        <v>40681</v>
      </c>
      <c r="C423" s="15">
        <v>2011</v>
      </c>
      <c r="D423" s="11" t="s">
        <v>32</v>
      </c>
      <c r="E423" s="15">
        <v>5</v>
      </c>
      <c r="F423" s="26">
        <v>6.0640000000000001</v>
      </c>
      <c r="G423" s="27">
        <v>0.13433100000000001</v>
      </c>
    </row>
    <row r="424" spans="1:14">
      <c r="A424" s="15">
        <v>7</v>
      </c>
      <c r="B424" s="75">
        <v>40682</v>
      </c>
      <c r="C424" s="15">
        <v>2011</v>
      </c>
      <c r="D424" s="11" t="s">
        <v>32</v>
      </c>
      <c r="E424" s="15">
        <v>5</v>
      </c>
      <c r="F424" s="26">
        <v>5.2119999999999997</v>
      </c>
      <c r="G424" s="27">
        <v>0.11586974999999999</v>
      </c>
    </row>
    <row r="425" spans="1:14">
      <c r="A425" s="15">
        <v>14</v>
      </c>
      <c r="B425" s="75">
        <v>40682</v>
      </c>
      <c r="C425" s="15">
        <v>2011</v>
      </c>
      <c r="D425" s="11" t="s">
        <v>32</v>
      </c>
      <c r="E425" s="15">
        <v>5</v>
      </c>
      <c r="F425" s="26">
        <v>4.5979999999999999</v>
      </c>
      <c r="G425" s="27">
        <v>8.8623750000000001E-2</v>
      </c>
      <c r="I425" s="27">
        <f>AVERAGE(F423:F425)</f>
        <v>5.2913333333333332</v>
      </c>
      <c r="J425" s="27">
        <f>AVERAGE(G423:G425)</f>
        <v>0.11294149999999999</v>
      </c>
      <c r="L425">
        <f>+J425/I425</f>
        <v>2.1344620133551716E-2</v>
      </c>
      <c r="M425">
        <f>+(L425-$L$931)/$L$932</f>
        <v>0.3194334984947878</v>
      </c>
      <c r="N425">
        <f>+N422+M425</f>
        <v>18.219543798608239</v>
      </c>
    </row>
    <row r="426" spans="1:14">
      <c r="A426" s="15">
        <v>5</v>
      </c>
      <c r="B426" s="75">
        <v>40709</v>
      </c>
      <c r="C426" s="15">
        <v>2011</v>
      </c>
      <c r="D426" s="11" t="s">
        <v>33</v>
      </c>
      <c r="E426" s="15">
        <v>6</v>
      </c>
      <c r="F426" s="26">
        <v>10.51</v>
      </c>
      <c r="G426" s="27">
        <v>0</v>
      </c>
    </row>
    <row r="427" spans="1:14">
      <c r="A427" s="15">
        <v>7</v>
      </c>
      <c r="B427" s="75">
        <v>40709</v>
      </c>
      <c r="C427" s="15">
        <v>2011</v>
      </c>
      <c r="D427" s="11" t="s">
        <v>33</v>
      </c>
      <c r="E427" s="15">
        <v>6</v>
      </c>
      <c r="F427" s="26">
        <v>7.7389999999999999</v>
      </c>
      <c r="G427" s="27">
        <v>0</v>
      </c>
    </row>
    <row r="428" spans="1:14">
      <c r="A428" s="15">
        <v>14</v>
      </c>
      <c r="B428" s="75">
        <v>40709</v>
      </c>
      <c r="C428" s="15">
        <v>2011</v>
      </c>
      <c r="D428" s="11" t="s">
        <v>33</v>
      </c>
      <c r="E428" s="15">
        <v>6</v>
      </c>
      <c r="F428" s="26">
        <v>6.5990000000000002</v>
      </c>
      <c r="G428" s="27">
        <v>1.0962624999999998E-2</v>
      </c>
      <c r="I428" s="27">
        <f>AVERAGE(F426:F428)</f>
        <v>8.2826666666666657</v>
      </c>
      <c r="J428" s="27">
        <f>AVERAGE(G426:G428)</f>
        <v>3.6542083333333327E-3</v>
      </c>
      <c r="L428">
        <f>+J428/I428</f>
        <v>4.4118741951062459E-4</v>
      </c>
      <c r="M428">
        <f>+(L428-$L$931)/$L$932</f>
        <v>-0.34744751122164536</v>
      </c>
      <c r="N428">
        <f>+N425+M428</f>
        <v>17.872096287386594</v>
      </c>
    </row>
    <row r="429" spans="1:14">
      <c r="A429" s="15">
        <v>5</v>
      </c>
      <c r="B429" s="75">
        <v>40735</v>
      </c>
      <c r="C429" s="15">
        <v>2011</v>
      </c>
      <c r="D429" s="11" t="s">
        <v>34</v>
      </c>
      <c r="E429" s="15">
        <v>7</v>
      </c>
      <c r="F429" s="26">
        <v>7.0949999999999998</v>
      </c>
      <c r="G429" s="27">
        <v>0</v>
      </c>
    </row>
    <row r="430" spans="1:14">
      <c r="A430" s="15">
        <v>7</v>
      </c>
      <c r="B430" s="75">
        <v>40736</v>
      </c>
      <c r="C430" s="15">
        <v>2011</v>
      </c>
      <c r="D430" s="11" t="s">
        <v>34</v>
      </c>
      <c r="E430" s="15">
        <v>7</v>
      </c>
      <c r="F430" s="26">
        <v>9.6560000000000006</v>
      </c>
      <c r="G430" s="27">
        <v>0</v>
      </c>
    </row>
    <row r="431" spans="1:14">
      <c r="A431" s="15">
        <v>14</v>
      </c>
      <c r="B431" s="75">
        <v>40736</v>
      </c>
      <c r="C431" s="15">
        <v>2011</v>
      </c>
      <c r="D431" s="11" t="s">
        <v>34</v>
      </c>
      <c r="E431" s="15">
        <v>7</v>
      </c>
      <c r="F431" s="26">
        <v>5.9269999999999996</v>
      </c>
      <c r="G431" s="27">
        <v>0</v>
      </c>
      <c r="I431" s="27">
        <f>AVERAGE(F429:F431)</f>
        <v>7.5593333333333339</v>
      </c>
      <c r="J431" s="27">
        <f>AVERAGE(G429:G431)</f>
        <v>0</v>
      </c>
      <c r="L431">
        <f>+J431/I431</f>
        <v>0</v>
      </c>
      <c r="M431">
        <f>+(L431-$L$931)/$L$932</f>
        <v>-0.3615226880513247</v>
      </c>
      <c r="N431">
        <f>+N428+M431</f>
        <v>17.51057359933527</v>
      </c>
    </row>
    <row r="432" spans="1:14">
      <c r="A432" s="15">
        <v>5</v>
      </c>
      <c r="B432" s="75">
        <v>40771</v>
      </c>
      <c r="C432" s="15">
        <v>2011</v>
      </c>
      <c r="D432" s="11" t="s">
        <v>35</v>
      </c>
      <c r="E432" s="15">
        <v>8</v>
      </c>
      <c r="F432" s="26">
        <v>9.5779999999999994</v>
      </c>
      <c r="G432" s="27">
        <v>0</v>
      </c>
    </row>
    <row r="433" spans="1:14">
      <c r="A433" s="15">
        <v>7</v>
      </c>
      <c r="B433" s="75">
        <v>40772</v>
      </c>
      <c r="C433" s="15">
        <v>2011</v>
      </c>
      <c r="D433" s="11" t="s">
        <v>35</v>
      </c>
      <c r="E433" s="15">
        <v>8</v>
      </c>
      <c r="F433" s="26">
        <v>11.446999999999999</v>
      </c>
      <c r="G433" s="27">
        <v>0</v>
      </c>
    </row>
    <row r="434" spans="1:14">
      <c r="A434" s="15">
        <v>7</v>
      </c>
      <c r="B434" s="75">
        <v>40772</v>
      </c>
      <c r="C434" s="15">
        <v>2011</v>
      </c>
      <c r="D434" s="11" t="s">
        <v>35</v>
      </c>
      <c r="E434" s="15">
        <v>8</v>
      </c>
      <c r="F434" s="26">
        <v>11.446999999999999</v>
      </c>
      <c r="G434" s="27">
        <v>0</v>
      </c>
      <c r="H434" t="s">
        <v>13</v>
      </c>
      <c r="I434" s="27"/>
      <c r="J434" s="27"/>
    </row>
    <row r="435" spans="1:14">
      <c r="A435" s="15">
        <v>14</v>
      </c>
      <c r="B435" s="75">
        <v>40772</v>
      </c>
      <c r="C435" s="15">
        <v>2011</v>
      </c>
      <c r="D435" s="11" t="s">
        <v>35</v>
      </c>
      <c r="E435" s="15">
        <v>8</v>
      </c>
      <c r="F435" s="26">
        <v>14.853</v>
      </c>
      <c r="G435" s="27">
        <v>0</v>
      </c>
      <c r="I435" s="27">
        <f>AVERAGE(F432:F435)</f>
        <v>11.831249999999999</v>
      </c>
      <c r="J435" s="27">
        <f>AVERAGE(G432:G435)</f>
        <v>0</v>
      </c>
      <c r="L435">
        <f>+J435/I435</f>
        <v>0</v>
      </c>
      <c r="M435">
        <f>+(L435-$L$931)/$L$932</f>
        <v>-0.3615226880513247</v>
      </c>
      <c r="N435">
        <f>+N431+M435</f>
        <v>17.149050911283947</v>
      </c>
    </row>
    <row r="436" spans="1:14">
      <c r="A436" s="15">
        <v>5</v>
      </c>
      <c r="B436" s="75">
        <v>40799</v>
      </c>
      <c r="C436" s="15">
        <v>2011</v>
      </c>
      <c r="D436" s="11" t="s">
        <v>41</v>
      </c>
      <c r="E436" s="15">
        <v>9</v>
      </c>
      <c r="F436" s="26">
        <v>7.4850000000000003</v>
      </c>
      <c r="G436" s="27">
        <v>0</v>
      </c>
    </row>
    <row r="437" spans="1:14">
      <c r="A437" s="15">
        <v>7</v>
      </c>
      <c r="B437" s="75">
        <v>40798</v>
      </c>
      <c r="C437" s="15">
        <v>2011</v>
      </c>
      <c r="D437" s="11" t="s">
        <v>41</v>
      </c>
      <c r="E437" s="15">
        <v>9</v>
      </c>
      <c r="F437" s="26">
        <v>3.5179999999999998</v>
      </c>
      <c r="G437" s="27">
        <v>0</v>
      </c>
      <c r="I437" s="27"/>
      <c r="J437" s="27"/>
    </row>
    <row r="438" spans="1:14">
      <c r="A438" s="15">
        <v>14</v>
      </c>
      <c r="B438" s="75">
        <v>40798</v>
      </c>
      <c r="C438" s="15">
        <v>2011</v>
      </c>
      <c r="D438" s="11" t="s">
        <v>41</v>
      </c>
      <c r="E438" s="15">
        <v>9</v>
      </c>
      <c r="F438" s="26">
        <v>5.4429999999999996</v>
      </c>
      <c r="G438" s="27">
        <v>0</v>
      </c>
      <c r="I438" s="27">
        <f>AVERAGE(F436:F438)</f>
        <v>5.4819999999999993</v>
      </c>
      <c r="J438" s="27">
        <f>AVERAGE(G436:G438)</f>
        <v>0</v>
      </c>
      <c r="L438">
        <f>+J438/I438</f>
        <v>0</v>
      </c>
      <c r="M438">
        <f>+(L438-$L$931)/$L$932</f>
        <v>-0.3615226880513247</v>
      </c>
      <c r="N438">
        <f>+N435+M438</f>
        <v>16.787528223232624</v>
      </c>
    </row>
    <row r="439" spans="1:14">
      <c r="A439" s="15">
        <v>5</v>
      </c>
      <c r="B439" s="75">
        <v>40827</v>
      </c>
      <c r="C439" s="15">
        <v>2011</v>
      </c>
      <c r="D439" s="11" t="s">
        <v>37</v>
      </c>
      <c r="E439" s="15">
        <v>10</v>
      </c>
      <c r="F439" s="28">
        <v>2.77</v>
      </c>
      <c r="G439" s="27">
        <v>0</v>
      </c>
    </row>
    <row r="440" spans="1:14">
      <c r="A440" s="15">
        <v>7</v>
      </c>
      <c r="B440" s="75">
        <v>40829</v>
      </c>
      <c r="C440" s="15">
        <v>2011</v>
      </c>
      <c r="D440" s="11" t="s">
        <v>37</v>
      </c>
      <c r="E440" s="15">
        <v>10</v>
      </c>
      <c r="F440" s="28">
        <v>2.016</v>
      </c>
      <c r="G440" s="27">
        <v>0</v>
      </c>
    </row>
    <row r="441" spans="1:14">
      <c r="A441" s="15">
        <v>14</v>
      </c>
      <c r="B441" s="75">
        <v>40829</v>
      </c>
      <c r="C441" s="15">
        <v>2011</v>
      </c>
      <c r="D441" s="11" t="s">
        <v>37</v>
      </c>
      <c r="E441" s="15">
        <v>10</v>
      </c>
      <c r="F441" s="28">
        <v>1.399</v>
      </c>
      <c r="G441" s="27">
        <v>0</v>
      </c>
      <c r="I441" s="27">
        <f>AVERAGE(F439:F441)</f>
        <v>2.0616666666666665</v>
      </c>
      <c r="J441" s="27">
        <f>AVERAGE(G439:G441)</f>
        <v>0</v>
      </c>
      <c r="L441">
        <f>+J441/I441</f>
        <v>0</v>
      </c>
      <c r="M441">
        <f>+(L441-$L$931)/$L$932</f>
        <v>-0.3615226880513247</v>
      </c>
      <c r="N441">
        <f>+N438+M441</f>
        <v>16.4260055351813</v>
      </c>
    </row>
    <row r="442" spans="1:14">
      <c r="A442" s="15">
        <v>5</v>
      </c>
      <c r="B442" s="76">
        <v>40862</v>
      </c>
      <c r="C442" s="15">
        <v>2011</v>
      </c>
      <c r="D442" s="11" t="s">
        <v>38</v>
      </c>
      <c r="E442" s="15">
        <v>11</v>
      </c>
      <c r="F442" s="28">
        <v>4.5650000000000004</v>
      </c>
      <c r="G442" s="27">
        <v>3.2385125000000001E-2</v>
      </c>
    </row>
    <row r="443" spans="1:14">
      <c r="A443" s="15">
        <v>7</v>
      </c>
      <c r="B443" s="76">
        <v>40865</v>
      </c>
      <c r="C443" s="15">
        <v>2011</v>
      </c>
      <c r="D443" s="11" t="s">
        <v>38</v>
      </c>
      <c r="E443" s="15">
        <v>11</v>
      </c>
      <c r="F443" s="28">
        <v>1.5209999999999999</v>
      </c>
      <c r="G443" s="27">
        <v>0</v>
      </c>
    </row>
    <row r="444" spans="1:14">
      <c r="A444" s="15">
        <v>14</v>
      </c>
      <c r="B444" s="76">
        <v>40877</v>
      </c>
      <c r="C444" s="15">
        <v>2011</v>
      </c>
      <c r="D444" s="11" t="s">
        <v>38</v>
      </c>
      <c r="E444" s="15">
        <v>11</v>
      </c>
      <c r="F444" s="28">
        <v>1.0429999999999999</v>
      </c>
      <c r="G444" s="27">
        <v>0</v>
      </c>
      <c r="I444" s="27">
        <f>AVERAGE(F442:F444)</f>
        <v>2.3763333333333336</v>
      </c>
      <c r="J444" s="27">
        <f>AVERAGE(G442:G444)</f>
        <v>1.0795041666666666E-2</v>
      </c>
      <c r="L444">
        <f>+J444/I444</f>
        <v>4.5427303969701217E-3</v>
      </c>
      <c r="M444">
        <f>+(L444-$L$931)/$L$932</f>
        <v>-0.21659622188454808</v>
      </c>
      <c r="N444">
        <f>+N441+M444</f>
        <v>16.209409313296753</v>
      </c>
    </row>
    <row r="445" spans="1:14">
      <c r="A445" s="15">
        <v>5</v>
      </c>
      <c r="B445" s="76">
        <v>40891</v>
      </c>
      <c r="C445" s="15">
        <v>2011</v>
      </c>
      <c r="D445" s="11" t="s">
        <v>39</v>
      </c>
      <c r="E445" s="15">
        <v>12</v>
      </c>
      <c r="F445" s="28">
        <v>2.3290000000000002</v>
      </c>
      <c r="G445" s="27">
        <v>0</v>
      </c>
    </row>
    <row r="446" spans="1:14">
      <c r="A446" s="15">
        <v>7</v>
      </c>
      <c r="B446" s="76">
        <v>40891</v>
      </c>
      <c r="C446" s="15">
        <v>2011</v>
      </c>
      <c r="D446" s="11" t="s">
        <v>39</v>
      </c>
      <c r="E446" s="15">
        <v>12</v>
      </c>
      <c r="F446" s="28">
        <v>1.361</v>
      </c>
      <c r="G446" s="27">
        <v>0</v>
      </c>
    </row>
    <row r="447" spans="1:14">
      <c r="A447" s="15">
        <v>14</v>
      </c>
      <c r="B447" s="76">
        <v>40891</v>
      </c>
      <c r="C447" s="15">
        <v>2011</v>
      </c>
      <c r="D447" s="11" t="s">
        <v>39</v>
      </c>
      <c r="E447" s="15">
        <v>12</v>
      </c>
      <c r="F447" s="28">
        <v>0.53100000000000003</v>
      </c>
      <c r="G447" s="27">
        <v>0</v>
      </c>
      <c r="I447" s="27">
        <f>AVERAGE(F445:F447)</f>
        <v>1.407</v>
      </c>
      <c r="J447" s="27">
        <f>AVERAGE(G445:G447)</f>
        <v>0</v>
      </c>
      <c r="L447">
        <f>+J447/I447</f>
        <v>0</v>
      </c>
      <c r="M447">
        <f>+(L447-$L$931)/$L$932</f>
        <v>-0.3615226880513247</v>
      </c>
      <c r="N447">
        <f>+N444+M447</f>
        <v>15.847886625245428</v>
      </c>
    </row>
    <row r="448" spans="1:14">
      <c r="A448" s="15">
        <v>5</v>
      </c>
      <c r="B448" s="75">
        <v>40919</v>
      </c>
      <c r="C448" s="15">
        <v>2012</v>
      </c>
      <c r="D448" s="11" t="s">
        <v>40</v>
      </c>
      <c r="E448" s="15">
        <v>1</v>
      </c>
      <c r="F448" s="30">
        <v>11.461</v>
      </c>
      <c r="G448" s="27">
        <v>0</v>
      </c>
    </row>
    <row r="449" spans="1:14">
      <c r="A449" s="15">
        <v>7</v>
      </c>
      <c r="B449" s="75">
        <v>40919</v>
      </c>
      <c r="C449" s="15">
        <v>2012</v>
      </c>
      <c r="D449" s="11" t="s">
        <v>40</v>
      </c>
      <c r="E449" s="15">
        <v>1</v>
      </c>
      <c r="F449" s="30">
        <v>2.4740000000000002</v>
      </c>
      <c r="G449" s="27">
        <v>0</v>
      </c>
    </row>
    <row r="450" spans="1:14">
      <c r="A450" s="15">
        <v>7</v>
      </c>
      <c r="B450" s="75">
        <v>40919</v>
      </c>
      <c r="C450" s="15">
        <v>2012</v>
      </c>
      <c r="D450" s="11" t="s">
        <v>40</v>
      </c>
      <c r="E450" s="15">
        <v>1</v>
      </c>
      <c r="F450" s="30">
        <v>2.4740000000000002</v>
      </c>
      <c r="G450" s="27">
        <v>0</v>
      </c>
      <c r="H450" t="s">
        <v>13</v>
      </c>
      <c r="I450" s="27"/>
      <c r="J450" s="27"/>
    </row>
    <row r="451" spans="1:14">
      <c r="A451" s="15">
        <v>14</v>
      </c>
      <c r="B451" s="75">
        <v>40919</v>
      </c>
      <c r="C451" s="15">
        <v>2012</v>
      </c>
      <c r="D451" s="11" t="s">
        <v>40</v>
      </c>
      <c r="E451" s="15">
        <v>1</v>
      </c>
      <c r="F451" s="30">
        <v>1.694</v>
      </c>
      <c r="G451" s="27">
        <v>0</v>
      </c>
      <c r="I451" s="27">
        <f>AVERAGE(F448:F451)</f>
        <v>4.5257499999999995</v>
      </c>
      <c r="J451" s="27">
        <f>AVERAGE(G448:G451)</f>
        <v>0</v>
      </c>
      <c r="L451">
        <f>+J451/I451</f>
        <v>0</v>
      </c>
      <c r="M451">
        <f>+(L451-$L$931)/$L$932</f>
        <v>-0.3615226880513247</v>
      </c>
      <c r="N451">
        <f>+N447+M451</f>
        <v>15.486363937194103</v>
      </c>
    </row>
    <row r="452" spans="1:14">
      <c r="A452" s="15">
        <v>5</v>
      </c>
      <c r="B452" s="75">
        <v>40962</v>
      </c>
      <c r="C452" s="15">
        <v>2012</v>
      </c>
      <c r="D452" s="11" t="s">
        <v>29</v>
      </c>
      <c r="E452" s="15">
        <v>2</v>
      </c>
      <c r="F452" s="30">
        <v>3.3820000000000001</v>
      </c>
      <c r="G452" s="27">
        <v>9.6094624999999989E-2</v>
      </c>
    </row>
    <row r="453" spans="1:14">
      <c r="A453" s="15">
        <v>7</v>
      </c>
      <c r="B453" s="75">
        <v>40960</v>
      </c>
      <c r="C453" s="15">
        <v>2012</v>
      </c>
      <c r="D453" s="11" t="s">
        <v>29</v>
      </c>
      <c r="E453" s="15">
        <v>2</v>
      </c>
      <c r="F453" s="30">
        <v>1.637</v>
      </c>
      <c r="G453" s="27">
        <v>0</v>
      </c>
    </row>
    <row r="454" spans="1:14">
      <c r="A454" s="15">
        <v>14</v>
      </c>
      <c r="B454" s="75">
        <v>40960</v>
      </c>
      <c r="C454" s="15">
        <v>2012</v>
      </c>
      <c r="D454" s="11" t="s">
        <v>29</v>
      </c>
      <c r="E454" s="15">
        <v>2</v>
      </c>
      <c r="F454" s="30">
        <v>1.046</v>
      </c>
      <c r="G454" s="27">
        <v>0</v>
      </c>
    </row>
    <row r="455" spans="1:14">
      <c r="A455" s="15">
        <v>14</v>
      </c>
      <c r="B455" s="75">
        <v>40960</v>
      </c>
      <c r="C455" s="15">
        <v>2012</v>
      </c>
      <c r="D455" s="11" t="s">
        <v>29</v>
      </c>
      <c r="E455" s="15">
        <v>2</v>
      </c>
      <c r="F455" s="30">
        <v>1.046</v>
      </c>
      <c r="G455" s="27">
        <v>0</v>
      </c>
      <c r="H455" t="s">
        <v>13</v>
      </c>
      <c r="I455" s="27">
        <f>AVERAGE(F452:F455)</f>
        <v>1.7777500000000002</v>
      </c>
      <c r="J455" s="27">
        <f>AVERAGE(G452:G455)</f>
        <v>2.4023656249999997E-2</v>
      </c>
      <c r="L455">
        <f>+J455/I455</f>
        <v>1.3513517789340455E-2</v>
      </c>
      <c r="M455">
        <f>+(L455-$L$931)/$L$932</f>
        <v>6.9598291524576958E-2</v>
      </c>
      <c r="N455">
        <f>+N451+M455</f>
        <v>15.555962228718679</v>
      </c>
    </row>
    <row r="456" spans="1:14">
      <c r="A456" s="15">
        <v>5</v>
      </c>
      <c r="B456" s="75">
        <v>40980</v>
      </c>
      <c r="C456" s="15">
        <v>2012</v>
      </c>
      <c r="D456" s="11" t="s">
        <v>30</v>
      </c>
      <c r="E456" s="15">
        <v>3</v>
      </c>
      <c r="F456" s="30">
        <v>3.1850000000000001</v>
      </c>
      <c r="G456" s="27">
        <v>0</v>
      </c>
    </row>
    <row r="457" spans="1:14">
      <c r="A457" s="15">
        <v>7</v>
      </c>
      <c r="B457" s="75">
        <v>40982</v>
      </c>
      <c r="C457" s="15">
        <v>2012</v>
      </c>
      <c r="D457" s="11" t="s">
        <v>30</v>
      </c>
      <c r="E457" s="15">
        <v>3</v>
      </c>
      <c r="F457" s="30">
        <v>2.8159999999999998</v>
      </c>
      <c r="G457" s="27">
        <v>0</v>
      </c>
    </row>
    <row r="458" spans="1:14">
      <c r="A458" s="15">
        <v>14</v>
      </c>
      <c r="B458" s="75">
        <v>40982</v>
      </c>
      <c r="C458" s="15">
        <v>2012</v>
      </c>
      <c r="D458" s="11" t="s">
        <v>30</v>
      </c>
      <c r="E458" s="15">
        <v>3</v>
      </c>
      <c r="F458" s="30">
        <v>1.1919999999999999</v>
      </c>
      <c r="G458" s="27">
        <v>0</v>
      </c>
      <c r="I458" s="27">
        <f>AVERAGE(F455:F458)</f>
        <v>2.0597499999999997</v>
      </c>
      <c r="J458" s="27">
        <f>AVERAGE(G455:G458)</f>
        <v>0</v>
      </c>
      <c r="L458">
        <f>+J458/I458</f>
        <v>0</v>
      </c>
      <c r="M458">
        <f>+(L458-$L$931)/$L$932</f>
        <v>-0.3615226880513247</v>
      </c>
      <c r="N458">
        <f>+N455+M458</f>
        <v>15.194439540667354</v>
      </c>
    </row>
    <row r="459" spans="1:14">
      <c r="A459" s="15">
        <v>5</v>
      </c>
      <c r="B459" s="75">
        <v>41015</v>
      </c>
      <c r="C459" s="15">
        <v>2012</v>
      </c>
      <c r="D459" s="11" t="s">
        <v>31</v>
      </c>
      <c r="E459" s="15">
        <v>4</v>
      </c>
      <c r="F459" s="26">
        <v>1.6759999999999999</v>
      </c>
      <c r="G459" s="27">
        <v>0</v>
      </c>
    </row>
    <row r="460" spans="1:14">
      <c r="A460" s="15">
        <v>7</v>
      </c>
      <c r="B460" s="75">
        <v>41016</v>
      </c>
      <c r="C460" s="15">
        <v>2012</v>
      </c>
      <c r="D460" s="11" t="s">
        <v>31</v>
      </c>
      <c r="E460" s="15">
        <v>4</v>
      </c>
      <c r="F460" s="26">
        <v>1.776</v>
      </c>
      <c r="G460" s="27">
        <v>0</v>
      </c>
      <c r="I460" s="27"/>
      <c r="J460" s="27"/>
    </row>
    <row r="461" spans="1:14">
      <c r="A461" s="15">
        <v>14</v>
      </c>
      <c r="B461" s="75">
        <v>41016</v>
      </c>
      <c r="C461" s="15">
        <v>2012</v>
      </c>
      <c r="D461" s="11" t="s">
        <v>31</v>
      </c>
      <c r="E461" s="15">
        <v>4</v>
      </c>
      <c r="F461" s="26">
        <v>1.0149999999999999</v>
      </c>
      <c r="G461" s="27">
        <v>0</v>
      </c>
      <c r="I461" s="27">
        <f>AVERAGE(F459:F461)</f>
        <v>1.4889999999999999</v>
      </c>
      <c r="J461" s="27">
        <f>AVERAGE(G459:G461)</f>
        <v>0</v>
      </c>
      <c r="L461">
        <f>+J461/I461</f>
        <v>0</v>
      </c>
      <c r="M461">
        <f>+(L461-$L$931)/$L$932</f>
        <v>-0.3615226880513247</v>
      </c>
      <c r="N461">
        <f>+N458+M461</f>
        <v>14.832916852616028</v>
      </c>
    </row>
    <row r="462" spans="1:14">
      <c r="A462" s="15">
        <v>5</v>
      </c>
      <c r="B462" s="75">
        <v>41045</v>
      </c>
      <c r="C462" s="15">
        <v>2012</v>
      </c>
      <c r="D462" s="11" t="s">
        <v>32</v>
      </c>
      <c r="E462" s="15">
        <v>5</v>
      </c>
      <c r="F462" s="26">
        <v>3.4529999999999998</v>
      </c>
      <c r="G462" s="27">
        <v>0</v>
      </c>
    </row>
    <row r="463" spans="1:14">
      <c r="A463" s="15">
        <v>7</v>
      </c>
      <c r="B463" s="75">
        <v>41046</v>
      </c>
      <c r="C463" s="15">
        <v>2012</v>
      </c>
      <c r="D463" s="11" t="s">
        <v>32</v>
      </c>
      <c r="E463" s="15">
        <v>5</v>
      </c>
      <c r="F463" s="26">
        <v>6.641</v>
      </c>
      <c r="G463" s="27">
        <v>0</v>
      </c>
    </row>
    <row r="464" spans="1:14">
      <c r="A464" s="15">
        <v>14</v>
      </c>
      <c r="B464" s="75">
        <v>41046</v>
      </c>
      <c r="C464" s="15">
        <v>2012</v>
      </c>
      <c r="D464" s="11" t="s">
        <v>32</v>
      </c>
      <c r="E464" s="15">
        <v>5</v>
      </c>
      <c r="F464" s="26">
        <v>4.2300000000000004</v>
      </c>
      <c r="G464" s="27">
        <v>0</v>
      </c>
      <c r="I464" s="27">
        <f>AVERAGE(F462:F464)</f>
        <v>4.7746666666666666</v>
      </c>
      <c r="J464" s="27">
        <f>AVERAGE(G462:G464)</f>
        <v>0</v>
      </c>
      <c r="L464">
        <f>+J464/I464</f>
        <v>0</v>
      </c>
      <c r="M464">
        <f>+(L464-$L$931)/$L$932</f>
        <v>-0.3615226880513247</v>
      </c>
      <c r="N464">
        <f>+N461+M464</f>
        <v>14.471394164564703</v>
      </c>
    </row>
    <row r="465" spans="1:14">
      <c r="A465" s="15">
        <v>5</v>
      </c>
      <c r="B465" s="75">
        <v>41073</v>
      </c>
      <c r="C465" s="15">
        <v>2012</v>
      </c>
      <c r="D465" s="11" t="s">
        <v>33</v>
      </c>
      <c r="E465" s="15">
        <v>6</v>
      </c>
      <c r="F465" s="26">
        <v>8.7240000000000002</v>
      </c>
      <c r="G465" s="27">
        <v>0</v>
      </c>
    </row>
    <row r="466" spans="1:14">
      <c r="A466" s="15">
        <v>7</v>
      </c>
      <c r="B466" s="75">
        <v>41080</v>
      </c>
      <c r="C466" s="15">
        <v>2012</v>
      </c>
      <c r="D466" s="11" t="s">
        <v>33</v>
      </c>
      <c r="E466" s="15">
        <v>6</v>
      </c>
      <c r="F466" s="26">
        <v>6.5609999999999999</v>
      </c>
      <c r="G466" s="27">
        <v>0</v>
      </c>
    </row>
    <row r="467" spans="1:14">
      <c r="A467" s="15">
        <v>7</v>
      </c>
      <c r="B467" s="75">
        <v>41080</v>
      </c>
      <c r="C467" s="15">
        <v>2012</v>
      </c>
      <c r="D467" s="11" t="s">
        <v>33</v>
      </c>
      <c r="E467" s="15">
        <v>6</v>
      </c>
      <c r="F467" s="26">
        <v>6.5609999999999999</v>
      </c>
      <c r="G467" s="27">
        <v>0</v>
      </c>
      <c r="H467" t="s">
        <v>13</v>
      </c>
      <c r="I467" s="27"/>
      <c r="J467" s="27"/>
    </row>
    <row r="468" spans="1:14">
      <c r="A468" s="15">
        <v>14</v>
      </c>
      <c r="B468" s="75">
        <v>41080</v>
      </c>
      <c r="C468" s="15">
        <v>2012</v>
      </c>
      <c r="D468" s="11" t="s">
        <v>33</v>
      </c>
      <c r="E468" s="15">
        <v>6</v>
      </c>
      <c r="F468" s="26">
        <v>1.976</v>
      </c>
      <c r="G468" s="27">
        <v>7.5689875000000018E-2</v>
      </c>
      <c r="I468" s="27">
        <f>AVERAGE(F465:F468)</f>
        <v>5.9554999999999998</v>
      </c>
      <c r="J468" s="27">
        <f>AVERAGE(G465:G468)</f>
        <v>1.8922468750000004E-2</v>
      </c>
      <c r="L468">
        <f>+J468/I468</f>
        <v>3.1773098396440272E-3</v>
      </c>
      <c r="M468">
        <f>+(L468-$L$931)/$L$932</f>
        <v>-0.26015715526873612</v>
      </c>
      <c r="N468">
        <f>+N464+M468</f>
        <v>14.211237009295967</v>
      </c>
    </row>
    <row r="469" spans="1:14">
      <c r="A469" s="15">
        <v>5</v>
      </c>
      <c r="B469" s="75">
        <v>41107</v>
      </c>
      <c r="C469" s="15">
        <v>2012</v>
      </c>
      <c r="D469" s="11" t="s">
        <v>34</v>
      </c>
      <c r="E469" s="15">
        <v>7</v>
      </c>
      <c r="F469" s="26">
        <v>13.635999999999999</v>
      </c>
      <c r="G469" s="27">
        <v>0</v>
      </c>
    </row>
    <row r="470" spans="1:14">
      <c r="A470" s="15">
        <v>7</v>
      </c>
      <c r="B470" s="75">
        <v>41106</v>
      </c>
      <c r="C470" s="15">
        <v>2012</v>
      </c>
      <c r="D470" s="11" t="s">
        <v>34</v>
      </c>
      <c r="E470" s="15">
        <v>7</v>
      </c>
      <c r="F470" s="26">
        <v>10.025</v>
      </c>
      <c r="G470" s="27">
        <v>0</v>
      </c>
      <c r="I470" s="27"/>
      <c r="J470" s="27"/>
    </row>
    <row r="471" spans="1:14">
      <c r="A471" s="15">
        <v>14</v>
      </c>
      <c r="B471" s="75">
        <v>41106</v>
      </c>
      <c r="C471" s="15">
        <v>2012</v>
      </c>
      <c r="D471" s="11" t="s">
        <v>34</v>
      </c>
      <c r="E471" s="15">
        <v>7</v>
      </c>
      <c r="F471" s="26">
        <v>7.0940000000000003</v>
      </c>
      <c r="G471" s="27">
        <v>0</v>
      </c>
      <c r="I471" s="27">
        <f>AVERAGE(F469:F471)</f>
        <v>10.251666666666667</v>
      </c>
      <c r="J471" s="27">
        <f>AVERAGE(G469:G471)</f>
        <v>0</v>
      </c>
      <c r="L471">
        <f>+J471/I471</f>
        <v>0</v>
      </c>
      <c r="M471">
        <f>+(L471-$L$931)/$L$932</f>
        <v>-0.3615226880513247</v>
      </c>
      <c r="N471">
        <f>+N468+M471</f>
        <v>13.849714321244642</v>
      </c>
    </row>
    <row r="472" spans="1:14">
      <c r="A472" s="15">
        <v>5</v>
      </c>
      <c r="B472" s="75">
        <v>41135</v>
      </c>
      <c r="C472" s="15">
        <v>2012</v>
      </c>
      <c r="D472" s="11" t="s">
        <v>35</v>
      </c>
      <c r="E472" s="15">
        <v>8</v>
      </c>
      <c r="F472" s="26">
        <v>57.398000000000003</v>
      </c>
      <c r="G472" s="27">
        <v>0</v>
      </c>
    </row>
    <row r="473" spans="1:14">
      <c r="A473" s="15">
        <v>7</v>
      </c>
      <c r="B473" s="75">
        <v>41137</v>
      </c>
      <c r="C473" s="15">
        <v>2012</v>
      </c>
      <c r="D473" s="11" t="s">
        <v>35</v>
      </c>
      <c r="E473" s="15">
        <v>8</v>
      </c>
      <c r="F473" s="26">
        <v>21.312999999999999</v>
      </c>
      <c r="G473" s="27">
        <v>0</v>
      </c>
    </row>
    <row r="474" spans="1:14">
      <c r="A474" s="15">
        <v>14</v>
      </c>
      <c r="B474" s="75">
        <v>41137</v>
      </c>
      <c r="C474" s="15">
        <v>2012</v>
      </c>
      <c r="D474" s="11" t="s">
        <v>35</v>
      </c>
      <c r="E474" s="15">
        <v>8</v>
      </c>
      <c r="F474" s="26">
        <v>3.71</v>
      </c>
      <c r="G474" s="27">
        <v>0</v>
      </c>
      <c r="I474" s="27">
        <f>AVERAGE(F472:F474)</f>
        <v>27.473666666666663</v>
      </c>
      <c r="J474" s="27">
        <f>AVERAGE(G472:G474)</f>
        <v>0</v>
      </c>
      <c r="L474">
        <f>+J474/I474</f>
        <v>0</v>
      </c>
      <c r="M474">
        <f>+(L474-$L$931)/$L$932</f>
        <v>-0.3615226880513247</v>
      </c>
      <c r="N474">
        <f>+N471+M474</f>
        <v>13.488191633193317</v>
      </c>
    </row>
    <row r="475" spans="1:14">
      <c r="A475" s="15">
        <v>5</v>
      </c>
      <c r="B475" s="75">
        <v>41164</v>
      </c>
      <c r="C475" s="15">
        <v>2012</v>
      </c>
      <c r="D475" s="11" t="s">
        <v>41</v>
      </c>
      <c r="E475" s="15">
        <v>9</v>
      </c>
      <c r="F475" s="26">
        <v>13.07</v>
      </c>
      <c r="G475" s="27">
        <v>0</v>
      </c>
    </row>
    <row r="476" spans="1:14">
      <c r="A476" s="15">
        <v>7</v>
      </c>
      <c r="B476" s="75">
        <v>41163</v>
      </c>
      <c r="C476" s="15">
        <v>2012</v>
      </c>
      <c r="D476" s="11" t="s">
        <v>41</v>
      </c>
      <c r="E476" s="15">
        <v>9</v>
      </c>
      <c r="F476" s="26">
        <v>20.484999999999999</v>
      </c>
      <c r="G476" s="27">
        <v>0</v>
      </c>
    </row>
    <row r="477" spans="1:14">
      <c r="A477" s="15">
        <v>14</v>
      </c>
      <c r="B477" s="75">
        <v>41163</v>
      </c>
      <c r="C477" s="15">
        <v>2012</v>
      </c>
      <c r="D477" s="11" t="s">
        <v>41</v>
      </c>
      <c r="E477" s="15">
        <v>9</v>
      </c>
      <c r="F477" s="26">
        <v>2.7469999999999999</v>
      </c>
      <c r="G477" s="27">
        <v>0</v>
      </c>
      <c r="I477" s="27">
        <f>AVERAGE(F475:F477)</f>
        <v>12.100666666666667</v>
      </c>
      <c r="J477" s="27">
        <f>AVERAGE(G475:G477)</f>
        <v>0</v>
      </c>
      <c r="L477">
        <f>+J477/I477</f>
        <v>0</v>
      </c>
      <c r="M477">
        <f>+(L477-$L$931)/$L$932</f>
        <v>-0.3615226880513247</v>
      </c>
      <c r="N477">
        <f>+N474+M477</f>
        <v>13.126668945141992</v>
      </c>
    </row>
    <row r="478" spans="1:14">
      <c r="A478" s="15">
        <v>5</v>
      </c>
      <c r="B478" s="75">
        <v>41199</v>
      </c>
      <c r="C478" s="15">
        <v>2012</v>
      </c>
      <c r="D478" s="11" t="s">
        <v>37</v>
      </c>
      <c r="E478" s="15">
        <v>10</v>
      </c>
      <c r="F478" s="26">
        <v>3.6970000000000001</v>
      </c>
      <c r="G478" s="27">
        <v>0</v>
      </c>
    </row>
    <row r="479" spans="1:14">
      <c r="A479" s="15">
        <v>7</v>
      </c>
      <c r="B479" s="75">
        <v>41199</v>
      </c>
      <c r="C479" s="15">
        <v>2012</v>
      </c>
      <c r="D479" s="11" t="s">
        <v>37</v>
      </c>
      <c r="E479" s="15">
        <v>10</v>
      </c>
      <c r="F479" s="26">
        <v>1.903</v>
      </c>
      <c r="G479" s="27">
        <v>0</v>
      </c>
    </row>
    <row r="480" spans="1:14">
      <c r="A480" s="15">
        <v>14</v>
      </c>
      <c r="B480" s="75">
        <v>41199</v>
      </c>
      <c r="C480" s="15">
        <v>2012</v>
      </c>
      <c r="D480" s="11" t="s">
        <v>37</v>
      </c>
      <c r="E480" s="15">
        <v>10</v>
      </c>
      <c r="F480" s="26">
        <v>1.704</v>
      </c>
      <c r="G480" s="27">
        <v>0</v>
      </c>
      <c r="I480" s="27">
        <f>AVERAGE(F478:F480)</f>
        <v>2.4346666666666663</v>
      </c>
      <c r="J480" s="27">
        <f>AVERAGE(G478:G480)</f>
        <v>0</v>
      </c>
      <c r="L480">
        <f>+J480/I480</f>
        <v>0</v>
      </c>
      <c r="M480">
        <f>+(L480-$L$931)/$L$932</f>
        <v>-0.3615226880513247</v>
      </c>
      <c r="N480">
        <f>+N477+M480</f>
        <v>12.765146257090667</v>
      </c>
    </row>
    <row r="481" spans="1:14">
      <c r="A481" s="15">
        <v>5</v>
      </c>
      <c r="B481" s="75">
        <v>41225</v>
      </c>
      <c r="C481" s="15">
        <v>2012</v>
      </c>
      <c r="D481" s="11" t="s">
        <v>38</v>
      </c>
      <c r="E481" s="15">
        <v>11</v>
      </c>
      <c r="F481" s="26">
        <v>4.7450000000000001</v>
      </c>
      <c r="G481" s="27">
        <v>0</v>
      </c>
    </row>
    <row r="482" spans="1:14">
      <c r="A482" s="15">
        <v>7</v>
      </c>
      <c r="B482" s="75">
        <v>41225</v>
      </c>
      <c r="C482" s="15">
        <v>2012</v>
      </c>
      <c r="D482" s="11" t="s">
        <v>38</v>
      </c>
      <c r="E482" s="15">
        <v>11</v>
      </c>
      <c r="F482" s="26">
        <v>4.2389999999999999</v>
      </c>
      <c r="G482" s="27">
        <v>0</v>
      </c>
    </row>
    <row r="483" spans="1:14">
      <c r="A483" s="15">
        <v>14</v>
      </c>
      <c r="B483" s="75">
        <v>41225</v>
      </c>
      <c r="C483" s="15">
        <v>2012</v>
      </c>
      <c r="D483" s="11" t="s">
        <v>38</v>
      </c>
      <c r="E483" s="15">
        <v>11</v>
      </c>
      <c r="F483" s="26">
        <v>1.831</v>
      </c>
      <c r="G483" s="27">
        <v>0</v>
      </c>
    </row>
    <row r="484" spans="1:14">
      <c r="A484" s="15">
        <v>14</v>
      </c>
      <c r="B484" s="75">
        <v>41225</v>
      </c>
      <c r="C484" s="15">
        <v>2012</v>
      </c>
      <c r="D484" s="11" t="s">
        <v>38</v>
      </c>
      <c r="E484" s="15">
        <v>11</v>
      </c>
      <c r="F484" s="26">
        <v>1.831</v>
      </c>
      <c r="G484" s="27">
        <v>0</v>
      </c>
      <c r="H484" t="s">
        <v>13</v>
      </c>
      <c r="I484" s="27">
        <f>AVERAGE(F481:F484)</f>
        <v>3.1614999999999998</v>
      </c>
      <c r="J484" s="27">
        <f>AVERAGE(G481:G484)</f>
        <v>0</v>
      </c>
      <c r="L484">
        <f>+J484/I484</f>
        <v>0</v>
      </c>
      <c r="M484">
        <f>+(L484-$L$931)/$L$932</f>
        <v>-0.3615226880513247</v>
      </c>
      <c r="N484">
        <f>+N480+M484</f>
        <v>12.403623569039341</v>
      </c>
    </row>
    <row r="485" spans="1:14">
      <c r="A485" s="15">
        <v>5</v>
      </c>
      <c r="B485" s="75">
        <v>41254</v>
      </c>
      <c r="C485" s="15">
        <v>2012</v>
      </c>
      <c r="D485" s="11" t="s">
        <v>39</v>
      </c>
      <c r="E485" s="15">
        <v>12</v>
      </c>
      <c r="F485" s="26">
        <v>2.2109999999999999</v>
      </c>
      <c r="G485" s="27">
        <v>0</v>
      </c>
    </row>
    <row r="486" spans="1:14">
      <c r="A486" s="15">
        <v>7</v>
      </c>
      <c r="B486" s="75">
        <v>41255</v>
      </c>
      <c r="C486" s="15">
        <v>2012</v>
      </c>
      <c r="D486" s="11" t="s">
        <v>39</v>
      </c>
      <c r="E486" s="15">
        <v>12</v>
      </c>
      <c r="F486" s="26">
        <v>3.383</v>
      </c>
      <c r="G486" s="27">
        <v>0</v>
      </c>
    </row>
    <row r="487" spans="1:14">
      <c r="A487" s="15">
        <v>14</v>
      </c>
      <c r="B487" s="75">
        <v>41255</v>
      </c>
      <c r="C487" s="15">
        <v>2012</v>
      </c>
      <c r="D487" s="11" t="s">
        <v>39</v>
      </c>
      <c r="E487" s="15">
        <v>12</v>
      </c>
      <c r="F487" s="26">
        <v>1.1919999999999999</v>
      </c>
      <c r="G487" s="27">
        <v>0</v>
      </c>
      <c r="I487" s="27">
        <f>AVERAGE(F485:F487)</f>
        <v>2.262</v>
      </c>
      <c r="J487" s="27">
        <f>AVERAGE(G485:G487)</f>
        <v>0</v>
      </c>
      <c r="L487">
        <f>+J487/I487</f>
        <v>0</v>
      </c>
      <c r="M487">
        <f>+(L487-$L$931)/$L$932</f>
        <v>-0.3615226880513247</v>
      </c>
      <c r="N487">
        <f>+N484+M487</f>
        <v>12.042100880988016</v>
      </c>
    </row>
    <row r="488" spans="1:14">
      <c r="A488" s="15">
        <v>5</v>
      </c>
      <c r="B488" s="75">
        <v>41288</v>
      </c>
      <c r="C488" s="15">
        <v>2013</v>
      </c>
      <c r="D488" s="11" t="s">
        <v>40</v>
      </c>
      <c r="E488" s="15">
        <v>1</v>
      </c>
      <c r="F488" s="26">
        <v>2.3490000000000002</v>
      </c>
      <c r="G488" s="27">
        <v>0</v>
      </c>
    </row>
    <row r="489" spans="1:14">
      <c r="A489" s="15">
        <v>7</v>
      </c>
      <c r="B489" s="75">
        <v>41297</v>
      </c>
      <c r="C489" s="15">
        <v>2013</v>
      </c>
      <c r="D489" s="11" t="s">
        <v>40</v>
      </c>
      <c r="E489" s="15">
        <v>1</v>
      </c>
      <c r="F489" s="26">
        <v>2.6680000000000001</v>
      </c>
      <c r="G489" s="27">
        <v>0</v>
      </c>
    </row>
    <row r="490" spans="1:14">
      <c r="A490" s="15">
        <v>7</v>
      </c>
      <c r="B490" s="75">
        <v>41297</v>
      </c>
      <c r="C490" s="15">
        <v>2013</v>
      </c>
      <c r="D490" s="11" t="s">
        <v>40</v>
      </c>
      <c r="E490" s="15">
        <v>1</v>
      </c>
      <c r="F490" s="26">
        <v>2.6680000000000001</v>
      </c>
      <c r="G490" s="27">
        <v>0</v>
      </c>
      <c r="H490" t="s">
        <v>13</v>
      </c>
    </row>
    <row r="491" spans="1:14">
      <c r="A491" s="15">
        <v>14</v>
      </c>
      <c r="B491" s="75">
        <v>41297</v>
      </c>
      <c r="C491" s="15">
        <v>2013</v>
      </c>
      <c r="D491" s="11" t="s">
        <v>40</v>
      </c>
      <c r="E491" s="15">
        <v>1</v>
      </c>
      <c r="F491" s="26">
        <v>1.38</v>
      </c>
      <c r="G491" s="27">
        <v>0</v>
      </c>
      <c r="I491" s="27">
        <f>AVERAGE(F488:F491)</f>
        <v>2.2662500000000003</v>
      </c>
      <c r="J491" s="27">
        <f>AVERAGE(G488:G491)</f>
        <v>0</v>
      </c>
      <c r="L491">
        <f>+J491/I491</f>
        <v>0</v>
      </c>
      <c r="M491">
        <f>+(L491-$L$931)/$L$932</f>
        <v>-0.3615226880513247</v>
      </c>
      <c r="N491">
        <f>+N487+M491</f>
        <v>11.680578192936691</v>
      </c>
    </row>
    <row r="492" spans="1:14">
      <c r="A492" s="15">
        <v>5</v>
      </c>
      <c r="B492" s="75">
        <v>41318</v>
      </c>
      <c r="C492" s="15">
        <v>2013</v>
      </c>
      <c r="D492" s="11" t="s">
        <v>29</v>
      </c>
      <c r="E492" s="15">
        <v>2</v>
      </c>
      <c r="F492" s="31">
        <v>8.3369999999999997</v>
      </c>
      <c r="G492" s="27">
        <v>0</v>
      </c>
    </row>
    <row r="493" spans="1:14">
      <c r="A493" s="15">
        <v>7</v>
      </c>
      <c r="B493" s="75">
        <v>41319</v>
      </c>
      <c r="C493" s="15">
        <v>2013</v>
      </c>
      <c r="D493" s="11" t="s">
        <v>29</v>
      </c>
      <c r="E493" s="15">
        <v>2</v>
      </c>
      <c r="F493" s="31">
        <v>5.2880000000000003</v>
      </c>
      <c r="G493" s="27">
        <v>0</v>
      </c>
    </row>
    <row r="494" spans="1:14">
      <c r="A494" s="15">
        <v>14</v>
      </c>
      <c r="B494" s="75">
        <v>41319</v>
      </c>
      <c r="C494" s="15">
        <v>2013</v>
      </c>
      <c r="D494" s="11" t="s">
        <v>29</v>
      </c>
      <c r="E494" s="15">
        <v>2</v>
      </c>
      <c r="F494" s="31">
        <v>6.0389999999999997</v>
      </c>
      <c r="G494" s="27">
        <v>1.3569375E-2</v>
      </c>
    </row>
    <row r="495" spans="1:14">
      <c r="A495" s="15">
        <v>14</v>
      </c>
      <c r="B495" s="75">
        <v>41319</v>
      </c>
      <c r="C495" s="15">
        <v>2013</v>
      </c>
      <c r="D495" s="11" t="s">
        <v>29</v>
      </c>
      <c r="E495" s="15">
        <v>2</v>
      </c>
      <c r="F495" s="31">
        <v>6.0389999999999997</v>
      </c>
      <c r="G495" s="27">
        <v>0</v>
      </c>
      <c r="H495" t="s">
        <v>13</v>
      </c>
      <c r="I495" s="27">
        <f>AVERAGE(F492:F495)</f>
        <v>6.4257500000000007</v>
      </c>
      <c r="J495" s="27">
        <f>AVERAGE(G492:G495)</f>
        <v>3.39234375E-3</v>
      </c>
      <c r="L495">
        <f>+J495/I495</f>
        <v>5.2792961911060957E-4</v>
      </c>
      <c r="M495">
        <f>+(L495-$L$931)/$L$932</f>
        <v>-0.34468017982466354</v>
      </c>
      <c r="N495">
        <f>+N491+M495</f>
        <v>11.335898013112027</v>
      </c>
    </row>
    <row r="496" spans="1:14">
      <c r="A496" s="15">
        <v>5</v>
      </c>
      <c r="B496" s="75">
        <v>41344</v>
      </c>
      <c r="C496" s="15">
        <v>2013</v>
      </c>
      <c r="D496" s="11" t="s">
        <v>30</v>
      </c>
      <c r="E496" s="15">
        <v>3</v>
      </c>
      <c r="F496" s="31">
        <v>6.8650000000000002</v>
      </c>
      <c r="G496" s="27">
        <v>0</v>
      </c>
    </row>
    <row r="497" spans="1:14">
      <c r="A497" s="15">
        <v>7</v>
      </c>
      <c r="B497" s="75">
        <v>41346</v>
      </c>
      <c r="C497" s="15">
        <v>2013</v>
      </c>
      <c r="D497" s="11" t="s">
        <v>30</v>
      </c>
      <c r="E497" s="15">
        <v>3</v>
      </c>
      <c r="F497" s="31">
        <v>10.744</v>
      </c>
      <c r="G497" s="27">
        <v>0</v>
      </c>
    </row>
    <row r="498" spans="1:14">
      <c r="A498" s="15">
        <v>14</v>
      </c>
      <c r="B498" s="75">
        <v>41346</v>
      </c>
      <c r="C498" s="15">
        <v>2013</v>
      </c>
      <c r="D498" s="11" t="s">
        <v>30</v>
      </c>
      <c r="E498" s="15">
        <v>3</v>
      </c>
      <c r="F498" s="31">
        <v>8.9760000000000009</v>
      </c>
      <c r="G498" s="27">
        <v>0</v>
      </c>
      <c r="I498" s="27">
        <f>AVERAGE(F496:F498)</f>
        <v>8.8616666666666664</v>
      </c>
      <c r="J498" s="27">
        <f>AVERAGE(G496:G498)</f>
        <v>0</v>
      </c>
      <c r="L498">
        <f>+J498/I498</f>
        <v>0</v>
      </c>
      <c r="M498">
        <f>+(L498-$L$931)/$L$932</f>
        <v>-0.3615226880513247</v>
      </c>
      <c r="N498">
        <f>+N495+M498</f>
        <v>10.974375325060702</v>
      </c>
    </row>
    <row r="499" spans="1:14">
      <c r="A499" s="15">
        <v>5</v>
      </c>
      <c r="B499" s="75">
        <v>41379</v>
      </c>
      <c r="C499" s="15">
        <v>2013</v>
      </c>
      <c r="D499" s="11" t="s">
        <v>31</v>
      </c>
      <c r="E499" s="15">
        <v>4</v>
      </c>
      <c r="F499" s="32">
        <v>2.5430000000000001</v>
      </c>
      <c r="G499" s="27">
        <v>0</v>
      </c>
    </row>
    <row r="500" spans="1:14">
      <c r="A500" s="15">
        <v>7</v>
      </c>
      <c r="B500" s="75">
        <v>41380</v>
      </c>
      <c r="C500" s="15">
        <v>2013</v>
      </c>
      <c r="D500" s="11" t="s">
        <v>31</v>
      </c>
      <c r="E500" s="15">
        <v>4</v>
      </c>
      <c r="F500" s="32">
        <v>5.2409999999999997</v>
      </c>
      <c r="G500" s="27">
        <v>0</v>
      </c>
    </row>
    <row r="501" spans="1:14">
      <c r="A501" s="15">
        <v>14</v>
      </c>
      <c r="B501" s="75">
        <v>41380</v>
      </c>
      <c r="C501" s="15">
        <v>2013</v>
      </c>
      <c r="D501" s="11" t="s">
        <v>31</v>
      </c>
      <c r="E501" s="15">
        <v>4</v>
      </c>
      <c r="F501" s="32">
        <v>0.433</v>
      </c>
      <c r="G501" s="27">
        <v>0</v>
      </c>
      <c r="I501" s="27">
        <f>AVERAGE(F499:F501)</f>
        <v>2.7390000000000003</v>
      </c>
      <c r="J501" s="27">
        <f>AVERAGE(G499:G501)</f>
        <v>0</v>
      </c>
      <c r="L501">
        <f>+J501/I501</f>
        <v>0</v>
      </c>
      <c r="M501">
        <f>+(L501-$L$931)/$L$932</f>
        <v>-0.3615226880513247</v>
      </c>
      <c r="N501">
        <f>+N498+M501</f>
        <v>10.612852637009377</v>
      </c>
    </row>
    <row r="502" spans="1:14">
      <c r="A502" s="15">
        <v>5</v>
      </c>
      <c r="B502" s="75">
        <v>41407</v>
      </c>
      <c r="C502" s="15">
        <v>2013</v>
      </c>
      <c r="D502" s="11" t="s">
        <v>32</v>
      </c>
      <c r="E502" s="15">
        <v>5</v>
      </c>
      <c r="F502" s="32">
        <v>1.2370000000000001</v>
      </c>
      <c r="G502" s="27">
        <v>0</v>
      </c>
    </row>
    <row r="503" spans="1:14">
      <c r="A503" s="15">
        <v>7</v>
      </c>
      <c r="B503" s="75">
        <v>41407</v>
      </c>
      <c r="C503" s="15">
        <v>2013</v>
      </c>
      <c r="D503" s="11" t="s">
        <v>32</v>
      </c>
      <c r="E503" s="15">
        <v>5</v>
      </c>
      <c r="F503" s="32">
        <v>1.2390000000000001</v>
      </c>
      <c r="G503" s="27">
        <v>0</v>
      </c>
    </row>
    <row r="504" spans="1:14">
      <c r="A504" s="15">
        <v>14</v>
      </c>
      <c r="B504" s="75">
        <v>41407</v>
      </c>
      <c r="C504" s="15">
        <v>2013</v>
      </c>
      <c r="D504" s="11" t="s">
        <v>32</v>
      </c>
      <c r="E504" s="15">
        <v>5</v>
      </c>
      <c r="F504" s="32">
        <v>0.63600000000000001</v>
      </c>
      <c r="G504" s="27">
        <v>0</v>
      </c>
      <c r="I504" s="27">
        <f>AVERAGE(F502:F504)</f>
        <v>1.0373333333333334</v>
      </c>
      <c r="J504" s="27">
        <f>AVERAGE(G502:G504)</f>
        <v>0</v>
      </c>
      <c r="L504">
        <f>+J504/I504</f>
        <v>0</v>
      </c>
      <c r="M504">
        <f>+(L504-$L$931)/$L$932</f>
        <v>-0.3615226880513247</v>
      </c>
      <c r="N504">
        <f>+N501+M504</f>
        <v>10.251329948958052</v>
      </c>
    </row>
    <row r="505" spans="1:14">
      <c r="A505" s="15">
        <v>5</v>
      </c>
      <c r="B505" s="75">
        <v>41436</v>
      </c>
      <c r="C505" s="15">
        <v>2013</v>
      </c>
      <c r="D505" s="11" t="s">
        <v>33</v>
      </c>
      <c r="E505" s="15">
        <v>6</v>
      </c>
      <c r="F505" s="32">
        <v>6.915</v>
      </c>
      <c r="G505" s="27">
        <v>0</v>
      </c>
    </row>
    <row r="506" spans="1:14">
      <c r="A506" s="15">
        <v>5</v>
      </c>
      <c r="B506" s="75">
        <v>41436</v>
      </c>
      <c r="C506" s="15">
        <v>2013</v>
      </c>
      <c r="D506" s="11" t="s">
        <v>33</v>
      </c>
      <c r="E506" s="15">
        <v>6</v>
      </c>
      <c r="F506" s="32">
        <v>6.915</v>
      </c>
      <c r="G506" s="27">
        <v>0</v>
      </c>
      <c r="H506" t="s">
        <v>13</v>
      </c>
    </row>
    <row r="507" spans="1:14">
      <c r="A507" s="15">
        <v>7</v>
      </c>
      <c r="B507" s="75">
        <v>41437</v>
      </c>
      <c r="C507" s="15">
        <v>2013</v>
      </c>
      <c r="D507" s="11" t="s">
        <v>33</v>
      </c>
      <c r="E507" s="15">
        <v>6</v>
      </c>
      <c r="F507" s="32">
        <v>7.1859999999999999</v>
      </c>
      <c r="G507" s="27">
        <v>0</v>
      </c>
      <c r="I507" s="27"/>
      <c r="J507" s="27"/>
    </row>
    <row r="508" spans="1:14">
      <c r="A508" s="15">
        <v>14</v>
      </c>
      <c r="B508" s="75">
        <v>41437</v>
      </c>
      <c r="C508" s="15">
        <v>2013</v>
      </c>
      <c r="D508" s="11" t="s">
        <v>33</v>
      </c>
      <c r="E508" s="15">
        <v>6</v>
      </c>
      <c r="F508" s="32">
        <v>5.2770000000000001</v>
      </c>
      <c r="G508" s="27">
        <v>0</v>
      </c>
      <c r="I508" s="27">
        <f>AVERAGE(F505:F508)</f>
        <v>6.5732499999999998</v>
      </c>
      <c r="J508" s="27">
        <f>AVERAGE(G505:G508)</f>
        <v>0</v>
      </c>
      <c r="L508">
        <f>+J508/I508</f>
        <v>0</v>
      </c>
      <c r="M508">
        <f>+(L508-$L$931)/$L$932</f>
        <v>-0.3615226880513247</v>
      </c>
      <c r="N508">
        <f>+N504+M508</f>
        <v>9.8898072609067267</v>
      </c>
    </row>
    <row r="509" spans="1:14">
      <c r="A509" s="15">
        <v>5</v>
      </c>
      <c r="B509" s="75">
        <v>41470</v>
      </c>
      <c r="C509" s="15">
        <v>2013</v>
      </c>
      <c r="D509" s="11" t="s">
        <v>34</v>
      </c>
      <c r="E509" s="15">
        <v>7</v>
      </c>
      <c r="F509" s="32">
        <v>6.6029999999999998</v>
      </c>
      <c r="G509" s="27">
        <v>0</v>
      </c>
    </row>
    <row r="510" spans="1:14">
      <c r="A510" s="15">
        <v>7</v>
      </c>
      <c r="B510" s="75">
        <v>41470</v>
      </c>
      <c r="C510" s="15">
        <v>2013</v>
      </c>
      <c r="D510" s="11" t="s">
        <v>34</v>
      </c>
      <c r="E510" s="15">
        <v>7</v>
      </c>
      <c r="F510" s="32">
        <v>9.8219999999999992</v>
      </c>
      <c r="G510" s="27">
        <v>7.5122375000000005E-2</v>
      </c>
    </row>
    <row r="511" spans="1:14">
      <c r="A511" s="15">
        <v>14</v>
      </c>
      <c r="B511" s="75">
        <v>41470</v>
      </c>
      <c r="C511" s="15">
        <v>2013</v>
      </c>
      <c r="D511" s="11" t="s">
        <v>34</v>
      </c>
      <c r="E511" s="15">
        <v>7</v>
      </c>
      <c r="F511" s="32">
        <v>4.4320000000000004</v>
      </c>
      <c r="G511" s="27">
        <v>0</v>
      </c>
      <c r="I511" s="27">
        <f>AVERAGE(F509:F511)</f>
        <v>6.9523333333333328</v>
      </c>
      <c r="J511" s="27">
        <f>AVERAGE(G509:G511)</f>
        <v>2.504079166666667E-2</v>
      </c>
      <c r="L511">
        <f>+J511/I511</f>
        <v>3.6017823752217486E-3</v>
      </c>
      <c r="M511">
        <f>+(L511-$L$931)/$L$932</f>
        <v>-0.24661523241829336</v>
      </c>
      <c r="N511">
        <f>+N508+M511</f>
        <v>9.6431920284884338</v>
      </c>
    </row>
    <row r="512" spans="1:14">
      <c r="A512" s="15">
        <v>5</v>
      </c>
      <c r="B512" s="75">
        <v>41498</v>
      </c>
      <c r="C512" s="15">
        <v>2013</v>
      </c>
      <c r="D512" s="11" t="s">
        <v>35</v>
      </c>
      <c r="E512" s="15">
        <v>8</v>
      </c>
      <c r="F512" s="32">
        <v>6.9290000000000003</v>
      </c>
      <c r="G512" s="27">
        <v>0</v>
      </c>
    </row>
    <row r="513" spans="1:14">
      <c r="A513" s="15">
        <v>7</v>
      </c>
      <c r="B513" s="75">
        <v>41498</v>
      </c>
      <c r="C513" s="15">
        <v>2013</v>
      </c>
      <c r="D513" s="11" t="s">
        <v>35</v>
      </c>
      <c r="E513" s="15">
        <v>8</v>
      </c>
      <c r="F513" s="32">
        <v>5.9130000000000003</v>
      </c>
      <c r="G513" s="27">
        <v>0</v>
      </c>
    </row>
    <row r="514" spans="1:14">
      <c r="A514" s="15">
        <v>14</v>
      </c>
      <c r="B514" s="75">
        <v>41498</v>
      </c>
      <c r="C514" s="15">
        <v>2013</v>
      </c>
      <c r="D514" s="11" t="s">
        <v>35</v>
      </c>
      <c r="E514" s="15">
        <v>8</v>
      </c>
      <c r="F514" s="32">
        <v>4.3970000000000002</v>
      </c>
      <c r="G514" s="27">
        <v>0</v>
      </c>
      <c r="I514" s="27">
        <f>AVERAGE(F512:F514)</f>
        <v>5.7463333333333333</v>
      </c>
      <c r="J514" s="27">
        <f>AVERAGE(G512:G514)</f>
        <v>0</v>
      </c>
      <c r="L514">
        <f>+J514/I514</f>
        <v>0</v>
      </c>
      <c r="M514">
        <f>+(L514-$L$931)/$L$932</f>
        <v>-0.3615226880513247</v>
      </c>
      <c r="N514">
        <f>+N511+M514</f>
        <v>9.2816693404371087</v>
      </c>
    </row>
    <row r="515" spans="1:14">
      <c r="A515" s="15">
        <v>5</v>
      </c>
      <c r="B515" s="75">
        <v>41533</v>
      </c>
      <c r="C515" s="15">
        <v>2013</v>
      </c>
      <c r="D515" s="11" t="s">
        <v>41</v>
      </c>
      <c r="E515" s="15">
        <v>9</v>
      </c>
      <c r="F515" s="32">
        <v>3.4</v>
      </c>
      <c r="G515" s="27">
        <v>0</v>
      </c>
    </row>
    <row r="516" spans="1:14">
      <c r="A516" s="15">
        <v>7</v>
      </c>
      <c r="B516" s="75">
        <v>41535</v>
      </c>
      <c r="C516" s="15">
        <v>2013</v>
      </c>
      <c r="D516" s="11" t="s">
        <v>41</v>
      </c>
      <c r="E516" s="15">
        <v>9</v>
      </c>
      <c r="F516" s="32">
        <v>7.87</v>
      </c>
      <c r="G516" s="27">
        <v>0</v>
      </c>
    </row>
    <row r="517" spans="1:14">
      <c r="A517" s="15">
        <v>14</v>
      </c>
      <c r="B517" s="75">
        <v>41535</v>
      </c>
      <c r="C517" s="15">
        <v>2013</v>
      </c>
      <c r="D517" s="11" t="s">
        <v>41</v>
      </c>
      <c r="E517" s="15">
        <v>9</v>
      </c>
      <c r="F517" s="32">
        <v>0.88300000000000001</v>
      </c>
      <c r="G517" s="27">
        <v>0</v>
      </c>
      <c r="I517" s="27">
        <f>AVERAGE(F515:F517)</f>
        <v>4.0509999999999993</v>
      </c>
      <c r="J517" s="27">
        <f>AVERAGE(G515:G517)</f>
        <v>0</v>
      </c>
      <c r="L517">
        <f>+J517/I517</f>
        <v>0</v>
      </c>
      <c r="M517">
        <f>+(L517-$L$931)/$L$932</f>
        <v>-0.3615226880513247</v>
      </c>
      <c r="N517">
        <f>+N514+M517</f>
        <v>8.9201466523857835</v>
      </c>
    </row>
    <row r="518" spans="1:14">
      <c r="A518" s="15">
        <v>5</v>
      </c>
      <c r="B518" s="75">
        <v>41569</v>
      </c>
      <c r="C518" s="15">
        <v>2013</v>
      </c>
      <c r="D518" s="11" t="s">
        <v>37</v>
      </c>
      <c r="E518" s="15">
        <v>10</v>
      </c>
      <c r="F518" s="26">
        <v>2.6429999999999998</v>
      </c>
      <c r="G518" s="27">
        <v>0</v>
      </c>
    </row>
    <row r="519" spans="1:14">
      <c r="A519" s="15">
        <v>7</v>
      </c>
      <c r="B519" s="75">
        <v>406810</v>
      </c>
      <c r="C519" s="15">
        <v>2013</v>
      </c>
      <c r="D519" s="11" t="s">
        <v>37</v>
      </c>
      <c r="E519" s="15">
        <v>10</v>
      </c>
      <c r="F519" s="26">
        <v>3.2120000000000002</v>
      </c>
      <c r="G519" s="27">
        <v>0</v>
      </c>
    </row>
    <row r="520" spans="1:14">
      <c r="A520" s="15">
        <v>14</v>
      </c>
      <c r="B520" s="75">
        <v>406810</v>
      </c>
      <c r="C520" s="15">
        <v>2013</v>
      </c>
      <c r="D520" s="11" t="s">
        <v>37</v>
      </c>
      <c r="E520" s="15">
        <v>10</v>
      </c>
      <c r="F520" s="26">
        <v>1.133</v>
      </c>
      <c r="G520" s="27">
        <v>0</v>
      </c>
      <c r="I520" s="27">
        <f>AVERAGE(F518:F520)</f>
        <v>2.3293333333333335</v>
      </c>
      <c r="J520" s="27">
        <f>AVERAGE(G518:G520)</f>
        <v>0</v>
      </c>
      <c r="L520">
        <f>+J520/I520</f>
        <v>0</v>
      </c>
      <c r="M520">
        <f>+(L520-$L$931)/$L$932</f>
        <v>-0.3615226880513247</v>
      </c>
      <c r="N520">
        <f>+N517+M520</f>
        <v>8.5586239643344584</v>
      </c>
    </row>
    <row r="521" spans="1:14">
      <c r="A521" s="15">
        <v>5</v>
      </c>
      <c r="B521" s="75">
        <v>41597</v>
      </c>
      <c r="C521" s="15">
        <v>2013</v>
      </c>
      <c r="D521" s="11" t="s">
        <v>38</v>
      </c>
      <c r="E521" s="15">
        <v>11</v>
      </c>
      <c r="F521" s="26">
        <v>0.70799999999999996</v>
      </c>
      <c r="G521" s="27">
        <v>0</v>
      </c>
    </row>
    <row r="522" spans="1:14">
      <c r="A522" s="15">
        <v>7</v>
      </c>
      <c r="B522" s="75">
        <v>41599</v>
      </c>
      <c r="C522" s="15">
        <v>2013</v>
      </c>
      <c r="D522" s="11" t="s">
        <v>38</v>
      </c>
      <c r="E522" s="15">
        <v>11</v>
      </c>
      <c r="F522" s="26">
        <v>0.64800000000000002</v>
      </c>
      <c r="G522" s="27">
        <v>0</v>
      </c>
    </row>
    <row r="523" spans="1:14">
      <c r="A523" s="15">
        <v>14</v>
      </c>
      <c r="B523" s="75">
        <v>41599</v>
      </c>
      <c r="C523" s="15">
        <v>2013</v>
      </c>
      <c r="D523" s="11" t="s">
        <v>38</v>
      </c>
      <c r="E523" s="15">
        <v>11</v>
      </c>
      <c r="F523" s="26">
        <v>0.48199999999999998</v>
      </c>
      <c r="G523" s="27">
        <v>0</v>
      </c>
    </row>
    <row r="524" spans="1:14">
      <c r="A524" s="15">
        <v>14</v>
      </c>
      <c r="B524" s="75">
        <v>41599</v>
      </c>
      <c r="C524" s="15">
        <v>2013</v>
      </c>
      <c r="D524" s="11" t="s">
        <v>38</v>
      </c>
      <c r="E524" s="15">
        <v>11</v>
      </c>
      <c r="F524" s="26">
        <v>0.48199999999999998</v>
      </c>
      <c r="G524" s="27">
        <v>0</v>
      </c>
      <c r="H524" t="s">
        <v>13</v>
      </c>
      <c r="I524" s="27">
        <f>AVERAGE(F521:F524)</f>
        <v>0.57999999999999996</v>
      </c>
      <c r="J524" s="27">
        <f>AVERAGE(G521:G524)</f>
        <v>0</v>
      </c>
      <c r="L524">
        <f>+J524/I524</f>
        <v>0</v>
      </c>
      <c r="M524">
        <f>+(L524-$L$931)/$L$932</f>
        <v>-0.3615226880513247</v>
      </c>
      <c r="N524">
        <f>+N520+M524</f>
        <v>8.1971012762831332</v>
      </c>
    </row>
    <row r="525" spans="1:14">
      <c r="A525" s="15">
        <v>5</v>
      </c>
      <c r="B525" s="75">
        <v>41624</v>
      </c>
      <c r="C525" s="15">
        <v>2013</v>
      </c>
      <c r="D525" s="11" t="s">
        <v>39</v>
      </c>
      <c r="E525" s="15">
        <v>12</v>
      </c>
      <c r="F525" s="26">
        <v>3.2549999999999999</v>
      </c>
      <c r="G525" s="27">
        <v>0</v>
      </c>
    </row>
    <row r="526" spans="1:14">
      <c r="A526" s="15">
        <v>7</v>
      </c>
      <c r="B526" s="75">
        <v>41627</v>
      </c>
      <c r="C526" s="15">
        <v>2013</v>
      </c>
      <c r="D526" s="11" t="s">
        <v>39</v>
      </c>
      <c r="E526" s="15">
        <v>12</v>
      </c>
      <c r="F526" s="26">
        <v>6.6989999999999998</v>
      </c>
      <c r="G526" s="27">
        <v>0</v>
      </c>
    </row>
    <row r="527" spans="1:14">
      <c r="A527" s="15">
        <v>14</v>
      </c>
      <c r="B527" s="75">
        <v>41627</v>
      </c>
      <c r="C527" s="15">
        <v>2013</v>
      </c>
      <c r="D527" s="11" t="s">
        <v>39</v>
      </c>
      <c r="E527" s="15">
        <v>12</v>
      </c>
      <c r="F527" s="26">
        <v>2.052</v>
      </c>
      <c r="G527" s="27">
        <v>0</v>
      </c>
    </row>
    <row r="528" spans="1:14">
      <c r="A528" s="15">
        <v>14</v>
      </c>
      <c r="B528" s="75">
        <v>41627</v>
      </c>
      <c r="C528" s="15">
        <v>2013</v>
      </c>
      <c r="D528" s="11" t="s">
        <v>39</v>
      </c>
      <c r="E528" s="15">
        <v>12</v>
      </c>
      <c r="F528" s="26">
        <v>2.052</v>
      </c>
      <c r="G528" s="27">
        <v>0</v>
      </c>
      <c r="H528" t="s">
        <v>13</v>
      </c>
      <c r="I528" s="27">
        <f>AVERAGE(F525:F528)</f>
        <v>3.5145</v>
      </c>
      <c r="J528" s="27">
        <f>AVERAGE(G525:G528)</f>
        <v>0</v>
      </c>
      <c r="L528">
        <f>+J528/I528</f>
        <v>0</v>
      </c>
      <c r="M528">
        <f>+(L528-$L$931)/$L$932</f>
        <v>-0.3615226880513247</v>
      </c>
      <c r="N528">
        <f>+N524+M528</f>
        <v>7.8355785882318081</v>
      </c>
    </row>
    <row r="529" spans="1:14">
      <c r="A529" s="15">
        <v>5</v>
      </c>
      <c r="B529" s="75">
        <v>41654</v>
      </c>
      <c r="C529" s="15">
        <v>2014</v>
      </c>
      <c r="D529" s="11" t="s">
        <v>40</v>
      </c>
      <c r="E529" s="15">
        <v>1</v>
      </c>
      <c r="F529" s="26">
        <v>2.7160000000000002</v>
      </c>
      <c r="G529" s="27">
        <v>0</v>
      </c>
    </row>
    <row r="530" spans="1:14">
      <c r="A530" s="15">
        <v>7</v>
      </c>
      <c r="B530" s="75">
        <v>41655</v>
      </c>
      <c r="C530" s="15">
        <v>2014</v>
      </c>
      <c r="D530" s="11" t="s">
        <v>40</v>
      </c>
      <c r="E530" s="15">
        <v>1</v>
      </c>
      <c r="F530" s="26">
        <v>4.1989999999999998</v>
      </c>
      <c r="G530" s="27">
        <v>0</v>
      </c>
    </row>
    <row r="531" spans="1:14">
      <c r="A531" s="15">
        <v>14</v>
      </c>
      <c r="B531" s="75">
        <v>41655</v>
      </c>
      <c r="C531" s="15">
        <v>2014</v>
      </c>
      <c r="D531" s="11" t="s">
        <v>40</v>
      </c>
      <c r="E531" s="15">
        <v>1</v>
      </c>
      <c r="F531" s="26">
        <v>2.839</v>
      </c>
      <c r="G531" s="27">
        <v>0</v>
      </c>
      <c r="I531" s="27">
        <f>AVERAGE(F528:F531)</f>
        <v>2.9515000000000002</v>
      </c>
      <c r="J531" s="27">
        <f>AVERAGE(G528:G531)</f>
        <v>0</v>
      </c>
      <c r="L531">
        <f>+J531/I531</f>
        <v>0</v>
      </c>
      <c r="M531">
        <f>+(L531-$L$931)/$L$932</f>
        <v>-0.3615226880513247</v>
      </c>
      <c r="N531">
        <f>+N528+M531</f>
        <v>7.4740559001804829</v>
      </c>
    </row>
    <row r="532" spans="1:14">
      <c r="A532" s="15">
        <v>5</v>
      </c>
      <c r="B532" s="75">
        <v>41688</v>
      </c>
      <c r="C532" s="15">
        <v>2014</v>
      </c>
      <c r="D532" s="11" t="s">
        <v>29</v>
      </c>
      <c r="E532" s="15">
        <v>2</v>
      </c>
      <c r="F532" s="26">
        <v>2.9209999999999998</v>
      </c>
      <c r="G532" s="27">
        <v>0</v>
      </c>
    </row>
    <row r="533" spans="1:14">
      <c r="A533" s="15">
        <v>7</v>
      </c>
      <c r="B533" s="75">
        <v>41690</v>
      </c>
      <c r="C533" s="15">
        <v>2014</v>
      </c>
      <c r="D533" s="11" t="s">
        <v>29</v>
      </c>
      <c r="E533" s="15">
        <v>2</v>
      </c>
      <c r="F533" s="26">
        <v>3.8149999999999999</v>
      </c>
      <c r="G533" s="27">
        <v>0</v>
      </c>
    </row>
    <row r="534" spans="1:14">
      <c r="A534" s="15">
        <v>7</v>
      </c>
      <c r="B534" s="75">
        <v>41690</v>
      </c>
      <c r="C534" s="15">
        <v>2014</v>
      </c>
      <c r="D534" s="11" t="s">
        <v>29</v>
      </c>
      <c r="E534" s="15">
        <v>2</v>
      </c>
      <c r="F534" s="26">
        <v>3.8149999999999999</v>
      </c>
      <c r="G534" s="27">
        <v>0</v>
      </c>
    </row>
    <row r="535" spans="1:14">
      <c r="A535" s="15">
        <v>14</v>
      </c>
      <c r="B535" s="75">
        <v>41690</v>
      </c>
      <c r="C535" s="15">
        <v>2014</v>
      </c>
      <c r="D535" s="11" t="s">
        <v>29</v>
      </c>
      <c r="E535" s="15">
        <v>2</v>
      </c>
      <c r="F535" s="26">
        <v>4.59</v>
      </c>
      <c r="G535" s="27">
        <v>0</v>
      </c>
      <c r="I535" s="27">
        <f>AVERAGE(F532:F535)</f>
        <v>3.78525</v>
      </c>
      <c r="J535" s="27">
        <f>AVERAGE(G532:G535)</f>
        <v>0</v>
      </c>
      <c r="L535">
        <f>+J535/I535</f>
        <v>0</v>
      </c>
      <c r="M535">
        <f>+(L535-$L$931)/$L$932</f>
        <v>-0.3615226880513247</v>
      </c>
      <c r="N535">
        <f>+N531+M535</f>
        <v>7.1125332121291578</v>
      </c>
    </row>
    <row r="536" spans="1:14">
      <c r="A536" s="15">
        <v>5</v>
      </c>
      <c r="B536" s="75">
        <v>41718</v>
      </c>
      <c r="C536" s="15">
        <v>2014</v>
      </c>
      <c r="D536" s="11" t="s">
        <v>30</v>
      </c>
      <c r="E536" s="15">
        <v>3</v>
      </c>
      <c r="F536" s="26">
        <v>5.923</v>
      </c>
      <c r="G536" s="27">
        <v>0</v>
      </c>
    </row>
    <row r="537" spans="1:14">
      <c r="A537" s="15">
        <v>7</v>
      </c>
      <c r="B537" s="75">
        <v>41718</v>
      </c>
      <c r="C537" s="15">
        <v>2014</v>
      </c>
      <c r="D537" s="11" t="s">
        <v>30</v>
      </c>
      <c r="E537" s="15">
        <v>3</v>
      </c>
      <c r="F537" s="26">
        <v>3.7069999999999999</v>
      </c>
      <c r="G537" s="27">
        <v>0</v>
      </c>
    </row>
    <row r="538" spans="1:14">
      <c r="A538" s="15">
        <v>14</v>
      </c>
      <c r="B538" s="75">
        <v>41718</v>
      </c>
      <c r="C538" s="15">
        <v>2014</v>
      </c>
      <c r="D538" s="11" t="s">
        <v>30</v>
      </c>
      <c r="E538" s="15">
        <v>3</v>
      </c>
      <c r="F538" s="26">
        <v>5.3289999999999997</v>
      </c>
      <c r="G538" s="27">
        <v>0</v>
      </c>
      <c r="I538" s="27">
        <f>AVERAGE(F535:F538)</f>
        <v>4.8872499999999999</v>
      </c>
      <c r="J538" s="27">
        <f>AVERAGE(G535:G538)</f>
        <v>0</v>
      </c>
      <c r="L538">
        <f>+J538/I538</f>
        <v>0</v>
      </c>
      <c r="M538">
        <f>+(L538-$L$931)/$L$932</f>
        <v>-0.3615226880513247</v>
      </c>
      <c r="N538">
        <f>+N535+M538</f>
        <v>6.7510105240778326</v>
      </c>
    </row>
    <row r="539" spans="1:14">
      <c r="A539" s="15">
        <v>5</v>
      </c>
      <c r="B539" s="75">
        <v>41747</v>
      </c>
      <c r="C539" s="15">
        <v>2014</v>
      </c>
      <c r="D539" s="11" t="s">
        <v>31</v>
      </c>
      <c r="E539" s="15">
        <v>4</v>
      </c>
      <c r="F539" s="33">
        <v>5.7229999999999999</v>
      </c>
      <c r="G539" s="27">
        <v>0</v>
      </c>
    </row>
    <row r="540" spans="1:14">
      <c r="A540" s="15">
        <v>7</v>
      </c>
      <c r="B540" s="75">
        <v>41750</v>
      </c>
      <c r="C540" s="15">
        <v>2014</v>
      </c>
      <c r="D540" s="11" t="s">
        <v>31</v>
      </c>
      <c r="E540" s="15">
        <v>4</v>
      </c>
      <c r="F540" s="33">
        <v>2.2210000000000001</v>
      </c>
      <c r="G540" s="27">
        <v>0</v>
      </c>
    </row>
    <row r="541" spans="1:14">
      <c r="A541" s="15">
        <v>7</v>
      </c>
      <c r="B541" s="75">
        <v>41750</v>
      </c>
      <c r="C541" s="15">
        <v>2014</v>
      </c>
      <c r="D541" s="11" t="s">
        <v>31</v>
      </c>
      <c r="E541" s="15">
        <v>4</v>
      </c>
      <c r="F541" s="33">
        <v>2.2210000000000001</v>
      </c>
      <c r="G541" s="27">
        <v>0</v>
      </c>
      <c r="H541" t="s">
        <v>13</v>
      </c>
      <c r="I541" s="27">
        <f>AVERAGE(F538:F541)</f>
        <v>3.8734999999999999</v>
      </c>
      <c r="J541" s="27">
        <f>AVERAGE(G538:G541)</f>
        <v>0</v>
      </c>
      <c r="L541">
        <f>+J541/I541</f>
        <v>0</v>
      </c>
      <c r="M541">
        <f>+(L541-$L$931)/$L$932</f>
        <v>-0.3615226880513247</v>
      </c>
      <c r="N541">
        <f>+N538+M541</f>
        <v>6.3894878360265075</v>
      </c>
    </row>
    <row r="542" spans="1:14">
      <c r="A542" s="15">
        <v>14</v>
      </c>
      <c r="B542" s="75">
        <v>41750</v>
      </c>
      <c r="C542" s="15">
        <v>2014</v>
      </c>
      <c r="D542" s="11" t="s">
        <v>31</v>
      </c>
      <c r="E542" s="15">
        <v>4</v>
      </c>
      <c r="F542" s="34">
        <v>2.3580000000000001</v>
      </c>
      <c r="G542" s="27">
        <v>0</v>
      </c>
    </row>
    <row r="543" spans="1:14">
      <c r="A543" s="15">
        <v>5</v>
      </c>
      <c r="B543" s="75">
        <v>41772</v>
      </c>
      <c r="C543" s="15">
        <v>2014</v>
      </c>
      <c r="D543" s="11" t="s">
        <v>32</v>
      </c>
      <c r="E543" s="15">
        <v>5</v>
      </c>
      <c r="F543" s="33">
        <v>1.1399999999999999</v>
      </c>
      <c r="G543" s="27">
        <v>0</v>
      </c>
    </row>
    <row r="544" spans="1:14">
      <c r="A544" s="15">
        <v>7</v>
      </c>
      <c r="B544" s="75">
        <v>41406</v>
      </c>
      <c r="C544" s="15">
        <v>2014</v>
      </c>
      <c r="D544" s="11" t="s">
        <v>32</v>
      </c>
      <c r="E544" s="15">
        <v>5</v>
      </c>
      <c r="F544" s="33">
        <v>2.476</v>
      </c>
      <c r="G544" s="27">
        <v>0</v>
      </c>
      <c r="I544" s="27">
        <f>AVERAGE(F541:F544)</f>
        <v>2.0487500000000001</v>
      </c>
      <c r="J544" s="27">
        <f>AVERAGE(G541:G544)</f>
        <v>0</v>
      </c>
      <c r="L544">
        <f>+J544/I544</f>
        <v>0</v>
      </c>
      <c r="M544">
        <f>+(L544-$L$931)/$L$932</f>
        <v>-0.3615226880513247</v>
      </c>
      <c r="N544">
        <f>+N541+M544</f>
        <v>6.0279651479751823</v>
      </c>
    </row>
    <row r="545" spans="1:14">
      <c r="A545" s="15">
        <v>14</v>
      </c>
      <c r="B545" s="75">
        <v>41406</v>
      </c>
      <c r="C545" s="15">
        <v>2014</v>
      </c>
      <c r="D545" s="11" t="s">
        <v>32</v>
      </c>
      <c r="E545" s="15">
        <v>5</v>
      </c>
      <c r="F545" s="33">
        <v>1.5740000000000001</v>
      </c>
      <c r="G545" s="27">
        <v>0</v>
      </c>
    </row>
    <row r="546" spans="1:14">
      <c r="A546" s="15">
        <v>5</v>
      </c>
      <c r="B546" s="75">
        <v>41808</v>
      </c>
      <c r="C546" s="15">
        <v>2014</v>
      </c>
      <c r="D546" s="11" t="s">
        <v>33</v>
      </c>
      <c r="E546" s="15">
        <v>6</v>
      </c>
      <c r="F546" s="33">
        <v>4.274</v>
      </c>
      <c r="G546" s="27">
        <v>0</v>
      </c>
    </row>
    <row r="547" spans="1:14">
      <c r="A547" s="15">
        <v>7</v>
      </c>
      <c r="B547" s="75">
        <v>41807</v>
      </c>
      <c r="C547" s="15">
        <v>2014</v>
      </c>
      <c r="D547" s="11" t="s">
        <v>33</v>
      </c>
      <c r="E547" s="15">
        <v>6</v>
      </c>
      <c r="F547" s="33">
        <v>1.589</v>
      </c>
      <c r="G547" s="27">
        <v>0</v>
      </c>
    </row>
    <row r="548" spans="1:14">
      <c r="A548" s="15">
        <v>14</v>
      </c>
      <c r="B548" s="75">
        <v>41807</v>
      </c>
      <c r="C548" s="15">
        <v>2014</v>
      </c>
      <c r="D548" s="11" t="s">
        <v>33</v>
      </c>
      <c r="E548" s="15">
        <v>6</v>
      </c>
      <c r="F548" s="33">
        <v>1.0229999999999999</v>
      </c>
      <c r="G548" s="27">
        <v>0</v>
      </c>
      <c r="I548" s="27">
        <f>AVERAGE(F545:F548)</f>
        <v>2.1149999999999998</v>
      </c>
      <c r="J548" s="27">
        <f>AVERAGE(G545:G548)</f>
        <v>0</v>
      </c>
      <c r="L548">
        <f>+J548/I548</f>
        <v>0</v>
      </c>
      <c r="M548">
        <f>+(L548-$L$931)/$L$932</f>
        <v>-0.3615226880513247</v>
      </c>
      <c r="N548">
        <f>+N544+M548</f>
        <v>5.6664424599238572</v>
      </c>
    </row>
    <row r="549" spans="1:14">
      <c r="A549" s="15">
        <v>5</v>
      </c>
      <c r="B549" s="75">
        <v>41834</v>
      </c>
      <c r="C549" s="15">
        <v>2014</v>
      </c>
      <c r="D549" s="11" t="s">
        <v>34</v>
      </c>
      <c r="E549" s="15">
        <v>7</v>
      </c>
      <c r="F549" s="33">
        <v>10.997999999999999</v>
      </c>
      <c r="G549" s="27">
        <v>0</v>
      </c>
    </row>
    <row r="550" spans="1:14">
      <c r="A550" s="15">
        <v>5</v>
      </c>
      <c r="B550" s="75">
        <v>41834</v>
      </c>
      <c r="C550" s="15">
        <v>2014</v>
      </c>
      <c r="D550" s="11" t="s">
        <v>34</v>
      </c>
      <c r="E550" s="15">
        <v>7</v>
      </c>
      <c r="F550" s="33">
        <v>10.997999999999999</v>
      </c>
      <c r="G550" s="27">
        <v>0</v>
      </c>
      <c r="H550" t="s">
        <v>13</v>
      </c>
    </row>
    <row r="551" spans="1:14">
      <c r="A551" s="15">
        <v>7</v>
      </c>
      <c r="B551" s="75">
        <v>41837</v>
      </c>
      <c r="C551" s="15">
        <v>2014</v>
      </c>
      <c r="D551" s="11" t="s">
        <v>34</v>
      </c>
      <c r="E551" s="15">
        <v>7</v>
      </c>
      <c r="F551" s="33">
        <v>5.3529999999999998</v>
      </c>
      <c r="G551" s="27">
        <v>0</v>
      </c>
    </row>
    <row r="552" spans="1:14">
      <c r="A552" s="15">
        <v>14</v>
      </c>
      <c r="B552" s="75">
        <v>41837</v>
      </c>
      <c r="C552" s="15">
        <v>2014</v>
      </c>
      <c r="D552" s="11" t="s">
        <v>34</v>
      </c>
      <c r="E552" s="15">
        <v>7</v>
      </c>
      <c r="F552" s="33">
        <v>3.3460000000000001</v>
      </c>
      <c r="G552" s="27">
        <v>0</v>
      </c>
      <c r="I552" s="27">
        <f>AVERAGE(F549:F552)</f>
        <v>7.6737499999999992</v>
      </c>
      <c r="J552" s="27">
        <f>AVERAGE(G549:G552)</f>
        <v>0</v>
      </c>
      <c r="L552">
        <f>+J552/I552</f>
        <v>0</v>
      </c>
      <c r="M552">
        <f>+(L552-$L$931)/$L$932</f>
        <v>-0.3615226880513247</v>
      </c>
      <c r="N552">
        <f>+N548+M552</f>
        <v>5.3049197718725321</v>
      </c>
    </row>
    <row r="553" spans="1:14">
      <c r="A553" s="15">
        <v>5</v>
      </c>
      <c r="B553" s="75">
        <v>41864</v>
      </c>
      <c r="C553" s="15">
        <v>2014</v>
      </c>
      <c r="D553" s="11" t="s">
        <v>35</v>
      </c>
      <c r="E553" s="15">
        <v>8</v>
      </c>
      <c r="F553" s="33">
        <v>3.7149999999999999</v>
      </c>
      <c r="G553" s="27">
        <v>0</v>
      </c>
    </row>
    <row r="554" spans="1:14">
      <c r="A554" s="15">
        <v>7</v>
      </c>
      <c r="B554" s="75">
        <v>41862</v>
      </c>
      <c r="C554" s="15">
        <v>2014</v>
      </c>
      <c r="D554" s="11" t="s">
        <v>35</v>
      </c>
      <c r="E554" s="15">
        <v>8</v>
      </c>
      <c r="F554" s="33">
        <v>9.3279999999999994</v>
      </c>
      <c r="G554" s="27">
        <v>0</v>
      </c>
    </row>
    <row r="555" spans="1:14">
      <c r="A555" s="15">
        <v>14</v>
      </c>
      <c r="B555" s="75">
        <v>41862</v>
      </c>
      <c r="C555" s="15">
        <v>2014</v>
      </c>
      <c r="D555" s="11" t="s">
        <v>35</v>
      </c>
      <c r="E555" s="15">
        <v>8</v>
      </c>
      <c r="F555" s="33">
        <v>2.9540000000000002</v>
      </c>
      <c r="G555" s="27">
        <v>0</v>
      </c>
    </row>
    <row r="556" spans="1:14">
      <c r="A556" s="15">
        <v>14</v>
      </c>
      <c r="B556" s="75">
        <v>41862</v>
      </c>
      <c r="C556" s="15">
        <v>2014</v>
      </c>
      <c r="D556" s="11" t="s">
        <v>35</v>
      </c>
      <c r="E556" s="15">
        <v>8</v>
      </c>
      <c r="F556" s="33">
        <v>2.9540000000000002</v>
      </c>
      <c r="G556" s="27">
        <v>0</v>
      </c>
      <c r="H556" t="s">
        <v>13</v>
      </c>
      <c r="I556" s="27">
        <f>AVERAGE(F553:F556)</f>
        <v>4.7377500000000001</v>
      </c>
      <c r="J556" s="27">
        <f>AVERAGE(G553:G556)</f>
        <v>0</v>
      </c>
      <c r="L556">
        <f>+J556/I556</f>
        <v>0</v>
      </c>
      <c r="M556">
        <f>+(L556-$L$931)/$L$932</f>
        <v>-0.3615226880513247</v>
      </c>
      <c r="N556">
        <f>+N552+M556</f>
        <v>4.9433970838212069</v>
      </c>
    </row>
    <row r="557" spans="1:14">
      <c r="A557" s="15">
        <v>5</v>
      </c>
      <c r="B557" s="75">
        <v>41898</v>
      </c>
      <c r="C557" s="15">
        <v>2014</v>
      </c>
      <c r="D557" s="11" t="s">
        <v>41</v>
      </c>
      <c r="E557" s="15">
        <v>9</v>
      </c>
      <c r="F557" s="33">
        <v>4.335</v>
      </c>
      <c r="G557" s="27">
        <v>0</v>
      </c>
    </row>
    <row r="558" spans="1:14">
      <c r="A558" s="15">
        <v>7</v>
      </c>
      <c r="B558" s="75">
        <v>41897</v>
      </c>
      <c r="C558" s="15">
        <v>2014</v>
      </c>
      <c r="D558" s="11" t="s">
        <v>41</v>
      </c>
      <c r="E558" s="15">
        <v>9</v>
      </c>
      <c r="F558" s="33">
        <v>1.879</v>
      </c>
      <c r="G558" s="27">
        <v>0</v>
      </c>
    </row>
    <row r="559" spans="1:14">
      <c r="A559" s="15">
        <v>14</v>
      </c>
      <c r="B559" s="75">
        <v>41897</v>
      </c>
      <c r="C559" s="15">
        <v>2014</v>
      </c>
      <c r="D559" s="11" t="s">
        <v>41</v>
      </c>
      <c r="E559" s="15">
        <v>9</v>
      </c>
      <c r="F559" s="33">
        <v>1.1180000000000001</v>
      </c>
      <c r="G559" s="27">
        <v>0</v>
      </c>
      <c r="I559" s="27">
        <f>AVERAGE(F556:F559)</f>
        <v>2.5714999999999999</v>
      </c>
      <c r="J559" s="27">
        <f>AVERAGE(G556:G559)</f>
        <v>0</v>
      </c>
      <c r="L559">
        <f>+J559/I559</f>
        <v>0</v>
      </c>
      <c r="M559">
        <f>+(L559-$L$931)/$L$932</f>
        <v>-0.3615226880513247</v>
      </c>
      <c r="N559">
        <f>+N556+M559</f>
        <v>4.5818743957698818</v>
      </c>
    </row>
    <row r="560" spans="1:14">
      <c r="A560" s="15">
        <v>5</v>
      </c>
      <c r="B560" s="75">
        <v>41929</v>
      </c>
      <c r="C560" s="15">
        <v>2014</v>
      </c>
      <c r="D560" s="11" t="s">
        <v>37</v>
      </c>
      <c r="E560" s="15">
        <v>10</v>
      </c>
      <c r="F560" s="26">
        <v>1.516</v>
      </c>
      <c r="G560" s="27">
        <v>0</v>
      </c>
    </row>
    <row r="561" spans="1:14">
      <c r="A561" s="15">
        <v>7</v>
      </c>
      <c r="B561" s="75">
        <v>41928</v>
      </c>
      <c r="C561" s="15">
        <v>2014</v>
      </c>
      <c r="D561" s="11" t="s">
        <v>37</v>
      </c>
      <c r="E561" s="15">
        <v>10</v>
      </c>
      <c r="F561" s="26">
        <v>1.3819999999999999</v>
      </c>
      <c r="G561" s="27">
        <v>0</v>
      </c>
    </row>
    <row r="562" spans="1:14">
      <c r="A562" s="15">
        <v>14</v>
      </c>
      <c r="B562" s="75">
        <v>41928</v>
      </c>
      <c r="C562" s="15">
        <v>2014</v>
      </c>
      <c r="D562" s="11" t="s">
        <v>37</v>
      </c>
      <c r="E562" s="15">
        <v>10</v>
      </c>
      <c r="F562" s="26">
        <v>1.58</v>
      </c>
      <c r="G562" s="27">
        <v>0</v>
      </c>
      <c r="I562" s="27">
        <f>AVERAGE(F559:F562)</f>
        <v>1.399</v>
      </c>
      <c r="J562" s="27">
        <f>AVERAGE(G559:G562)</f>
        <v>0</v>
      </c>
      <c r="L562">
        <f>+J562/I562</f>
        <v>0</v>
      </c>
      <c r="M562">
        <f>+(L562-$L$931)/$L$932</f>
        <v>-0.3615226880513247</v>
      </c>
      <c r="N562">
        <f>+N559+M562</f>
        <v>4.2203517077185566</v>
      </c>
    </row>
    <row r="563" spans="1:14">
      <c r="A563" s="15">
        <v>5</v>
      </c>
      <c r="B563" s="75">
        <v>41953</v>
      </c>
      <c r="C563" s="15">
        <v>2014</v>
      </c>
      <c r="D563" s="11" t="s">
        <v>38</v>
      </c>
      <c r="E563" s="15">
        <v>11</v>
      </c>
      <c r="F563" s="26">
        <v>1.988</v>
      </c>
      <c r="G563" s="27">
        <v>0</v>
      </c>
    </row>
    <row r="564" spans="1:14">
      <c r="A564" s="15">
        <v>7</v>
      </c>
      <c r="B564" s="75">
        <v>41955</v>
      </c>
      <c r="C564" s="15">
        <v>2014</v>
      </c>
      <c r="D564" s="11" t="s">
        <v>38</v>
      </c>
      <c r="E564" s="15">
        <v>11</v>
      </c>
      <c r="F564" s="26">
        <v>1.7809999999999999</v>
      </c>
      <c r="G564" s="27">
        <v>0</v>
      </c>
    </row>
    <row r="565" spans="1:14">
      <c r="A565" s="15">
        <v>14</v>
      </c>
      <c r="B565" s="75">
        <v>41955</v>
      </c>
      <c r="C565" s="15">
        <v>2014</v>
      </c>
      <c r="D565" s="11" t="s">
        <v>38</v>
      </c>
      <c r="E565" s="15">
        <v>11</v>
      </c>
      <c r="F565" s="26">
        <v>1.137</v>
      </c>
      <c r="G565" s="27">
        <v>0</v>
      </c>
      <c r="I565" s="27">
        <f>AVERAGE(F562:F565)</f>
        <v>1.6215000000000002</v>
      </c>
      <c r="J565" s="27">
        <f>AVERAGE(G562:G565)</f>
        <v>0</v>
      </c>
      <c r="L565">
        <f>+J565/I565</f>
        <v>0</v>
      </c>
      <c r="M565">
        <f>+(L565-$L$931)/$L$932</f>
        <v>-0.3615226880513247</v>
      </c>
      <c r="N565">
        <f>+N562+M565</f>
        <v>3.8588290196672319</v>
      </c>
    </row>
    <row r="566" spans="1:14">
      <c r="A566" s="15">
        <v>5</v>
      </c>
      <c r="B566" s="75">
        <v>41988</v>
      </c>
      <c r="C566" s="15">
        <v>2014</v>
      </c>
      <c r="D566" s="11" t="s">
        <v>39</v>
      </c>
      <c r="E566" s="15">
        <v>12</v>
      </c>
      <c r="F566" s="26">
        <v>3.3159999999999998</v>
      </c>
      <c r="G566" s="27">
        <v>0</v>
      </c>
    </row>
    <row r="567" spans="1:14">
      <c r="A567" s="15">
        <v>7</v>
      </c>
      <c r="B567" s="75">
        <v>41992</v>
      </c>
      <c r="C567" s="15">
        <v>2014</v>
      </c>
      <c r="D567" s="11" t="s">
        <v>39</v>
      </c>
      <c r="E567" s="15">
        <v>12</v>
      </c>
      <c r="F567" s="26">
        <v>1.2729999999999999</v>
      </c>
      <c r="G567" s="27">
        <v>0</v>
      </c>
    </row>
    <row r="568" spans="1:14">
      <c r="A568" s="15">
        <v>14</v>
      </c>
      <c r="B568" s="75">
        <v>41992</v>
      </c>
      <c r="C568" s="15">
        <v>2014</v>
      </c>
      <c r="D568" s="11" t="s">
        <v>39</v>
      </c>
      <c r="E568" s="15">
        <v>12</v>
      </c>
      <c r="F568" s="26">
        <v>1.286</v>
      </c>
      <c r="G568" s="27">
        <v>0</v>
      </c>
      <c r="I568" s="27">
        <f>AVERAGE(F565:F568)</f>
        <v>1.7529999999999997</v>
      </c>
      <c r="J568" s="27">
        <f>AVERAGE(G565:G568)</f>
        <v>0</v>
      </c>
      <c r="L568">
        <f>+J568/I568</f>
        <v>0</v>
      </c>
      <c r="M568">
        <f>+(L568-$L$931)/$L$932</f>
        <v>-0.3615226880513247</v>
      </c>
      <c r="N568">
        <f>+N565+M568</f>
        <v>3.4973063316159072</v>
      </c>
    </row>
    <row r="569" spans="1:14">
      <c r="A569" s="15">
        <v>5</v>
      </c>
      <c r="B569" s="72">
        <v>42014</v>
      </c>
      <c r="E569" s="10">
        <v>1</v>
      </c>
      <c r="F569" s="81">
        <v>4.4349999999999996</v>
      </c>
      <c r="G569" s="81">
        <v>8.0000000000000002E-3</v>
      </c>
    </row>
    <row r="570" spans="1:14">
      <c r="A570" s="15">
        <v>7</v>
      </c>
      <c r="B570" s="72">
        <v>42009</v>
      </c>
      <c r="E570" s="10">
        <v>1</v>
      </c>
      <c r="F570" s="81">
        <v>5.681</v>
      </c>
      <c r="G570" s="81">
        <v>5.0000000000000001E-3</v>
      </c>
    </row>
    <row r="571" spans="1:14">
      <c r="A571" s="15">
        <v>14</v>
      </c>
      <c r="B571" s="72">
        <v>42009</v>
      </c>
      <c r="E571" s="10">
        <v>1</v>
      </c>
      <c r="F571" s="81">
        <v>3.4119999999999999</v>
      </c>
      <c r="G571" s="81">
        <v>4.0000000000000001E-3</v>
      </c>
      <c r="I571" s="27">
        <f>AVERAGE(F569:F571)</f>
        <v>4.5093333333333332</v>
      </c>
      <c r="J571" s="27">
        <f>AVERAGE(G569:G571)</f>
        <v>5.6666666666666671E-3</v>
      </c>
      <c r="L571">
        <f>+J571/I571</f>
        <v>1.2566528681253698E-3</v>
      </c>
      <c r="M571">
        <f>+(L571-$L$931)/$L$932</f>
        <v>-0.32143176399005424</v>
      </c>
      <c r="N571">
        <f>+N568+M571</f>
        <v>3.1758745676258529</v>
      </c>
    </row>
    <row r="572" spans="1:14">
      <c r="A572" s="15">
        <v>5</v>
      </c>
      <c r="B572" s="77">
        <v>42036</v>
      </c>
      <c r="E572" s="12">
        <v>2</v>
      </c>
    </row>
    <row r="573" spans="1:14">
      <c r="A573" s="15">
        <v>7</v>
      </c>
      <c r="B573" s="77">
        <v>42036</v>
      </c>
      <c r="E573" s="12">
        <v>2</v>
      </c>
    </row>
    <row r="574" spans="1:14">
      <c r="A574" s="15">
        <v>14</v>
      </c>
      <c r="B574" s="77">
        <v>42036</v>
      </c>
      <c r="E574" s="12">
        <v>2</v>
      </c>
      <c r="I574" s="27"/>
      <c r="J574" s="27"/>
    </row>
    <row r="575" spans="1:14">
      <c r="A575" s="15">
        <v>5</v>
      </c>
      <c r="B575" s="77">
        <v>42064</v>
      </c>
      <c r="E575" s="12">
        <v>3</v>
      </c>
      <c r="F575" s="81">
        <v>9.5150000000000006</v>
      </c>
      <c r="G575" s="81">
        <v>0.02</v>
      </c>
    </row>
    <row r="576" spans="1:14">
      <c r="A576" s="15">
        <v>7</v>
      </c>
      <c r="B576" s="77">
        <v>42064</v>
      </c>
      <c r="E576" s="12">
        <v>3</v>
      </c>
      <c r="F576" s="81">
        <v>3</v>
      </c>
      <c r="G576" s="81">
        <v>8.0000000000000002E-3</v>
      </c>
    </row>
    <row r="577" spans="1:14">
      <c r="A577" s="15">
        <v>14</v>
      </c>
      <c r="B577" s="77">
        <v>42064</v>
      </c>
      <c r="E577" s="12">
        <v>3</v>
      </c>
      <c r="F577" s="81">
        <v>4.8070000000000004</v>
      </c>
      <c r="G577" s="81">
        <v>1.4999999999999999E-2</v>
      </c>
      <c r="I577" s="27">
        <f>AVERAGE(F575:F577)</f>
        <v>5.7740000000000009</v>
      </c>
      <c r="J577" s="27">
        <f>AVERAGE(G575:G577)</f>
        <v>1.4333333333333332E-2</v>
      </c>
      <c r="L577">
        <f>+J577/I577</f>
        <v>2.4823923334487928E-3</v>
      </c>
      <c r="M577">
        <f>+(L577-$L$931)/$L$932</f>
        <v>-0.28232706843758199</v>
      </c>
      <c r="N577">
        <f>+N571+M577</f>
        <v>2.893547499188271</v>
      </c>
    </row>
    <row r="578" spans="1:14">
      <c r="A578" s="15">
        <v>5</v>
      </c>
      <c r="B578" s="77">
        <v>42095</v>
      </c>
      <c r="E578" s="12">
        <v>4</v>
      </c>
      <c r="F578" s="81">
        <v>3.8610000000000002</v>
      </c>
      <c r="G578" s="81">
        <v>1.2E-2</v>
      </c>
    </row>
    <row r="579" spans="1:14">
      <c r="A579" s="15">
        <v>7</v>
      </c>
      <c r="B579" s="77">
        <v>42095</v>
      </c>
      <c r="E579" s="12">
        <v>4</v>
      </c>
      <c r="F579" s="81">
        <v>1.1739999999999999</v>
      </c>
      <c r="G579" s="81">
        <v>9.9989999999999996E-4</v>
      </c>
    </row>
    <row r="580" spans="1:14">
      <c r="A580" s="15">
        <v>14</v>
      </c>
      <c r="B580" s="77">
        <v>42095</v>
      </c>
      <c r="E580" s="12">
        <v>4</v>
      </c>
      <c r="F580" s="81">
        <v>1.194</v>
      </c>
      <c r="G580" s="81">
        <v>4.0000000000000001E-3</v>
      </c>
      <c r="I580" s="27">
        <f>AVERAGE(F578:F580)</f>
        <v>2.0763333333333334</v>
      </c>
      <c r="J580" s="27">
        <f>AVERAGE(G578:G580)</f>
        <v>5.6666333333333331E-3</v>
      </c>
      <c r="L580">
        <f>+J580/I580</f>
        <v>2.7291539572965162E-3</v>
      </c>
      <c r="M580">
        <f>+(L580-$L$931)/$L$932</f>
        <v>-0.27445464656687657</v>
      </c>
      <c r="N580">
        <f>+N577+M580</f>
        <v>2.6190928526213946</v>
      </c>
    </row>
    <row r="581" spans="1:14">
      <c r="A581" s="15">
        <v>5</v>
      </c>
      <c r="B581" s="77">
        <v>42125</v>
      </c>
      <c r="E581" s="12">
        <v>5</v>
      </c>
      <c r="F581" s="81">
        <v>4.5069999999999997</v>
      </c>
      <c r="G581" s="81">
        <v>0.01</v>
      </c>
    </row>
    <row r="582" spans="1:14">
      <c r="A582" s="15">
        <v>7</v>
      </c>
      <c r="B582" s="77">
        <v>42125</v>
      </c>
      <c r="E582" s="12">
        <v>5</v>
      </c>
      <c r="F582" s="81">
        <v>3.887</v>
      </c>
      <c r="G582" s="81">
        <v>0.115</v>
      </c>
    </row>
    <row r="583" spans="1:14">
      <c r="A583" s="15">
        <v>14</v>
      </c>
      <c r="B583" s="77">
        <v>42125</v>
      </c>
      <c r="E583" s="12">
        <v>5</v>
      </c>
      <c r="F583" s="81">
        <v>2.5880000000000001</v>
      </c>
      <c r="G583" s="81">
        <v>4.0000000000000001E-3</v>
      </c>
      <c r="I583" s="27">
        <f>AVERAGE(F581:F583)</f>
        <v>3.6606666666666663</v>
      </c>
      <c r="J583" s="27">
        <f>AVERAGE(G581:G583)</f>
        <v>4.3000000000000003E-2</v>
      </c>
      <c r="L583">
        <f>+J583/I583</f>
        <v>1.1746494263340013E-2</v>
      </c>
      <c r="M583">
        <f>+(L583-$L$931)/$L$932</f>
        <v>1.3225041765444095E-2</v>
      </c>
      <c r="N583">
        <f>+N580+M583</f>
        <v>2.6323178943868388</v>
      </c>
    </row>
    <row r="584" spans="1:14">
      <c r="A584" s="15">
        <v>5</v>
      </c>
      <c r="B584" s="77">
        <v>42156</v>
      </c>
      <c r="E584" s="12">
        <v>6</v>
      </c>
      <c r="F584" s="81">
        <v>6.4160000000000004</v>
      </c>
      <c r="G584" s="81">
        <v>4.8000000000000001E-2</v>
      </c>
    </row>
    <row r="585" spans="1:14">
      <c r="A585" s="15">
        <v>7</v>
      </c>
      <c r="B585" s="77">
        <v>42156</v>
      </c>
      <c r="E585" s="12">
        <v>6</v>
      </c>
      <c r="F585" s="81">
        <v>4.3869999999999996</v>
      </c>
      <c r="G585" s="81">
        <v>9.9989999999999996E-4</v>
      </c>
    </row>
    <row r="586" spans="1:14">
      <c r="A586" s="15">
        <v>14</v>
      </c>
      <c r="B586" s="77">
        <v>42156</v>
      </c>
      <c r="E586" s="12">
        <v>6</v>
      </c>
      <c r="F586" s="81">
        <v>2.8580000000000001</v>
      </c>
      <c r="G586" s="81">
        <v>4.0000000000000001E-3</v>
      </c>
      <c r="I586" s="27">
        <f>AVERAGE(F584:F586)</f>
        <v>4.5536666666666674</v>
      </c>
      <c r="J586" s="27">
        <f>AVERAGE(G584:G586)</f>
        <v>1.7666633333333334E-2</v>
      </c>
      <c r="L586">
        <f>+J586/I586</f>
        <v>3.879650098821462E-3</v>
      </c>
      <c r="M586">
        <f>+(L586-$L$931)/$L$932</f>
        <v>-0.23775043443909297</v>
      </c>
      <c r="N586">
        <f>+N583+M586</f>
        <v>2.394567459947746</v>
      </c>
    </row>
    <row r="587" spans="1:14">
      <c r="A587" s="15">
        <v>5</v>
      </c>
      <c r="B587" s="77">
        <v>42186</v>
      </c>
      <c r="E587" s="12">
        <v>7</v>
      </c>
      <c r="F587" s="81">
        <v>8.3529999999999998</v>
      </c>
      <c r="G587" s="81">
        <v>2.1999999999999999E-2</v>
      </c>
    </row>
    <row r="588" spans="1:14">
      <c r="A588" s="15">
        <v>7</v>
      </c>
      <c r="B588" s="77">
        <v>42186</v>
      </c>
      <c r="E588" s="12">
        <v>7</v>
      </c>
      <c r="F588" s="81">
        <v>15.036</v>
      </c>
      <c r="G588" s="81">
        <v>1.0999999999999999E-2</v>
      </c>
    </row>
    <row r="589" spans="1:14">
      <c r="A589" s="15">
        <v>14</v>
      </c>
      <c r="B589" s="77">
        <v>42186</v>
      </c>
      <c r="E589" s="12">
        <v>7</v>
      </c>
      <c r="F589" s="81">
        <v>6.8049999999999997</v>
      </c>
      <c r="G589" s="81">
        <v>5.0000000000000001E-3</v>
      </c>
      <c r="I589" s="27">
        <f>AVERAGE(F587:F589)</f>
        <v>10.064666666666666</v>
      </c>
      <c r="J589" s="27">
        <f>AVERAGE(G587:G589)</f>
        <v>1.2666666666666666E-2</v>
      </c>
      <c r="L589">
        <f>+J589/I589</f>
        <v>1.2585281844074982E-3</v>
      </c>
      <c r="M589">
        <f>+(L589-$L$931)/$L$932</f>
        <v>-0.32137193588273466</v>
      </c>
      <c r="N589">
        <f>+N586+M589</f>
        <v>2.0731955240650115</v>
      </c>
    </row>
    <row r="590" spans="1:14">
      <c r="A590" s="15">
        <v>5</v>
      </c>
      <c r="B590" s="77">
        <v>42217</v>
      </c>
      <c r="E590" s="12">
        <v>8</v>
      </c>
      <c r="F590" s="81">
        <v>12.521000000000001</v>
      </c>
      <c r="G590" s="81">
        <v>2.3E-2</v>
      </c>
    </row>
    <row r="591" spans="1:14">
      <c r="A591" s="15">
        <v>7</v>
      </c>
      <c r="B591" s="77">
        <v>42217</v>
      </c>
      <c r="E591" s="12">
        <v>8</v>
      </c>
      <c r="F591" s="81">
        <v>25.341000000000001</v>
      </c>
      <c r="G591" s="81">
        <v>3.3000000000000002E-2</v>
      </c>
    </row>
    <row r="592" spans="1:14">
      <c r="A592" s="15">
        <v>14</v>
      </c>
      <c r="B592" s="77">
        <v>42217</v>
      </c>
      <c r="E592" s="12">
        <v>8</v>
      </c>
      <c r="F592" s="81">
        <v>10.223000000000001</v>
      </c>
      <c r="G592" s="81">
        <v>1.7999999999999999E-2</v>
      </c>
      <c r="I592" s="27">
        <f>AVERAGE(F590:F592)</f>
        <v>16.028333333333332</v>
      </c>
      <c r="J592" s="27">
        <f>AVERAGE(G590:G592)</f>
        <v>2.4666666666666667E-2</v>
      </c>
      <c r="L592">
        <f>+J592/I592</f>
        <v>1.5389414578350837E-3</v>
      </c>
      <c r="M592">
        <f>+(L592-$L$931)/$L$932</f>
        <v>-0.31242592737401409</v>
      </c>
      <c r="N592">
        <f>+N589+M592</f>
        <v>1.7607695966909973</v>
      </c>
    </row>
    <row r="593" spans="1:14">
      <c r="A593" s="15">
        <v>5</v>
      </c>
      <c r="B593" s="77">
        <v>42248</v>
      </c>
      <c r="E593" s="12">
        <v>9</v>
      </c>
      <c r="F593" s="81">
        <v>2.331</v>
      </c>
      <c r="G593" s="81">
        <v>1.0999999999999999E-2</v>
      </c>
    </row>
    <row r="594" spans="1:14">
      <c r="A594" s="15">
        <v>7</v>
      </c>
      <c r="B594" s="77">
        <v>42248</v>
      </c>
      <c r="E594" s="12">
        <v>9</v>
      </c>
      <c r="F594" s="81">
        <v>16.768000000000001</v>
      </c>
      <c r="G594" s="81">
        <v>2.7E-2</v>
      </c>
    </row>
    <row r="595" spans="1:14">
      <c r="A595" s="15">
        <v>14</v>
      </c>
      <c r="B595" s="77">
        <v>42248</v>
      </c>
      <c r="E595" s="12">
        <v>9</v>
      </c>
      <c r="F595" s="81">
        <v>6.8369999999999997</v>
      </c>
      <c r="G595" s="81">
        <v>1.4E-2</v>
      </c>
      <c r="I595" s="27">
        <f>AVERAGE(F593:F595)</f>
        <v>8.6453333333333333</v>
      </c>
      <c r="J595" s="27">
        <f>AVERAGE(G593:G595)</f>
        <v>1.7333333333333333E-2</v>
      </c>
      <c r="L595">
        <f>+J595/I595</f>
        <v>2.0049352251696483E-3</v>
      </c>
      <c r="M595">
        <f>+(L595-$L$931)/$L$932</f>
        <v>-0.29755935505869791</v>
      </c>
      <c r="N595">
        <f>+N592+M595</f>
        <v>1.4632102416322994</v>
      </c>
    </row>
    <row r="596" spans="1:14">
      <c r="A596" s="15">
        <v>5</v>
      </c>
      <c r="B596" s="77">
        <v>42278</v>
      </c>
      <c r="E596" s="12">
        <v>10</v>
      </c>
      <c r="F596" s="81">
        <v>4.4619999999999997</v>
      </c>
      <c r="G596" s="81">
        <v>9.9989999999999996E-4</v>
      </c>
    </row>
    <row r="597" spans="1:14">
      <c r="A597" s="15">
        <v>7</v>
      </c>
      <c r="B597" s="77">
        <v>42278</v>
      </c>
      <c r="E597" s="12">
        <v>10</v>
      </c>
      <c r="F597" s="81">
        <v>5.4770000000000003</v>
      </c>
      <c r="G597" s="81">
        <v>1.2E-2</v>
      </c>
    </row>
    <row r="598" spans="1:14">
      <c r="A598" s="15">
        <v>14</v>
      </c>
      <c r="B598" s="77">
        <v>42278</v>
      </c>
      <c r="E598" s="12">
        <v>10</v>
      </c>
      <c r="F598" s="81">
        <v>1.6850000000000001</v>
      </c>
      <c r="G598" s="81">
        <v>9.9989999999999996E-4</v>
      </c>
      <c r="I598" s="27">
        <f>AVERAGE(F596:F598)</f>
        <v>3.8746666666666667</v>
      </c>
      <c r="J598" s="27">
        <f>AVERAGE(G596:G598)</f>
        <v>4.6665999999999999E-3</v>
      </c>
      <c r="L598">
        <f>+J598/I598</f>
        <v>1.2043874741913283E-3</v>
      </c>
      <c r="M598">
        <f>+(L598-$L$931)/$L$932</f>
        <v>-0.32309918384194053</v>
      </c>
      <c r="N598">
        <f>+N595+M598</f>
        <v>1.1401110577903588</v>
      </c>
    </row>
    <row r="599" spans="1:14">
      <c r="A599" s="15">
        <v>5</v>
      </c>
      <c r="B599" s="77">
        <v>42309</v>
      </c>
      <c r="E599" s="12">
        <v>11</v>
      </c>
      <c r="F599" s="81">
        <v>0.39600000000000002</v>
      </c>
      <c r="G599" s="81">
        <v>9.9989999999999996E-4</v>
      </c>
    </row>
    <row r="600" spans="1:14">
      <c r="A600" s="15">
        <v>7</v>
      </c>
      <c r="B600" s="77">
        <v>42309</v>
      </c>
      <c r="E600" s="12">
        <v>11</v>
      </c>
      <c r="F600" s="81">
        <v>1.89</v>
      </c>
      <c r="G600" s="81">
        <v>4.0000000000000001E-3</v>
      </c>
    </row>
    <row r="601" spans="1:14">
      <c r="A601" s="15">
        <v>14</v>
      </c>
      <c r="B601" s="77">
        <v>42309</v>
      </c>
      <c r="E601" s="12">
        <v>11</v>
      </c>
      <c r="F601" s="81">
        <v>0.78500000000000003</v>
      </c>
      <c r="G601" s="81">
        <v>9.9989999999999996E-4</v>
      </c>
    </row>
    <row r="602" spans="1:14">
      <c r="A602" s="15">
        <v>5</v>
      </c>
      <c r="B602" s="78">
        <v>42339</v>
      </c>
      <c r="E602" s="12">
        <v>12</v>
      </c>
      <c r="F602" s="81">
        <v>1.883</v>
      </c>
      <c r="G602" s="81">
        <v>9.9989999999999996E-4</v>
      </c>
      <c r="I602" s="27">
        <f>AVERAGE(F600:F602)</f>
        <v>1.5193333333333332</v>
      </c>
      <c r="J602" s="27">
        <f>AVERAGE(G600:G602)</f>
        <v>1.9999333333333333E-3</v>
      </c>
      <c r="L602">
        <f>+J602/I602</f>
        <v>1.3163229486616939E-3</v>
      </c>
      <c r="M602">
        <f>+(L602-$L$931)/$L$932</f>
        <v>-0.3195281128480485</v>
      </c>
      <c r="N602">
        <f>+N598+M602</f>
        <v>0.82058294494231032</v>
      </c>
    </row>
    <row r="603" spans="1:14">
      <c r="A603" s="15">
        <v>7</v>
      </c>
      <c r="B603" s="77">
        <v>42339</v>
      </c>
      <c r="E603" s="12">
        <v>12</v>
      </c>
      <c r="F603" s="81">
        <v>1.6990000000000001</v>
      </c>
      <c r="G603" s="81">
        <v>9.9989999999999996E-4</v>
      </c>
    </row>
    <row r="604" spans="1:14">
      <c r="A604" s="15">
        <v>14</v>
      </c>
      <c r="B604" s="77">
        <v>42339</v>
      </c>
      <c r="E604" s="12">
        <v>12</v>
      </c>
      <c r="F604" s="81">
        <v>1.4910000000000001</v>
      </c>
      <c r="G604" s="81">
        <v>6.0000000000000001E-3</v>
      </c>
    </row>
    <row r="605" spans="1:14">
      <c r="A605" s="15">
        <v>5</v>
      </c>
      <c r="B605" s="72">
        <v>42379</v>
      </c>
      <c r="E605" s="10">
        <v>1</v>
      </c>
      <c r="F605" s="83">
        <v>1.357</v>
      </c>
      <c r="G605" s="83">
        <v>6.0000000000000001E-3</v>
      </c>
      <c r="I605" s="27">
        <f>AVERAGE(F603:F605)</f>
        <v>1.5156666666666669</v>
      </c>
      <c r="J605" s="27">
        <f>AVERAGE(G603:G605)</f>
        <v>4.3333E-3</v>
      </c>
      <c r="L605">
        <f>+J605/I605</f>
        <v>2.859005937981086E-3</v>
      </c>
      <c r="M605">
        <f>+(L605-$L$931)/$L$932</f>
        <v>-0.27031198630732806</v>
      </c>
      <c r="N605">
        <f>+N602+M605</f>
        <v>0.55027095863498232</v>
      </c>
    </row>
    <row r="606" spans="1:14">
      <c r="A606" s="15">
        <v>7</v>
      </c>
      <c r="B606" s="72">
        <v>42374</v>
      </c>
      <c r="E606" s="10">
        <v>1</v>
      </c>
      <c r="F606" s="83">
        <v>1.921</v>
      </c>
      <c r="G606" s="83">
        <v>9.9989999999999996E-4</v>
      </c>
    </row>
    <row r="607" spans="1:14">
      <c r="A607" s="15">
        <v>14</v>
      </c>
      <c r="B607" s="72">
        <v>42374</v>
      </c>
      <c r="E607" s="10">
        <v>1</v>
      </c>
      <c r="F607" s="83">
        <v>1.569</v>
      </c>
      <c r="G607" s="83">
        <v>9.9989999999999996E-4</v>
      </c>
    </row>
    <row r="608" spans="1:14">
      <c r="A608" s="15">
        <v>5</v>
      </c>
      <c r="B608" s="77">
        <v>42401</v>
      </c>
      <c r="E608" s="12">
        <v>2</v>
      </c>
      <c r="F608" s="83">
        <v>6.2510000000000003</v>
      </c>
      <c r="G608" s="83">
        <v>7.0000000000000001E-3</v>
      </c>
      <c r="I608" s="27">
        <f>AVERAGE(F606:F608)</f>
        <v>3.2469999999999999</v>
      </c>
      <c r="J608" s="27">
        <f>AVERAGE(G606:G608)</f>
        <v>2.9999333333333334E-3</v>
      </c>
      <c r="L608">
        <f>+J608/I608</f>
        <v>9.2390924956369989E-4</v>
      </c>
      <c r="M608">
        <f>+(L608-$L$931)/$L$932</f>
        <v>-0.33204726448505439</v>
      </c>
      <c r="N608">
        <f>+N605+M608</f>
        <v>0.21822369414992793</v>
      </c>
    </row>
    <row r="609" spans="1:14">
      <c r="A609" s="15">
        <v>7</v>
      </c>
      <c r="B609" s="77">
        <v>42401</v>
      </c>
      <c r="E609" s="12">
        <v>2</v>
      </c>
      <c r="F609" s="84">
        <v>5.2869999999999999</v>
      </c>
      <c r="G609" s="84">
        <v>7.0000000000000001E-3</v>
      </c>
    </row>
    <row r="610" spans="1:14">
      <c r="A610" s="15">
        <v>14</v>
      </c>
      <c r="B610" s="77">
        <v>42401</v>
      </c>
      <c r="E610" s="12">
        <v>2</v>
      </c>
      <c r="F610" s="83">
        <v>3.1019999999999999</v>
      </c>
      <c r="G610" s="83">
        <v>4.0000000000000001E-3</v>
      </c>
    </row>
    <row r="611" spans="1:14">
      <c r="A611" s="15">
        <v>5</v>
      </c>
      <c r="B611" s="77">
        <v>42430</v>
      </c>
      <c r="E611" s="12">
        <v>3</v>
      </c>
      <c r="F611" s="83">
        <v>4.0209999999999999</v>
      </c>
      <c r="G611" s="83">
        <v>7.0000000000000001E-3</v>
      </c>
      <c r="I611" s="27">
        <f>AVERAGE(F609:F611)</f>
        <v>4.1366666666666667</v>
      </c>
      <c r="J611" s="27">
        <f>AVERAGE(G609:G611)</f>
        <v>5.9999999999999993E-3</v>
      </c>
      <c r="L611">
        <f>+J611/I611</f>
        <v>1.4504431909750199E-3</v>
      </c>
      <c r="M611">
        <f>+(L611-$L$931)/$L$932</f>
        <v>-0.31524928248363454</v>
      </c>
      <c r="N611">
        <f>+N608+M611</f>
        <v>-9.7025588333706614E-2</v>
      </c>
    </row>
    <row r="612" spans="1:14">
      <c r="A612" s="15">
        <v>7</v>
      </c>
      <c r="B612" s="77">
        <v>42430</v>
      </c>
      <c r="E612" s="12">
        <v>3</v>
      </c>
      <c r="F612" s="83">
        <v>3.9</v>
      </c>
      <c r="G612" s="83">
        <v>4.0000000000000001E-3</v>
      </c>
    </row>
    <row r="613" spans="1:14">
      <c r="A613" s="15">
        <v>14</v>
      </c>
      <c r="B613" s="77">
        <v>42430</v>
      </c>
      <c r="E613" s="12">
        <v>3</v>
      </c>
      <c r="F613" s="83">
        <v>1.583</v>
      </c>
      <c r="G613" s="83">
        <v>9.9989999999999996E-4</v>
      </c>
    </row>
    <row r="614" spans="1:14">
      <c r="A614" s="15">
        <v>5</v>
      </c>
      <c r="B614" s="77">
        <v>42461</v>
      </c>
      <c r="E614" s="12">
        <v>4</v>
      </c>
      <c r="F614" s="83">
        <v>3.6829999999999998</v>
      </c>
      <c r="G614" s="83">
        <v>1.6E-2</v>
      </c>
      <c r="I614" s="27">
        <f>AVERAGE(F612:F614)</f>
        <v>3.0553333333333335</v>
      </c>
      <c r="J614" s="27">
        <f>AVERAGE(G612:G614)</f>
        <v>6.999966666666667E-3</v>
      </c>
      <c r="L614">
        <f>+J614/I614</f>
        <v>2.2910648047130703E-3</v>
      </c>
      <c r="M614">
        <f>+(L614-$L$931)/$L$932</f>
        <v>-0.28843097956525637</v>
      </c>
      <c r="N614">
        <f>+N611+M614</f>
        <v>-0.38545656789896299</v>
      </c>
    </row>
    <row r="615" spans="1:14">
      <c r="A615" s="15">
        <v>7</v>
      </c>
      <c r="B615" s="77">
        <v>42461</v>
      </c>
      <c r="E615" s="12">
        <v>4</v>
      </c>
      <c r="F615" s="83">
        <v>4.1120000000000001</v>
      </c>
      <c r="G615" s="83">
        <v>1.6E-2</v>
      </c>
    </row>
    <row r="616" spans="1:14">
      <c r="A616" s="15">
        <v>14</v>
      </c>
      <c r="B616" s="77">
        <v>42461</v>
      </c>
      <c r="E616" s="12">
        <v>4</v>
      </c>
      <c r="F616" s="83">
        <v>1.421</v>
      </c>
      <c r="G616" s="83">
        <v>4.0000000000000001E-3</v>
      </c>
    </row>
    <row r="617" spans="1:14">
      <c r="A617" s="15">
        <v>5</v>
      </c>
      <c r="B617" s="77">
        <v>42491</v>
      </c>
      <c r="E617" s="12">
        <v>5</v>
      </c>
      <c r="F617" s="83">
        <v>9.234</v>
      </c>
      <c r="G617" s="83">
        <v>1.607</v>
      </c>
    </row>
    <row r="618" spans="1:14">
      <c r="A618" s="15">
        <v>7</v>
      </c>
      <c r="B618" s="77">
        <v>42491</v>
      </c>
      <c r="E618" s="12">
        <v>5</v>
      </c>
      <c r="F618" s="83">
        <v>10.819000000000001</v>
      </c>
      <c r="G618" s="83">
        <v>0.36</v>
      </c>
      <c r="I618" s="27">
        <f>AVERAGE(F616:F618)</f>
        <v>7.1580000000000004</v>
      </c>
      <c r="J618" s="27">
        <f>AVERAGE(G616:G618)</f>
        <v>0.65700000000000003</v>
      </c>
      <c r="L618">
        <f>+J618/I618</f>
        <v>9.1785414920368819E-2</v>
      </c>
      <c r="M618">
        <f>+(L618-$L$931)/$L$932</f>
        <v>2.5667021167780684</v>
      </c>
      <c r="N618">
        <f>+N614+M618</f>
        <v>2.1812455488791054</v>
      </c>
    </row>
    <row r="619" spans="1:14">
      <c r="A619" s="15">
        <v>14</v>
      </c>
      <c r="B619" s="77">
        <v>42491</v>
      </c>
      <c r="E619" s="12">
        <v>5</v>
      </c>
      <c r="F619" s="83">
        <v>4.843</v>
      </c>
      <c r="G619" s="83">
        <v>0.26800000000000002</v>
      </c>
    </row>
    <row r="620" spans="1:14">
      <c r="A620" s="15">
        <v>5</v>
      </c>
      <c r="B620" s="77">
        <v>42522</v>
      </c>
      <c r="E620" s="12">
        <v>6</v>
      </c>
      <c r="F620" s="83">
        <v>10.271000000000001</v>
      </c>
      <c r="G620" s="83">
        <v>1.052</v>
      </c>
    </row>
    <row r="621" spans="1:14">
      <c r="A621" s="15">
        <v>7</v>
      </c>
      <c r="B621" s="77">
        <v>42522</v>
      </c>
      <c r="E621" s="12">
        <v>6</v>
      </c>
      <c r="F621" s="83">
        <v>10.773</v>
      </c>
      <c r="G621" s="83">
        <v>1.7999999999999999E-2</v>
      </c>
      <c r="I621" s="27">
        <f>AVERAGE(F619:F621)</f>
        <v>8.6289999999999996</v>
      </c>
      <c r="J621" s="27">
        <f>AVERAGE(G619:G621)</f>
        <v>0.44600000000000001</v>
      </c>
      <c r="L621">
        <f>+J621/I621</f>
        <v>5.1686174527755251E-2</v>
      </c>
      <c r="M621">
        <f>+(L621-$L$931)/$L$932</f>
        <v>1.2874183604825975</v>
      </c>
      <c r="N621">
        <f>+N618+M621</f>
        <v>3.4686639093617027</v>
      </c>
    </row>
    <row r="622" spans="1:14">
      <c r="A622" s="15">
        <v>14</v>
      </c>
      <c r="B622" s="77">
        <v>42522</v>
      </c>
      <c r="E622" s="12">
        <v>6</v>
      </c>
      <c r="F622" s="83">
        <v>11.180999999999999</v>
      </c>
      <c r="G622" s="83">
        <v>9.4E-2</v>
      </c>
    </row>
    <row r="623" spans="1:14">
      <c r="A623" s="15">
        <v>5</v>
      </c>
      <c r="B623" s="77">
        <v>42552</v>
      </c>
      <c r="E623" s="12">
        <v>7</v>
      </c>
      <c r="F623" s="83">
        <v>10.353</v>
      </c>
      <c r="G623" s="83">
        <v>1.7999999999999999E-2</v>
      </c>
    </row>
    <row r="624" spans="1:14">
      <c r="A624" s="15">
        <v>7</v>
      </c>
      <c r="B624" s="77">
        <v>42552</v>
      </c>
      <c r="E624" s="12">
        <v>7</v>
      </c>
      <c r="F624" s="83">
        <v>14.101000000000001</v>
      </c>
      <c r="G624" s="83">
        <v>2.1999999999999999E-2</v>
      </c>
      <c r="I624" s="27">
        <f>AVERAGE(F622:F624)</f>
        <v>11.878333333333332</v>
      </c>
      <c r="J624" s="27">
        <f>AVERAGE(G622:G624)</f>
        <v>4.4666666666666667E-2</v>
      </c>
      <c r="L624">
        <f>+J624/I624</f>
        <v>3.7603479724989479E-3</v>
      </c>
      <c r="M624">
        <f>+(L624-$L$931)/$L$932</f>
        <v>-0.24155652330266192</v>
      </c>
      <c r="N624">
        <f>+N621+M624</f>
        <v>3.2271073860590409</v>
      </c>
    </row>
    <row r="625" spans="1:14">
      <c r="A625" s="15">
        <v>14</v>
      </c>
      <c r="B625" s="77">
        <v>42552</v>
      </c>
      <c r="E625" s="12">
        <v>7</v>
      </c>
      <c r="F625" s="83">
        <v>5.9050000000000002</v>
      </c>
      <c r="G625" s="83">
        <v>9.9989999999999996E-4</v>
      </c>
    </row>
    <row r="626" spans="1:14">
      <c r="A626" s="15">
        <v>5</v>
      </c>
      <c r="B626" s="77">
        <v>42583</v>
      </c>
      <c r="E626" s="12">
        <v>8</v>
      </c>
      <c r="F626" s="83">
        <v>14.885999999999999</v>
      </c>
      <c r="G626" s="83">
        <v>1.0999999999999999E-2</v>
      </c>
    </row>
    <row r="627" spans="1:14">
      <c r="A627" s="15">
        <v>7</v>
      </c>
      <c r="B627" s="77">
        <v>42583</v>
      </c>
      <c r="E627" s="12">
        <v>8</v>
      </c>
      <c r="F627" s="83">
        <v>11.77</v>
      </c>
      <c r="G627" s="83">
        <v>0.02</v>
      </c>
      <c r="I627" s="27">
        <f>AVERAGE(F625:F627)</f>
        <v>10.853666666666667</v>
      </c>
      <c r="J627" s="27">
        <f>AVERAGE(G625:G627)</f>
        <v>1.0666633333333333E-2</v>
      </c>
      <c r="L627">
        <f>+J627/I627</f>
        <v>9.8276772826387396E-4</v>
      </c>
      <c r="M627">
        <f>+(L627-$L$931)/$L$932</f>
        <v>-0.33016950582967436</v>
      </c>
      <c r="N627">
        <f>+N624+M627</f>
        <v>2.8969378802293666</v>
      </c>
    </row>
    <row r="628" spans="1:14">
      <c r="A628" s="15">
        <v>14</v>
      </c>
      <c r="B628" s="77">
        <v>42583</v>
      </c>
      <c r="E628" s="12">
        <v>8</v>
      </c>
      <c r="F628" s="83">
        <v>2.694</v>
      </c>
      <c r="G628" s="83">
        <v>9.9989999999999996E-4</v>
      </c>
    </row>
    <row r="629" spans="1:14">
      <c r="A629" s="15">
        <v>5</v>
      </c>
      <c r="B629" s="77">
        <v>42614</v>
      </c>
      <c r="E629" s="12">
        <v>9</v>
      </c>
      <c r="F629" s="83">
        <v>8.5429999999999993</v>
      </c>
      <c r="G629" s="83">
        <v>7.0000000000000001E-3</v>
      </c>
    </row>
    <row r="630" spans="1:14">
      <c r="A630" s="15">
        <v>7</v>
      </c>
      <c r="B630" s="77">
        <v>42614</v>
      </c>
      <c r="E630" s="12">
        <v>9</v>
      </c>
      <c r="F630" s="83">
        <v>22.082999999999998</v>
      </c>
      <c r="G630" s="83">
        <v>2.7E-2</v>
      </c>
      <c r="I630" s="27">
        <f>AVERAGE(F628:F630)</f>
        <v>11.106666666666664</v>
      </c>
      <c r="J630" s="27">
        <f>AVERAGE(G628:G630)</f>
        <v>1.1666633333333334E-2</v>
      </c>
      <c r="L630">
        <f>+J630/I630</f>
        <v>1.0504171668667471E-3</v>
      </c>
      <c r="M630">
        <f>+(L630-$L$931)/$L$932</f>
        <v>-0.32801128968692905</v>
      </c>
      <c r="N630">
        <f>+N627+M630</f>
        <v>2.5689265905424374</v>
      </c>
    </row>
    <row r="631" spans="1:14">
      <c r="A631" s="15">
        <v>14</v>
      </c>
      <c r="B631" s="77">
        <v>42614</v>
      </c>
      <c r="E631" s="12">
        <v>9</v>
      </c>
      <c r="F631" s="83">
        <v>1.5660000000000001</v>
      </c>
      <c r="G631" s="83">
        <v>9.9989999999999996E-4</v>
      </c>
    </row>
    <row r="632" spans="1:14">
      <c r="A632" s="15">
        <v>5</v>
      </c>
      <c r="B632" s="77">
        <v>42644</v>
      </c>
      <c r="E632" s="12">
        <v>10</v>
      </c>
      <c r="F632" s="83">
        <v>1.851</v>
      </c>
      <c r="G632" s="83">
        <v>9.9989999999999996E-4</v>
      </c>
    </row>
    <row r="633" spans="1:14">
      <c r="A633" s="15">
        <v>7</v>
      </c>
      <c r="B633" s="77">
        <v>42644</v>
      </c>
      <c r="E633" s="12">
        <v>10</v>
      </c>
      <c r="F633" s="83">
        <v>2.5150000000000001</v>
      </c>
      <c r="G633" s="83">
        <v>9.9989999999999996E-4</v>
      </c>
    </row>
    <row r="634" spans="1:14">
      <c r="A634" s="15">
        <v>14</v>
      </c>
      <c r="B634" s="77">
        <v>42644</v>
      </c>
      <c r="E634" s="12">
        <v>10</v>
      </c>
      <c r="F634" s="84">
        <v>1.171</v>
      </c>
      <c r="G634" s="84">
        <v>9.9989999999999996E-4</v>
      </c>
      <c r="I634" s="27">
        <f>AVERAGE(F632:F634)</f>
        <v>1.8456666666666666</v>
      </c>
      <c r="J634" s="27">
        <f>AVERAGE(G632:G634)</f>
        <v>9.9989999999999996E-4</v>
      </c>
      <c r="L634">
        <f>+J634/I634</f>
        <v>5.4175546324724579E-4</v>
      </c>
      <c r="M634">
        <f>+(L634-$L$931)/$L$932</f>
        <v>-0.3442390947156217</v>
      </c>
      <c r="N634">
        <f>+N630+M634</f>
        <v>2.2246874958268159</v>
      </c>
    </row>
    <row r="635" spans="1:14">
      <c r="A635" s="15">
        <v>5</v>
      </c>
      <c r="B635" s="77">
        <v>42675</v>
      </c>
      <c r="E635" s="12">
        <v>11</v>
      </c>
      <c r="F635" s="83">
        <v>0.311</v>
      </c>
      <c r="G635" s="83">
        <v>9.9989999999999996E-4</v>
      </c>
    </row>
    <row r="636" spans="1:14">
      <c r="A636" s="15">
        <v>7</v>
      </c>
      <c r="B636" s="77">
        <v>42675</v>
      </c>
      <c r="E636" s="12">
        <v>11</v>
      </c>
      <c r="F636" s="83">
        <v>1.7270000000000001</v>
      </c>
      <c r="G636" s="83">
        <v>9.9989999999999996E-4</v>
      </c>
    </row>
    <row r="637" spans="1:14">
      <c r="A637" s="15">
        <v>14</v>
      </c>
      <c r="B637" s="77">
        <v>42675</v>
      </c>
      <c r="E637" s="12">
        <v>11</v>
      </c>
      <c r="F637" s="83">
        <v>0.38400000000000001</v>
      </c>
      <c r="G637" s="83">
        <v>9.9989999999999996E-4</v>
      </c>
      <c r="I637" s="27">
        <f>AVERAGE(F635:F637)</f>
        <v>0.80733333333333335</v>
      </c>
      <c r="J637" s="27">
        <f>AVERAGE(G635:G637)</f>
        <v>9.9989999999999996E-4</v>
      </c>
      <c r="L637">
        <f>+J637/I637</f>
        <v>1.2385218827415359E-3</v>
      </c>
      <c r="M637">
        <f>+(L637-$L$931)/$L$932</f>
        <v>-0.32201019577230422</v>
      </c>
      <c r="N637">
        <f>+N634+M637</f>
        <v>1.9026773000545116</v>
      </c>
    </row>
    <row r="638" spans="1:14">
      <c r="A638" s="15">
        <v>5</v>
      </c>
      <c r="B638" s="78">
        <v>42705</v>
      </c>
      <c r="E638" s="12">
        <v>12</v>
      </c>
      <c r="F638" s="83">
        <v>1.5609999999999999</v>
      </c>
      <c r="G638" s="83">
        <v>9.9989999999999996E-4</v>
      </c>
    </row>
    <row r="639" spans="1:14">
      <c r="A639" s="15">
        <v>7</v>
      </c>
      <c r="B639" s="77">
        <v>42705</v>
      </c>
      <c r="E639" s="12">
        <v>12</v>
      </c>
      <c r="F639" s="83">
        <v>2.3180000000000001</v>
      </c>
      <c r="G639" s="83">
        <v>9.9989999999999996E-4</v>
      </c>
    </row>
    <row r="640" spans="1:14">
      <c r="A640" s="15">
        <v>14</v>
      </c>
      <c r="B640" s="77">
        <v>42705</v>
      </c>
      <c r="E640" s="12">
        <v>12</v>
      </c>
      <c r="F640" s="83">
        <v>1.1519999999999999</v>
      </c>
      <c r="G640" s="83">
        <v>9.9989999999999996E-4</v>
      </c>
      <c r="I640" s="27">
        <f>AVERAGE(F638:F640)</f>
        <v>1.6769999999999998</v>
      </c>
      <c r="J640" s="27">
        <f>AVERAGE(G638:G640)</f>
        <v>9.9989999999999996E-4</v>
      </c>
      <c r="L640">
        <f>+J640/I640</f>
        <v>5.962432915921288E-4</v>
      </c>
      <c r="M640">
        <f>+(L640-$L$931)/$L$932</f>
        <v>-0.34250077266675155</v>
      </c>
      <c r="N640">
        <f>+N637+M640</f>
        <v>1.5601765273877601</v>
      </c>
    </row>
    <row r="641" spans="1:14">
      <c r="A641" s="15">
        <v>5</v>
      </c>
      <c r="B641" s="72">
        <v>42745</v>
      </c>
      <c r="E641" s="10">
        <v>1</v>
      </c>
    </row>
    <row r="642" spans="1:14">
      <c r="A642" s="15">
        <v>7</v>
      </c>
      <c r="B642" s="72">
        <v>42740</v>
      </c>
      <c r="E642" s="10">
        <v>1</v>
      </c>
    </row>
    <row r="643" spans="1:14">
      <c r="A643" s="15">
        <v>14</v>
      </c>
      <c r="B643" s="72">
        <v>42740</v>
      </c>
      <c r="E643" s="10">
        <v>1</v>
      </c>
      <c r="I643" s="27" t="e">
        <f>AVERAGE(F641:F643)</f>
        <v>#DIV/0!</v>
      </c>
      <c r="J643" s="27" t="e">
        <f>AVERAGE(G641:G643)</f>
        <v>#DIV/0!</v>
      </c>
    </row>
    <row r="644" spans="1:14">
      <c r="A644" s="15">
        <v>5</v>
      </c>
      <c r="B644" s="77">
        <v>42767</v>
      </c>
      <c r="E644" s="12">
        <v>2</v>
      </c>
    </row>
    <row r="645" spans="1:14">
      <c r="A645" s="15">
        <v>7</v>
      </c>
      <c r="B645" s="77">
        <v>42767</v>
      </c>
      <c r="E645" s="12">
        <v>2</v>
      </c>
    </row>
    <row r="646" spans="1:14">
      <c r="A646" s="15">
        <v>14</v>
      </c>
      <c r="B646" s="77">
        <v>42767</v>
      </c>
      <c r="E646" s="12">
        <v>2</v>
      </c>
      <c r="I646" s="27" t="e">
        <f>AVERAGE(F644:F646)</f>
        <v>#DIV/0!</v>
      </c>
      <c r="J646" s="27" t="e">
        <f>AVERAGE(G644:G646)</f>
        <v>#DIV/0!</v>
      </c>
    </row>
    <row r="647" spans="1:14">
      <c r="A647" s="15">
        <v>5</v>
      </c>
      <c r="B647" s="77">
        <v>42795</v>
      </c>
      <c r="E647" s="12">
        <v>3</v>
      </c>
      <c r="F647" s="83">
        <v>1.772</v>
      </c>
      <c r="G647" s="83">
        <v>4.4999999999999998E-2</v>
      </c>
    </row>
    <row r="648" spans="1:14">
      <c r="A648" s="15">
        <v>7</v>
      </c>
      <c r="B648" s="77">
        <v>42795</v>
      </c>
      <c r="E648" s="12">
        <v>3</v>
      </c>
      <c r="F648" s="83">
        <v>2.4049999999999998</v>
      </c>
      <c r="G648" s="83">
        <v>9.9989999999999996E-4</v>
      </c>
    </row>
    <row r="649" spans="1:14">
      <c r="A649" s="15">
        <v>14</v>
      </c>
      <c r="B649" s="77">
        <v>42795</v>
      </c>
      <c r="E649" s="12">
        <v>3</v>
      </c>
      <c r="F649" s="83">
        <v>0.74399999999999999</v>
      </c>
      <c r="G649" s="83">
        <v>9.9989999999999996E-4</v>
      </c>
      <c r="I649" s="27">
        <f>AVERAGE(F647:F649)</f>
        <v>1.6403333333333332</v>
      </c>
      <c r="J649" s="27">
        <f>AVERAGE(G647:G649)</f>
        <v>1.5666599999999999E-2</v>
      </c>
      <c r="L649">
        <f>+J649/I649</f>
        <v>9.5508636456004877E-3</v>
      </c>
      <c r="M649">
        <f>+(L649-$L$931)/$L$932</f>
        <v>-5.6822035351172875E-2</v>
      </c>
      <c r="N649">
        <f>+N640+M649</f>
        <v>1.5033544920365873</v>
      </c>
    </row>
    <row r="650" spans="1:14">
      <c r="A650" s="15">
        <v>5</v>
      </c>
      <c r="B650" s="77">
        <v>42826</v>
      </c>
      <c r="E650" s="12">
        <v>4</v>
      </c>
    </row>
    <row r="651" spans="1:14">
      <c r="A651" s="15">
        <v>7</v>
      </c>
      <c r="B651" s="77">
        <v>42826</v>
      </c>
      <c r="E651" s="12">
        <v>4</v>
      </c>
      <c r="F651" s="83">
        <v>2.4369999999999998</v>
      </c>
      <c r="G651" s="83">
        <v>9.9989999999999996E-4</v>
      </c>
    </row>
    <row r="652" spans="1:14">
      <c r="A652" s="15">
        <v>14</v>
      </c>
      <c r="B652" s="77">
        <v>42826</v>
      </c>
      <c r="E652" s="12">
        <v>4</v>
      </c>
      <c r="F652" s="83">
        <v>0.60899999999999999</v>
      </c>
      <c r="G652" s="83">
        <v>9.9989999999999996E-4</v>
      </c>
      <c r="I652" s="27">
        <f>AVERAGE(F650:F652)</f>
        <v>1.5229999999999999</v>
      </c>
      <c r="J652" s="27">
        <f>AVERAGE(G650:G652)</f>
        <v>9.9989999999999996E-4</v>
      </c>
      <c r="L652">
        <f>+J652/I652</f>
        <v>6.5653315824031522E-4</v>
      </c>
      <c r="M652">
        <f>+(L652-$L$931)/$L$932</f>
        <v>-0.3405773485241223</v>
      </c>
      <c r="N652">
        <f>+N649+M652</f>
        <v>1.162777143512465</v>
      </c>
    </row>
    <row r="653" spans="1:14">
      <c r="A653" s="15">
        <v>5</v>
      </c>
      <c r="B653" s="77">
        <v>42856</v>
      </c>
      <c r="E653" s="12">
        <v>5</v>
      </c>
      <c r="F653" s="83">
        <v>16.995999999999999</v>
      </c>
      <c r="G653" s="83">
        <v>2.5710000000000002</v>
      </c>
    </row>
    <row r="654" spans="1:14">
      <c r="A654" s="15">
        <v>7</v>
      </c>
      <c r="B654" s="77">
        <v>42856</v>
      </c>
      <c r="E654" s="12">
        <v>5</v>
      </c>
      <c r="F654" s="83">
        <v>3.274</v>
      </c>
      <c r="G654" s="83">
        <v>9.9989999999999996E-4</v>
      </c>
    </row>
    <row r="655" spans="1:14">
      <c r="A655" s="15">
        <v>14</v>
      </c>
      <c r="B655" s="77">
        <v>42856</v>
      </c>
      <c r="E655" s="12">
        <v>5</v>
      </c>
      <c r="F655" s="83">
        <v>2.7749999999999999</v>
      </c>
      <c r="G655" s="83">
        <v>9.9989999999999996E-4</v>
      </c>
      <c r="I655" s="27">
        <f>AVERAGE(F653:F655)</f>
        <v>7.6816666666666658</v>
      </c>
      <c r="J655" s="27">
        <f>AVERAGE(G653:G655)</f>
        <v>0.85766660000000006</v>
      </c>
      <c r="L655">
        <f>+J655/I655</f>
        <v>0.11165110870036886</v>
      </c>
      <c r="M655">
        <f>+(L655-$L$931)/$L$932</f>
        <v>3.2004762010616039</v>
      </c>
      <c r="N655">
        <f>+N652+M655</f>
        <v>4.3632533445740691</v>
      </c>
    </row>
    <row r="656" spans="1:14">
      <c r="A656" s="15">
        <v>5</v>
      </c>
      <c r="B656" s="77">
        <v>42887</v>
      </c>
      <c r="E656" s="12">
        <v>6</v>
      </c>
      <c r="F656" s="83">
        <v>12.574</v>
      </c>
      <c r="G656" s="83">
        <v>2.5999999999999999E-2</v>
      </c>
    </row>
    <row r="657" spans="1:14">
      <c r="A657" s="15">
        <v>7</v>
      </c>
      <c r="B657" s="77">
        <v>42887</v>
      </c>
      <c r="E657" s="12">
        <v>6</v>
      </c>
      <c r="F657" s="83">
        <v>6.6470000000000002</v>
      </c>
      <c r="G657" s="83">
        <v>9.9989999999999996E-4</v>
      </c>
    </row>
    <row r="658" spans="1:14">
      <c r="A658" s="15">
        <v>14</v>
      </c>
      <c r="B658" s="77">
        <v>42887</v>
      </c>
      <c r="E658" s="12">
        <v>6</v>
      </c>
      <c r="F658" s="83">
        <v>2.3959999999999999</v>
      </c>
      <c r="G658" s="83">
        <v>9.9989999999999996E-4</v>
      </c>
      <c r="I658" s="27">
        <f>AVERAGE(F656:F658)</f>
        <v>7.2056666666666667</v>
      </c>
      <c r="J658" s="27">
        <f>AVERAGE(G656:G658)</f>
        <v>9.3332666666666678E-3</v>
      </c>
      <c r="L658">
        <f>+J658/I658</f>
        <v>1.2952676134523756E-3</v>
      </c>
      <c r="M658">
        <f>+(L658-$L$931)/$L$932</f>
        <v>-0.32019983999432128</v>
      </c>
      <c r="N658">
        <f>+N655+M658</f>
        <v>4.0430535045797482</v>
      </c>
    </row>
    <row r="659" spans="1:14">
      <c r="A659" s="15">
        <v>5</v>
      </c>
      <c r="B659" s="77">
        <v>42917</v>
      </c>
      <c r="E659" s="12">
        <v>7</v>
      </c>
      <c r="F659" s="83">
        <v>6.5910000000000002</v>
      </c>
      <c r="G659" s="83">
        <v>9.9989999999999996E-4</v>
      </c>
    </row>
    <row r="660" spans="1:14">
      <c r="A660" s="15">
        <v>7</v>
      </c>
      <c r="B660" s="77">
        <v>42917</v>
      </c>
      <c r="E660" s="12">
        <v>7</v>
      </c>
      <c r="F660" s="83">
        <v>8.4939999999999998</v>
      </c>
      <c r="G660" s="83">
        <v>0.01</v>
      </c>
    </row>
    <row r="661" spans="1:14">
      <c r="A661" s="15">
        <v>14</v>
      </c>
      <c r="B661" s="77">
        <v>42917</v>
      </c>
      <c r="E661" s="12">
        <v>7</v>
      </c>
      <c r="F661" s="83">
        <v>1.4570000000000001</v>
      </c>
      <c r="G661" s="83">
        <v>9.9989999999999996E-4</v>
      </c>
      <c r="I661" s="27">
        <f>AVERAGE(F659:F661)</f>
        <v>5.5140000000000002</v>
      </c>
      <c r="J661" s="27">
        <f>AVERAGE(G659:G661)</f>
        <v>3.9999333333333329E-3</v>
      </c>
      <c r="L661">
        <f>+J661/I661</f>
        <v>7.2541409744891782E-4</v>
      </c>
      <c r="M661">
        <f>+(L661-$L$931)/$L$932</f>
        <v>-0.33837984388849407</v>
      </c>
      <c r="N661">
        <f>+N658+M661</f>
        <v>3.7046736606912543</v>
      </c>
    </row>
    <row r="662" spans="1:14">
      <c r="A662" s="15">
        <v>5</v>
      </c>
      <c r="B662" s="77">
        <v>42948</v>
      </c>
      <c r="E662" s="12">
        <v>8</v>
      </c>
    </row>
    <row r="663" spans="1:14">
      <c r="A663" s="15">
        <v>7</v>
      </c>
      <c r="B663" s="77">
        <v>42948</v>
      </c>
      <c r="E663" s="12">
        <v>8</v>
      </c>
    </row>
    <row r="664" spans="1:14">
      <c r="A664" s="15">
        <v>14</v>
      </c>
      <c r="B664" s="77">
        <v>42948</v>
      </c>
      <c r="E664" s="12">
        <v>8</v>
      </c>
      <c r="I664" s="27"/>
      <c r="J664" s="27"/>
    </row>
    <row r="665" spans="1:14">
      <c r="A665" s="15">
        <v>5</v>
      </c>
      <c r="B665" s="77">
        <v>42979</v>
      </c>
      <c r="E665" s="12">
        <v>9</v>
      </c>
      <c r="F665" s="83">
        <v>1.8979999999999999</v>
      </c>
      <c r="G665" s="83">
        <v>9.9989999999999996E-4</v>
      </c>
    </row>
    <row r="666" spans="1:14">
      <c r="A666" s="15">
        <v>7</v>
      </c>
      <c r="B666" s="77">
        <v>42979</v>
      </c>
      <c r="E666" s="12">
        <v>9</v>
      </c>
      <c r="F666" s="83">
        <v>3.137</v>
      </c>
      <c r="G666" s="83">
        <v>8.9999999999999993E-3</v>
      </c>
    </row>
    <row r="667" spans="1:14">
      <c r="A667" s="15">
        <v>14</v>
      </c>
      <c r="B667" s="77">
        <v>42979</v>
      </c>
      <c r="E667" s="12">
        <v>9</v>
      </c>
      <c r="F667" s="84">
        <v>0.66800000000000004</v>
      </c>
      <c r="G667" s="84">
        <v>9.9989999999999996E-4</v>
      </c>
      <c r="I667" s="27">
        <f>AVERAGE(F665:F667)</f>
        <v>1.901</v>
      </c>
      <c r="J667" s="27">
        <f>AVERAGE(G665:G667)</f>
        <v>3.6665999999999995E-3</v>
      </c>
      <c r="L667">
        <f>+J667/I667</f>
        <v>1.9287743293003679E-3</v>
      </c>
      <c r="M667">
        <f>+(L667-$L$931)/$L$932</f>
        <v>-0.29998911173230386</v>
      </c>
      <c r="N667">
        <f>+N661+M667</f>
        <v>3.4046845489589503</v>
      </c>
    </row>
    <row r="668" spans="1:14">
      <c r="A668" s="15">
        <v>5</v>
      </c>
      <c r="B668" s="77">
        <v>43009</v>
      </c>
      <c r="E668" s="12">
        <v>10</v>
      </c>
    </row>
    <row r="669" spans="1:14">
      <c r="A669" s="15">
        <v>7</v>
      </c>
      <c r="B669" s="77">
        <v>43009</v>
      </c>
      <c r="E669" s="12">
        <v>10</v>
      </c>
    </row>
    <row r="670" spans="1:14">
      <c r="A670" s="15">
        <v>14</v>
      </c>
      <c r="B670" s="77">
        <v>43009</v>
      </c>
      <c r="E670" s="12">
        <v>10</v>
      </c>
      <c r="I670" s="27"/>
      <c r="J670" s="27"/>
    </row>
    <row r="671" spans="1:14">
      <c r="A671" s="15">
        <v>5</v>
      </c>
      <c r="B671" s="77">
        <v>43040</v>
      </c>
      <c r="E671" s="12">
        <v>11</v>
      </c>
      <c r="F671" s="83">
        <v>0.70399999999999996</v>
      </c>
      <c r="G671" s="83">
        <v>9.9989999999999996E-4</v>
      </c>
    </row>
    <row r="672" spans="1:14">
      <c r="A672" s="15">
        <v>7</v>
      </c>
      <c r="B672" s="77">
        <v>43040</v>
      </c>
      <c r="E672" s="12">
        <v>11</v>
      </c>
      <c r="F672" s="83">
        <v>0.96899999999999997</v>
      </c>
      <c r="G672" s="83">
        <v>9.9989999999999996E-4</v>
      </c>
    </row>
    <row r="673" spans="1:14">
      <c r="A673" s="15">
        <v>14</v>
      </c>
      <c r="B673" s="77">
        <v>43040</v>
      </c>
      <c r="E673" s="12">
        <v>11</v>
      </c>
      <c r="F673" s="83">
        <v>0.40600000000000003</v>
      </c>
      <c r="G673" s="83">
        <v>9.9989999999999996E-4</v>
      </c>
      <c r="I673" s="27">
        <f>AVERAGE(F671:F673)</f>
        <v>0.69300000000000006</v>
      </c>
      <c r="J673" s="27">
        <f>AVERAGE(G671:G673)</f>
        <v>9.9989999999999996E-4</v>
      </c>
      <c r="L673">
        <f>+J673/I673</f>
        <v>1.4428571428571426E-3</v>
      </c>
      <c r="M673">
        <f>+(L673-$L$931)/$L$932</f>
        <v>-0.3154912997397385</v>
      </c>
      <c r="N673">
        <f>+N667+M673</f>
        <v>3.0891932492192118</v>
      </c>
    </row>
    <row r="674" spans="1:14">
      <c r="A674" s="15">
        <v>5</v>
      </c>
      <c r="B674" s="78">
        <v>43070</v>
      </c>
      <c r="E674" s="12">
        <v>12</v>
      </c>
      <c r="F674" s="83">
        <v>1.8959999999999999</v>
      </c>
      <c r="G674" s="83">
        <v>6.0000000000000001E-3</v>
      </c>
    </row>
    <row r="675" spans="1:14">
      <c r="A675" s="15">
        <v>7</v>
      </c>
      <c r="B675" s="77">
        <v>43070</v>
      </c>
      <c r="E675" s="12">
        <v>12</v>
      </c>
      <c r="F675" s="83">
        <v>3.827</v>
      </c>
      <c r="G675" s="83">
        <v>8.9999999999999993E-3</v>
      </c>
    </row>
    <row r="676" spans="1:14">
      <c r="A676" s="15">
        <v>14</v>
      </c>
      <c r="B676" s="77">
        <v>43070</v>
      </c>
      <c r="E676" s="12">
        <v>12</v>
      </c>
      <c r="F676" s="83">
        <v>1.651</v>
      </c>
      <c r="G676" s="83">
        <v>7.0000000000000001E-3</v>
      </c>
      <c r="I676" s="27">
        <f>AVERAGE(F674:F676)</f>
        <v>2.4579999999999997</v>
      </c>
      <c r="J676" s="27">
        <f>AVERAGE(G674:G676)</f>
        <v>7.3333333333333332E-3</v>
      </c>
      <c r="L676">
        <f>+J676/I676</f>
        <v>2.983455383780852E-3</v>
      </c>
      <c r="M676">
        <f>+(L676-$L$931)/$L$932</f>
        <v>-0.26634168280699189</v>
      </c>
      <c r="N676">
        <f>+N673+M676</f>
        <v>2.8228515664122198</v>
      </c>
    </row>
    <row r="677" spans="1:14">
      <c r="A677" s="15">
        <v>5</v>
      </c>
      <c r="B677" s="72">
        <v>43110</v>
      </c>
      <c r="E677" s="10">
        <v>1</v>
      </c>
      <c r="F677" s="79">
        <v>3.125</v>
      </c>
      <c r="G677" s="79">
        <v>9.9989999999999996E-4</v>
      </c>
    </row>
    <row r="678" spans="1:14">
      <c r="A678" s="15">
        <v>7</v>
      </c>
      <c r="B678" s="72">
        <v>43105</v>
      </c>
      <c r="E678" s="10">
        <v>1</v>
      </c>
      <c r="F678" s="79">
        <v>5.2939999999999996</v>
      </c>
      <c r="G678" s="79">
        <v>9.9989999999999996E-4</v>
      </c>
    </row>
    <row r="679" spans="1:14">
      <c r="A679" s="15">
        <v>14</v>
      </c>
      <c r="B679" s="72">
        <v>43105</v>
      </c>
      <c r="E679" s="10">
        <v>1</v>
      </c>
      <c r="F679" s="79">
        <v>5.2080000000000002</v>
      </c>
      <c r="G679" s="79">
        <v>9.9989999999999996E-4</v>
      </c>
      <c r="I679">
        <v>4.5423333333333336</v>
      </c>
      <c r="J679">
        <v>9.9989999999999996E-4</v>
      </c>
      <c r="L679">
        <v>2.2012915535334261E-4</v>
      </c>
      <c r="M679">
        <f>+(L679-$L$931)/$L$932</f>
        <v>-0.35449992028881006</v>
      </c>
      <c r="N679">
        <f>+N676+M679</f>
        <v>2.4683516461234096</v>
      </c>
    </row>
    <row r="680" spans="1:14">
      <c r="A680" s="15">
        <v>5</v>
      </c>
      <c r="B680" s="77">
        <v>43132</v>
      </c>
      <c r="E680" s="12">
        <v>2</v>
      </c>
      <c r="F680" s="79">
        <v>3.33</v>
      </c>
      <c r="G680" s="79">
        <v>0.01</v>
      </c>
    </row>
    <row r="681" spans="1:14">
      <c r="A681" s="15">
        <v>7</v>
      </c>
      <c r="B681" s="77">
        <v>43132</v>
      </c>
      <c r="E681" s="12">
        <v>2</v>
      </c>
      <c r="F681" s="79">
        <v>3.649</v>
      </c>
      <c r="G681" s="79">
        <v>9.9989999999999996E-4</v>
      </c>
    </row>
    <row r="682" spans="1:14">
      <c r="A682" s="15">
        <v>14</v>
      </c>
      <c r="B682" s="77">
        <v>43132</v>
      </c>
      <c r="E682" s="12">
        <v>2</v>
      </c>
      <c r="F682" s="79">
        <v>0.86699999999999999</v>
      </c>
      <c r="G682" s="79">
        <v>9.9989999999999996E-4</v>
      </c>
      <c r="I682">
        <v>2.6153333333333335</v>
      </c>
      <c r="J682">
        <v>3.9999333333333329E-3</v>
      </c>
      <c r="L682">
        <v>1.5294162630639814E-3</v>
      </c>
      <c r="M682">
        <f>+(L682-$L$931)/$L$932</f>
        <v>-0.31272980911408987</v>
      </c>
      <c r="N682">
        <f>+N679+M682</f>
        <v>2.1556218370093196</v>
      </c>
    </row>
    <row r="683" spans="1:14">
      <c r="A683" s="15">
        <v>5</v>
      </c>
      <c r="B683" s="77">
        <v>43160</v>
      </c>
      <c r="E683" s="12">
        <v>3</v>
      </c>
      <c r="F683" s="79">
        <v>5.3890000000000002</v>
      </c>
      <c r="G683" s="79">
        <v>2.4E-2</v>
      </c>
    </row>
    <row r="684" spans="1:14">
      <c r="A684" s="15">
        <v>7</v>
      </c>
      <c r="B684" s="77">
        <v>43160</v>
      </c>
      <c r="E684" s="12">
        <v>3</v>
      </c>
      <c r="F684" s="79">
        <v>3.4910000000000001</v>
      </c>
      <c r="G684" s="79">
        <v>9.9989999999999996E-4</v>
      </c>
    </row>
    <row r="685" spans="1:14">
      <c r="A685" s="15">
        <v>14</v>
      </c>
      <c r="B685" s="77">
        <v>43160</v>
      </c>
      <c r="E685" s="12">
        <v>3</v>
      </c>
      <c r="F685" s="79">
        <v>2.0699999999999998</v>
      </c>
      <c r="G685" s="79">
        <v>0.02</v>
      </c>
      <c r="I685">
        <v>3.6500000000000004</v>
      </c>
      <c r="J685">
        <v>1.4999966666666668E-2</v>
      </c>
      <c r="L685">
        <v>4.109579908675799E-3</v>
      </c>
      <c r="M685">
        <f>+(L685-$L$931)/$L$932</f>
        <v>-0.23041499696060788</v>
      </c>
      <c r="N685">
        <f>+N682+M685</f>
        <v>1.9252068400487117</v>
      </c>
    </row>
    <row r="686" spans="1:14">
      <c r="A686" s="15">
        <v>5</v>
      </c>
      <c r="B686" s="77">
        <v>43191</v>
      </c>
      <c r="E686" s="12">
        <v>4</v>
      </c>
      <c r="F686" s="79">
        <v>1.431</v>
      </c>
      <c r="G686" s="79">
        <v>7.0000000000000007E-2</v>
      </c>
    </row>
    <row r="687" spans="1:14">
      <c r="A687" s="15">
        <v>7</v>
      </c>
      <c r="B687" s="77">
        <v>43191</v>
      </c>
      <c r="E687" s="12">
        <v>4</v>
      </c>
      <c r="F687" s="79">
        <v>2.3180000000000001</v>
      </c>
      <c r="G687" s="79">
        <v>9.9989999999999996E-4</v>
      </c>
    </row>
    <row r="688" spans="1:14">
      <c r="A688" s="15">
        <v>14</v>
      </c>
      <c r="B688" s="77">
        <v>43191</v>
      </c>
      <c r="E688" s="12">
        <v>4</v>
      </c>
      <c r="F688" s="80">
        <v>0.88800000000000001</v>
      </c>
      <c r="G688" s="80">
        <v>9.9989999999999996E-4</v>
      </c>
      <c r="I688">
        <v>1.5456666666666667</v>
      </c>
      <c r="J688">
        <v>2.3999933333333334E-2</v>
      </c>
      <c r="L688">
        <v>1.5527237437998706E-2</v>
      </c>
      <c r="M688">
        <f>+(L688-$L$931)/$L$932</f>
        <v>0.13384187347372664</v>
      </c>
      <c r="N688">
        <f>+N685+M688</f>
        <v>2.0590487135224382</v>
      </c>
    </row>
    <row r="689" spans="1:14">
      <c r="A689" s="15">
        <v>5</v>
      </c>
      <c r="B689" s="77">
        <v>43221</v>
      </c>
      <c r="E689" s="12">
        <v>5</v>
      </c>
      <c r="F689" s="80">
        <v>17.451000000000001</v>
      </c>
      <c r="G689" s="80">
        <v>2.0179999999999998</v>
      </c>
    </row>
    <row r="690" spans="1:14">
      <c r="A690" s="15">
        <v>7</v>
      </c>
      <c r="B690" s="77">
        <v>43221</v>
      </c>
      <c r="E690" s="12">
        <v>5</v>
      </c>
      <c r="F690" s="80">
        <v>6.1669999999999998</v>
      </c>
      <c r="G690" s="80">
        <v>6.0000000000000001E-3</v>
      </c>
    </row>
    <row r="691" spans="1:14">
      <c r="A691" s="15">
        <v>14</v>
      </c>
      <c r="B691" s="77">
        <v>43221</v>
      </c>
      <c r="E691" s="12">
        <v>5</v>
      </c>
      <c r="F691" s="80">
        <v>1.347</v>
      </c>
      <c r="G691" s="80">
        <v>8.0000000000000002E-3</v>
      </c>
      <c r="I691">
        <v>8.3216666666666672</v>
      </c>
      <c r="J691">
        <v>0.67733333333333323</v>
      </c>
      <c r="L691">
        <v>8.1393951532144987E-2</v>
      </c>
      <c r="M691">
        <f>+(L691-$L$931)/$L$932</f>
        <v>2.2351838589124511</v>
      </c>
      <c r="N691">
        <f>+N688+M691</f>
        <v>4.2942325724348898</v>
      </c>
    </row>
    <row r="692" spans="1:14">
      <c r="A692" s="15">
        <v>5</v>
      </c>
      <c r="B692" s="77">
        <v>43252</v>
      </c>
      <c r="E692" s="12">
        <v>6</v>
      </c>
      <c r="F692" s="80">
        <v>5.9429999999999996</v>
      </c>
      <c r="G692" s="80">
        <v>1.6E-2</v>
      </c>
    </row>
    <row r="693" spans="1:14">
      <c r="A693" s="15">
        <v>7</v>
      </c>
      <c r="B693" s="77">
        <v>43252</v>
      </c>
      <c r="E693" s="12">
        <v>6</v>
      </c>
      <c r="F693" s="80">
        <v>13.451000000000001</v>
      </c>
      <c r="G693" s="80">
        <v>9.9989999999999996E-4</v>
      </c>
    </row>
    <row r="694" spans="1:14">
      <c r="A694" s="15">
        <v>14</v>
      </c>
      <c r="B694" s="77">
        <v>43252</v>
      </c>
      <c r="E694" s="12">
        <v>6</v>
      </c>
      <c r="F694" s="80">
        <v>2.2999999999999998</v>
      </c>
      <c r="G694" s="80">
        <v>9.9989999999999996E-4</v>
      </c>
      <c r="I694">
        <v>7.2313333333333327</v>
      </c>
      <c r="J694">
        <v>5.9999333333333347E-3</v>
      </c>
      <c r="L694">
        <v>8.2971328477920189E-4</v>
      </c>
      <c r="M694">
        <f>+(L694-$L$931)/$L$932</f>
        <v>-0.33505239292333744</v>
      </c>
      <c r="N694">
        <f>+N691+M694</f>
        <v>3.9591801795115522</v>
      </c>
    </row>
    <row r="695" spans="1:14">
      <c r="A695" s="15">
        <v>5</v>
      </c>
      <c r="B695" s="77">
        <v>43282</v>
      </c>
      <c r="E695" s="12">
        <v>7</v>
      </c>
      <c r="F695" s="80">
        <v>19.792999999999999</v>
      </c>
      <c r="G695" s="80">
        <v>0.03</v>
      </c>
    </row>
    <row r="696" spans="1:14">
      <c r="A696" s="15">
        <v>7</v>
      </c>
      <c r="B696" s="77">
        <v>43282</v>
      </c>
      <c r="E696" s="12">
        <v>7</v>
      </c>
      <c r="F696" s="80">
        <v>15.863</v>
      </c>
      <c r="G696" s="80">
        <v>2.9000000000000001E-2</v>
      </c>
    </row>
    <row r="697" spans="1:14">
      <c r="A697" s="15">
        <v>14</v>
      </c>
      <c r="B697" s="77">
        <v>43282</v>
      </c>
      <c r="E697" s="12">
        <v>7</v>
      </c>
      <c r="F697" s="80">
        <v>3.9430000000000001</v>
      </c>
      <c r="G697" s="80">
        <v>8.9999999999999993E-3</v>
      </c>
      <c r="I697">
        <v>13.199666666666666</v>
      </c>
      <c r="J697">
        <v>2.2666666666666665E-2</v>
      </c>
      <c r="L697">
        <v>1.7172150811889189E-3</v>
      </c>
      <c r="M697">
        <f>+(L697-$L$931)/$L$932</f>
        <v>-0.30673847423775696</v>
      </c>
      <c r="N697">
        <f>+N694+M697</f>
        <v>3.6524417052737954</v>
      </c>
    </row>
    <row r="698" spans="1:14">
      <c r="A698" s="15">
        <v>5</v>
      </c>
      <c r="B698" s="77">
        <v>43313</v>
      </c>
      <c r="E698" s="12">
        <v>8</v>
      </c>
      <c r="F698" s="80">
        <v>7.8440000000000003</v>
      </c>
      <c r="G698" s="80">
        <v>1.2E-2</v>
      </c>
    </row>
    <row r="699" spans="1:14">
      <c r="A699" s="15">
        <v>7</v>
      </c>
      <c r="B699" s="77">
        <v>43313</v>
      </c>
      <c r="E699" s="12">
        <v>8</v>
      </c>
      <c r="F699" s="80">
        <v>14.576000000000001</v>
      </c>
      <c r="G699" s="80">
        <v>3.5000000000000003E-2</v>
      </c>
    </row>
    <row r="700" spans="1:14">
      <c r="A700" s="15">
        <v>14</v>
      </c>
      <c r="B700" s="77">
        <v>43313</v>
      </c>
      <c r="E700" s="12">
        <v>8</v>
      </c>
      <c r="F700" s="80">
        <v>3.74</v>
      </c>
      <c r="G700" s="80">
        <v>6.0000000000000001E-3</v>
      </c>
      <c r="I700">
        <v>8.7200000000000006</v>
      </c>
      <c r="J700">
        <v>1.7666666666666667E-2</v>
      </c>
      <c r="L700">
        <v>2.0259938837920489E-3</v>
      </c>
      <c r="M700">
        <f>+(L700-$L$931)/$L$932</f>
        <v>-0.296887521885769</v>
      </c>
      <c r="N700">
        <f>+N697+M700</f>
        <v>3.3555541833880262</v>
      </c>
    </row>
    <row r="701" spans="1:14">
      <c r="A701" s="15">
        <v>5</v>
      </c>
      <c r="B701" s="77">
        <v>43344</v>
      </c>
      <c r="E701" s="12">
        <v>9</v>
      </c>
      <c r="F701" s="80">
        <v>11.523999999999999</v>
      </c>
      <c r="G701" s="80">
        <v>2.7E-2</v>
      </c>
    </row>
    <row r="702" spans="1:14">
      <c r="A702" s="15">
        <v>7</v>
      </c>
      <c r="B702" s="77">
        <v>43344</v>
      </c>
      <c r="E702" s="12">
        <v>9</v>
      </c>
      <c r="F702" s="80">
        <v>15.547000000000001</v>
      </c>
      <c r="G702" s="80">
        <v>4.2999999999999997E-2</v>
      </c>
    </row>
    <row r="703" spans="1:14">
      <c r="A703" s="15">
        <v>14</v>
      </c>
      <c r="B703" s="77">
        <v>43344</v>
      </c>
      <c r="E703" s="12">
        <v>9</v>
      </c>
      <c r="F703" s="80">
        <v>1.5720000000000001</v>
      </c>
      <c r="G703" s="80">
        <v>9.9989999999999996E-4</v>
      </c>
      <c r="I703">
        <v>9.5476666666666663</v>
      </c>
      <c r="J703">
        <v>2.3666633333333329E-2</v>
      </c>
      <c r="L703">
        <v>2.4787871382187616E-3</v>
      </c>
      <c r="M703">
        <f>+(L703-$L$931)/$L$932</f>
        <v>-0.28244208477332544</v>
      </c>
      <c r="N703">
        <f>+N700+M703</f>
        <v>3.0731120986147009</v>
      </c>
    </row>
    <row r="704" spans="1:14">
      <c r="A704" s="15">
        <v>5</v>
      </c>
      <c r="B704" s="77">
        <v>43374</v>
      </c>
      <c r="E704" s="12">
        <v>10</v>
      </c>
      <c r="F704" s="80">
        <v>0.59199999999999997</v>
      </c>
      <c r="G704" s="80">
        <v>9.9989999999999996E-4</v>
      </c>
    </row>
    <row r="705" spans="1:14">
      <c r="A705" s="15">
        <v>7</v>
      </c>
      <c r="B705" s="77">
        <v>43374</v>
      </c>
      <c r="E705" s="12">
        <v>10</v>
      </c>
      <c r="F705" s="80">
        <v>1.4810000000000001</v>
      </c>
      <c r="G705" s="80">
        <v>9.9989999999999996E-4</v>
      </c>
    </row>
    <row r="706" spans="1:14">
      <c r="A706" s="15">
        <v>14</v>
      </c>
      <c r="B706" s="77">
        <v>43374</v>
      </c>
      <c r="E706" s="12">
        <v>10</v>
      </c>
      <c r="F706" s="80">
        <v>0.39700000000000002</v>
      </c>
      <c r="G706" s="80">
        <v>9.9989999999999996E-4</v>
      </c>
      <c r="I706">
        <v>0.82333333333333325</v>
      </c>
      <c r="J706">
        <v>9.9989999999999996E-4</v>
      </c>
      <c r="L706">
        <v>1.2144534412955466E-3</v>
      </c>
      <c r="M706">
        <f>+(L706-$L$931)/$L$932</f>
        <v>-0.32277804987327302</v>
      </c>
      <c r="N706">
        <f>+N703+M706</f>
        <v>2.7503340487414278</v>
      </c>
    </row>
    <row r="707" spans="1:14">
      <c r="A707" s="15">
        <v>5</v>
      </c>
      <c r="B707" s="77">
        <v>43405</v>
      </c>
      <c r="E707" s="12">
        <v>11</v>
      </c>
      <c r="F707" s="80">
        <v>1.294</v>
      </c>
      <c r="G707" s="80">
        <v>9.9989999999999996E-4</v>
      </c>
      <c r="I707">
        <v>1.294</v>
      </c>
      <c r="J707">
        <v>9.9989999999999996E-4</v>
      </c>
      <c r="L707">
        <v>7.7272024729520858E-4</v>
      </c>
      <c r="M707">
        <f>+(L707-$L$931)/$L$932</f>
        <v>-0.33687063851505794</v>
      </c>
      <c r="N707">
        <f>+N706+M707</f>
        <v>2.4134634102263699</v>
      </c>
    </row>
    <row r="708" spans="1:14">
      <c r="A708" s="15">
        <v>7</v>
      </c>
      <c r="B708" s="77">
        <v>43405</v>
      </c>
      <c r="E708" s="12">
        <v>11</v>
      </c>
    </row>
    <row r="709" spans="1:14">
      <c r="A709" s="15">
        <v>14</v>
      </c>
      <c r="B709" s="77">
        <v>43405</v>
      </c>
      <c r="E709" s="12">
        <v>11</v>
      </c>
    </row>
    <row r="710" spans="1:14">
      <c r="A710" s="15">
        <v>5</v>
      </c>
      <c r="B710" s="78">
        <v>43435</v>
      </c>
      <c r="E710" s="12">
        <v>12</v>
      </c>
    </row>
    <row r="711" spans="1:14">
      <c r="A711" s="15">
        <v>7</v>
      </c>
      <c r="B711" s="77">
        <v>43435</v>
      </c>
      <c r="E711" s="12">
        <v>12</v>
      </c>
    </row>
    <row r="712" spans="1:14">
      <c r="A712" s="15">
        <v>14</v>
      </c>
      <c r="B712" s="77">
        <v>43435</v>
      </c>
      <c r="E712" s="12">
        <v>12</v>
      </c>
    </row>
    <row r="713" spans="1:14">
      <c r="A713" s="15">
        <v>5</v>
      </c>
      <c r="B713" s="72">
        <v>43475</v>
      </c>
      <c r="E713" s="10">
        <v>1</v>
      </c>
    </row>
    <row r="714" spans="1:14">
      <c r="A714" s="15">
        <v>7</v>
      </c>
      <c r="B714" s="72">
        <v>43470</v>
      </c>
      <c r="E714" s="10">
        <v>1</v>
      </c>
    </row>
    <row r="715" spans="1:14">
      <c r="A715" s="15">
        <v>14</v>
      </c>
      <c r="B715" s="72">
        <v>43470</v>
      </c>
      <c r="E715" s="10">
        <v>1</v>
      </c>
    </row>
    <row r="716" spans="1:14">
      <c r="A716" s="15">
        <v>5</v>
      </c>
      <c r="B716" s="77">
        <v>43497</v>
      </c>
      <c r="E716" s="12">
        <v>2</v>
      </c>
    </row>
    <row r="717" spans="1:14">
      <c r="A717" s="15">
        <v>7</v>
      </c>
      <c r="B717" s="77">
        <v>43497</v>
      </c>
      <c r="E717" s="12">
        <v>2</v>
      </c>
    </row>
    <row r="718" spans="1:14">
      <c r="A718" s="15">
        <v>14</v>
      </c>
      <c r="B718" s="77">
        <v>43497</v>
      </c>
      <c r="E718" s="12">
        <v>2</v>
      </c>
    </row>
    <row r="719" spans="1:14">
      <c r="A719" s="15">
        <v>5</v>
      </c>
      <c r="B719" s="77">
        <v>43525</v>
      </c>
      <c r="E719" s="12">
        <v>3</v>
      </c>
      <c r="F719" s="85">
        <v>0.61199999999999999</v>
      </c>
      <c r="G719" s="82">
        <v>1.4E-2</v>
      </c>
    </row>
    <row r="720" spans="1:14">
      <c r="A720" s="15">
        <v>7</v>
      </c>
      <c r="B720" s="77">
        <v>43525</v>
      </c>
      <c r="E720" s="12">
        <v>3</v>
      </c>
      <c r="F720" s="85">
        <v>1.581</v>
      </c>
      <c r="G720" s="82">
        <v>3.4000000000000002E-2</v>
      </c>
    </row>
    <row r="721" spans="1:14">
      <c r="A721" s="15">
        <v>14</v>
      </c>
      <c r="B721" s="77">
        <v>43525</v>
      </c>
      <c r="E721" s="12">
        <v>3</v>
      </c>
      <c r="F721" s="85">
        <v>0.52500000000000002</v>
      </c>
      <c r="G721" s="82">
        <v>1E-3</v>
      </c>
      <c r="I721" s="27">
        <f>AVERAGE(F719:F721)</f>
        <v>0.90600000000000003</v>
      </c>
      <c r="J721" s="27">
        <f>AVERAGE(G719:G721)</f>
        <v>1.6333333333333335E-2</v>
      </c>
      <c r="L721">
        <f>+J721/I721</f>
        <v>1.8027961736571011E-2</v>
      </c>
      <c r="M721">
        <f>+(L721-$L$931)/$L$932</f>
        <v>0.21362233671477668</v>
      </c>
      <c r="N721">
        <f>+N707+M721</f>
        <v>2.6270857469411464</v>
      </c>
    </row>
    <row r="722" spans="1:14">
      <c r="A722" s="15">
        <v>5</v>
      </c>
      <c r="B722" s="77">
        <v>43556</v>
      </c>
      <c r="E722" s="12">
        <v>4</v>
      </c>
      <c r="F722" s="79">
        <v>1.1439999999999999</v>
      </c>
      <c r="G722" s="82">
        <v>1E-3</v>
      </c>
    </row>
    <row r="723" spans="1:14">
      <c r="A723" s="15">
        <v>7</v>
      </c>
      <c r="B723" s="77">
        <v>43556</v>
      </c>
      <c r="E723" s="12">
        <v>4</v>
      </c>
      <c r="F723" s="79">
        <v>2.0779999999999998</v>
      </c>
      <c r="G723" s="82">
        <v>0.02</v>
      </c>
    </row>
    <row r="724" spans="1:14">
      <c r="A724" s="15">
        <v>14</v>
      </c>
      <c r="B724" s="77">
        <v>43556</v>
      </c>
      <c r="E724" s="12">
        <v>4</v>
      </c>
      <c r="F724" s="79">
        <v>0.91</v>
      </c>
      <c r="G724" s="82">
        <v>1E-3</v>
      </c>
      <c r="I724" s="27">
        <f>AVERAGE(F722:F724)</f>
        <v>1.3773333333333333</v>
      </c>
      <c r="J724" s="27">
        <f>AVERAGE(G722:G724)</f>
        <v>7.3333333333333341E-3</v>
      </c>
      <c r="L724">
        <f>+J724/I724</f>
        <v>5.3242981606969999E-3</v>
      </c>
      <c r="M724">
        <f>+(L724-$L$931)/$L$932</f>
        <v>-0.19166191054123027</v>
      </c>
      <c r="N724">
        <f>+N721+M724</f>
        <v>2.4354238363999161</v>
      </c>
    </row>
    <row r="725" spans="1:14">
      <c r="A725" s="15">
        <v>5</v>
      </c>
      <c r="B725" s="77">
        <v>43586</v>
      </c>
      <c r="E725" s="12">
        <v>5</v>
      </c>
      <c r="F725" s="79">
        <v>4.585</v>
      </c>
      <c r="G725" s="82">
        <v>0.91400000000000003</v>
      </c>
    </row>
    <row r="726" spans="1:14">
      <c r="A726" s="15">
        <v>7</v>
      </c>
      <c r="B726" s="77">
        <v>43586</v>
      </c>
      <c r="E726" s="12">
        <v>5</v>
      </c>
      <c r="F726" s="79">
        <v>1.4370000000000001</v>
      </c>
      <c r="G726" s="82">
        <v>1E-3</v>
      </c>
    </row>
    <row r="727" spans="1:14">
      <c r="A727" s="15">
        <v>14</v>
      </c>
      <c r="B727" s="77">
        <v>43586</v>
      </c>
      <c r="E727" s="12">
        <v>5</v>
      </c>
      <c r="F727" s="79">
        <v>0.255</v>
      </c>
      <c r="G727" s="82">
        <v>1.7999999999999999E-2</v>
      </c>
      <c r="I727" s="27">
        <f>AVERAGE(F725:F727)</f>
        <v>2.0923333333333334</v>
      </c>
      <c r="J727" s="27">
        <f>AVERAGE(G725:G727)</f>
        <v>0.311</v>
      </c>
      <c r="L727">
        <f>+J727/I727</f>
        <v>0.14863788433965269</v>
      </c>
      <c r="M727">
        <f>+(L727-$L$931)/$L$932</f>
        <v>4.3804631736277155</v>
      </c>
      <c r="N727">
        <f>+N724+M727</f>
        <v>6.8158870100276321</v>
      </c>
    </row>
    <row r="728" spans="1:14">
      <c r="A728" s="15">
        <v>5</v>
      </c>
      <c r="B728" s="77">
        <v>43617</v>
      </c>
      <c r="E728" s="12">
        <v>6</v>
      </c>
      <c r="F728" s="79">
        <v>10.612</v>
      </c>
      <c r="G728" s="82">
        <v>1.1299999999999999</v>
      </c>
    </row>
    <row r="729" spans="1:14">
      <c r="A729" s="15">
        <v>7</v>
      </c>
      <c r="B729" s="77">
        <v>43617</v>
      </c>
      <c r="E729" s="12">
        <v>6</v>
      </c>
      <c r="F729" s="80">
        <v>6.093</v>
      </c>
      <c r="G729" s="88">
        <v>2.4E-2</v>
      </c>
    </row>
    <row r="730" spans="1:14">
      <c r="A730" s="15">
        <v>14</v>
      </c>
      <c r="B730" s="77">
        <v>43617</v>
      </c>
      <c r="E730" s="12">
        <v>6</v>
      </c>
      <c r="F730" s="80">
        <v>2.7280000000000002</v>
      </c>
      <c r="G730" s="88">
        <v>1E-3</v>
      </c>
      <c r="I730" s="27">
        <f>AVERAGE(F728:F730)</f>
        <v>6.4776666666666669</v>
      </c>
      <c r="J730" s="27">
        <f>AVERAGE(G728:G730)</f>
        <v>0.38499999999999995</v>
      </c>
      <c r="L730">
        <f>+J730/I730</f>
        <v>5.9434981732105173E-2</v>
      </c>
      <c r="M730">
        <f>+(L730-$L$931)/$L$932</f>
        <v>1.534628110346492</v>
      </c>
      <c r="N730">
        <f>+N727+M730</f>
        <v>8.3505151203741246</v>
      </c>
    </row>
    <row r="731" spans="1:14">
      <c r="A731" s="15">
        <v>5</v>
      </c>
      <c r="B731" s="77">
        <v>43647</v>
      </c>
      <c r="E731" s="12">
        <v>7</v>
      </c>
      <c r="F731" s="80">
        <v>8.6959999999999997</v>
      </c>
      <c r="G731" s="88">
        <v>1E-3</v>
      </c>
    </row>
    <row r="732" spans="1:14">
      <c r="A732" s="15">
        <v>7</v>
      </c>
      <c r="B732" s="77">
        <v>43647</v>
      </c>
      <c r="E732" s="12">
        <v>7</v>
      </c>
      <c r="F732" s="80">
        <v>7.12</v>
      </c>
      <c r="G732" s="88">
        <v>8.9999999999999993E-3</v>
      </c>
    </row>
    <row r="733" spans="1:14">
      <c r="A733" s="15">
        <v>14</v>
      </c>
      <c r="B733" s="77">
        <v>43647</v>
      </c>
      <c r="E733" s="12">
        <v>7</v>
      </c>
      <c r="F733" s="80">
        <v>2.173</v>
      </c>
      <c r="G733" s="88">
        <v>1E-3</v>
      </c>
      <c r="I733" s="27">
        <f>AVERAGE(F731:F733)</f>
        <v>5.9963333333333324</v>
      </c>
      <c r="J733" s="27">
        <f>AVERAGE(G731:G733)</f>
        <v>3.6666666666666666E-3</v>
      </c>
      <c r="L733">
        <f>+J733/I733</f>
        <v>6.1148479626438389E-4</v>
      </c>
      <c r="M733">
        <f>+(L733-$L$931)/$L$932</f>
        <v>-0.34201452382119213</v>
      </c>
      <c r="N733">
        <f>+N730+M733</f>
        <v>8.008500596552933</v>
      </c>
    </row>
    <row r="734" spans="1:14">
      <c r="A734" s="15">
        <v>5</v>
      </c>
      <c r="B734" s="77">
        <v>43678</v>
      </c>
      <c r="E734" s="12">
        <v>8</v>
      </c>
      <c r="F734" s="80">
        <v>3.7749999999999999</v>
      </c>
      <c r="G734" s="88">
        <v>1E-3</v>
      </c>
    </row>
    <row r="735" spans="1:14">
      <c r="A735" s="15">
        <v>7</v>
      </c>
      <c r="B735" s="77">
        <v>43678</v>
      </c>
      <c r="E735" s="12">
        <v>8</v>
      </c>
    </row>
    <row r="736" spans="1:14">
      <c r="A736" s="15">
        <v>14</v>
      </c>
      <c r="B736" s="77">
        <v>43678</v>
      </c>
      <c r="E736" s="12">
        <v>8</v>
      </c>
      <c r="I736" s="27">
        <f>AVERAGE(F734:F736)</f>
        <v>3.7749999999999999</v>
      </c>
      <c r="J736" s="27">
        <f>AVERAGE(G734:G736)</f>
        <v>1E-3</v>
      </c>
      <c r="L736">
        <f>+J736/I736</f>
        <v>2.6490066225165563E-4</v>
      </c>
      <c r="M736">
        <f>+(L736-$L$931)/$L$932</f>
        <v>-0.35307157748333301</v>
      </c>
      <c r="N736">
        <f>+N733+M736</f>
        <v>7.6554290190695999</v>
      </c>
    </row>
    <row r="737" spans="1:14">
      <c r="A737" s="15">
        <v>5</v>
      </c>
      <c r="B737" s="77">
        <v>43709</v>
      </c>
      <c r="E737" s="12">
        <v>9</v>
      </c>
      <c r="F737" s="80">
        <v>2.1040000000000001</v>
      </c>
      <c r="G737" s="87">
        <v>9.9989999999999996E-4</v>
      </c>
    </row>
    <row r="738" spans="1:14">
      <c r="A738" s="15">
        <v>7</v>
      </c>
      <c r="B738" s="77">
        <v>43709</v>
      </c>
      <c r="E738" s="12">
        <v>9</v>
      </c>
      <c r="F738" s="80">
        <v>6.9580000000000002</v>
      </c>
      <c r="G738" s="80">
        <v>9.9989999999999996E-4</v>
      </c>
    </row>
    <row r="739" spans="1:14">
      <c r="A739" s="15">
        <v>14</v>
      </c>
      <c r="B739" s="77">
        <v>43709</v>
      </c>
      <c r="E739" s="12">
        <v>9</v>
      </c>
      <c r="F739" s="80">
        <v>0.69899999999999995</v>
      </c>
      <c r="G739" s="80">
        <v>9.9989999999999996E-4</v>
      </c>
      <c r="I739" s="27">
        <f>AVERAGE(F737:F739)</f>
        <v>3.2536666666666672</v>
      </c>
      <c r="J739" s="27">
        <f>AVERAGE(G737:G739)</f>
        <v>9.9989999999999996E-4</v>
      </c>
      <c r="L739">
        <f>+J739/I739</f>
        <v>3.0731482430078881E-4</v>
      </c>
      <c r="M739">
        <f>+(L739-$L$931)/$L$932</f>
        <v>-0.3517184409147826</v>
      </c>
      <c r="N739">
        <f>+N736+M739</f>
        <v>7.3037105781548171</v>
      </c>
    </row>
    <row r="740" spans="1:14">
      <c r="A740" s="15">
        <v>5</v>
      </c>
      <c r="B740" s="77">
        <v>43739</v>
      </c>
      <c r="E740" s="12">
        <v>10</v>
      </c>
      <c r="F740" s="80">
        <v>2.677</v>
      </c>
      <c r="G740" s="80">
        <v>9.9989999999999996E-4</v>
      </c>
    </row>
    <row r="741" spans="1:14">
      <c r="A741" s="15">
        <v>7</v>
      </c>
      <c r="B741" s="77">
        <v>43739</v>
      </c>
      <c r="E741" s="12">
        <v>10</v>
      </c>
      <c r="F741" s="80">
        <v>2.3660000000000001</v>
      </c>
      <c r="G741" s="80">
        <v>9.9989999999999996E-4</v>
      </c>
    </row>
    <row r="742" spans="1:14">
      <c r="A742" s="15">
        <v>14</v>
      </c>
      <c r="B742" s="77">
        <v>43739</v>
      </c>
      <c r="E742" s="12">
        <v>10</v>
      </c>
      <c r="F742" s="80">
        <v>2.4550000000000001</v>
      </c>
      <c r="G742" s="80">
        <v>9.9989999999999996E-4</v>
      </c>
      <c r="I742" s="27">
        <f>AVERAGE(F740:F742)</f>
        <v>2.4993333333333334</v>
      </c>
      <c r="J742" s="27">
        <f>AVERAGE(G740:G742)</f>
        <v>9.9989999999999996E-4</v>
      </c>
      <c r="L742">
        <f>+J742/I742</f>
        <v>4.0006668444918643E-4</v>
      </c>
      <c r="M742">
        <f>+(L742-$L$931)/$L$932</f>
        <v>-0.34875938366351628</v>
      </c>
      <c r="N742">
        <f>+N739+M742</f>
        <v>6.9549511944913007</v>
      </c>
    </row>
    <row r="743" spans="1:14">
      <c r="A743" s="15">
        <v>5</v>
      </c>
      <c r="B743" s="77">
        <v>43770</v>
      </c>
      <c r="E743" s="12">
        <v>11</v>
      </c>
    </row>
    <row r="744" spans="1:14">
      <c r="A744" s="15">
        <v>7</v>
      </c>
      <c r="B744" s="77">
        <v>43770</v>
      </c>
      <c r="E744" s="12">
        <v>11</v>
      </c>
    </row>
    <row r="745" spans="1:14">
      <c r="A745" s="15">
        <v>14</v>
      </c>
      <c r="B745" s="77">
        <v>43770</v>
      </c>
      <c r="E745" s="12">
        <v>11</v>
      </c>
    </row>
    <row r="746" spans="1:14">
      <c r="A746" s="15">
        <v>5</v>
      </c>
      <c r="B746" s="78">
        <v>43800</v>
      </c>
      <c r="E746" s="12">
        <v>12</v>
      </c>
      <c r="F746" s="80">
        <v>0.69099999999999995</v>
      </c>
      <c r="G746" s="80">
        <v>9.9989999999999996E-4</v>
      </c>
    </row>
    <row r="747" spans="1:14">
      <c r="A747" s="15">
        <v>7</v>
      </c>
      <c r="B747" s="77">
        <v>43800</v>
      </c>
      <c r="E747" s="12">
        <v>12</v>
      </c>
      <c r="F747" s="80">
        <v>1.2250000000000001</v>
      </c>
      <c r="G747" s="80">
        <v>9.9989999999999996E-4</v>
      </c>
    </row>
    <row r="748" spans="1:14">
      <c r="A748" s="15">
        <v>14</v>
      </c>
      <c r="B748" s="77">
        <v>43800</v>
      </c>
      <c r="E748" s="12">
        <v>12</v>
      </c>
      <c r="F748" s="80">
        <v>1.129</v>
      </c>
      <c r="G748" s="80">
        <v>9.9989999999999996E-4</v>
      </c>
      <c r="I748" s="27">
        <f>AVERAGE(F746:F748)</f>
        <v>1.0149999999999999</v>
      </c>
      <c r="J748" s="27">
        <f>AVERAGE(G746:G748)</f>
        <v>9.9989999999999996E-4</v>
      </c>
      <c r="L748">
        <f>+J748/I748</f>
        <v>9.8512315270935977E-4</v>
      </c>
      <c r="M748">
        <f>+(L748-$L$931)/$L$932</f>
        <v>-0.33009436085927618</v>
      </c>
      <c r="N748">
        <f>+N742+M748</f>
        <v>6.6248568336320242</v>
      </c>
    </row>
    <row r="749" spans="1:14">
      <c r="A749" s="93">
        <v>5</v>
      </c>
      <c r="B749" s="90">
        <v>43840</v>
      </c>
      <c r="C749" s="91">
        <v>2020</v>
      </c>
      <c r="D749" s="92" t="s">
        <v>40</v>
      </c>
      <c r="E749" s="93">
        <v>1</v>
      </c>
    </row>
    <row r="750" spans="1:14">
      <c r="A750" s="15">
        <v>7</v>
      </c>
      <c r="B750" s="73">
        <v>43835</v>
      </c>
      <c r="C750">
        <v>2020</v>
      </c>
      <c r="D750" s="11" t="s">
        <v>40</v>
      </c>
      <c r="E750" s="15">
        <v>1</v>
      </c>
    </row>
    <row r="751" spans="1:14">
      <c r="A751" s="15">
        <v>14</v>
      </c>
      <c r="B751" s="73">
        <v>43835</v>
      </c>
      <c r="C751">
        <v>2020</v>
      </c>
      <c r="D751" s="11" t="s">
        <v>40</v>
      </c>
      <c r="E751" s="15">
        <v>1</v>
      </c>
    </row>
    <row r="752" spans="1:14">
      <c r="A752" s="15">
        <v>5</v>
      </c>
      <c r="B752" s="77">
        <v>43862</v>
      </c>
      <c r="C752">
        <v>2020</v>
      </c>
      <c r="D752" s="11" t="s">
        <v>29</v>
      </c>
      <c r="E752" s="15">
        <v>2</v>
      </c>
      <c r="F752" s="95">
        <v>0.373</v>
      </c>
      <c r="G752" s="95">
        <v>9.9989999999999996E-4</v>
      </c>
    </row>
    <row r="753" spans="1:14">
      <c r="A753" s="15">
        <v>7</v>
      </c>
      <c r="B753" s="77">
        <v>43862</v>
      </c>
      <c r="C753">
        <v>2020</v>
      </c>
      <c r="D753" s="11" t="s">
        <v>29</v>
      </c>
      <c r="E753" s="15">
        <v>2</v>
      </c>
      <c r="F753" s="95">
        <v>0.80500000000000005</v>
      </c>
      <c r="G753" s="95">
        <v>9.9989999999999996E-4</v>
      </c>
    </row>
    <row r="754" spans="1:14">
      <c r="A754" s="15">
        <v>14</v>
      </c>
      <c r="B754" s="77">
        <v>43862</v>
      </c>
      <c r="C754">
        <v>2020</v>
      </c>
      <c r="D754" s="11" t="s">
        <v>29</v>
      </c>
      <c r="E754" s="15">
        <v>2</v>
      </c>
      <c r="I754" s="27">
        <f>AVERAGE(F752:F754)</f>
        <v>0.58899999999999997</v>
      </c>
      <c r="J754" s="27">
        <f>AVERAGE(G752:G754)</f>
        <v>9.9989999999999996E-4</v>
      </c>
      <c r="L754">
        <f>+J754/I754</f>
        <v>1.697623089983022E-3</v>
      </c>
      <c r="M754">
        <f>+(L754-$L$931)/$L$932</f>
        <v>-0.30736351640458581</v>
      </c>
      <c r="N754">
        <f>+N748+M754</f>
        <v>6.3174933172274379</v>
      </c>
    </row>
    <row r="755" spans="1:14">
      <c r="A755" s="15">
        <v>5</v>
      </c>
      <c r="B755" s="77">
        <v>43891</v>
      </c>
      <c r="C755">
        <v>2020</v>
      </c>
      <c r="D755" s="11" t="s">
        <v>30</v>
      </c>
      <c r="E755" s="15">
        <v>3</v>
      </c>
    </row>
    <row r="756" spans="1:14">
      <c r="A756" s="15">
        <v>7</v>
      </c>
      <c r="B756" s="77">
        <v>43891</v>
      </c>
      <c r="C756">
        <v>2020</v>
      </c>
      <c r="D756" s="11" t="s">
        <v>30</v>
      </c>
      <c r="E756" s="15">
        <v>3</v>
      </c>
    </row>
    <row r="757" spans="1:14">
      <c r="A757" s="15">
        <v>14</v>
      </c>
      <c r="B757" s="77">
        <v>43891</v>
      </c>
      <c r="C757">
        <v>2020</v>
      </c>
      <c r="D757" s="11" t="s">
        <v>30</v>
      </c>
      <c r="E757" s="15">
        <v>3</v>
      </c>
    </row>
    <row r="758" spans="1:14">
      <c r="A758" s="15">
        <v>5</v>
      </c>
      <c r="B758" s="77">
        <v>43922</v>
      </c>
      <c r="C758">
        <v>2020</v>
      </c>
      <c r="D758" s="11" t="s">
        <v>31</v>
      </c>
      <c r="E758" s="15">
        <v>4</v>
      </c>
    </row>
    <row r="759" spans="1:14">
      <c r="A759" s="15">
        <v>7</v>
      </c>
      <c r="B759" s="77">
        <v>43922</v>
      </c>
      <c r="C759">
        <v>2020</v>
      </c>
      <c r="D759" s="11" t="s">
        <v>31</v>
      </c>
      <c r="E759" s="15">
        <v>4</v>
      </c>
    </row>
    <row r="760" spans="1:14">
      <c r="A760" s="15">
        <v>14</v>
      </c>
      <c r="B760" s="77">
        <v>43922</v>
      </c>
      <c r="C760">
        <v>2020</v>
      </c>
      <c r="D760" s="11" t="s">
        <v>31</v>
      </c>
      <c r="E760" s="15">
        <v>4</v>
      </c>
    </row>
    <row r="761" spans="1:14">
      <c r="A761" s="15">
        <v>5</v>
      </c>
      <c r="B761" s="77">
        <v>43952</v>
      </c>
      <c r="C761">
        <v>2020</v>
      </c>
      <c r="D761" s="11" t="s">
        <v>32</v>
      </c>
      <c r="E761" s="15">
        <v>5</v>
      </c>
    </row>
    <row r="762" spans="1:14">
      <c r="A762" s="15">
        <v>7</v>
      </c>
      <c r="B762" s="77">
        <v>43952</v>
      </c>
      <c r="C762">
        <v>2020</v>
      </c>
      <c r="D762" s="11" t="s">
        <v>32</v>
      </c>
      <c r="E762" s="15">
        <v>5</v>
      </c>
    </row>
    <row r="763" spans="1:14">
      <c r="A763" s="15">
        <v>14</v>
      </c>
      <c r="B763" s="77">
        <v>43952</v>
      </c>
      <c r="C763">
        <v>2020</v>
      </c>
      <c r="D763" s="11" t="s">
        <v>32</v>
      </c>
      <c r="E763" s="15">
        <v>5</v>
      </c>
    </row>
    <row r="764" spans="1:14">
      <c r="A764" s="15">
        <v>5</v>
      </c>
      <c r="B764" s="77">
        <v>43983</v>
      </c>
      <c r="C764">
        <v>2020</v>
      </c>
      <c r="D764" s="11" t="s">
        <v>33</v>
      </c>
      <c r="E764" s="15">
        <v>6</v>
      </c>
      <c r="F764" s="95">
        <v>1.6439999999999999</v>
      </c>
      <c r="G764" s="95">
        <v>9.9989999999999996E-4</v>
      </c>
    </row>
    <row r="765" spans="1:14">
      <c r="A765" s="15">
        <v>7</v>
      </c>
      <c r="B765" s="77">
        <v>43983</v>
      </c>
      <c r="C765">
        <v>2020</v>
      </c>
      <c r="D765" s="11" t="s">
        <v>33</v>
      </c>
      <c r="E765" s="15">
        <v>6</v>
      </c>
      <c r="F765" s="95">
        <v>6.1440000000000001</v>
      </c>
      <c r="G765" s="95">
        <v>5.0000000000000001E-3</v>
      </c>
    </row>
    <row r="766" spans="1:14">
      <c r="A766" s="15">
        <v>14</v>
      </c>
      <c r="B766" s="77">
        <v>43983</v>
      </c>
      <c r="C766">
        <v>2020</v>
      </c>
      <c r="D766" s="11" t="s">
        <v>33</v>
      </c>
      <c r="E766" s="15">
        <v>6</v>
      </c>
      <c r="F766" s="95">
        <v>2.0430000000000001</v>
      </c>
      <c r="G766" s="95">
        <v>9.9989999999999996E-4</v>
      </c>
      <c r="I766" s="27">
        <f>AVERAGE(F764:F766)</f>
        <v>3.2769999999999997</v>
      </c>
      <c r="J766" s="27">
        <f>AVERAGE(G764:G766)</f>
        <v>2.3332666666666664E-3</v>
      </c>
      <c r="L766">
        <f>+J766/I766</f>
        <v>7.1201302003865319E-4</v>
      </c>
      <c r="M766">
        <f>+(L766-$L$931)/$L$932</f>
        <v>-0.33880737768913349</v>
      </c>
      <c r="N766">
        <f>+N754+M766</f>
        <v>5.9786859395383045</v>
      </c>
    </row>
    <row r="767" spans="1:14">
      <c r="A767" s="15">
        <v>5</v>
      </c>
      <c r="B767" s="77">
        <v>44013</v>
      </c>
      <c r="C767">
        <v>2020</v>
      </c>
      <c r="D767" s="11" t="s">
        <v>34</v>
      </c>
      <c r="E767" s="15">
        <v>7</v>
      </c>
      <c r="F767" s="99">
        <v>15.592000000000001</v>
      </c>
      <c r="G767" s="101">
        <v>1E-3</v>
      </c>
      <c r="H767" s="98" t="s">
        <v>102</v>
      </c>
    </row>
    <row r="768" spans="1:14">
      <c r="A768" s="15">
        <v>7</v>
      </c>
      <c r="B768" s="77">
        <v>44013</v>
      </c>
      <c r="C768">
        <v>2020</v>
      </c>
      <c r="D768" s="11" t="s">
        <v>34</v>
      </c>
      <c r="E768" s="15">
        <v>7</v>
      </c>
      <c r="F768" s="95">
        <v>10.538</v>
      </c>
      <c r="G768" s="95">
        <v>1.2E-2</v>
      </c>
    </row>
    <row r="769" spans="1:14">
      <c r="A769" s="15">
        <v>14</v>
      </c>
      <c r="B769" s="77">
        <v>44013</v>
      </c>
      <c r="C769">
        <v>2020</v>
      </c>
      <c r="D769" s="11" t="s">
        <v>34</v>
      </c>
      <c r="E769" s="15">
        <v>7</v>
      </c>
      <c r="F769" s="95">
        <v>5.3460000000000001</v>
      </c>
      <c r="G769" s="95">
        <v>5.0000000000000001E-3</v>
      </c>
      <c r="I769" s="27">
        <f t="shared" ref="I769:J769" si="0">AVERAGE(F767:F769)</f>
        <v>10.492000000000001</v>
      </c>
      <c r="J769" s="27">
        <f t="shared" si="0"/>
        <v>6.000000000000001E-3</v>
      </c>
      <c r="L769">
        <f t="shared" ref="L769" si="1">+J769/I769</f>
        <v>5.7186427754479612E-4</v>
      </c>
      <c r="M769">
        <f t="shared" ref="M769" si="2">+(L769-$L$931)/$L$932</f>
        <v>-0.34327853494753019</v>
      </c>
      <c r="N769">
        <f>+N766+M769</f>
        <v>5.635407404590774</v>
      </c>
    </row>
    <row r="770" spans="1:14">
      <c r="A770" s="15">
        <v>5</v>
      </c>
      <c r="B770" s="77">
        <v>44044</v>
      </c>
      <c r="C770">
        <v>2020</v>
      </c>
      <c r="D770" s="11" t="s">
        <v>35</v>
      </c>
      <c r="E770" s="15">
        <v>8</v>
      </c>
      <c r="F770" s="95">
        <v>3.669</v>
      </c>
      <c r="G770" s="95">
        <v>9.9989999999999996E-4</v>
      </c>
    </row>
    <row r="771" spans="1:14">
      <c r="A771" s="15">
        <v>7</v>
      </c>
      <c r="B771" s="77">
        <v>44044</v>
      </c>
      <c r="C771">
        <v>2020</v>
      </c>
      <c r="D771" s="11" t="s">
        <v>35</v>
      </c>
      <c r="E771" s="15">
        <v>8</v>
      </c>
      <c r="F771" s="95">
        <v>17.402999999999999</v>
      </c>
      <c r="G771" s="95">
        <v>1.9E-2</v>
      </c>
    </row>
    <row r="772" spans="1:14">
      <c r="A772" s="15">
        <v>14</v>
      </c>
      <c r="B772" s="77">
        <v>44044</v>
      </c>
      <c r="C772">
        <v>2020</v>
      </c>
      <c r="D772" s="11" t="s">
        <v>35</v>
      </c>
      <c r="E772" s="15">
        <v>8</v>
      </c>
      <c r="F772" s="95">
        <v>5.0720000000000001</v>
      </c>
      <c r="G772" s="95">
        <v>9.9989999999999996E-4</v>
      </c>
      <c r="I772" s="27">
        <f t="shared" ref="I772:J772" si="3">AVERAGE(F770:F772)</f>
        <v>8.7146666666666661</v>
      </c>
      <c r="J772" s="27">
        <f t="shared" si="3"/>
        <v>6.9999333333333339E-3</v>
      </c>
      <c r="L772">
        <f t="shared" ref="L772" si="4">+J772/I772</f>
        <v>8.032359241126072E-4</v>
      </c>
      <c r="M772">
        <f t="shared" ref="M772" si="5">+(L772-$L$931)/$L$932</f>
        <v>-0.33589709863543338</v>
      </c>
      <c r="N772">
        <f t="shared" ref="N772" si="6">+N769+M772</f>
        <v>5.2995103059553408</v>
      </c>
    </row>
    <row r="773" spans="1:14">
      <c r="A773" s="15">
        <v>5</v>
      </c>
      <c r="B773" s="77">
        <v>44075</v>
      </c>
      <c r="C773">
        <v>2020</v>
      </c>
      <c r="D773" s="11" t="s">
        <v>41</v>
      </c>
      <c r="E773" s="15">
        <v>9</v>
      </c>
      <c r="F773" s="95">
        <v>1.829</v>
      </c>
      <c r="G773" s="95">
        <v>7.0000000000000001E-3</v>
      </c>
    </row>
    <row r="774" spans="1:14">
      <c r="A774" s="15">
        <v>7</v>
      </c>
      <c r="B774" s="77">
        <v>44075</v>
      </c>
      <c r="C774">
        <v>2020</v>
      </c>
      <c r="D774" s="11" t="s">
        <v>41</v>
      </c>
      <c r="E774" s="15">
        <v>9</v>
      </c>
      <c r="F774" s="95">
        <v>2.294</v>
      </c>
      <c r="G774" s="95">
        <v>9.9989999999999996E-4</v>
      </c>
    </row>
    <row r="775" spans="1:14">
      <c r="A775" s="15">
        <v>14</v>
      </c>
      <c r="B775" s="77">
        <v>44075</v>
      </c>
      <c r="C775">
        <v>2020</v>
      </c>
      <c r="D775" s="11" t="s">
        <v>41</v>
      </c>
      <c r="E775" s="15">
        <v>9</v>
      </c>
      <c r="F775" s="95">
        <v>0.78200000000000003</v>
      </c>
      <c r="G775" s="95">
        <v>9.9989999999999996E-4</v>
      </c>
      <c r="I775" s="27">
        <f t="shared" ref="I775:J775" si="7">AVERAGE(F773:F775)</f>
        <v>1.635</v>
      </c>
      <c r="J775" s="27">
        <f t="shared" si="7"/>
        <v>2.9999333333333334E-3</v>
      </c>
      <c r="L775">
        <f t="shared" ref="L775" si="8">+J775/I775</f>
        <v>1.8348216106014272E-3</v>
      </c>
      <c r="M775">
        <f t="shared" ref="M775" si="9">+(L775-$L$931)/$L$932</f>
        <v>-0.30298647990473165</v>
      </c>
      <c r="N775">
        <f t="shared" ref="N775" si="10">+N772+M775</f>
        <v>4.9965238260506091</v>
      </c>
    </row>
    <row r="776" spans="1:14">
      <c r="A776" s="15">
        <v>5</v>
      </c>
      <c r="B776" s="77">
        <v>44105</v>
      </c>
      <c r="C776">
        <v>2020</v>
      </c>
      <c r="D776" s="11" t="s">
        <v>37</v>
      </c>
      <c r="E776" s="15">
        <v>10</v>
      </c>
      <c r="F776" s="95">
        <v>1.798</v>
      </c>
      <c r="G776" s="95">
        <v>9.9989999999999996E-4</v>
      </c>
    </row>
    <row r="777" spans="1:14">
      <c r="A777" s="15">
        <v>7</v>
      </c>
      <c r="B777" s="77">
        <v>44105</v>
      </c>
      <c r="C777">
        <v>2020</v>
      </c>
      <c r="D777" s="11" t="s">
        <v>37</v>
      </c>
      <c r="E777" s="15">
        <v>10</v>
      </c>
      <c r="F777" s="95">
        <v>4.4989999999999997</v>
      </c>
      <c r="G777" s="95">
        <v>9.9989999999999996E-4</v>
      </c>
    </row>
    <row r="778" spans="1:14">
      <c r="A778" s="15">
        <v>14</v>
      </c>
      <c r="B778" s="77">
        <v>44105</v>
      </c>
      <c r="C778">
        <v>2020</v>
      </c>
      <c r="D778" s="11" t="s">
        <v>37</v>
      </c>
      <c r="E778" s="15">
        <v>10</v>
      </c>
      <c r="F778" s="95">
        <v>1.04</v>
      </c>
      <c r="G778" s="95">
        <v>9.9989999999999996E-4</v>
      </c>
      <c r="I778" s="27">
        <f t="shared" ref="I778:J778" si="11">AVERAGE(F776:F778)</f>
        <v>2.4456666666666664</v>
      </c>
      <c r="J778" s="27">
        <f t="shared" si="11"/>
        <v>9.9989999999999996E-4</v>
      </c>
      <c r="L778">
        <f t="shared" ref="L778" si="12">+J778/I778</f>
        <v>4.0884557721139432E-4</v>
      </c>
      <c r="M778">
        <f t="shared" ref="M778" si="13">+(L778-$L$931)/$L$932</f>
        <v>-0.34847931115343894</v>
      </c>
      <c r="N778">
        <f t="shared" ref="N778" si="14">+N775+M778</f>
        <v>4.6480445148971699</v>
      </c>
    </row>
    <row r="779" spans="1:14">
      <c r="A779" s="15">
        <v>5</v>
      </c>
      <c r="B779" s="77">
        <v>44136</v>
      </c>
      <c r="C779">
        <v>2020</v>
      </c>
      <c r="D779" s="11" t="s">
        <v>38</v>
      </c>
      <c r="E779" s="15">
        <v>11</v>
      </c>
      <c r="F779" s="95">
        <v>0.88</v>
      </c>
      <c r="G779" s="95">
        <v>9.9989999999999996E-4</v>
      </c>
    </row>
    <row r="780" spans="1:14">
      <c r="A780" s="15">
        <v>7</v>
      </c>
      <c r="B780" s="77">
        <v>44136</v>
      </c>
      <c r="C780">
        <v>2020</v>
      </c>
      <c r="D780" s="11" t="s">
        <v>38</v>
      </c>
      <c r="E780" s="15">
        <v>11</v>
      </c>
      <c r="F780" s="95">
        <v>2.1760000000000002</v>
      </c>
      <c r="G780" s="95">
        <v>9.9989999999999996E-4</v>
      </c>
    </row>
    <row r="781" spans="1:14">
      <c r="A781" s="15">
        <v>14</v>
      </c>
      <c r="B781" s="77">
        <v>44136</v>
      </c>
      <c r="C781">
        <v>2020</v>
      </c>
      <c r="D781" s="11" t="s">
        <v>38</v>
      </c>
      <c r="E781" s="15">
        <v>11</v>
      </c>
      <c r="F781" s="95">
        <v>0.85499999999999998</v>
      </c>
      <c r="G781" s="95">
        <v>9.9989999999999996E-4</v>
      </c>
      <c r="I781" s="27">
        <f t="shared" ref="I781:J781" si="15">AVERAGE(F779:F781)</f>
        <v>1.3036666666666668</v>
      </c>
      <c r="J781" s="27">
        <f t="shared" si="15"/>
        <v>9.9989999999999996E-4</v>
      </c>
      <c r="L781">
        <f t="shared" ref="L781" si="16">+J781/I781</f>
        <v>7.6699053950396315E-4</v>
      </c>
      <c r="M781">
        <f t="shared" ref="M781" si="17">+(L781-$L$931)/$L$932</f>
        <v>-0.33705343305265745</v>
      </c>
      <c r="N781">
        <f t="shared" ref="N781" si="18">+N778+M781</f>
        <v>4.3109910818445121</v>
      </c>
    </row>
    <row r="782" spans="1:14">
      <c r="A782" s="15">
        <v>5</v>
      </c>
      <c r="B782" s="78">
        <v>44166</v>
      </c>
      <c r="C782">
        <v>2020</v>
      </c>
      <c r="D782" s="11" t="s">
        <v>39</v>
      </c>
      <c r="E782" s="15">
        <v>12</v>
      </c>
    </row>
    <row r="783" spans="1:14">
      <c r="A783" s="15">
        <v>7</v>
      </c>
      <c r="B783" s="77">
        <v>44166</v>
      </c>
      <c r="C783">
        <v>2020</v>
      </c>
      <c r="D783" s="11" t="s">
        <v>39</v>
      </c>
      <c r="E783" s="15">
        <v>12</v>
      </c>
    </row>
    <row r="784" spans="1:14">
      <c r="A784" s="15">
        <v>14</v>
      </c>
      <c r="B784" s="77">
        <v>44166</v>
      </c>
      <c r="C784">
        <v>2020</v>
      </c>
      <c r="D784" s="11" t="s">
        <v>39</v>
      </c>
      <c r="E784" s="15">
        <v>12</v>
      </c>
      <c r="I784" s="27"/>
      <c r="J784" s="27"/>
    </row>
    <row r="785" spans="1:14">
      <c r="A785" s="93">
        <v>5</v>
      </c>
      <c r="B785" s="90">
        <v>44206</v>
      </c>
      <c r="C785" s="91">
        <v>2021</v>
      </c>
      <c r="D785" s="92" t="s">
        <v>40</v>
      </c>
      <c r="E785" s="93">
        <v>1</v>
      </c>
    </row>
    <row r="786" spans="1:14">
      <c r="A786" s="15">
        <v>7</v>
      </c>
      <c r="B786" s="73">
        <v>44201</v>
      </c>
      <c r="C786">
        <v>2021</v>
      </c>
      <c r="D786" s="11" t="s">
        <v>40</v>
      </c>
      <c r="E786" s="15">
        <v>1</v>
      </c>
    </row>
    <row r="787" spans="1:14">
      <c r="A787" s="15">
        <v>14</v>
      </c>
      <c r="B787" s="73">
        <v>44201</v>
      </c>
      <c r="C787">
        <v>2021</v>
      </c>
      <c r="D787" s="11" t="s">
        <v>40</v>
      </c>
      <c r="E787" s="15">
        <v>1</v>
      </c>
      <c r="I787" s="27"/>
      <c r="J787" s="27"/>
    </row>
    <row r="788" spans="1:14">
      <c r="A788" s="15">
        <v>5</v>
      </c>
      <c r="B788" s="77">
        <v>44228</v>
      </c>
      <c r="C788">
        <v>2021</v>
      </c>
      <c r="D788" s="11" t="s">
        <v>29</v>
      </c>
      <c r="E788" s="15">
        <v>2</v>
      </c>
      <c r="F788" s="95">
        <v>4.7380000000000004</v>
      </c>
      <c r="G788" s="95">
        <v>8.0000000000000002E-3</v>
      </c>
    </row>
    <row r="789" spans="1:14">
      <c r="A789" s="15">
        <v>7</v>
      </c>
      <c r="B789" s="77">
        <v>44228</v>
      </c>
      <c r="C789">
        <v>2021</v>
      </c>
      <c r="D789" s="11" t="s">
        <v>29</v>
      </c>
      <c r="E789" s="15">
        <v>2</v>
      </c>
      <c r="F789" s="95">
        <v>2.7160000000000002</v>
      </c>
      <c r="G789" s="95">
        <v>9.9989999999999996E-4</v>
      </c>
    </row>
    <row r="790" spans="1:14">
      <c r="A790" s="15">
        <v>14</v>
      </c>
      <c r="B790" s="77">
        <v>44228</v>
      </c>
      <c r="C790">
        <v>2021</v>
      </c>
      <c r="D790" s="11" t="s">
        <v>29</v>
      </c>
      <c r="E790" s="15">
        <v>2</v>
      </c>
      <c r="F790" s="95">
        <v>2.9409999999999998</v>
      </c>
      <c r="G790" s="95">
        <v>9.9989999999999996E-4</v>
      </c>
      <c r="I790" s="27">
        <f t="shared" ref="I790:J790" si="19">AVERAGE(F788:F790)</f>
        <v>3.4649999999999999</v>
      </c>
      <c r="J790" s="27">
        <f t="shared" si="19"/>
        <v>3.3332666666666664E-3</v>
      </c>
      <c r="L790">
        <f t="shared" ref="L790" si="20">+J790/I790</f>
        <v>9.619817219817219E-4</v>
      </c>
      <c r="M790">
        <f t="shared" ref="M790" si="21">+(L790-$L$931)/$L$932</f>
        <v>-0.33083264059069872</v>
      </c>
      <c r="N790">
        <f>+N781+M790</f>
        <v>3.9801584412538134</v>
      </c>
    </row>
    <row r="791" spans="1:14">
      <c r="A791" s="15">
        <v>5</v>
      </c>
      <c r="B791" s="77">
        <v>44256</v>
      </c>
      <c r="C791">
        <v>2021</v>
      </c>
      <c r="D791" s="11" t="s">
        <v>30</v>
      </c>
      <c r="E791" s="15">
        <v>3</v>
      </c>
      <c r="F791" s="95">
        <v>2.9289999999999998</v>
      </c>
      <c r="G791" s="95">
        <v>9.9989999999999996E-4</v>
      </c>
    </row>
    <row r="792" spans="1:14">
      <c r="A792" s="15">
        <v>7</v>
      </c>
      <c r="B792" s="77">
        <v>44256</v>
      </c>
      <c r="C792">
        <v>2021</v>
      </c>
      <c r="D792" s="11" t="s">
        <v>30</v>
      </c>
      <c r="E792" s="15">
        <v>3</v>
      </c>
      <c r="F792" s="95">
        <v>1.3540000000000001</v>
      </c>
      <c r="G792" s="95">
        <v>9.9989999999999996E-4</v>
      </c>
    </row>
    <row r="793" spans="1:14">
      <c r="A793" s="15">
        <v>14</v>
      </c>
      <c r="B793" s="77">
        <v>44256</v>
      </c>
      <c r="C793">
        <v>2021</v>
      </c>
      <c r="D793" s="11" t="s">
        <v>30</v>
      </c>
      <c r="E793" s="15">
        <v>3</v>
      </c>
      <c r="F793" s="95">
        <v>1.39</v>
      </c>
      <c r="G793" s="95">
        <v>9.9989999999999996E-4</v>
      </c>
      <c r="I793" s="27">
        <f t="shared" ref="I793:J793" si="22">AVERAGE(F791:F793)</f>
        <v>1.8909999999999998</v>
      </c>
      <c r="J793" s="27">
        <f t="shared" si="22"/>
        <v>9.9989999999999996E-4</v>
      </c>
      <c r="L793">
        <f t="shared" ref="L793" si="23">+J793/I793</f>
        <v>5.2876784769962987E-4</v>
      </c>
      <c r="M793">
        <f t="shared" ref="M793" si="24">+(L793-$L$931)/$L$932</f>
        <v>-0.34465343786627489</v>
      </c>
      <c r="N793">
        <f t="shared" ref="N793" si="25">+N790+M793</f>
        <v>3.6355050033875385</v>
      </c>
    </row>
    <row r="794" spans="1:14">
      <c r="A794" s="15">
        <v>5</v>
      </c>
      <c r="B794" s="77">
        <v>44287</v>
      </c>
      <c r="C794">
        <v>2021</v>
      </c>
      <c r="D794" s="11" t="s">
        <v>31</v>
      </c>
      <c r="E794" s="15">
        <v>4</v>
      </c>
      <c r="F794" s="95">
        <v>1.0609999999999999</v>
      </c>
      <c r="G794" s="95">
        <v>9.9989999999999996E-4</v>
      </c>
    </row>
    <row r="795" spans="1:14">
      <c r="A795" s="15">
        <v>7</v>
      </c>
      <c r="B795" s="77">
        <v>44287</v>
      </c>
      <c r="C795">
        <v>2021</v>
      </c>
      <c r="D795" s="11" t="s">
        <v>31</v>
      </c>
      <c r="E795" s="15">
        <v>4</v>
      </c>
      <c r="F795" s="95">
        <v>1.3049999999999999</v>
      </c>
      <c r="G795" s="95">
        <v>9.9989999999999996E-4</v>
      </c>
    </row>
    <row r="796" spans="1:14">
      <c r="A796" s="15">
        <v>14</v>
      </c>
      <c r="B796" s="77">
        <v>44287</v>
      </c>
      <c r="C796">
        <v>2021</v>
      </c>
      <c r="D796" s="11" t="s">
        <v>31</v>
      </c>
      <c r="E796" s="15">
        <v>4</v>
      </c>
      <c r="F796" s="95">
        <v>0.66200000000000003</v>
      </c>
      <c r="G796" s="95">
        <v>9.9989999999999996E-4</v>
      </c>
      <c r="I796" s="27">
        <f t="shared" ref="I796:J796" si="26">AVERAGE(F794:F796)</f>
        <v>1.0093333333333332</v>
      </c>
      <c r="J796" s="27">
        <f t="shared" si="26"/>
        <v>9.9989999999999996E-4</v>
      </c>
      <c r="L796">
        <f t="shared" ref="L796" si="27">+J796/I796</f>
        <v>9.9065389696169088E-4</v>
      </c>
      <c r="M796">
        <f t="shared" ref="M796" si="28">+(L796-$L$931)/$L$932</f>
        <v>-0.32991791384399721</v>
      </c>
      <c r="N796">
        <f t="shared" ref="N796" si="29">+N793+M796</f>
        <v>3.3055870895435411</v>
      </c>
    </row>
    <row r="797" spans="1:14">
      <c r="A797" s="15">
        <v>5</v>
      </c>
      <c r="B797" s="77">
        <v>44317</v>
      </c>
      <c r="C797">
        <v>2021</v>
      </c>
      <c r="D797" s="11" t="s">
        <v>32</v>
      </c>
      <c r="E797" s="15">
        <v>5</v>
      </c>
      <c r="F797" s="95">
        <v>1.105</v>
      </c>
      <c r="G797" s="95">
        <v>1.2E-2</v>
      </c>
    </row>
    <row r="798" spans="1:14">
      <c r="A798" s="15">
        <v>7</v>
      </c>
      <c r="B798" s="77">
        <v>44317</v>
      </c>
      <c r="C798">
        <v>2021</v>
      </c>
      <c r="D798" s="11" t="s">
        <v>32</v>
      </c>
      <c r="E798" s="15">
        <v>5</v>
      </c>
      <c r="F798" s="95">
        <v>3.7360000000000002</v>
      </c>
      <c r="G798" s="95">
        <v>9.9989999999999996E-4</v>
      </c>
    </row>
    <row r="799" spans="1:14">
      <c r="A799" s="15">
        <v>14</v>
      </c>
      <c r="B799" s="77">
        <v>44317</v>
      </c>
      <c r="C799">
        <v>2021</v>
      </c>
      <c r="D799" s="11" t="s">
        <v>32</v>
      </c>
      <c r="E799" s="15">
        <v>5</v>
      </c>
      <c r="F799" s="95">
        <v>0.89200000000000002</v>
      </c>
      <c r="G799" s="95">
        <v>9.9989999999999996E-4</v>
      </c>
      <c r="I799" s="27">
        <f t="shared" ref="I799:J799" si="30">AVERAGE(F797:F799)</f>
        <v>1.9110000000000003</v>
      </c>
      <c r="J799" s="27">
        <f t="shared" si="30"/>
        <v>4.6665999999999999E-3</v>
      </c>
      <c r="L799">
        <f t="shared" ref="L799" si="31">+J799/I799</f>
        <v>2.4419675562532702E-3</v>
      </c>
      <c r="M799">
        <f t="shared" ref="M799" si="32">+(L799-$L$931)/$L$932</f>
        <v>-0.28361673777574786</v>
      </c>
      <c r="N799">
        <f t="shared" ref="N799" si="33">+N796+M799</f>
        <v>3.0219703517677932</v>
      </c>
    </row>
    <row r="800" spans="1:14">
      <c r="A800" s="15">
        <v>5</v>
      </c>
      <c r="B800" s="77">
        <v>44348</v>
      </c>
      <c r="C800">
        <v>2021</v>
      </c>
      <c r="D800" s="11" t="s">
        <v>33</v>
      </c>
      <c r="E800" s="15">
        <v>6</v>
      </c>
      <c r="F800" s="95">
        <v>5.8959999999999999</v>
      </c>
      <c r="G800" s="95">
        <v>9.9989999999999996E-4</v>
      </c>
    </row>
    <row r="801" spans="1:14">
      <c r="A801" s="15">
        <v>7</v>
      </c>
      <c r="B801" s="77">
        <v>44348</v>
      </c>
      <c r="C801">
        <v>2021</v>
      </c>
      <c r="D801" s="11" t="s">
        <v>33</v>
      </c>
      <c r="E801" s="15">
        <v>6</v>
      </c>
      <c r="F801" s="95">
        <v>11.476000000000001</v>
      </c>
      <c r="G801" s="95">
        <v>0.01</v>
      </c>
    </row>
    <row r="802" spans="1:14">
      <c r="A802" s="15">
        <v>14</v>
      </c>
      <c r="B802" s="77">
        <v>44348</v>
      </c>
      <c r="C802">
        <v>2021</v>
      </c>
      <c r="D802" s="11" t="s">
        <v>33</v>
      </c>
      <c r="E802" s="15">
        <v>6</v>
      </c>
      <c r="F802" s="95">
        <v>3.0630000000000002</v>
      </c>
      <c r="G802" s="95">
        <v>9.9989999999999996E-4</v>
      </c>
      <c r="I802" s="27">
        <f t="shared" ref="I802:J802" si="34">AVERAGE(F800:F802)</f>
        <v>6.8116666666666665</v>
      </c>
      <c r="J802" s="27">
        <f t="shared" si="34"/>
        <v>3.9999333333333329E-3</v>
      </c>
      <c r="L802">
        <f t="shared" ref="L802" si="35">+J802/I802</f>
        <v>5.8721800831906042E-4</v>
      </c>
      <c r="M802">
        <f t="shared" ref="M802" si="36">+(L802-$L$931)/$L$932</f>
        <v>-0.34278870575910325</v>
      </c>
      <c r="N802">
        <f t="shared" ref="N802" si="37">+N799+M802</f>
        <v>2.6791816460086899</v>
      </c>
    </row>
    <row r="803" spans="1:14">
      <c r="A803" s="15">
        <v>5</v>
      </c>
      <c r="B803" s="77">
        <v>44378</v>
      </c>
      <c r="C803">
        <v>2021</v>
      </c>
      <c r="D803" s="11" t="s">
        <v>34</v>
      </c>
      <c r="E803" s="15">
        <v>7</v>
      </c>
      <c r="H803" s="98" t="s">
        <v>100</v>
      </c>
    </row>
    <row r="804" spans="1:14">
      <c r="A804" s="15">
        <v>7</v>
      </c>
      <c r="B804" s="77">
        <v>44378</v>
      </c>
      <c r="C804">
        <v>2021</v>
      </c>
      <c r="D804" s="11" t="s">
        <v>34</v>
      </c>
      <c r="E804" s="15">
        <v>7</v>
      </c>
      <c r="H804" s="98" t="s">
        <v>101</v>
      </c>
    </row>
    <row r="805" spans="1:14">
      <c r="A805" s="15">
        <v>14</v>
      </c>
      <c r="B805" s="77">
        <v>44378</v>
      </c>
      <c r="C805">
        <v>2021</v>
      </c>
      <c r="D805" s="11" t="s">
        <v>34</v>
      </c>
      <c r="E805" s="15">
        <v>7</v>
      </c>
      <c r="I805" s="27"/>
      <c r="J805" s="27"/>
    </row>
    <row r="806" spans="1:14">
      <c r="A806" s="15">
        <v>5</v>
      </c>
      <c r="B806" s="77">
        <v>44409</v>
      </c>
      <c r="C806">
        <v>2021</v>
      </c>
      <c r="D806" s="11" t="s">
        <v>35</v>
      </c>
      <c r="E806" s="15">
        <v>8</v>
      </c>
      <c r="F806" s="95">
        <v>4.2329999999999997</v>
      </c>
      <c r="G806" s="95">
        <v>8.0000000000000002E-3</v>
      </c>
    </row>
    <row r="807" spans="1:14">
      <c r="A807" s="15">
        <v>7</v>
      </c>
      <c r="B807" s="77">
        <v>44409</v>
      </c>
      <c r="C807">
        <v>2021</v>
      </c>
      <c r="D807" s="11" t="s">
        <v>35</v>
      </c>
      <c r="E807" s="15">
        <v>8</v>
      </c>
      <c r="F807" s="95">
        <v>10.93</v>
      </c>
      <c r="G807" s="95">
        <v>0.01</v>
      </c>
    </row>
    <row r="808" spans="1:14">
      <c r="A808" s="15">
        <v>14</v>
      </c>
      <c r="B808" s="77">
        <v>44409</v>
      </c>
      <c r="C808">
        <v>2021</v>
      </c>
      <c r="D808" s="11" t="s">
        <v>35</v>
      </c>
      <c r="E808" s="15">
        <v>8</v>
      </c>
      <c r="F808" s="95">
        <v>2.1480000000000001</v>
      </c>
      <c r="G808" s="95">
        <v>9.9989999999999996E-4</v>
      </c>
      <c r="I808" s="27">
        <f t="shared" ref="I808:J808" si="38">AVERAGE(F806:F808)</f>
        <v>5.7703333333333333</v>
      </c>
      <c r="J808" s="27">
        <f t="shared" si="38"/>
        <v>6.3333000000000009E-3</v>
      </c>
      <c r="L808">
        <f t="shared" ref="L808" si="39">+J808/I808</f>
        <v>1.0975622436601006E-3</v>
      </c>
      <c r="M808">
        <f t="shared" ref="M808" si="40">+(L808-$L$931)/$L$932</f>
        <v>-0.32650722301782203</v>
      </c>
      <c r="N808">
        <f>+N802+M808</f>
        <v>2.352674422990868</v>
      </c>
    </row>
    <row r="809" spans="1:14">
      <c r="A809" s="15">
        <v>5</v>
      </c>
      <c r="B809" s="77">
        <v>44440</v>
      </c>
      <c r="C809">
        <v>2021</v>
      </c>
      <c r="D809" s="11" t="s">
        <v>41</v>
      </c>
      <c r="E809" s="15">
        <v>9</v>
      </c>
      <c r="F809" s="95">
        <v>1.4059999999999999</v>
      </c>
      <c r="G809" s="95">
        <v>9.9989999999999996E-4</v>
      </c>
    </row>
    <row r="810" spans="1:14">
      <c r="A810" s="15">
        <v>7</v>
      </c>
      <c r="B810" s="77">
        <v>44440</v>
      </c>
      <c r="C810">
        <v>2021</v>
      </c>
      <c r="D810" s="11" t="s">
        <v>41</v>
      </c>
      <c r="E810" s="15">
        <v>9</v>
      </c>
      <c r="F810" s="95">
        <v>3.7690000000000001</v>
      </c>
      <c r="G810" s="95">
        <v>9.9989999999999996E-4</v>
      </c>
    </row>
    <row r="811" spans="1:14">
      <c r="A811" s="15">
        <v>14</v>
      </c>
      <c r="B811" s="77">
        <v>44440</v>
      </c>
      <c r="C811">
        <v>2021</v>
      </c>
      <c r="D811" s="11" t="s">
        <v>41</v>
      </c>
      <c r="E811" s="15">
        <v>9</v>
      </c>
      <c r="F811" s="95">
        <v>1.5569999999999999</v>
      </c>
      <c r="G811" s="95">
        <v>9.9989999999999996E-4</v>
      </c>
      <c r="I811" s="27">
        <f t="shared" ref="I811:J811" si="41">AVERAGE(F809:F811)</f>
        <v>2.2439999999999998</v>
      </c>
      <c r="J811" s="27">
        <f t="shared" si="41"/>
        <v>9.9989999999999996E-4</v>
      </c>
      <c r="L811">
        <f t="shared" ref="L811" si="42">+J811/I811</f>
        <v>4.455882352941177E-4</v>
      </c>
      <c r="M811">
        <f t="shared" ref="M811" si="43">+(L811-$L$931)/$L$932</f>
        <v>-0.34730711224921723</v>
      </c>
      <c r="N811">
        <f t="shared" ref="N811" si="44">+N808+M811</f>
        <v>2.0053673107416508</v>
      </c>
    </row>
    <row r="812" spans="1:14">
      <c r="A812" s="15">
        <v>5</v>
      </c>
      <c r="B812" s="77">
        <v>44470</v>
      </c>
      <c r="C812">
        <v>2021</v>
      </c>
      <c r="D812" s="11" t="s">
        <v>37</v>
      </c>
      <c r="E812" s="15">
        <v>10</v>
      </c>
      <c r="F812" s="95">
        <v>2.2650000000000001</v>
      </c>
      <c r="G812" s="95">
        <v>9.9989999999999996E-4</v>
      </c>
    </row>
    <row r="813" spans="1:14">
      <c r="A813" s="15">
        <v>7</v>
      </c>
      <c r="B813" s="77">
        <v>44470</v>
      </c>
      <c r="C813">
        <v>2021</v>
      </c>
      <c r="D813" s="11" t="s">
        <v>37</v>
      </c>
      <c r="E813" s="15">
        <v>10</v>
      </c>
      <c r="F813" s="95">
        <v>2.258</v>
      </c>
      <c r="G813" s="95">
        <v>9.9989999999999996E-4</v>
      </c>
    </row>
    <row r="814" spans="1:14">
      <c r="A814" s="15">
        <v>14</v>
      </c>
      <c r="B814" s="77">
        <v>44470</v>
      </c>
      <c r="C814">
        <v>2021</v>
      </c>
      <c r="D814" s="11" t="s">
        <v>37</v>
      </c>
      <c r="E814" s="15">
        <v>10</v>
      </c>
      <c r="F814" s="95">
        <v>2.2509999999999999</v>
      </c>
      <c r="G814" s="95">
        <v>9.9989999999999996E-4</v>
      </c>
      <c r="I814" s="27">
        <f t="shared" ref="I814:J814" si="45">AVERAGE(F812:F814)</f>
        <v>2.2579999999999996</v>
      </c>
      <c r="J814" s="27">
        <f t="shared" si="45"/>
        <v>9.9989999999999996E-4</v>
      </c>
      <c r="L814">
        <f t="shared" ref="L814" si="46">+J814/I814</f>
        <v>4.428255093002658E-4</v>
      </c>
      <c r="M814">
        <f t="shared" ref="M814" si="47">+(L814-$L$931)/$L$932</f>
        <v>-0.34739525133744992</v>
      </c>
      <c r="N814">
        <f t="shared" ref="N814" si="48">+N811+M814</f>
        <v>1.6579720594042009</v>
      </c>
    </row>
    <row r="815" spans="1:14">
      <c r="A815" s="15">
        <v>5</v>
      </c>
      <c r="B815" s="77">
        <v>44501</v>
      </c>
      <c r="C815">
        <v>2021</v>
      </c>
      <c r="D815" s="11" t="s">
        <v>38</v>
      </c>
      <c r="E815" s="15">
        <v>11</v>
      </c>
      <c r="F815" s="95">
        <v>0.85899999999999999</v>
      </c>
      <c r="G815" s="95">
        <v>9.9989999999999996E-4</v>
      </c>
    </row>
    <row r="816" spans="1:14">
      <c r="A816" s="15">
        <v>7</v>
      </c>
      <c r="B816" s="77">
        <v>44501</v>
      </c>
      <c r="C816">
        <v>2021</v>
      </c>
      <c r="D816" s="11" t="s">
        <v>38</v>
      </c>
      <c r="E816" s="15">
        <v>11</v>
      </c>
      <c r="F816" s="95">
        <v>0.83199999999999996</v>
      </c>
      <c r="G816" s="95">
        <v>9.9989999999999996E-4</v>
      </c>
    </row>
    <row r="817" spans="1:14">
      <c r="A817" s="15">
        <v>14</v>
      </c>
      <c r="B817" s="77">
        <v>44501</v>
      </c>
      <c r="C817">
        <v>2021</v>
      </c>
      <c r="D817" s="11" t="s">
        <v>38</v>
      </c>
      <c r="E817" s="15">
        <v>11</v>
      </c>
      <c r="F817" s="95">
        <v>0.39700000000000002</v>
      </c>
      <c r="G817" s="95">
        <v>9.9989999999999996E-4</v>
      </c>
      <c r="I817" s="27">
        <f t="shared" ref="I817:J817" si="49">AVERAGE(F815:F817)</f>
        <v>0.69600000000000006</v>
      </c>
      <c r="J817" s="27">
        <f t="shared" si="49"/>
        <v>9.9989999999999996E-4</v>
      </c>
      <c r="L817">
        <f t="shared" ref="L817" si="50">+J817/I817</f>
        <v>1.4366379310344825E-3</v>
      </c>
      <c r="M817">
        <f t="shared" ref="M817" si="51">+(L817-$L$931)/$L$932</f>
        <v>-0.31568971089625397</v>
      </c>
      <c r="N817">
        <f t="shared" ref="N817" si="52">+N814+M817</f>
        <v>1.3422823485079469</v>
      </c>
    </row>
    <row r="818" spans="1:14">
      <c r="A818" s="15">
        <v>5</v>
      </c>
      <c r="B818" s="78">
        <v>44531</v>
      </c>
      <c r="C818">
        <v>2021</v>
      </c>
      <c r="D818" s="11" t="s">
        <v>39</v>
      </c>
      <c r="E818" s="15">
        <v>12</v>
      </c>
      <c r="F818" s="95">
        <v>0.73899999999999999</v>
      </c>
      <c r="G818" s="95">
        <v>9.9989999999999996E-4</v>
      </c>
    </row>
    <row r="819" spans="1:14">
      <c r="A819" s="15">
        <v>7</v>
      </c>
      <c r="B819" s="77">
        <v>44531</v>
      </c>
      <c r="C819">
        <v>2021</v>
      </c>
      <c r="D819" s="11" t="s">
        <v>39</v>
      </c>
      <c r="E819" s="15">
        <v>12</v>
      </c>
      <c r="F819" s="95">
        <v>0.71899999999999997</v>
      </c>
      <c r="G819" s="95">
        <v>9.9989999999999996E-4</v>
      </c>
    </row>
    <row r="820" spans="1:14">
      <c r="A820" s="15">
        <v>14</v>
      </c>
      <c r="B820" s="77">
        <v>44531</v>
      </c>
      <c r="C820">
        <v>2021</v>
      </c>
      <c r="D820" s="11" t="s">
        <v>39</v>
      </c>
      <c r="E820" s="15">
        <v>12</v>
      </c>
      <c r="F820" s="95">
        <v>0.72899999999999998</v>
      </c>
      <c r="G820" s="95">
        <v>9.9989999999999996E-4</v>
      </c>
      <c r="I820" s="27">
        <f t="shared" ref="I820:J820" si="53">AVERAGE(F818:F820)</f>
        <v>0.72899999999999998</v>
      </c>
      <c r="J820" s="27">
        <f t="shared" si="53"/>
        <v>9.9989999999999996E-4</v>
      </c>
      <c r="L820">
        <f t="shared" ref="L820" si="54">+J820/I820</f>
        <v>1.371604938271605E-3</v>
      </c>
      <c r="M820">
        <f t="shared" ref="M820" si="55">+(L820-$L$931)/$L$932</f>
        <v>-0.31776445471808845</v>
      </c>
      <c r="N820">
        <f t="shared" ref="N820" si="56">+N817+M820</f>
        <v>1.0245178937898585</v>
      </c>
    </row>
    <row r="821" spans="1:14">
      <c r="A821" s="93">
        <v>5</v>
      </c>
      <c r="B821" s="90">
        <v>44571</v>
      </c>
      <c r="C821" s="91">
        <v>2022</v>
      </c>
      <c r="D821" s="92" t="s">
        <v>40</v>
      </c>
      <c r="E821" s="93">
        <v>1</v>
      </c>
      <c r="H821" s="98" t="s">
        <v>97</v>
      </c>
    </row>
    <row r="822" spans="1:14">
      <c r="A822" s="15">
        <v>7</v>
      </c>
      <c r="B822" s="73">
        <v>44566</v>
      </c>
      <c r="C822">
        <v>2022</v>
      </c>
      <c r="D822" s="11" t="s">
        <v>40</v>
      </c>
      <c r="E822" s="15">
        <v>1</v>
      </c>
      <c r="H822" s="98" t="s">
        <v>98</v>
      </c>
    </row>
    <row r="823" spans="1:14">
      <c r="A823" s="15">
        <v>14</v>
      </c>
      <c r="B823" s="73">
        <v>44566</v>
      </c>
      <c r="C823">
        <v>2022</v>
      </c>
      <c r="D823" s="11" t="s">
        <v>40</v>
      </c>
      <c r="E823" s="15">
        <v>1</v>
      </c>
      <c r="H823" s="98" t="s">
        <v>99</v>
      </c>
    </row>
    <row r="824" spans="1:14">
      <c r="A824" s="15">
        <v>5</v>
      </c>
      <c r="B824" s="77">
        <v>44593</v>
      </c>
      <c r="C824">
        <v>2022</v>
      </c>
      <c r="D824" s="11" t="s">
        <v>29</v>
      </c>
      <c r="E824" s="15">
        <v>2</v>
      </c>
    </row>
    <row r="825" spans="1:14">
      <c r="A825" s="15">
        <v>7</v>
      </c>
      <c r="B825" s="77">
        <v>44593</v>
      </c>
      <c r="C825">
        <v>2022</v>
      </c>
      <c r="D825" s="11" t="s">
        <v>29</v>
      </c>
      <c r="E825" s="15">
        <v>2</v>
      </c>
    </row>
    <row r="826" spans="1:14">
      <c r="A826" s="15">
        <v>14</v>
      </c>
      <c r="B826" s="77">
        <v>44593</v>
      </c>
      <c r="C826">
        <v>2022</v>
      </c>
      <c r="D826" s="11" t="s">
        <v>29</v>
      </c>
      <c r="E826" s="15">
        <v>2</v>
      </c>
    </row>
    <row r="827" spans="1:14">
      <c r="A827" s="15">
        <v>5</v>
      </c>
      <c r="B827" s="77">
        <v>44621</v>
      </c>
      <c r="C827">
        <v>2022</v>
      </c>
      <c r="D827" s="11" t="s">
        <v>30</v>
      </c>
      <c r="E827" s="15">
        <v>3</v>
      </c>
    </row>
    <row r="828" spans="1:14">
      <c r="A828" s="15">
        <v>7</v>
      </c>
      <c r="B828" s="77">
        <v>44621</v>
      </c>
      <c r="C828">
        <v>2022</v>
      </c>
      <c r="D828" s="11" t="s">
        <v>30</v>
      </c>
      <c r="E828" s="15">
        <v>3</v>
      </c>
    </row>
    <row r="829" spans="1:14">
      <c r="A829" s="15">
        <v>14</v>
      </c>
      <c r="B829" s="77">
        <v>44621</v>
      </c>
      <c r="C829">
        <v>2022</v>
      </c>
      <c r="D829" s="11" t="s">
        <v>30</v>
      </c>
      <c r="E829" s="15">
        <v>3</v>
      </c>
    </row>
    <row r="830" spans="1:14">
      <c r="A830" s="15">
        <v>5</v>
      </c>
      <c r="B830" s="77">
        <v>44652</v>
      </c>
      <c r="C830">
        <v>2022</v>
      </c>
      <c r="D830" s="11" t="s">
        <v>31</v>
      </c>
      <c r="E830" s="15">
        <v>4</v>
      </c>
    </row>
    <row r="831" spans="1:14">
      <c r="A831" s="15">
        <v>7</v>
      </c>
      <c r="B831" s="77">
        <v>44652</v>
      </c>
      <c r="C831">
        <v>2022</v>
      </c>
      <c r="D831" s="11" t="s">
        <v>31</v>
      </c>
      <c r="E831" s="15">
        <v>4</v>
      </c>
    </row>
    <row r="832" spans="1:14">
      <c r="A832" s="15">
        <v>14</v>
      </c>
      <c r="B832" s="77">
        <v>44652</v>
      </c>
      <c r="C832">
        <v>2022</v>
      </c>
      <c r="D832" s="11" t="s">
        <v>31</v>
      </c>
      <c r="E832" s="15">
        <v>4</v>
      </c>
    </row>
    <row r="833" spans="1:5">
      <c r="A833" s="15">
        <v>5</v>
      </c>
      <c r="B833" s="77">
        <v>44682</v>
      </c>
      <c r="C833">
        <v>2022</v>
      </c>
      <c r="D833" s="11" t="s">
        <v>32</v>
      </c>
      <c r="E833" s="15">
        <v>5</v>
      </c>
    </row>
    <row r="834" spans="1:5">
      <c r="A834" s="15">
        <v>7</v>
      </c>
      <c r="B834" s="77">
        <v>44682</v>
      </c>
      <c r="C834">
        <v>2022</v>
      </c>
      <c r="D834" s="11" t="s">
        <v>32</v>
      </c>
      <c r="E834" s="15">
        <v>5</v>
      </c>
    </row>
    <row r="835" spans="1:5">
      <c r="A835" s="15">
        <v>14</v>
      </c>
      <c r="B835" s="77">
        <v>44682</v>
      </c>
      <c r="C835">
        <v>2022</v>
      </c>
      <c r="D835" s="11" t="s">
        <v>32</v>
      </c>
      <c r="E835" s="15">
        <v>5</v>
      </c>
    </row>
    <row r="836" spans="1:5">
      <c r="A836" s="15">
        <v>5</v>
      </c>
      <c r="B836" s="77">
        <v>44713</v>
      </c>
      <c r="C836">
        <v>2022</v>
      </c>
      <c r="D836" s="11" t="s">
        <v>33</v>
      </c>
      <c r="E836" s="15">
        <v>6</v>
      </c>
    </row>
    <row r="837" spans="1:5">
      <c r="A837" s="15">
        <v>7</v>
      </c>
      <c r="B837" s="77">
        <v>44713</v>
      </c>
      <c r="C837">
        <v>2022</v>
      </c>
      <c r="D837" s="11" t="s">
        <v>33</v>
      </c>
      <c r="E837" s="15">
        <v>6</v>
      </c>
    </row>
    <row r="838" spans="1:5">
      <c r="A838" s="15">
        <v>14</v>
      </c>
      <c r="B838" s="77">
        <v>44713</v>
      </c>
      <c r="C838">
        <v>2022</v>
      </c>
      <c r="D838" s="11" t="s">
        <v>33</v>
      </c>
      <c r="E838" s="15">
        <v>6</v>
      </c>
    </row>
    <row r="839" spans="1:5">
      <c r="A839" s="15">
        <v>5</v>
      </c>
      <c r="B839" s="77">
        <v>44743</v>
      </c>
      <c r="C839">
        <v>2022</v>
      </c>
      <c r="D839" s="11" t="s">
        <v>34</v>
      </c>
      <c r="E839" s="15">
        <v>7</v>
      </c>
    </row>
    <row r="840" spans="1:5">
      <c r="A840" s="15">
        <v>7</v>
      </c>
      <c r="B840" s="77">
        <v>44743</v>
      </c>
      <c r="C840">
        <v>2022</v>
      </c>
      <c r="D840" s="11" t="s">
        <v>34</v>
      </c>
      <c r="E840" s="15">
        <v>7</v>
      </c>
    </row>
    <row r="841" spans="1:5">
      <c r="A841" s="15">
        <v>14</v>
      </c>
      <c r="B841" s="77">
        <v>44743</v>
      </c>
      <c r="C841">
        <v>2022</v>
      </c>
      <c r="D841" s="11" t="s">
        <v>34</v>
      </c>
      <c r="E841" s="15">
        <v>7</v>
      </c>
    </row>
    <row r="842" spans="1:5">
      <c r="A842" s="15">
        <v>5</v>
      </c>
      <c r="B842" s="77">
        <v>44774</v>
      </c>
      <c r="C842">
        <v>2022</v>
      </c>
      <c r="D842" s="11" t="s">
        <v>35</v>
      </c>
      <c r="E842" s="15">
        <v>8</v>
      </c>
    </row>
    <row r="843" spans="1:5">
      <c r="A843" s="15">
        <v>7</v>
      </c>
      <c r="B843" s="77">
        <v>44774</v>
      </c>
      <c r="C843">
        <v>2022</v>
      </c>
      <c r="D843" s="11" t="s">
        <v>35</v>
      </c>
      <c r="E843" s="15">
        <v>8</v>
      </c>
    </row>
    <row r="844" spans="1:5">
      <c r="A844" s="15">
        <v>14</v>
      </c>
      <c r="B844" s="77">
        <v>44774</v>
      </c>
      <c r="C844">
        <v>2022</v>
      </c>
      <c r="D844" s="11" t="s">
        <v>35</v>
      </c>
      <c r="E844" s="15">
        <v>8</v>
      </c>
    </row>
    <row r="845" spans="1:5">
      <c r="A845" s="15">
        <v>5</v>
      </c>
      <c r="B845" s="77">
        <v>44805</v>
      </c>
      <c r="C845">
        <v>2022</v>
      </c>
      <c r="D845" s="11" t="s">
        <v>41</v>
      </c>
      <c r="E845" s="15">
        <v>9</v>
      </c>
    </row>
    <row r="846" spans="1:5">
      <c r="A846" s="15">
        <v>7</v>
      </c>
      <c r="B846" s="77">
        <v>44805</v>
      </c>
      <c r="C846">
        <v>2022</v>
      </c>
      <c r="D846" s="11" t="s">
        <v>41</v>
      </c>
      <c r="E846" s="15">
        <v>9</v>
      </c>
    </row>
    <row r="847" spans="1:5">
      <c r="A847" s="15">
        <v>14</v>
      </c>
      <c r="B847" s="77">
        <v>44805</v>
      </c>
      <c r="C847">
        <v>2022</v>
      </c>
      <c r="D847" s="11" t="s">
        <v>41</v>
      </c>
      <c r="E847" s="15">
        <v>9</v>
      </c>
    </row>
    <row r="848" spans="1:5">
      <c r="A848" s="15">
        <v>5</v>
      </c>
      <c r="B848" s="77">
        <v>44835</v>
      </c>
      <c r="C848">
        <v>2022</v>
      </c>
      <c r="D848" s="11" t="s">
        <v>37</v>
      </c>
      <c r="E848" s="15">
        <v>10</v>
      </c>
    </row>
    <row r="849" spans="1:14">
      <c r="A849" s="15">
        <v>7</v>
      </c>
      <c r="B849" s="77">
        <v>44835</v>
      </c>
      <c r="C849">
        <v>2022</v>
      </c>
      <c r="D849" s="11" t="s">
        <v>37</v>
      </c>
      <c r="E849" s="15">
        <v>10</v>
      </c>
    </row>
    <row r="850" spans="1:14">
      <c r="A850" s="15">
        <v>14</v>
      </c>
      <c r="B850" s="77">
        <v>44835</v>
      </c>
      <c r="C850">
        <v>2022</v>
      </c>
      <c r="D850" s="11" t="s">
        <v>37</v>
      </c>
      <c r="E850" s="15">
        <v>10</v>
      </c>
    </row>
    <row r="851" spans="1:14">
      <c r="A851" s="15">
        <v>5</v>
      </c>
      <c r="B851" s="77">
        <v>44866</v>
      </c>
      <c r="C851">
        <v>2022</v>
      </c>
      <c r="D851" s="11" t="s">
        <v>38</v>
      </c>
      <c r="E851" s="15">
        <v>11</v>
      </c>
    </row>
    <row r="852" spans="1:14">
      <c r="A852" s="15">
        <v>7</v>
      </c>
      <c r="B852" s="77">
        <v>44866</v>
      </c>
      <c r="C852">
        <v>2022</v>
      </c>
      <c r="D852" s="11" t="s">
        <v>38</v>
      </c>
      <c r="E852" s="15">
        <v>11</v>
      </c>
    </row>
    <row r="853" spans="1:14">
      <c r="A853" s="15">
        <v>14</v>
      </c>
      <c r="B853" s="77">
        <v>44866</v>
      </c>
      <c r="C853">
        <v>2022</v>
      </c>
      <c r="D853" s="11" t="s">
        <v>38</v>
      </c>
      <c r="E853" s="15">
        <v>11</v>
      </c>
    </row>
    <row r="854" spans="1:14">
      <c r="A854" s="15">
        <v>5</v>
      </c>
      <c r="B854" s="78">
        <v>44896</v>
      </c>
      <c r="C854">
        <v>2022</v>
      </c>
      <c r="D854" s="11" t="s">
        <v>39</v>
      </c>
      <c r="E854" s="15">
        <v>12</v>
      </c>
    </row>
    <row r="855" spans="1:14">
      <c r="A855" s="15">
        <v>7</v>
      </c>
      <c r="B855" s="77">
        <v>44896</v>
      </c>
      <c r="C855">
        <v>2022</v>
      </c>
      <c r="D855" s="11" t="s">
        <v>39</v>
      </c>
      <c r="E855" s="15">
        <v>12</v>
      </c>
    </row>
    <row r="856" spans="1:14">
      <c r="A856" s="15">
        <v>14</v>
      </c>
      <c r="B856" s="77">
        <v>44896</v>
      </c>
      <c r="C856">
        <v>2022</v>
      </c>
      <c r="D856" s="11" t="s">
        <v>39</v>
      </c>
      <c r="E856" s="15">
        <v>12</v>
      </c>
    </row>
    <row r="857" spans="1:14">
      <c r="A857" s="93">
        <v>5</v>
      </c>
      <c r="B857" s="90">
        <v>44936</v>
      </c>
      <c r="C857" s="91">
        <v>2023</v>
      </c>
      <c r="D857" s="92" t="s">
        <v>40</v>
      </c>
      <c r="E857" s="93">
        <v>1</v>
      </c>
      <c r="F857" s="96">
        <v>6.3940000000000001</v>
      </c>
      <c r="G857" s="95">
        <v>5.0000000000000001E-3</v>
      </c>
    </row>
    <row r="858" spans="1:14">
      <c r="A858" s="15">
        <v>7</v>
      </c>
      <c r="B858" s="73">
        <v>44931</v>
      </c>
      <c r="C858">
        <v>2023</v>
      </c>
      <c r="D858" s="11" t="s">
        <v>40</v>
      </c>
      <c r="E858" s="15">
        <v>1</v>
      </c>
      <c r="F858" s="96">
        <v>7.2549999999999999</v>
      </c>
      <c r="G858" s="95">
        <v>9.9989999999999996E-4</v>
      </c>
    </row>
    <row r="859" spans="1:14">
      <c r="A859" s="15">
        <v>14</v>
      </c>
      <c r="B859" s="73">
        <v>44931</v>
      </c>
      <c r="C859">
        <v>2023</v>
      </c>
      <c r="D859" s="11" t="s">
        <v>40</v>
      </c>
      <c r="E859" s="15">
        <v>1</v>
      </c>
      <c r="F859" s="96">
        <v>5.67</v>
      </c>
      <c r="G859" s="95">
        <v>8.0000000000000002E-3</v>
      </c>
      <c r="I859" s="27">
        <f>AVERAGE(F857:F859)</f>
        <v>6.4396666666666675</v>
      </c>
      <c r="J859" s="27">
        <f>AVERAGE(G857:G859)</f>
        <v>4.6666333333333331E-3</v>
      </c>
      <c r="L859">
        <f>+J859/I859</f>
        <v>7.2467001397587857E-4</v>
      </c>
      <c r="M859">
        <f>+(L859-$L$931)/$L$932</f>
        <v>-0.33840358234067092</v>
      </c>
      <c r="N859">
        <f>+N820+M859</f>
        <v>0.68611431144918755</v>
      </c>
    </row>
    <row r="860" spans="1:14">
      <c r="A860" s="15">
        <v>5</v>
      </c>
      <c r="B860" s="77">
        <v>44958</v>
      </c>
      <c r="C860">
        <v>2023</v>
      </c>
      <c r="D860" s="11" t="s">
        <v>29</v>
      </c>
      <c r="E860" s="15">
        <v>2</v>
      </c>
      <c r="F860" s="80">
        <v>0.93</v>
      </c>
      <c r="G860" s="80">
        <v>1.2999999999999999E-2</v>
      </c>
    </row>
    <row r="861" spans="1:14">
      <c r="A861" s="15">
        <v>7</v>
      </c>
      <c r="B861" s="77">
        <v>44958</v>
      </c>
      <c r="C861">
        <v>2023</v>
      </c>
      <c r="D861" s="11" t="s">
        <v>29</v>
      </c>
      <c r="E861" s="15">
        <v>2</v>
      </c>
      <c r="F861" s="80">
        <v>1.798</v>
      </c>
      <c r="G861" s="97">
        <v>9.9989999999999996E-4</v>
      </c>
    </row>
    <row r="862" spans="1:14">
      <c r="A862" s="15">
        <v>14</v>
      </c>
      <c r="B862" s="77">
        <v>44958</v>
      </c>
      <c r="C862">
        <v>2023</v>
      </c>
      <c r="D862" s="11" t="s">
        <v>29</v>
      </c>
      <c r="E862" s="15">
        <v>2</v>
      </c>
      <c r="F862" s="80">
        <v>1.34</v>
      </c>
      <c r="G862" s="80">
        <v>8.0000000000000002E-3</v>
      </c>
      <c r="I862" s="27">
        <f t="shared" ref="I862:J862" si="57">AVERAGE(F860:F862)</f>
        <v>1.3560000000000001</v>
      </c>
      <c r="J862" s="27">
        <f t="shared" si="57"/>
        <v>7.3333000000000001E-3</v>
      </c>
      <c r="L862">
        <f t="shared" ref="L862" si="58">+J862/I862</f>
        <v>5.4080383480825953E-3</v>
      </c>
      <c r="M862">
        <f t="shared" ref="M862" si="59">+(L862-$L$931)/$L$932</f>
        <v>-0.18899035216699075</v>
      </c>
      <c r="N862">
        <f>+N859+M862</f>
        <v>0.49712395928219677</v>
      </c>
    </row>
    <row r="863" spans="1:14">
      <c r="A863" s="15">
        <v>5</v>
      </c>
      <c r="B863" s="77">
        <v>44986</v>
      </c>
      <c r="C863">
        <v>2023</v>
      </c>
      <c r="D863" s="11" t="s">
        <v>30</v>
      </c>
      <c r="E863" s="15">
        <v>3</v>
      </c>
      <c r="F863" s="80">
        <v>0.79900000000000004</v>
      </c>
      <c r="G863" s="80">
        <v>1E-3</v>
      </c>
    </row>
    <row r="864" spans="1:14">
      <c r="A864" s="15">
        <v>7</v>
      </c>
      <c r="B864" s="77">
        <v>44986</v>
      </c>
      <c r="C864">
        <v>2023</v>
      </c>
      <c r="D864" s="11" t="s">
        <v>30</v>
      </c>
      <c r="E864" s="15">
        <v>3</v>
      </c>
      <c r="F864" s="80">
        <v>1.361</v>
      </c>
      <c r="G864" s="80">
        <v>1E-3</v>
      </c>
    </row>
    <row r="865" spans="1:14">
      <c r="A865" s="15">
        <v>14</v>
      </c>
      <c r="B865" s="77">
        <v>44986</v>
      </c>
      <c r="C865">
        <v>2023</v>
      </c>
      <c r="D865" s="11" t="s">
        <v>30</v>
      </c>
      <c r="E865" s="15">
        <v>3</v>
      </c>
      <c r="F865" s="80">
        <v>2.032</v>
      </c>
      <c r="G865" s="80">
        <v>1E-3</v>
      </c>
      <c r="I865" s="27">
        <f t="shared" ref="I865:J865" si="60">AVERAGE(F863:F865)</f>
        <v>1.3973333333333333</v>
      </c>
      <c r="J865" s="27">
        <f t="shared" si="60"/>
        <v>1E-3</v>
      </c>
      <c r="L865">
        <f t="shared" ref="L865" si="61">+J865/I865</f>
        <v>7.1564885496183206E-4</v>
      </c>
      <c r="M865">
        <f t="shared" ref="M865" si="62">+(L865-$L$931)/$L$932</f>
        <v>-0.33869138385702463</v>
      </c>
      <c r="N865">
        <f t="shared" ref="N865" si="63">+N862+M865</f>
        <v>0.15843257542517214</v>
      </c>
    </row>
    <row r="866" spans="1:14">
      <c r="A866" s="15">
        <v>5</v>
      </c>
      <c r="B866" s="77">
        <v>45017</v>
      </c>
      <c r="C866">
        <v>2023</v>
      </c>
      <c r="D866" s="11" t="s">
        <v>31</v>
      </c>
      <c r="E866" s="15">
        <v>4</v>
      </c>
      <c r="F866" s="80">
        <v>0.82499999999999996</v>
      </c>
      <c r="G866" s="80">
        <v>1E-3</v>
      </c>
    </row>
    <row r="867" spans="1:14">
      <c r="A867" s="15">
        <v>7</v>
      </c>
      <c r="B867" s="77">
        <v>45017</v>
      </c>
      <c r="C867">
        <v>2023</v>
      </c>
      <c r="D867" s="11" t="s">
        <v>31</v>
      </c>
      <c r="E867" s="15">
        <v>4</v>
      </c>
      <c r="F867" s="80">
        <v>1.524</v>
      </c>
      <c r="G867" s="80">
        <v>1E-3</v>
      </c>
    </row>
    <row r="868" spans="1:14">
      <c r="A868" s="15">
        <v>14</v>
      </c>
      <c r="B868" s="77">
        <v>45017</v>
      </c>
      <c r="C868">
        <v>2023</v>
      </c>
      <c r="D868" s="11" t="s">
        <v>31</v>
      </c>
      <c r="E868" s="15">
        <v>4</v>
      </c>
      <c r="F868" s="80">
        <v>1.94</v>
      </c>
      <c r="G868" s="80">
        <v>1E-3</v>
      </c>
      <c r="I868" s="27">
        <f t="shared" ref="I868:J868" si="64">AVERAGE(F866:F868)</f>
        <v>1.4296666666666666</v>
      </c>
      <c r="J868" s="27">
        <f t="shared" si="64"/>
        <v>1E-3</v>
      </c>
      <c r="L868">
        <f t="shared" ref="L868" si="65">+J868/I868</f>
        <v>6.9946374446257871E-4</v>
      </c>
      <c r="M868">
        <f t="shared" ref="M868" si="66">+(L868-$L$931)/$L$932</f>
        <v>-0.33920773650492553</v>
      </c>
      <c r="N868">
        <f t="shared" ref="N868" si="67">+N865+M868</f>
        <v>-0.18077516107975339</v>
      </c>
    </row>
    <row r="869" spans="1:14">
      <c r="A869" s="15">
        <v>5</v>
      </c>
      <c r="B869" s="77">
        <v>45047</v>
      </c>
      <c r="C869">
        <v>2023</v>
      </c>
      <c r="D869" s="11" t="s">
        <v>32</v>
      </c>
      <c r="E869" s="15">
        <v>5</v>
      </c>
      <c r="F869" s="80">
        <v>3.706</v>
      </c>
      <c r="G869" s="80">
        <v>1.2999999999999999E-2</v>
      </c>
    </row>
    <row r="870" spans="1:14">
      <c r="A870" s="15">
        <v>7</v>
      </c>
      <c r="B870" s="77">
        <v>45047</v>
      </c>
      <c r="C870">
        <v>2023</v>
      </c>
      <c r="D870" s="11" t="s">
        <v>32</v>
      </c>
      <c r="E870" s="15">
        <v>5</v>
      </c>
      <c r="F870" s="80">
        <v>2.5590000000000002</v>
      </c>
      <c r="G870" s="80">
        <v>3.6999999999999998E-2</v>
      </c>
    </row>
    <row r="871" spans="1:14">
      <c r="A871" s="15">
        <v>14</v>
      </c>
      <c r="B871" s="77">
        <v>45047</v>
      </c>
      <c r="C871">
        <v>2023</v>
      </c>
      <c r="D871" s="11" t="s">
        <v>32</v>
      </c>
      <c r="E871" s="15">
        <v>5</v>
      </c>
      <c r="F871" s="80">
        <v>3.8759999999999999</v>
      </c>
      <c r="G871" s="80">
        <v>2.5999999999999999E-2</v>
      </c>
      <c r="I871" s="27">
        <f t="shared" ref="I871:J871" si="68">AVERAGE(F869:F871)</f>
        <v>3.3803333333333332</v>
      </c>
      <c r="J871" s="27">
        <f t="shared" si="68"/>
        <v>2.5333333333333333E-2</v>
      </c>
      <c r="L871">
        <f t="shared" ref="L871" si="69">+J871/I871</f>
        <v>7.4943299477369099E-3</v>
      </c>
      <c r="M871">
        <f t="shared" ref="M871" si="70">+(L871-$L$931)/$L$932</f>
        <v>-0.12243151144578121</v>
      </c>
      <c r="N871">
        <f t="shared" ref="N871" si="71">+N868+M871</f>
        <v>-0.30320667252553457</v>
      </c>
    </row>
    <row r="872" spans="1:14">
      <c r="A872" s="15">
        <v>5</v>
      </c>
      <c r="B872" s="77">
        <v>45078</v>
      </c>
      <c r="C872">
        <v>2023</v>
      </c>
      <c r="D872" s="11" t="s">
        <v>33</v>
      </c>
      <c r="E872" s="15">
        <v>6</v>
      </c>
      <c r="F872" s="80">
        <v>3.6909999999999998</v>
      </c>
      <c r="G872" s="80">
        <v>8.0000000000000002E-3</v>
      </c>
    </row>
    <row r="873" spans="1:14">
      <c r="A873" s="15">
        <v>7</v>
      </c>
      <c r="B873" s="77">
        <v>45078</v>
      </c>
      <c r="C873">
        <v>2023</v>
      </c>
      <c r="D873" s="11" t="s">
        <v>33</v>
      </c>
      <c r="E873" s="15">
        <v>6</v>
      </c>
      <c r="F873" s="80">
        <v>15.792</v>
      </c>
      <c r="G873" s="80">
        <v>2.8000000000000001E-2</v>
      </c>
    </row>
    <row r="874" spans="1:14">
      <c r="A874" s="15">
        <v>14</v>
      </c>
      <c r="B874" s="77">
        <v>45078</v>
      </c>
      <c r="C874">
        <v>2023</v>
      </c>
      <c r="D874" s="11" t="s">
        <v>33</v>
      </c>
      <c r="E874" s="15">
        <v>6</v>
      </c>
      <c r="F874" s="80">
        <v>16.486999999999998</v>
      </c>
      <c r="G874" s="80">
        <v>2.9000000000000001E-2</v>
      </c>
      <c r="I874" s="27">
        <f t="shared" ref="I874:J874" si="72">AVERAGE(F872:F874)</f>
        <v>11.99</v>
      </c>
      <c r="J874" s="27">
        <f t="shared" si="72"/>
        <v>2.1666666666666667E-2</v>
      </c>
      <c r="L874">
        <f t="shared" ref="L874" si="73">+J874/I874</f>
        <v>1.8070614400889631E-3</v>
      </c>
      <c r="M874">
        <f t="shared" ref="M874" si="74">+(L874-$L$931)/$L$932</f>
        <v>-0.30387211102544315</v>
      </c>
      <c r="N874">
        <f t="shared" ref="N874" si="75">+N871+M874</f>
        <v>-0.60707878355097766</v>
      </c>
    </row>
    <row r="875" spans="1:14">
      <c r="A875" s="15">
        <v>5</v>
      </c>
      <c r="B875" s="77">
        <v>45108</v>
      </c>
      <c r="C875">
        <v>2023</v>
      </c>
      <c r="D875" s="11" t="s">
        <v>34</v>
      </c>
      <c r="E875" s="15">
        <v>7</v>
      </c>
      <c r="F875" s="80">
        <v>5.4820000000000002</v>
      </c>
      <c r="G875" s="80">
        <v>1.0999999999999999E-2</v>
      </c>
    </row>
    <row r="876" spans="1:14">
      <c r="A876" s="15">
        <v>7</v>
      </c>
      <c r="B876" s="77">
        <v>45108</v>
      </c>
      <c r="C876">
        <v>2023</v>
      </c>
      <c r="D876" s="11" t="s">
        <v>34</v>
      </c>
      <c r="E876" s="15">
        <v>7</v>
      </c>
      <c r="F876" s="80">
        <v>14.909000000000001</v>
      </c>
      <c r="G876" s="80">
        <v>1.4E-2</v>
      </c>
    </row>
    <row r="877" spans="1:14">
      <c r="A877" s="15">
        <v>14</v>
      </c>
      <c r="B877" s="77">
        <v>45108</v>
      </c>
      <c r="C877">
        <v>2023</v>
      </c>
      <c r="D877" s="11" t="s">
        <v>34</v>
      </c>
      <c r="E877" s="15">
        <v>7</v>
      </c>
      <c r="F877" s="80">
        <v>4.3810000000000002</v>
      </c>
      <c r="G877" s="97">
        <v>9.9989999999999996E-4</v>
      </c>
      <c r="I877" s="27">
        <f t="shared" ref="I877:J877" si="76">AVERAGE(F875:F877)</f>
        <v>8.2573333333333334</v>
      </c>
      <c r="J877" s="27">
        <f t="shared" si="76"/>
        <v>8.6666333333333349E-3</v>
      </c>
      <c r="L877">
        <f t="shared" ref="L877" si="77">+J877/I877</f>
        <v>1.0495680607137093E-3</v>
      </c>
      <c r="M877">
        <f t="shared" ref="M877" si="78">+(L877-$L$931)/$L$932</f>
        <v>-0.32803837867161595</v>
      </c>
      <c r="N877">
        <f t="shared" ref="N877" si="79">+N874+M877</f>
        <v>-0.93511716222259356</v>
      </c>
    </row>
    <row r="878" spans="1:14">
      <c r="A878" s="15">
        <v>5</v>
      </c>
      <c r="B878" s="77">
        <v>45139</v>
      </c>
      <c r="C878">
        <v>2023</v>
      </c>
      <c r="D878" s="11" t="s">
        <v>35</v>
      </c>
      <c r="E878" s="15">
        <v>8</v>
      </c>
      <c r="F878" s="80">
        <v>3.0329999999999999</v>
      </c>
      <c r="G878" s="97">
        <v>9.9989999999999996E-4</v>
      </c>
    </row>
    <row r="879" spans="1:14">
      <c r="A879" s="15">
        <v>7</v>
      </c>
      <c r="B879" s="77">
        <v>45139</v>
      </c>
      <c r="C879">
        <v>2023</v>
      </c>
      <c r="D879" s="11" t="s">
        <v>35</v>
      </c>
      <c r="E879" s="15">
        <v>8</v>
      </c>
      <c r="F879" s="80">
        <v>12.757</v>
      </c>
      <c r="G879" s="80">
        <v>1.6E-2</v>
      </c>
    </row>
    <row r="880" spans="1:14">
      <c r="A880" s="15">
        <v>14</v>
      </c>
      <c r="B880" s="77">
        <v>45139</v>
      </c>
      <c r="C880">
        <v>2023</v>
      </c>
      <c r="D880" s="11" t="s">
        <v>35</v>
      </c>
      <c r="E880" s="15">
        <v>8</v>
      </c>
      <c r="F880" s="80">
        <v>3.6960000000000002</v>
      </c>
      <c r="G880" s="97">
        <v>9.9989999999999996E-4</v>
      </c>
      <c r="I880" s="27">
        <f t="shared" ref="I880:J880" si="80">AVERAGE(F878:F880)</f>
        <v>6.4953333333333338</v>
      </c>
      <c r="J880" s="27">
        <f t="shared" si="80"/>
        <v>5.9999333333333347E-3</v>
      </c>
      <c r="L880">
        <f t="shared" ref="L880" si="81">+J880/I880</f>
        <v>9.2372985733347036E-4</v>
      </c>
      <c r="M880">
        <f t="shared" ref="M880" si="82">+(L880-$L$931)/$L$932</f>
        <v>-0.33205298762504143</v>
      </c>
      <c r="N880">
        <f t="shared" ref="N880" si="83">+N877+M880</f>
        <v>-1.2671701498476349</v>
      </c>
    </row>
    <row r="881" spans="1:14">
      <c r="A881" s="15">
        <v>5</v>
      </c>
      <c r="B881" s="77">
        <v>45170</v>
      </c>
      <c r="C881">
        <v>2023</v>
      </c>
      <c r="D881" s="11" t="s">
        <v>41</v>
      </c>
      <c r="E881" s="15">
        <v>9</v>
      </c>
      <c r="F881" s="80">
        <v>4.7759999999999998</v>
      </c>
      <c r="G881" s="97">
        <v>9.9989999999999996E-4</v>
      </c>
    </row>
    <row r="882" spans="1:14">
      <c r="A882" s="15">
        <v>7</v>
      </c>
      <c r="B882" s="77">
        <v>45170</v>
      </c>
      <c r="C882">
        <v>2023</v>
      </c>
      <c r="D882" s="11" t="s">
        <v>41</v>
      </c>
      <c r="E882" s="15">
        <v>9</v>
      </c>
      <c r="F882" s="80">
        <v>4.3460000000000001</v>
      </c>
      <c r="G882" s="80">
        <v>8.9999999999999993E-3</v>
      </c>
    </row>
    <row r="883" spans="1:14">
      <c r="A883" s="15">
        <v>14</v>
      </c>
      <c r="B883" s="77">
        <v>45170</v>
      </c>
      <c r="C883">
        <v>2023</v>
      </c>
      <c r="D883" s="11" t="s">
        <v>41</v>
      </c>
      <c r="E883" s="15">
        <v>9</v>
      </c>
      <c r="F883" s="80">
        <v>2.02</v>
      </c>
      <c r="G883" s="97">
        <v>9.9989999999999996E-4</v>
      </c>
      <c r="I883" s="27">
        <f t="shared" ref="I883:J883" si="84">AVERAGE(F881:F883)</f>
        <v>3.714</v>
      </c>
      <c r="J883" s="27">
        <f t="shared" si="84"/>
        <v>3.6665999999999995E-3</v>
      </c>
      <c r="L883">
        <f t="shared" ref="L883" si="85">+J883/I883</f>
        <v>9.872374798061388E-4</v>
      </c>
      <c r="M883">
        <f t="shared" ref="M883" si="86">+(L883-$L$931)/$L$932</f>
        <v>-0.33002690760370523</v>
      </c>
      <c r="N883">
        <f t="shared" ref="N883" si="87">+N880+M883</f>
        <v>-1.5971970574513401</v>
      </c>
    </row>
    <row r="884" spans="1:14">
      <c r="A884" s="15">
        <v>5</v>
      </c>
      <c r="B884" s="77">
        <v>45200</v>
      </c>
      <c r="C884">
        <v>2023</v>
      </c>
      <c r="D884" s="11" t="s">
        <v>37</v>
      </c>
      <c r="E884" s="15">
        <v>10</v>
      </c>
      <c r="F884" s="97">
        <v>1.401</v>
      </c>
      <c r="G884" s="97">
        <v>9.9989999999999996E-4</v>
      </c>
    </row>
    <row r="885" spans="1:14">
      <c r="A885" s="15">
        <v>7</v>
      </c>
      <c r="B885" s="77">
        <v>45200</v>
      </c>
      <c r="C885">
        <v>2023</v>
      </c>
      <c r="D885" s="11" t="s">
        <v>37</v>
      </c>
      <c r="E885" s="15">
        <v>10</v>
      </c>
      <c r="F885" s="97">
        <v>1.2589999999999999</v>
      </c>
      <c r="G885" s="97">
        <v>9.9989999999999996E-4</v>
      </c>
    </row>
    <row r="886" spans="1:14">
      <c r="A886" s="15">
        <v>14</v>
      </c>
      <c r="B886" s="77">
        <v>45200</v>
      </c>
      <c r="C886">
        <v>2023</v>
      </c>
      <c r="D886" s="11" t="s">
        <v>37</v>
      </c>
      <c r="E886" s="15">
        <v>10</v>
      </c>
      <c r="F886" s="80">
        <v>1.1599999999999999</v>
      </c>
      <c r="G886" s="97">
        <v>9.9989999999999996E-4</v>
      </c>
      <c r="I886" s="27">
        <f t="shared" ref="I886:J886" si="88">AVERAGE(F884:F886)</f>
        <v>1.2733333333333334</v>
      </c>
      <c r="J886" s="27">
        <f t="shared" si="88"/>
        <v>9.9989999999999996E-4</v>
      </c>
      <c r="L886">
        <f t="shared" ref="L886" si="89">+J886/I886</f>
        <v>7.8526178010471194E-4</v>
      </c>
      <c r="M886">
        <f t="shared" ref="M886" si="90">+(L886-$L$931)/$L$932</f>
        <v>-0.33647052671630173</v>
      </c>
      <c r="N886">
        <f t="shared" ref="N886" si="91">+N883+M886</f>
        <v>-1.9336675841676418</v>
      </c>
    </row>
    <row r="887" spans="1:14">
      <c r="A887" s="15">
        <v>5</v>
      </c>
      <c r="B887" s="77">
        <v>45231</v>
      </c>
      <c r="C887">
        <v>2023</v>
      </c>
      <c r="D887" s="11" t="s">
        <v>38</v>
      </c>
      <c r="E887" s="15">
        <v>11</v>
      </c>
      <c r="F887" s="80">
        <v>2.0880000000000001</v>
      </c>
      <c r="G887" s="97">
        <v>9.9989999999999996E-4</v>
      </c>
    </row>
    <row r="888" spans="1:14">
      <c r="A888" s="15">
        <v>7</v>
      </c>
      <c r="B888" s="77">
        <v>45231</v>
      </c>
      <c r="C888">
        <v>2023</v>
      </c>
      <c r="D888" s="11" t="s">
        <v>38</v>
      </c>
      <c r="E888" s="15">
        <v>11</v>
      </c>
      <c r="F888" s="80">
        <v>0.88</v>
      </c>
      <c r="G888" s="97">
        <v>9.9989999999999996E-4</v>
      </c>
    </row>
    <row r="889" spans="1:14">
      <c r="A889" s="15">
        <v>14</v>
      </c>
      <c r="B889" s="77">
        <v>45231</v>
      </c>
      <c r="C889">
        <v>2023</v>
      </c>
      <c r="D889" s="11" t="s">
        <v>38</v>
      </c>
      <c r="E889" s="15">
        <v>11</v>
      </c>
      <c r="F889" s="80">
        <v>0.66400000000000003</v>
      </c>
      <c r="G889" s="97">
        <v>9.9989999999999996E-4</v>
      </c>
      <c r="I889" s="27">
        <f t="shared" ref="I889:J889" si="92">AVERAGE(F887:F889)</f>
        <v>1.2106666666666668</v>
      </c>
      <c r="J889" s="27">
        <f t="shared" si="92"/>
        <v>9.9989999999999996E-4</v>
      </c>
      <c r="L889">
        <f t="shared" ref="L889" si="93">+J889/I889</f>
        <v>8.2590859030836998E-4</v>
      </c>
      <c r="M889">
        <f t="shared" ref="M889" si="94">+(L889-$L$931)/$L$932</f>
        <v>-0.33517377387186775</v>
      </c>
      <c r="N889">
        <f t="shared" ref="N889" si="95">+N886+M889</f>
        <v>-2.2688413580395097</v>
      </c>
    </row>
    <row r="890" spans="1:14">
      <c r="A890" s="15">
        <v>5</v>
      </c>
      <c r="B890" s="78">
        <v>45261</v>
      </c>
      <c r="C890">
        <v>2023</v>
      </c>
      <c r="D890" s="11" t="s">
        <v>39</v>
      </c>
      <c r="E890" s="15">
        <v>12</v>
      </c>
      <c r="F890" s="80">
        <v>0.63800000000000001</v>
      </c>
      <c r="G890" s="80">
        <v>1E-3</v>
      </c>
    </row>
    <row r="891" spans="1:14">
      <c r="A891" s="15">
        <v>7</v>
      </c>
      <c r="B891" s="77">
        <v>45261</v>
      </c>
      <c r="C891">
        <v>2023</v>
      </c>
      <c r="D891" s="11" t="s">
        <v>39</v>
      </c>
      <c r="E891" s="15">
        <v>12</v>
      </c>
      <c r="F891" s="80">
        <v>1.714</v>
      </c>
      <c r="G891" s="80">
        <v>1E-3</v>
      </c>
    </row>
    <row r="892" spans="1:14">
      <c r="A892" s="15">
        <v>14</v>
      </c>
      <c r="B892" s="77">
        <v>45261</v>
      </c>
      <c r="C892">
        <v>2023</v>
      </c>
      <c r="D892" s="11" t="s">
        <v>39</v>
      </c>
      <c r="E892" s="15">
        <v>12</v>
      </c>
      <c r="F892" s="80">
        <v>1.41</v>
      </c>
      <c r="G892" s="80">
        <v>5.0000000000000001E-3</v>
      </c>
      <c r="I892" s="27">
        <f t="shared" ref="I892:J892" si="96">AVERAGE(F890:F892)</f>
        <v>1.2539999999999998</v>
      </c>
      <c r="J892" s="27">
        <f t="shared" si="96"/>
        <v>2.3333333333333335E-3</v>
      </c>
      <c r="L892">
        <f t="shared" ref="L892" si="97">+J892/I892</f>
        <v>1.8607123870281769E-3</v>
      </c>
      <c r="M892">
        <f t="shared" ref="M892" si="98">+(L892-$L$931)/$L$932</f>
        <v>-0.30216048795584877</v>
      </c>
      <c r="N892">
        <f t="shared" ref="N892" si="99">+N889+M892</f>
        <v>-2.5710018459953585</v>
      </c>
    </row>
    <row r="893" spans="1:14">
      <c r="A893" s="93">
        <v>5</v>
      </c>
      <c r="B893" s="90">
        <v>45292</v>
      </c>
      <c r="C893" s="91">
        <v>2024</v>
      </c>
      <c r="D893" s="92" t="s">
        <v>40</v>
      </c>
      <c r="E893" s="93">
        <v>1</v>
      </c>
      <c r="F893" s="80">
        <v>0.82399999999999995</v>
      </c>
      <c r="G893" s="80">
        <v>6.0000000000000001E-3</v>
      </c>
    </row>
    <row r="894" spans="1:14">
      <c r="A894" s="15">
        <v>7</v>
      </c>
      <c r="B894" s="73">
        <v>45292</v>
      </c>
      <c r="C894">
        <v>2024</v>
      </c>
      <c r="D894" s="11" t="s">
        <v>40</v>
      </c>
      <c r="E894" s="15">
        <v>1</v>
      </c>
      <c r="F894" s="80">
        <v>0.79500000000000004</v>
      </c>
      <c r="G894" s="97">
        <v>9.9989999999999996E-4</v>
      </c>
    </row>
    <row r="895" spans="1:14">
      <c r="A895" s="15">
        <v>14</v>
      </c>
      <c r="B895" s="73">
        <v>45292</v>
      </c>
      <c r="C895">
        <v>2024</v>
      </c>
      <c r="D895" s="11" t="s">
        <v>40</v>
      </c>
      <c r="E895" s="15">
        <v>1</v>
      </c>
      <c r="F895" s="80">
        <v>0.4</v>
      </c>
      <c r="G895" s="97">
        <v>9.9989999999999996E-4</v>
      </c>
      <c r="I895" s="27">
        <f t="shared" ref="I895:J895" si="100">AVERAGE(F893:F895)</f>
        <v>0.67300000000000004</v>
      </c>
      <c r="J895" s="27">
        <f t="shared" si="100"/>
        <v>2.6665999999999999E-3</v>
      </c>
      <c r="L895">
        <f t="shared" ref="L895" si="101">+J895/I895</f>
        <v>3.9622585438335804E-3</v>
      </c>
      <c r="M895">
        <f t="shared" ref="M895" si="102">+(L895-$L$931)/$L$932</f>
        <v>-0.2351149819765995</v>
      </c>
      <c r="N895">
        <f t="shared" ref="N895" si="103">+N892+M895</f>
        <v>-2.8061168279719579</v>
      </c>
    </row>
    <row r="896" spans="1:14">
      <c r="A896" s="15">
        <v>5</v>
      </c>
      <c r="B896" s="77">
        <v>45323</v>
      </c>
      <c r="C896">
        <v>2024</v>
      </c>
      <c r="D896" s="11" t="s">
        <v>29</v>
      </c>
      <c r="E896" s="15">
        <v>2</v>
      </c>
    </row>
    <row r="897" spans="1:14">
      <c r="A897" s="15">
        <v>7</v>
      </c>
      <c r="B897" s="77">
        <v>45323</v>
      </c>
      <c r="C897">
        <v>2024</v>
      </c>
      <c r="D897" s="11" t="s">
        <v>29</v>
      </c>
      <c r="E897" s="15">
        <v>2</v>
      </c>
    </row>
    <row r="898" spans="1:14">
      <c r="A898" s="15">
        <v>14</v>
      </c>
      <c r="B898" s="77">
        <v>45323</v>
      </c>
      <c r="C898">
        <v>2024</v>
      </c>
      <c r="D898" s="11" t="s">
        <v>29</v>
      </c>
      <c r="E898" s="15">
        <v>2</v>
      </c>
      <c r="I898" s="27"/>
      <c r="J898" s="27"/>
    </row>
    <row r="899" spans="1:14">
      <c r="A899" s="15">
        <v>5</v>
      </c>
      <c r="B899" s="77">
        <v>45352</v>
      </c>
      <c r="C899">
        <v>2024</v>
      </c>
      <c r="D899" s="11" t="s">
        <v>30</v>
      </c>
      <c r="E899" s="15">
        <v>3</v>
      </c>
      <c r="F899" s="80">
        <v>0.36799999999999999</v>
      </c>
      <c r="G899" s="97">
        <v>9.9989999999999996E-4</v>
      </c>
    </row>
    <row r="900" spans="1:14">
      <c r="A900" s="15">
        <v>7</v>
      </c>
      <c r="B900" s="77">
        <v>45352</v>
      </c>
      <c r="C900">
        <v>2024</v>
      </c>
      <c r="D900" s="11" t="s">
        <v>30</v>
      </c>
      <c r="E900" s="15">
        <v>3</v>
      </c>
      <c r="F900" s="80">
        <v>0.78500000000000003</v>
      </c>
      <c r="G900" s="97">
        <v>9.9989999999999996E-4</v>
      </c>
    </row>
    <row r="901" spans="1:14">
      <c r="A901" s="15">
        <v>14</v>
      </c>
      <c r="B901" s="77">
        <v>45352</v>
      </c>
      <c r="C901">
        <v>2024</v>
      </c>
      <c r="D901" s="11" t="s">
        <v>30</v>
      </c>
      <c r="E901" s="15">
        <v>3</v>
      </c>
      <c r="F901" s="80">
        <v>0.66900000000000004</v>
      </c>
      <c r="G901" s="97">
        <v>9.9989999999999996E-4</v>
      </c>
      <c r="I901" s="27">
        <f t="shared" ref="I901:J901" si="104">AVERAGE(F899:F901)</f>
        <v>0.60733333333333339</v>
      </c>
      <c r="J901" s="27">
        <f t="shared" si="104"/>
        <v>9.9989999999999996E-4</v>
      </c>
      <c r="L901">
        <f t="shared" ref="L901" si="105">+J901/I901</f>
        <v>1.6463776070252468E-3</v>
      </c>
      <c r="M901">
        <f t="shared" ref="M901" si="106">+(L901-$L$931)/$L$932</f>
        <v>-0.30899839809534907</v>
      </c>
      <c r="N901">
        <f>+N895+M901</f>
        <v>-3.115115226067307</v>
      </c>
    </row>
    <row r="902" spans="1:14">
      <c r="A902" s="15">
        <v>5</v>
      </c>
      <c r="B902" s="77">
        <v>45383</v>
      </c>
      <c r="C902">
        <v>2024</v>
      </c>
      <c r="D902" s="11" t="s">
        <v>31</v>
      </c>
      <c r="E902" s="15">
        <v>4</v>
      </c>
      <c r="F902" s="80">
        <v>0.58799999999999997</v>
      </c>
      <c r="G902" s="97">
        <v>9.9989999999999996E-4</v>
      </c>
    </row>
    <row r="903" spans="1:14">
      <c r="A903" s="15">
        <v>7</v>
      </c>
      <c r="B903" s="77">
        <v>45383</v>
      </c>
      <c r="C903">
        <v>2024</v>
      </c>
      <c r="D903" s="11" t="s">
        <v>31</v>
      </c>
      <c r="E903" s="15">
        <v>4</v>
      </c>
      <c r="F903" s="80">
        <v>2.5880000000000001</v>
      </c>
      <c r="G903" s="80">
        <v>1.9E-2</v>
      </c>
    </row>
    <row r="904" spans="1:14">
      <c r="A904" s="15">
        <v>14</v>
      </c>
      <c r="B904" s="77">
        <v>45383</v>
      </c>
      <c r="C904">
        <v>2024</v>
      </c>
      <c r="D904" s="11" t="s">
        <v>31</v>
      </c>
      <c r="E904" s="15">
        <v>4</v>
      </c>
      <c r="I904" s="27">
        <f t="shared" ref="I904:J904" si="107">AVERAGE(F902:F904)</f>
        <v>1.5880000000000001</v>
      </c>
      <c r="J904" s="27">
        <f t="shared" si="107"/>
        <v>9.9999500000000005E-3</v>
      </c>
      <c r="L904">
        <f t="shared" ref="L904" si="108">+J904/I904</f>
        <v>6.2971977329974813E-3</v>
      </c>
      <c r="M904">
        <f t="shared" ref="M904" si="109">+(L904-$L$931)/$L$932</f>
        <v>-0.16062355153081673</v>
      </c>
      <c r="N904">
        <f t="shared" ref="N904" si="110">+N901+M904</f>
        <v>-3.2757387775981237</v>
      </c>
    </row>
    <row r="905" spans="1:14">
      <c r="A905" s="15">
        <v>5</v>
      </c>
      <c r="B905" s="77">
        <v>45413</v>
      </c>
      <c r="C905">
        <v>2024</v>
      </c>
      <c r="D905" s="11" t="s">
        <v>32</v>
      </c>
      <c r="E905" s="15">
        <v>5</v>
      </c>
      <c r="F905" s="80">
        <v>0.57699999999999996</v>
      </c>
      <c r="G905" s="97">
        <v>9.9989999999999996E-4</v>
      </c>
    </row>
    <row r="906" spans="1:14">
      <c r="A906" s="15">
        <v>7</v>
      </c>
      <c r="B906" s="77">
        <v>45413</v>
      </c>
      <c r="C906">
        <v>2024</v>
      </c>
      <c r="D906" s="11" t="s">
        <v>32</v>
      </c>
      <c r="E906" s="15">
        <v>5</v>
      </c>
      <c r="F906" s="80">
        <v>1.8759999999999999</v>
      </c>
      <c r="G906" s="97">
        <v>9.9989999999999996E-4</v>
      </c>
    </row>
    <row r="907" spans="1:14">
      <c r="A907" s="15">
        <v>14</v>
      </c>
      <c r="B907" s="77">
        <v>45413</v>
      </c>
      <c r="C907">
        <v>2024</v>
      </c>
      <c r="D907" s="11" t="s">
        <v>32</v>
      </c>
      <c r="E907" s="15">
        <v>5</v>
      </c>
      <c r="F907" s="80">
        <v>1.1439999999999999</v>
      </c>
      <c r="G907" s="97">
        <v>9.9989999999999996E-4</v>
      </c>
      <c r="I907" s="27">
        <f t="shared" ref="I907:J907" si="111">AVERAGE(F905:F907)</f>
        <v>1.1989999999999998</v>
      </c>
      <c r="J907" s="27">
        <f t="shared" si="111"/>
        <v>9.9989999999999996E-4</v>
      </c>
      <c r="L907">
        <f t="shared" ref="L907" si="112">+J907/I907</f>
        <v>8.3394495412844041E-4</v>
      </c>
      <c r="M907">
        <f t="shared" ref="M907" si="113">+(L907-$L$931)/$L$932</f>
        <v>-0.33491739021985745</v>
      </c>
      <c r="N907">
        <f t="shared" ref="N907" si="114">+N904+M907</f>
        <v>-3.6106561678179814</v>
      </c>
    </row>
    <row r="908" spans="1:14">
      <c r="A908" s="15">
        <v>5</v>
      </c>
      <c r="B908" s="77">
        <v>45444</v>
      </c>
      <c r="C908">
        <v>2024</v>
      </c>
      <c r="D908" s="11" t="s">
        <v>33</v>
      </c>
      <c r="E908" s="15">
        <v>6</v>
      </c>
      <c r="H908" s="98" t="s">
        <v>95</v>
      </c>
    </row>
    <row r="909" spans="1:14">
      <c r="A909" s="15">
        <v>7</v>
      </c>
      <c r="B909" s="77">
        <v>45444</v>
      </c>
      <c r="C909">
        <v>2024</v>
      </c>
      <c r="D909" s="11" t="s">
        <v>33</v>
      </c>
      <c r="E909" s="15">
        <v>6</v>
      </c>
      <c r="H909" s="98" t="s">
        <v>96</v>
      </c>
    </row>
    <row r="910" spans="1:14">
      <c r="A910" s="15">
        <v>14</v>
      </c>
      <c r="B910" s="77">
        <v>45444</v>
      </c>
      <c r="C910">
        <v>2024</v>
      </c>
      <c r="D910" s="11" t="s">
        <v>33</v>
      </c>
      <c r="E910" s="15">
        <v>6</v>
      </c>
    </row>
    <row r="911" spans="1:14">
      <c r="A911" s="15">
        <v>5</v>
      </c>
      <c r="B911" s="77">
        <v>45474</v>
      </c>
      <c r="C911">
        <v>2024</v>
      </c>
      <c r="D911" s="11" t="s">
        <v>34</v>
      </c>
      <c r="E911" s="15">
        <v>7</v>
      </c>
    </row>
    <row r="912" spans="1:14">
      <c r="A912" s="15">
        <v>7</v>
      </c>
      <c r="B912" s="77">
        <v>45474</v>
      </c>
      <c r="C912">
        <v>2024</v>
      </c>
      <c r="D912" s="11" t="s">
        <v>34</v>
      </c>
      <c r="E912" s="15">
        <v>7</v>
      </c>
    </row>
    <row r="913" spans="1:5">
      <c r="A913" s="15">
        <v>14</v>
      </c>
      <c r="B913" s="77">
        <v>45474</v>
      </c>
      <c r="C913">
        <v>2024</v>
      </c>
      <c r="D913" s="11" t="s">
        <v>34</v>
      </c>
      <c r="E913" s="15">
        <v>7</v>
      </c>
    </row>
    <row r="914" spans="1:5">
      <c r="A914" s="15">
        <v>5</v>
      </c>
      <c r="B914" s="77">
        <v>45505</v>
      </c>
      <c r="C914">
        <v>2024</v>
      </c>
      <c r="D914" s="11" t="s">
        <v>35</v>
      </c>
      <c r="E914" s="15">
        <v>8</v>
      </c>
    </row>
    <row r="915" spans="1:5">
      <c r="A915" s="15">
        <v>7</v>
      </c>
      <c r="B915" s="77">
        <v>45505</v>
      </c>
      <c r="C915">
        <v>2024</v>
      </c>
      <c r="D915" s="11" t="s">
        <v>35</v>
      </c>
      <c r="E915" s="15">
        <v>8</v>
      </c>
    </row>
    <row r="916" spans="1:5">
      <c r="A916" s="15">
        <v>14</v>
      </c>
      <c r="B916" s="77">
        <v>45505</v>
      </c>
      <c r="C916">
        <v>2024</v>
      </c>
      <c r="D916" s="11" t="s">
        <v>35</v>
      </c>
      <c r="E916" s="15">
        <v>8</v>
      </c>
    </row>
    <row r="917" spans="1:5">
      <c r="A917" s="15">
        <v>5</v>
      </c>
      <c r="B917" s="77">
        <v>45536</v>
      </c>
      <c r="C917">
        <v>2024</v>
      </c>
      <c r="D917" s="11" t="s">
        <v>41</v>
      </c>
      <c r="E917" s="15">
        <v>9</v>
      </c>
    </row>
    <row r="918" spans="1:5">
      <c r="A918" s="15">
        <v>7</v>
      </c>
      <c r="B918" s="77">
        <v>45536</v>
      </c>
      <c r="C918">
        <v>2024</v>
      </c>
      <c r="D918" s="11" t="s">
        <v>41</v>
      </c>
      <c r="E918" s="15">
        <v>9</v>
      </c>
    </row>
    <row r="919" spans="1:5">
      <c r="A919" s="15">
        <v>14</v>
      </c>
      <c r="B919" s="77">
        <v>45536</v>
      </c>
      <c r="C919">
        <v>2024</v>
      </c>
      <c r="D919" s="11" t="s">
        <v>41</v>
      </c>
      <c r="E919" s="15">
        <v>9</v>
      </c>
    </row>
    <row r="920" spans="1:5">
      <c r="A920" s="15">
        <v>5</v>
      </c>
      <c r="B920" s="77">
        <v>45566</v>
      </c>
      <c r="C920">
        <v>2024</v>
      </c>
      <c r="D920" s="11" t="s">
        <v>37</v>
      </c>
      <c r="E920" s="15">
        <v>10</v>
      </c>
    </row>
    <row r="921" spans="1:5">
      <c r="A921" s="15">
        <v>7</v>
      </c>
      <c r="B921" s="77">
        <v>45566</v>
      </c>
      <c r="C921">
        <v>2024</v>
      </c>
      <c r="D921" s="11" t="s">
        <v>37</v>
      </c>
      <c r="E921" s="15">
        <v>10</v>
      </c>
    </row>
    <row r="922" spans="1:5">
      <c r="A922" s="15">
        <v>14</v>
      </c>
      <c r="B922" s="77">
        <v>45566</v>
      </c>
      <c r="C922">
        <v>2024</v>
      </c>
      <c r="D922" s="11" t="s">
        <v>37</v>
      </c>
      <c r="E922" s="15">
        <v>10</v>
      </c>
    </row>
    <row r="923" spans="1:5">
      <c r="A923" s="15">
        <v>5</v>
      </c>
      <c r="B923" s="77">
        <v>45597</v>
      </c>
      <c r="C923">
        <v>2024</v>
      </c>
      <c r="D923" s="11" t="s">
        <v>38</v>
      </c>
      <c r="E923" s="15">
        <v>11</v>
      </c>
    </row>
    <row r="924" spans="1:5">
      <c r="A924" s="15">
        <v>7</v>
      </c>
      <c r="B924" s="77">
        <v>45597</v>
      </c>
      <c r="C924">
        <v>2024</v>
      </c>
      <c r="D924" s="11" t="s">
        <v>38</v>
      </c>
      <c r="E924" s="15">
        <v>11</v>
      </c>
    </row>
    <row r="925" spans="1:5">
      <c r="A925" s="15">
        <v>14</v>
      </c>
      <c r="B925" s="77">
        <v>45597</v>
      </c>
      <c r="C925">
        <v>2024</v>
      </c>
      <c r="D925" s="11" t="s">
        <v>38</v>
      </c>
      <c r="E925" s="15">
        <v>11</v>
      </c>
    </row>
    <row r="926" spans="1:5">
      <c r="A926" s="15">
        <v>5</v>
      </c>
      <c r="B926" s="78">
        <v>45627</v>
      </c>
      <c r="C926">
        <v>2024</v>
      </c>
      <c r="D926" s="11" t="s">
        <v>39</v>
      </c>
      <c r="E926" s="15">
        <v>12</v>
      </c>
    </row>
    <row r="927" spans="1:5">
      <c r="A927" s="15">
        <v>7</v>
      </c>
      <c r="B927" s="77">
        <v>45627</v>
      </c>
      <c r="C927">
        <v>2024</v>
      </c>
      <c r="D927" s="11" t="s">
        <v>39</v>
      </c>
      <c r="E927" s="15">
        <v>12</v>
      </c>
    </row>
    <row r="928" spans="1:5">
      <c r="A928" s="15">
        <v>14</v>
      </c>
      <c r="B928" s="77">
        <v>45627</v>
      </c>
      <c r="C928">
        <v>2024</v>
      </c>
      <c r="D928" s="11" t="s">
        <v>39</v>
      </c>
      <c r="E928" s="15">
        <v>12</v>
      </c>
    </row>
    <row r="931" spans="11:12">
      <c r="K931" s="89" t="s">
        <v>91</v>
      </c>
      <c r="L931" s="89">
        <f>AVERAGE(L4:L928)</f>
        <v>1.1331954387925216E-2</v>
      </c>
    </row>
    <row r="932" spans="11:12">
      <c r="K932" s="89" t="s">
        <v>92</v>
      </c>
      <c r="L932" s="89">
        <f>STDEV(L4:L928)</f>
        <v>3.1345071173835816E-2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67A2-A236-E04C-A8FB-B8D5A7F235F6}">
  <sheetPr>
    <tabColor theme="9" tint="0.39997558519241921"/>
  </sheetPr>
  <dimension ref="A1:Q932"/>
  <sheetViews>
    <sheetView workbookViewId="0">
      <pane ySplit="2" topLeftCell="A748" activePane="bottomLeft" state="frozen"/>
      <selection pane="bottomLeft" activeCell="O749" sqref="O749"/>
    </sheetView>
  </sheetViews>
  <sheetFormatPr defaultColWidth="11.42578125" defaultRowHeight="15"/>
  <cols>
    <col min="2" max="2" width="10.85546875" style="72"/>
  </cols>
  <sheetData>
    <row r="1" spans="1:17" ht="18">
      <c r="F1" s="1" t="s">
        <v>0</v>
      </c>
      <c r="G1" s="1" t="s">
        <v>1</v>
      </c>
      <c r="I1" s="1" t="s">
        <v>83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I2" s="6" t="s">
        <v>7</v>
      </c>
      <c r="J2" s="6" t="s">
        <v>84</v>
      </c>
      <c r="L2" s="69" t="s">
        <v>85</v>
      </c>
      <c r="M2" s="70" t="s">
        <v>86</v>
      </c>
      <c r="N2" s="70" t="s">
        <v>87</v>
      </c>
    </row>
    <row r="3" spans="1:17">
      <c r="A3" s="8">
        <v>5</v>
      </c>
      <c r="B3" s="74">
        <v>36445</v>
      </c>
      <c r="C3" s="10">
        <v>1999</v>
      </c>
      <c r="D3" s="11" t="s">
        <v>14</v>
      </c>
      <c r="E3" s="12">
        <v>10</v>
      </c>
      <c r="F3" s="13">
        <v>6.1861168039235626</v>
      </c>
      <c r="G3" s="13">
        <v>0.14854642216666666</v>
      </c>
    </row>
    <row r="4" spans="1:17">
      <c r="A4" s="8">
        <v>7</v>
      </c>
      <c r="B4" s="74">
        <v>36446</v>
      </c>
      <c r="C4" s="10">
        <v>1999</v>
      </c>
      <c r="D4" s="11" t="s">
        <v>14</v>
      </c>
      <c r="E4" s="12">
        <v>10</v>
      </c>
      <c r="F4" s="13">
        <v>3.5618297825676479</v>
      </c>
      <c r="G4" s="13">
        <v>0.16553434933333333</v>
      </c>
    </row>
    <row r="5" spans="1:17">
      <c r="A5" s="8">
        <v>14</v>
      </c>
      <c r="B5" s="74">
        <v>36445</v>
      </c>
      <c r="C5" s="10">
        <v>1999</v>
      </c>
      <c r="D5" s="11" t="s">
        <v>14</v>
      </c>
      <c r="E5" s="12">
        <v>10</v>
      </c>
      <c r="F5" s="13">
        <v>1.7570548739512071</v>
      </c>
      <c r="G5" s="13">
        <v>7.1061170166666673E-2</v>
      </c>
      <c r="I5" s="27">
        <f>AVERAGE(F3:F5)</f>
        <v>3.8350004868141387</v>
      </c>
      <c r="J5" s="27">
        <f>AVERAGE(G3:G5)</f>
        <v>0.12838064722222223</v>
      </c>
      <c r="L5">
        <f>+J5/I5</f>
        <v>3.3476044569911455E-2</v>
      </c>
      <c r="M5">
        <f>+(L5-$L$931)/$L$932</f>
        <v>-0.30318175049237367</v>
      </c>
      <c r="N5">
        <f>+M5</f>
        <v>-0.30318175049237367</v>
      </c>
      <c r="Q5" t="s">
        <v>103</v>
      </c>
    </row>
    <row r="6" spans="1:17">
      <c r="A6" s="8">
        <v>5</v>
      </c>
      <c r="B6" s="74">
        <v>36472</v>
      </c>
      <c r="C6" s="10">
        <v>1999</v>
      </c>
      <c r="D6" s="11" t="s">
        <v>16</v>
      </c>
      <c r="E6" s="10">
        <v>11</v>
      </c>
      <c r="F6" s="13">
        <v>1.0695950602526303</v>
      </c>
      <c r="G6" s="13">
        <v>8.8613520000000012E-3</v>
      </c>
    </row>
    <row r="7" spans="1:17">
      <c r="A7" s="8">
        <v>7</v>
      </c>
      <c r="B7" s="74">
        <v>36472</v>
      </c>
      <c r="C7" s="10">
        <v>1999</v>
      </c>
      <c r="D7" s="11" t="s">
        <v>16</v>
      </c>
      <c r="E7" s="10">
        <v>11</v>
      </c>
      <c r="F7" s="13">
        <v>0.4851754089868166</v>
      </c>
      <c r="G7" s="13">
        <v>0</v>
      </c>
    </row>
    <row r="8" spans="1:17">
      <c r="A8" s="8">
        <v>14</v>
      </c>
      <c r="B8" s="74">
        <v>36472</v>
      </c>
      <c r="C8" s="10">
        <v>1999</v>
      </c>
      <c r="D8" s="11" t="s">
        <v>16</v>
      </c>
      <c r="E8" s="10">
        <v>11</v>
      </c>
      <c r="F8" s="13">
        <v>0.75565076873544512</v>
      </c>
      <c r="G8" s="13">
        <v>0</v>
      </c>
      <c r="I8" s="27">
        <f>AVERAGE(F6:F8)</f>
        <v>0.77014041265829736</v>
      </c>
      <c r="J8" s="27">
        <f>AVERAGE(G6:G8)</f>
        <v>2.9537840000000005E-3</v>
      </c>
      <c r="L8">
        <f>+J8/I8</f>
        <v>3.8353837189304351E-3</v>
      </c>
      <c r="M8">
        <f>+(L8-$L$931)/$L$932</f>
        <v>-0.86267753785523982</v>
      </c>
      <c r="N8">
        <f>+N5+M8</f>
        <v>-1.1658592883476135</v>
      </c>
    </row>
    <row r="9" spans="1:17">
      <c r="A9" s="8">
        <v>5</v>
      </c>
      <c r="B9" s="74">
        <v>36501</v>
      </c>
      <c r="C9" s="10">
        <v>1999</v>
      </c>
      <c r="D9" s="11" t="s">
        <v>17</v>
      </c>
      <c r="E9" s="10">
        <v>12</v>
      </c>
      <c r="F9" s="13">
        <v>1.2963978786910486</v>
      </c>
      <c r="G9" s="13">
        <v>6.8806938999999998E-2</v>
      </c>
    </row>
    <row r="10" spans="1:17">
      <c r="A10" s="8">
        <v>7</v>
      </c>
      <c r="B10" s="74">
        <v>36501</v>
      </c>
      <c r="C10" s="10">
        <v>1999</v>
      </c>
      <c r="D10" s="11" t="s">
        <v>17</v>
      </c>
      <c r="E10" s="10">
        <v>12</v>
      </c>
      <c r="F10" s="13">
        <v>1.4891287446440764</v>
      </c>
      <c r="G10" s="13">
        <v>9.6929424166666667E-2</v>
      </c>
    </row>
    <row r="11" spans="1:17">
      <c r="A11" s="8">
        <v>14</v>
      </c>
      <c r="B11" s="74">
        <v>36501</v>
      </c>
      <c r="C11" s="10">
        <v>1999</v>
      </c>
      <c r="D11" s="11" t="s">
        <v>17</v>
      </c>
      <c r="E11" s="10">
        <v>12</v>
      </c>
      <c r="F11" s="13">
        <v>1.8616587403351297</v>
      </c>
      <c r="G11" s="13">
        <v>0.11645793933333333</v>
      </c>
      <c r="I11" s="27">
        <f>AVERAGE(F9:F11)</f>
        <v>1.5490617878900848</v>
      </c>
      <c r="J11" s="27">
        <f>AVERAGE(G9:G11)</f>
        <v>9.4064767499999993E-2</v>
      </c>
      <c r="L11">
        <f>+J11/I11</f>
        <v>6.0723702718225241E-2</v>
      </c>
      <c r="M11">
        <f>+(L11-$L$931)/$L$932</f>
        <v>0.21114382497739434</v>
      </c>
      <c r="N11">
        <f>+N8+M11</f>
        <v>-0.95471546337021918</v>
      </c>
    </row>
    <row r="12" spans="1:17">
      <c r="A12" s="8">
        <v>5</v>
      </c>
      <c r="B12" s="74">
        <v>36530</v>
      </c>
      <c r="C12" s="12">
        <v>2000</v>
      </c>
      <c r="D12" s="11" t="s">
        <v>18</v>
      </c>
      <c r="E12" s="10">
        <v>1</v>
      </c>
      <c r="F12" s="13">
        <v>3.2148323476012717</v>
      </c>
      <c r="G12" s="13">
        <v>5.2456503333333335E-2</v>
      </c>
    </row>
    <row r="13" spans="1:17">
      <c r="A13" s="8">
        <v>7</v>
      </c>
      <c r="B13" s="74">
        <v>36530</v>
      </c>
      <c r="C13" s="12">
        <v>2000</v>
      </c>
      <c r="D13" s="11" t="s">
        <v>18</v>
      </c>
      <c r="E13" s="10">
        <v>1</v>
      </c>
      <c r="F13" s="13">
        <v>3.4598228030424072</v>
      </c>
      <c r="G13" s="13">
        <v>0.23095831666666666</v>
      </c>
    </row>
    <row r="14" spans="1:17">
      <c r="A14" s="8">
        <v>14</v>
      </c>
      <c r="B14" s="74">
        <v>36530</v>
      </c>
      <c r="C14" s="12">
        <v>2000</v>
      </c>
      <c r="D14" s="11" t="s">
        <v>18</v>
      </c>
      <c r="E14" s="10">
        <v>1</v>
      </c>
      <c r="F14" s="13">
        <v>3.1795569669373069</v>
      </c>
      <c r="G14" s="13">
        <v>0.12680470966666665</v>
      </c>
      <c r="I14" s="27">
        <f>AVERAGE(F12:F14)</f>
        <v>3.2847373725269953</v>
      </c>
      <c r="J14" s="27">
        <f>AVERAGE(G12:G14)</f>
        <v>0.13673984322222221</v>
      </c>
      <c r="L14">
        <f>+J14/I14</f>
        <v>4.1628851172666598E-2</v>
      </c>
      <c r="M14">
        <f>+(L14-$L$931)/$L$932</f>
        <v>-0.14928973801807383</v>
      </c>
      <c r="N14">
        <f>+N11+M14</f>
        <v>-1.1040052013882931</v>
      </c>
    </row>
    <row r="15" spans="1:17">
      <c r="A15" s="8">
        <v>5</v>
      </c>
      <c r="B15" s="74">
        <v>36579</v>
      </c>
      <c r="C15" s="12">
        <v>2000</v>
      </c>
      <c r="D15" s="11" t="s">
        <v>19</v>
      </c>
      <c r="E15" s="12">
        <v>2</v>
      </c>
      <c r="F15" s="13">
        <v>4.8556115862249278</v>
      </c>
      <c r="G15" s="13">
        <v>0.27614882166666666</v>
      </c>
    </row>
    <row r="16" spans="1:17">
      <c r="A16" s="8">
        <v>7</v>
      </c>
      <c r="B16" s="74">
        <v>36579</v>
      </c>
      <c r="C16" s="12">
        <v>2000</v>
      </c>
      <c r="D16" s="11" t="s">
        <v>19</v>
      </c>
      <c r="E16" s="12">
        <v>2</v>
      </c>
      <c r="F16" s="13">
        <v>2.3127199610742348</v>
      </c>
      <c r="G16" s="13">
        <v>0.10133514983333333</v>
      </c>
    </row>
    <row r="17" spans="1:14">
      <c r="A17" s="8">
        <v>14</v>
      </c>
      <c r="B17" s="74">
        <v>36579</v>
      </c>
      <c r="C17" s="12">
        <v>2000</v>
      </c>
      <c r="D17" s="11" t="s">
        <v>19</v>
      </c>
      <c r="E17" s="12">
        <v>2</v>
      </c>
      <c r="F17" s="13">
        <v>3.2411450589938369</v>
      </c>
      <c r="G17" s="13">
        <v>4.4017524833333335E-2</v>
      </c>
      <c r="I17" s="27">
        <f>AVERAGE(F15:F17)</f>
        <v>3.4698255354309997</v>
      </c>
      <c r="J17" s="27">
        <f>AVERAGE(G15:G17)</f>
        <v>0.14050049877777779</v>
      </c>
      <c r="L17">
        <f>+J17/I17</f>
        <v>4.0492093145059443E-2</v>
      </c>
      <c r="M17">
        <f>+(L17-$L$931)/$L$932</f>
        <v>-0.17074713166036415</v>
      </c>
      <c r="N17">
        <f>+N14+M17</f>
        <v>-1.2747523330486572</v>
      </c>
    </row>
    <row r="18" spans="1:14">
      <c r="A18" s="8">
        <v>5</v>
      </c>
      <c r="B18" s="74">
        <v>36598</v>
      </c>
      <c r="C18" s="12">
        <v>2000</v>
      </c>
      <c r="D18" s="11" t="s">
        <v>20</v>
      </c>
      <c r="E18" s="12">
        <v>3</v>
      </c>
      <c r="F18" s="13">
        <v>3.6719942385994471</v>
      </c>
      <c r="G18" s="13">
        <v>4.6444311666666661E-2</v>
      </c>
    </row>
    <row r="19" spans="1:14">
      <c r="A19" s="8">
        <v>7</v>
      </c>
      <c r="B19" s="74">
        <v>36598</v>
      </c>
      <c r="C19" s="12">
        <v>2000</v>
      </c>
      <c r="D19" s="11" t="s">
        <v>20</v>
      </c>
      <c r="E19" s="12">
        <v>3</v>
      </c>
      <c r="F19" s="13">
        <v>2.6823038640115811</v>
      </c>
      <c r="G19" s="13">
        <v>0</v>
      </c>
    </row>
    <row r="20" spans="1:14">
      <c r="A20" s="8">
        <v>14</v>
      </c>
      <c r="B20" s="74">
        <v>36598</v>
      </c>
      <c r="C20" s="12">
        <v>2000</v>
      </c>
      <c r="D20" s="11" t="s">
        <v>20</v>
      </c>
      <c r="E20" s="12">
        <v>3</v>
      </c>
      <c r="F20" s="13">
        <v>3.1011022883411523</v>
      </c>
      <c r="G20" s="13">
        <v>4.30515905E-2</v>
      </c>
      <c r="I20" s="27">
        <f>AVERAGE(F18:F20)</f>
        <v>3.1518001303173935</v>
      </c>
      <c r="J20" s="27">
        <f>AVERAGE(G18:G20)</f>
        <v>2.9831967388888891E-2</v>
      </c>
      <c r="L20">
        <f>+J20/I20</f>
        <v>9.4650568422575531E-3</v>
      </c>
      <c r="M20">
        <f>+(L20-$L$931)/$L$932</f>
        <v>-0.75641207999088778</v>
      </c>
      <c r="N20">
        <f>+N17+M20</f>
        <v>-2.0311644130395452</v>
      </c>
    </row>
    <row r="21" spans="1:14">
      <c r="A21" s="8">
        <v>5</v>
      </c>
      <c r="B21" s="74">
        <v>36627</v>
      </c>
      <c r="C21" s="12">
        <v>2000</v>
      </c>
      <c r="D21" s="15" t="s">
        <v>21</v>
      </c>
      <c r="E21" s="12">
        <v>4</v>
      </c>
      <c r="F21" s="13">
        <v>3.9029052399695949</v>
      </c>
      <c r="G21" s="13">
        <v>7.3832205999999997E-2</v>
      </c>
    </row>
    <row r="22" spans="1:14">
      <c r="A22" s="8">
        <v>7</v>
      </c>
      <c r="B22" s="74">
        <v>36627</v>
      </c>
      <c r="C22" s="12">
        <v>2000</v>
      </c>
      <c r="D22" s="15" t="s">
        <v>21</v>
      </c>
      <c r="E22" s="12">
        <v>4</v>
      </c>
      <c r="F22" s="13">
        <v>8.5895355885101203</v>
      </c>
      <c r="G22" s="13">
        <v>0.10348161233333335</v>
      </c>
    </row>
    <row r="23" spans="1:14">
      <c r="A23" s="8">
        <v>14</v>
      </c>
      <c r="B23" s="74">
        <v>36627</v>
      </c>
      <c r="C23" s="12">
        <v>2000</v>
      </c>
      <c r="D23" s="15" t="s">
        <v>21</v>
      </c>
      <c r="E23" s="12">
        <v>4</v>
      </c>
      <c r="F23" s="13">
        <v>1.3836903992311675</v>
      </c>
      <c r="G23" s="13">
        <v>3.052107183333333E-2</v>
      </c>
      <c r="I23" s="27">
        <f>AVERAGE(F21:F23)</f>
        <v>4.6253770759036277</v>
      </c>
      <c r="J23" s="27">
        <f>AVERAGE(G21:G23)</f>
        <v>6.927829672222223E-2</v>
      </c>
      <c r="L23">
        <f>+J23/I23</f>
        <v>1.4977870038560654E-2</v>
      </c>
      <c r="M23">
        <f>+(L23-$L$931)/$L$932</f>
        <v>-0.65235246487782206</v>
      </c>
      <c r="N23">
        <f>+N20+M23</f>
        <v>-2.6835168779173673</v>
      </c>
    </row>
    <row r="24" spans="1:14">
      <c r="A24" s="8">
        <v>5</v>
      </c>
      <c r="B24" s="74">
        <v>36662</v>
      </c>
      <c r="C24" s="12">
        <v>2000</v>
      </c>
      <c r="D24" s="15" t="s">
        <v>22</v>
      </c>
      <c r="E24" s="12">
        <v>5</v>
      </c>
      <c r="F24" s="13">
        <v>7.3769975245343691</v>
      </c>
      <c r="G24" s="13">
        <v>0</v>
      </c>
    </row>
    <row r="25" spans="1:14">
      <c r="A25" s="8">
        <v>7</v>
      </c>
      <c r="B25" s="74">
        <v>36662</v>
      </c>
      <c r="C25" s="12">
        <v>2000</v>
      </c>
      <c r="D25" s="15" t="s">
        <v>22</v>
      </c>
      <c r="E25" s="12">
        <v>5</v>
      </c>
      <c r="F25" s="13">
        <v>2.9850717701540082</v>
      </c>
      <c r="G25" s="13">
        <v>3.3572770166666668E-2</v>
      </c>
    </row>
    <row r="26" spans="1:14">
      <c r="A26" s="8">
        <v>14</v>
      </c>
      <c r="B26" s="74">
        <v>36662</v>
      </c>
      <c r="C26" s="12">
        <v>2000</v>
      </c>
      <c r="D26" s="15" t="s">
        <v>22</v>
      </c>
      <c r="E26" s="12">
        <v>5</v>
      </c>
      <c r="F26" s="13">
        <v>0.56149883852101445</v>
      </c>
      <c r="G26" s="13">
        <v>0</v>
      </c>
      <c r="I26" s="27">
        <f>AVERAGE(F24:F26)</f>
        <v>3.6411893777364637</v>
      </c>
      <c r="J26" s="27">
        <f>AVERAGE(G24:G26)</f>
        <v>1.119092338888889E-2</v>
      </c>
      <c r="L26">
        <f>+J26/I26</f>
        <v>3.0734252542079258E-3</v>
      </c>
      <c r="M26">
        <f>+(L26-$L$931)/$L$932</f>
        <v>-0.87706023172637237</v>
      </c>
      <c r="N26">
        <f>+N23+M26</f>
        <v>-3.5605771096437397</v>
      </c>
    </row>
    <row r="27" spans="1:14">
      <c r="A27" s="8">
        <v>5</v>
      </c>
      <c r="B27" s="74">
        <v>36690</v>
      </c>
      <c r="C27" s="12">
        <v>2000</v>
      </c>
      <c r="D27" s="15" t="s">
        <v>23</v>
      </c>
      <c r="E27" s="12">
        <v>6</v>
      </c>
      <c r="F27" s="13">
        <v>23.289635618043349</v>
      </c>
      <c r="G27" s="13">
        <v>0.23083937733333332</v>
      </c>
    </row>
    <row r="28" spans="1:14">
      <c r="A28" s="8">
        <v>7</v>
      </c>
      <c r="B28" s="74">
        <v>36690</v>
      </c>
      <c r="C28" s="12">
        <v>2000</v>
      </c>
      <c r="D28" s="15" t="s">
        <v>23</v>
      </c>
      <c r="E28" s="12">
        <v>6</v>
      </c>
      <c r="F28" s="13">
        <v>21.742745951284697</v>
      </c>
      <c r="G28" s="13">
        <v>0.14338315766666668</v>
      </c>
    </row>
    <row r="29" spans="1:14">
      <c r="A29" s="8">
        <v>14</v>
      </c>
      <c r="B29" s="74">
        <v>36690</v>
      </c>
      <c r="C29" s="12">
        <v>2000</v>
      </c>
      <c r="D29" s="15" t="s">
        <v>23</v>
      </c>
      <c r="E29" s="12">
        <v>6</v>
      </c>
      <c r="F29" s="13">
        <v>11.069309697066526</v>
      </c>
      <c r="G29" s="13">
        <v>4.7996699000000004E-2</v>
      </c>
      <c r="I29" s="27">
        <f>AVERAGE(F27:F29)</f>
        <v>18.700563755464856</v>
      </c>
      <c r="J29" s="27">
        <f>AVERAGE(G27:G29)</f>
        <v>0.14073974466666669</v>
      </c>
      <c r="L29">
        <f>+J29/I29</f>
        <v>7.5259626665286168E-3</v>
      </c>
      <c r="M29">
        <f>+(L29-$L$931)/$L$932</f>
        <v>-0.79301433484865369</v>
      </c>
      <c r="N29">
        <f>+N26+M29</f>
        <v>-4.3535914444923938</v>
      </c>
    </row>
    <row r="30" spans="1:14">
      <c r="A30" s="8">
        <v>5</v>
      </c>
      <c r="B30" s="74">
        <v>36718</v>
      </c>
      <c r="C30" s="12">
        <v>2000</v>
      </c>
      <c r="D30" s="15" t="s">
        <v>24</v>
      </c>
      <c r="E30" s="12">
        <v>7</v>
      </c>
      <c r="F30" s="13">
        <v>10.902403216943357</v>
      </c>
      <c r="G30" s="13">
        <v>0.46264665416666662</v>
      </c>
    </row>
    <row r="31" spans="1:14">
      <c r="A31" s="8">
        <v>7</v>
      </c>
      <c r="B31" s="74">
        <v>36718</v>
      </c>
      <c r="C31" s="12">
        <v>2000</v>
      </c>
      <c r="D31" s="15" t="s">
        <v>24</v>
      </c>
      <c r="E31" s="12">
        <v>7</v>
      </c>
      <c r="F31" s="13">
        <v>20.148786565769534</v>
      </c>
      <c r="G31" s="13">
        <v>5.0669256003333336</v>
      </c>
    </row>
    <row r="32" spans="1:14">
      <c r="A32" s="8">
        <v>14</v>
      </c>
      <c r="B32" s="74">
        <v>36718</v>
      </c>
      <c r="C32" s="12">
        <v>2000</v>
      </c>
      <c r="D32" s="15" t="s">
        <v>24</v>
      </c>
      <c r="E32" s="12">
        <v>7</v>
      </c>
      <c r="F32" s="13">
        <v>7.8162246612151201</v>
      </c>
      <c r="G32" s="13">
        <v>0.27285642600000004</v>
      </c>
      <c r="I32" s="27">
        <f>AVERAGE(F30:F32)</f>
        <v>12.95580481464267</v>
      </c>
      <c r="J32" s="27">
        <f>AVERAGE(G30:G32)</f>
        <v>1.9341428935</v>
      </c>
      <c r="L32">
        <f>+J32/I32</f>
        <v>0.14928774562225797</v>
      </c>
      <c r="M32">
        <f>+(L32-$L$931)/$L$932</f>
        <v>1.8828747342762822</v>
      </c>
      <c r="N32">
        <f>+N29+M32</f>
        <v>-2.4707167102161116</v>
      </c>
    </row>
    <row r="33" spans="1:14">
      <c r="A33" s="8">
        <v>5</v>
      </c>
      <c r="B33" s="74">
        <v>36753</v>
      </c>
      <c r="C33" s="12">
        <v>2000</v>
      </c>
      <c r="D33" s="15" t="s">
        <v>25</v>
      </c>
      <c r="E33" s="12">
        <v>8</v>
      </c>
      <c r="F33" s="13">
        <v>9.9486212394273466</v>
      </c>
      <c r="G33" s="13">
        <v>0.23991622016666667</v>
      </c>
    </row>
    <row r="34" spans="1:14">
      <c r="A34" s="8">
        <v>7</v>
      </c>
      <c r="B34" s="74">
        <v>36753</v>
      </c>
      <c r="C34" s="12">
        <v>2000</v>
      </c>
      <c r="D34" s="15" t="s">
        <v>25</v>
      </c>
      <c r="E34" s="12">
        <v>8</v>
      </c>
      <c r="F34" s="13">
        <v>22.319131627184127</v>
      </c>
      <c r="G34" s="13">
        <v>1.7155985483333336</v>
      </c>
    </row>
    <row r="35" spans="1:14">
      <c r="A35" s="8">
        <v>14</v>
      </c>
      <c r="B35" s="74">
        <v>36753</v>
      </c>
      <c r="C35" s="12">
        <v>2000</v>
      </c>
      <c r="D35" s="15" t="s">
        <v>25</v>
      </c>
      <c r="E35" s="12">
        <v>8</v>
      </c>
      <c r="F35" s="13">
        <v>3.9703120611773604</v>
      </c>
      <c r="G35" s="13">
        <v>4.7262535833333334E-2</v>
      </c>
      <c r="I35" s="27">
        <f>AVERAGE(F33:F35)</f>
        <v>12.079354975929611</v>
      </c>
      <c r="J35" s="27">
        <f>AVERAGE(G33:G35)</f>
        <v>0.66759243477777785</v>
      </c>
      <c r="L35">
        <f>+J35/I35</f>
        <v>5.526722545269027E-2</v>
      </c>
      <c r="M35">
        <f>+(L35-$L$931)/$L$932</f>
        <v>0.1081476043716373</v>
      </c>
      <c r="N35">
        <f>+N32+M35</f>
        <v>-2.3625691058444742</v>
      </c>
    </row>
    <row r="36" spans="1:14">
      <c r="A36" s="8">
        <v>5</v>
      </c>
      <c r="B36" s="74">
        <v>36781</v>
      </c>
      <c r="C36" s="12">
        <v>2000</v>
      </c>
      <c r="D36" s="15" t="s">
        <v>26</v>
      </c>
      <c r="E36" s="12">
        <v>9</v>
      </c>
      <c r="F36" s="13">
        <v>8.58360609251163</v>
      </c>
      <c r="G36" s="13">
        <v>0.23122868183333334</v>
      </c>
    </row>
    <row r="37" spans="1:14">
      <c r="A37" s="8">
        <v>7</v>
      </c>
      <c r="B37" s="74">
        <v>36781</v>
      </c>
      <c r="C37" s="12">
        <v>2000</v>
      </c>
      <c r="D37" s="15" t="s">
        <v>26</v>
      </c>
      <c r="E37" s="12">
        <v>9</v>
      </c>
      <c r="F37" s="13">
        <v>21.080325065578293</v>
      </c>
      <c r="G37" s="13">
        <v>0.67242036399999994</v>
      </c>
    </row>
    <row r="38" spans="1:14">
      <c r="A38" s="8">
        <v>14</v>
      </c>
      <c r="B38" s="74">
        <v>36781</v>
      </c>
      <c r="C38" s="12">
        <v>2000</v>
      </c>
      <c r="D38" s="15" t="s">
        <v>26</v>
      </c>
      <c r="E38" s="12">
        <v>9</v>
      </c>
      <c r="F38" s="13">
        <v>4.8136051654102934</v>
      </c>
      <c r="G38" s="13">
        <v>0.25598947650000003</v>
      </c>
      <c r="I38" s="27">
        <f>AVERAGE(F36:F38)</f>
        <v>11.492512107833406</v>
      </c>
      <c r="J38" s="27">
        <f>AVERAGE(G36:G38)</f>
        <v>0.38654617411111108</v>
      </c>
      <c r="L38">
        <f>+J38/I38</f>
        <v>3.3634610995766326E-2</v>
      </c>
      <c r="M38">
        <f>+(L38-$L$931)/$L$932</f>
        <v>-0.30018865773614217</v>
      </c>
      <c r="N38">
        <f>+N35+M38</f>
        <v>-2.6627577635806166</v>
      </c>
    </row>
    <row r="39" spans="1:14">
      <c r="A39" s="8">
        <v>5</v>
      </c>
      <c r="B39" s="74">
        <v>36817</v>
      </c>
      <c r="C39" s="12">
        <v>2000</v>
      </c>
      <c r="D39" s="15" t="s">
        <v>14</v>
      </c>
      <c r="E39" s="12">
        <v>10</v>
      </c>
      <c r="F39" s="14">
        <v>4.428124884704741</v>
      </c>
      <c r="G39" s="14">
        <v>0.39871628583333335</v>
      </c>
    </row>
    <row r="40" spans="1:14">
      <c r="A40" s="8">
        <v>7</v>
      </c>
      <c r="B40" s="74">
        <v>36817</v>
      </c>
      <c r="C40" s="12">
        <v>2000</v>
      </c>
      <c r="D40" s="15" t="s">
        <v>14</v>
      </c>
      <c r="E40" s="12">
        <v>10</v>
      </c>
      <c r="F40" s="14">
        <v>14.989400775487558</v>
      </c>
      <c r="G40" s="14">
        <v>0.16287483249999998</v>
      </c>
    </row>
    <row r="41" spans="1:14">
      <c r="A41" s="8">
        <v>14</v>
      </c>
      <c r="B41" s="74">
        <v>36817</v>
      </c>
      <c r="C41" s="12">
        <v>2000</v>
      </c>
      <c r="D41" s="15" t="s">
        <v>14</v>
      </c>
      <c r="E41" s="12">
        <v>10</v>
      </c>
      <c r="F41" s="14">
        <v>1.1296373935593171</v>
      </c>
      <c r="G41" s="14">
        <v>1.7730776166666667E-2</v>
      </c>
      <c r="I41" s="27">
        <f>AVERAGE(F39:F41)</f>
        <v>6.8490543512505395</v>
      </c>
      <c r="J41" s="27">
        <f>AVERAGE(G39:G41)</f>
        <v>0.19310729816666664</v>
      </c>
      <c r="L41">
        <f>+J41/I41</f>
        <v>2.8194738757096882E-2</v>
      </c>
      <c r="M41">
        <f>+(L41-$L$931)/$L$932</f>
        <v>-0.40287144259810737</v>
      </c>
      <c r="N41">
        <f>+N38+M41</f>
        <v>-3.0656292061787238</v>
      </c>
    </row>
    <row r="42" spans="1:14">
      <c r="A42" s="8">
        <v>5</v>
      </c>
      <c r="B42" s="74">
        <v>36848</v>
      </c>
      <c r="C42" s="12">
        <v>2000</v>
      </c>
      <c r="D42" s="15" t="s">
        <v>16</v>
      </c>
      <c r="E42" s="12">
        <v>11</v>
      </c>
      <c r="F42" s="14">
        <v>0.93310577912846204</v>
      </c>
      <c r="G42" s="14">
        <v>8.8048258666666671E-2</v>
      </c>
    </row>
    <row r="43" spans="1:14">
      <c r="A43" s="8">
        <v>7</v>
      </c>
      <c r="B43" s="74">
        <v>36845</v>
      </c>
      <c r="C43" s="12">
        <v>2000</v>
      </c>
      <c r="D43" s="15" t="s">
        <v>16</v>
      </c>
      <c r="E43" s="12">
        <v>11</v>
      </c>
      <c r="F43" s="14">
        <v>1.8834222592917329</v>
      </c>
      <c r="G43" s="14">
        <v>5.1936530000000002E-2</v>
      </c>
    </row>
    <row r="44" spans="1:14">
      <c r="A44" s="8">
        <v>14</v>
      </c>
      <c r="B44" s="74">
        <v>36845</v>
      </c>
      <c r="C44" s="12">
        <v>2000</v>
      </c>
      <c r="D44" s="15" t="s">
        <v>16</v>
      </c>
      <c r="E44" s="12">
        <v>11</v>
      </c>
      <c r="F44" s="14">
        <v>1.2404397039227635</v>
      </c>
      <c r="G44" s="14">
        <v>0.1665853035</v>
      </c>
      <c r="I44" s="27">
        <f>AVERAGE(F42:F44)</f>
        <v>1.3523225807809862</v>
      </c>
      <c r="J44" s="27">
        <f>AVERAGE(G42:G44)</f>
        <v>0.10219003072222221</v>
      </c>
      <c r="L44">
        <f>+J44/I44</f>
        <v>7.5566312486778087E-2</v>
      </c>
      <c r="M44">
        <f>+(L44-$L$931)/$L$932</f>
        <v>0.49131226254114024</v>
      </c>
      <c r="N44">
        <f>+N41+M44</f>
        <v>-2.5743169436375837</v>
      </c>
    </row>
    <row r="45" spans="1:14">
      <c r="A45" s="8">
        <v>5</v>
      </c>
      <c r="B45" s="74">
        <v>36871</v>
      </c>
      <c r="C45" s="12">
        <v>2000</v>
      </c>
      <c r="D45" s="15" t="s">
        <v>17</v>
      </c>
      <c r="E45" s="12">
        <v>12</v>
      </c>
      <c r="F45" s="14">
        <v>1.4124404647971747</v>
      </c>
      <c r="G45" s="14">
        <v>0.13476555633333334</v>
      </c>
    </row>
    <row r="46" spans="1:14">
      <c r="A46" s="8">
        <v>7</v>
      </c>
      <c r="B46" s="74">
        <v>36871</v>
      </c>
      <c r="C46" s="12">
        <v>2000</v>
      </c>
      <c r="D46" s="15" t="s">
        <v>17</v>
      </c>
      <c r="E46" s="12">
        <v>12</v>
      </c>
      <c r="F46" s="14">
        <v>3.8981278950132019</v>
      </c>
      <c r="G46" s="14">
        <v>0.52885366016666668</v>
      </c>
    </row>
    <row r="47" spans="1:14">
      <c r="A47" s="8">
        <v>14</v>
      </c>
      <c r="B47" s="74">
        <v>36871</v>
      </c>
      <c r="C47" s="12">
        <v>2000</v>
      </c>
      <c r="D47" s="15" t="s">
        <v>17</v>
      </c>
      <c r="E47" s="12">
        <v>12</v>
      </c>
      <c r="F47" s="16">
        <v>1.6616690139345036</v>
      </c>
      <c r="G47" s="14">
        <v>0.16283090733333336</v>
      </c>
      <c r="I47" s="27">
        <f>AVERAGE(F45:F47)</f>
        <v>2.3240791245816266</v>
      </c>
      <c r="J47" s="27">
        <f>AVERAGE(G45:G47)</f>
        <v>0.27548337461111111</v>
      </c>
      <c r="L47">
        <f>+J47/I47</f>
        <v>0.11853442152521497</v>
      </c>
      <c r="M47">
        <f>+(L47-$L$931)/$L$932</f>
        <v>1.302376365288973</v>
      </c>
      <c r="N47">
        <f>+N44+M47</f>
        <v>-1.2719405783486106</v>
      </c>
    </row>
    <row r="48" spans="1:14">
      <c r="A48" s="8">
        <v>5</v>
      </c>
      <c r="B48" s="74">
        <v>36901</v>
      </c>
      <c r="C48" s="12">
        <v>2001</v>
      </c>
      <c r="D48" s="15" t="s">
        <v>18</v>
      </c>
      <c r="E48" s="12">
        <v>1</v>
      </c>
      <c r="F48" s="14">
        <v>2.6510986984391183</v>
      </c>
      <c r="G48" s="14">
        <v>0.20628610616666665</v>
      </c>
    </row>
    <row r="49" spans="1:14">
      <c r="A49" s="8">
        <v>7</v>
      </c>
      <c r="B49" s="74">
        <v>36901</v>
      </c>
      <c r="C49" s="12">
        <v>2001</v>
      </c>
      <c r="D49" s="15" t="s">
        <v>18</v>
      </c>
      <c r="E49" s="12">
        <v>1</v>
      </c>
      <c r="F49" s="14">
        <v>7.5445138644098027</v>
      </c>
      <c r="G49" s="14">
        <v>0.83915864949999985</v>
      </c>
    </row>
    <row r="50" spans="1:14">
      <c r="A50" s="8">
        <v>14</v>
      </c>
      <c r="B50" s="74">
        <v>36901</v>
      </c>
      <c r="C50" s="12">
        <v>2001</v>
      </c>
      <c r="D50" s="15" t="s">
        <v>18</v>
      </c>
      <c r="E50" s="12">
        <v>1</v>
      </c>
      <c r="F50" s="14">
        <v>5.2861622948586486</v>
      </c>
      <c r="G50" s="14">
        <v>0.44035398916666663</v>
      </c>
      <c r="I50" s="27">
        <f>AVERAGE(F48:F50)</f>
        <v>5.1605916192358565</v>
      </c>
      <c r="J50" s="27">
        <f>AVERAGE(G48:G50)</f>
        <v>0.49526624827777765</v>
      </c>
      <c r="L50">
        <f>+J50/I50</f>
        <v>9.5970827536846076E-2</v>
      </c>
      <c r="M50">
        <f>+(L50-$L$931)/$L$932</f>
        <v>0.87646697522081374</v>
      </c>
      <c r="N50">
        <f>+N47+M50</f>
        <v>-0.39547360312779689</v>
      </c>
    </row>
    <row r="51" spans="1:14">
      <c r="A51" s="12">
        <v>5</v>
      </c>
      <c r="B51" s="74">
        <v>36928</v>
      </c>
      <c r="C51" s="12">
        <v>2001</v>
      </c>
      <c r="D51" s="11" t="s">
        <v>19</v>
      </c>
      <c r="E51" s="12">
        <v>2</v>
      </c>
      <c r="F51" s="14">
        <v>1.8821120568377148</v>
      </c>
      <c r="G51" s="14">
        <v>0.22659578233333336</v>
      </c>
    </row>
    <row r="52" spans="1:14">
      <c r="A52" s="12">
        <v>7</v>
      </c>
      <c r="B52" s="74">
        <v>36928</v>
      </c>
      <c r="C52" s="12">
        <v>2001</v>
      </c>
      <c r="D52" s="11" t="s">
        <v>19</v>
      </c>
      <c r="E52" s="12">
        <v>2</v>
      </c>
      <c r="F52" s="14">
        <v>4.47392370475497</v>
      </c>
      <c r="G52" s="14">
        <v>0.32032852366666664</v>
      </c>
    </row>
    <row r="53" spans="1:14">
      <c r="A53" s="12">
        <v>14</v>
      </c>
      <c r="B53" s="74">
        <v>36928</v>
      </c>
      <c r="C53" s="12">
        <v>2001</v>
      </c>
      <c r="D53" s="11" t="s">
        <v>19</v>
      </c>
      <c r="E53" s="12">
        <v>2</v>
      </c>
      <c r="F53" s="14">
        <v>5.8749024686312694</v>
      </c>
      <c r="G53" s="14">
        <v>0.50737739866666665</v>
      </c>
      <c r="I53" s="27">
        <f>AVERAGE(F51:F53)</f>
        <v>4.0769794100746513</v>
      </c>
      <c r="J53" s="27">
        <f>AVERAGE(G51:G53)</f>
        <v>0.35143390155555548</v>
      </c>
      <c r="L53">
        <f>+J53/I53</f>
        <v>8.619957723777677E-2</v>
      </c>
      <c r="M53">
        <f>+(L53-$L$931)/$L$932</f>
        <v>0.69202529198430518</v>
      </c>
      <c r="N53">
        <f>+N50+M53</f>
        <v>0.29655168885650829</v>
      </c>
    </row>
    <row r="54" spans="1:14">
      <c r="A54" s="8">
        <v>5</v>
      </c>
      <c r="B54" s="74">
        <v>36965</v>
      </c>
      <c r="C54" s="12">
        <v>2001</v>
      </c>
      <c r="D54" s="11" t="s">
        <v>20</v>
      </c>
      <c r="E54" s="12">
        <v>3</v>
      </c>
      <c r="F54" s="14">
        <v>5.0144970962932138</v>
      </c>
      <c r="G54" s="14">
        <v>0</v>
      </c>
    </row>
    <row r="55" spans="1:14">
      <c r="A55" s="8">
        <v>7</v>
      </c>
      <c r="B55" s="74">
        <v>36964</v>
      </c>
      <c r="C55" s="12">
        <v>2001</v>
      </c>
      <c r="D55" s="11" t="s">
        <v>20</v>
      </c>
      <c r="E55" s="12">
        <v>3</v>
      </c>
      <c r="F55" s="14">
        <v>5.4559536275281983</v>
      </c>
      <c r="G55" s="14">
        <v>0</v>
      </c>
    </row>
    <row r="56" spans="1:14">
      <c r="A56" s="8">
        <v>14</v>
      </c>
      <c r="B56" s="74">
        <v>36964</v>
      </c>
      <c r="C56" s="12">
        <v>2001</v>
      </c>
      <c r="D56" s="11" t="s">
        <v>20</v>
      </c>
      <c r="E56" s="12">
        <v>3</v>
      </c>
      <c r="F56" s="14">
        <v>6.9978104594472761</v>
      </c>
      <c r="G56" s="14">
        <v>0</v>
      </c>
      <c r="I56" s="27">
        <f>AVERAGE(F54:F56)</f>
        <v>5.8227537277562291</v>
      </c>
      <c r="J56" s="27">
        <f>AVERAGE(G54:G56)</f>
        <v>0</v>
      </c>
      <c r="L56">
        <f>+J56/I56</f>
        <v>0</v>
      </c>
      <c r="M56">
        <f>+(L56-$L$931)/$L$932</f>
        <v>-0.93507406924332725</v>
      </c>
      <c r="N56">
        <f>+N53+M56</f>
        <v>-0.63852238038681897</v>
      </c>
    </row>
    <row r="57" spans="1:14">
      <c r="A57" s="8">
        <v>5</v>
      </c>
      <c r="B57" s="74">
        <v>37000</v>
      </c>
      <c r="C57" s="12">
        <v>2001</v>
      </c>
      <c r="D57" s="15" t="s">
        <v>21</v>
      </c>
      <c r="E57" s="12">
        <v>4</v>
      </c>
      <c r="F57" s="14">
        <v>1.5188435484190554</v>
      </c>
      <c r="G57" s="14">
        <v>0</v>
      </c>
    </row>
    <row r="58" spans="1:14">
      <c r="A58" s="8">
        <v>7</v>
      </c>
      <c r="B58" s="74">
        <v>36997</v>
      </c>
      <c r="C58" s="12">
        <v>2001</v>
      </c>
      <c r="D58" s="15" t="s">
        <v>21</v>
      </c>
      <c r="E58" s="12">
        <v>4</v>
      </c>
      <c r="F58" s="14">
        <v>2.3669604981845023</v>
      </c>
      <c r="G58" s="14">
        <v>3.4440894999999999E-2</v>
      </c>
    </row>
    <row r="59" spans="1:14">
      <c r="A59" s="8">
        <v>14</v>
      </c>
      <c r="B59" s="74">
        <v>36997</v>
      </c>
      <c r="C59" s="12">
        <v>2001</v>
      </c>
      <c r="D59" s="15" t="s">
        <v>21</v>
      </c>
      <c r="E59" s="12">
        <v>4</v>
      </c>
      <c r="F59" s="14">
        <v>1.6275124565939976</v>
      </c>
      <c r="G59" s="14">
        <v>0</v>
      </c>
      <c r="I59" s="27">
        <f>AVERAGE(F57:F59)</f>
        <v>1.8377721677325185</v>
      </c>
      <c r="J59" s="27">
        <f>AVERAGE(G57:G59)</f>
        <v>1.1480298333333333E-2</v>
      </c>
      <c r="L59">
        <f>+J59/I59</f>
        <v>6.2468561309740392E-3</v>
      </c>
      <c r="M59">
        <f>+(L59-$L$931)/$L$932</f>
        <v>-0.81715869255474738</v>
      </c>
      <c r="N59">
        <f>+N56+M59</f>
        <v>-1.4556810729415663</v>
      </c>
    </row>
    <row r="60" spans="1:14">
      <c r="A60" s="8">
        <v>5</v>
      </c>
      <c r="B60" s="74">
        <v>37026</v>
      </c>
      <c r="C60" s="12">
        <v>2001</v>
      </c>
      <c r="D60" s="15" t="s">
        <v>22</v>
      </c>
      <c r="E60" s="12">
        <v>5</v>
      </c>
      <c r="F60" s="14">
        <v>4.5061721337177332</v>
      </c>
      <c r="G60" s="14">
        <v>3.961955683333334E-2</v>
      </c>
    </row>
    <row r="61" spans="1:14">
      <c r="A61" s="8">
        <v>7</v>
      </c>
      <c r="B61" s="74">
        <v>37026</v>
      </c>
      <c r="C61" s="12">
        <v>2001</v>
      </c>
      <c r="D61" s="15" t="s">
        <v>22</v>
      </c>
      <c r="E61" s="12">
        <v>5</v>
      </c>
      <c r="F61" s="14">
        <v>2.5313860766422454</v>
      </c>
      <c r="G61" s="14">
        <v>1.4955208833333336E-2</v>
      </c>
    </row>
    <row r="62" spans="1:14">
      <c r="A62" s="8">
        <v>14</v>
      </c>
      <c r="B62" s="74">
        <v>37026</v>
      </c>
      <c r="C62" s="12">
        <v>2001</v>
      </c>
      <c r="D62" s="15" t="s">
        <v>22</v>
      </c>
      <c r="E62" s="12">
        <v>5</v>
      </c>
      <c r="F62" s="14">
        <v>2.1602217678936753</v>
      </c>
      <c r="G62" s="14">
        <v>3.1943031166666663E-2</v>
      </c>
      <c r="I62" s="27">
        <f>AVERAGE(F60:F62)</f>
        <v>3.0659266594178849</v>
      </c>
      <c r="J62" s="27">
        <f>AVERAGE(G60:G62)</f>
        <v>2.8839265611111112E-2</v>
      </c>
      <c r="L62">
        <f>+J62/I62</f>
        <v>9.4063781736340377E-3</v>
      </c>
      <c r="M62">
        <f>+(L62-$L$931)/$L$932</f>
        <v>-0.75751969591308244</v>
      </c>
      <c r="N62">
        <f>+N59+M62</f>
        <v>-2.2132007688546489</v>
      </c>
    </row>
    <row r="63" spans="1:14">
      <c r="A63" s="8">
        <v>5</v>
      </c>
      <c r="B63" s="74">
        <v>37055</v>
      </c>
      <c r="C63" s="12">
        <v>2001</v>
      </c>
      <c r="D63" s="15" t="s">
        <v>23</v>
      </c>
      <c r="E63" s="12">
        <v>6</v>
      </c>
      <c r="F63" s="14">
        <v>24.072883583490611</v>
      </c>
      <c r="G63" s="14">
        <v>9.9762754666666675E-2</v>
      </c>
    </row>
    <row r="64" spans="1:14">
      <c r="A64" s="8">
        <v>7</v>
      </c>
      <c r="B64" s="74">
        <v>37055</v>
      </c>
      <c r="C64" s="12">
        <v>2001</v>
      </c>
      <c r="D64" s="15" t="s">
        <v>23</v>
      </c>
      <c r="E64" s="12">
        <v>6</v>
      </c>
      <c r="F64" s="14">
        <v>6.3424066960415697</v>
      </c>
      <c r="G64" s="14">
        <v>7.4304818333333328E-2</v>
      </c>
    </row>
    <row r="65" spans="1:14">
      <c r="A65" s="8">
        <v>14</v>
      </c>
      <c r="B65" s="74">
        <v>37055</v>
      </c>
      <c r="C65" s="12">
        <v>2001</v>
      </c>
      <c r="D65" s="15" t="s">
        <v>23</v>
      </c>
      <c r="E65" s="12">
        <v>6</v>
      </c>
      <c r="F65" s="14">
        <v>2.2811221404051065</v>
      </c>
      <c r="G65" s="14">
        <v>2.1496599166666668E-2</v>
      </c>
      <c r="I65" s="27">
        <f>AVERAGE(F63:F65)</f>
        <v>10.898804139979097</v>
      </c>
      <c r="J65" s="27">
        <f>AVERAGE(G63:G65)</f>
        <v>6.5188057388888887E-2</v>
      </c>
      <c r="L65">
        <f>+J65/I65</f>
        <v>5.9812119340474645E-3</v>
      </c>
      <c r="M65">
        <f>+(L65-$L$931)/$L$932</f>
        <v>-0.82217298052440624</v>
      </c>
      <c r="N65">
        <f>+N62+M65</f>
        <v>-3.0353737493790551</v>
      </c>
    </row>
    <row r="66" spans="1:14">
      <c r="A66" s="8">
        <v>5</v>
      </c>
      <c r="B66" s="74">
        <v>37092</v>
      </c>
      <c r="C66" s="12">
        <v>2001</v>
      </c>
      <c r="D66" s="15" t="s">
        <v>24</v>
      </c>
      <c r="E66" s="12">
        <v>7</v>
      </c>
      <c r="F66" s="14">
        <v>11.877769247662307</v>
      </c>
      <c r="G66" s="14">
        <v>0.14748163422222221</v>
      </c>
    </row>
    <row r="67" spans="1:14">
      <c r="A67" s="8">
        <v>7</v>
      </c>
      <c r="B67" s="74">
        <v>37092</v>
      </c>
      <c r="C67" s="12">
        <v>2001</v>
      </c>
      <c r="D67" s="15" t="s">
        <v>24</v>
      </c>
      <c r="E67" s="12">
        <v>7</v>
      </c>
      <c r="F67" s="14">
        <v>13.194572972859174</v>
      </c>
      <c r="G67" s="14">
        <v>2.4434892993333328</v>
      </c>
    </row>
    <row r="68" spans="1:14">
      <c r="A68" s="8">
        <v>14</v>
      </c>
      <c r="B68" s="74">
        <v>37092</v>
      </c>
      <c r="C68" s="12">
        <v>2001</v>
      </c>
      <c r="D68" s="15" t="s">
        <v>24</v>
      </c>
      <c r="E68" s="12">
        <v>7</v>
      </c>
      <c r="F68" s="14">
        <v>6.7113648288775618</v>
      </c>
      <c r="G68" s="14">
        <v>1.6068359999999999</v>
      </c>
      <c r="I68" s="27">
        <f>AVERAGE(F66:F68)</f>
        <v>10.594569016466346</v>
      </c>
      <c r="J68" s="27">
        <f>AVERAGE(G66:G68)</f>
        <v>1.3992689778518514</v>
      </c>
      <c r="L68">
        <f>+J68/I68</f>
        <v>0.13207417646504283</v>
      </c>
      <c r="M68">
        <f>+(L68-$L$931)/$L$932</f>
        <v>1.5579521734278292</v>
      </c>
      <c r="N68">
        <f>+N65+M68</f>
        <v>-1.4774215759512259</v>
      </c>
    </row>
    <row r="69" spans="1:14">
      <c r="A69" s="8">
        <v>5</v>
      </c>
      <c r="B69" s="74">
        <v>37118</v>
      </c>
      <c r="C69" s="12">
        <v>2001</v>
      </c>
      <c r="D69" s="15" t="s">
        <v>25</v>
      </c>
      <c r="E69" s="12">
        <v>8</v>
      </c>
      <c r="F69" s="14">
        <v>24.299481261486179</v>
      </c>
      <c r="G69" s="14">
        <v>0.13342814333333333</v>
      </c>
    </row>
    <row r="70" spans="1:14">
      <c r="A70" s="8">
        <v>7</v>
      </c>
      <c r="B70" s="74">
        <v>37118</v>
      </c>
      <c r="C70" s="12">
        <v>2001</v>
      </c>
      <c r="D70" s="15" t="s">
        <v>25</v>
      </c>
      <c r="E70" s="12">
        <v>8</v>
      </c>
      <c r="F70" s="14">
        <v>19.393464839280142</v>
      </c>
      <c r="G70" s="14">
        <v>0.50199796033333333</v>
      </c>
    </row>
    <row r="71" spans="1:14">
      <c r="A71" s="8">
        <v>14</v>
      </c>
      <c r="B71" s="74">
        <v>37118</v>
      </c>
      <c r="C71" s="12">
        <v>2001</v>
      </c>
      <c r="D71" s="15" t="s">
        <v>25</v>
      </c>
      <c r="E71" s="12">
        <v>8</v>
      </c>
      <c r="F71" s="14">
        <v>2.7546243219747071</v>
      </c>
      <c r="G71" s="14">
        <v>0.22136931649999997</v>
      </c>
      <c r="I71" s="27">
        <f>AVERAGE(F69:F71)</f>
        <v>15.48252347424701</v>
      </c>
      <c r="J71" s="27">
        <f>AVERAGE(G69:G71)</f>
        <v>0.28559847338888883</v>
      </c>
      <c r="L71">
        <f>+J71/I71</f>
        <v>1.8446506725078863E-2</v>
      </c>
      <c r="M71">
        <f>+(L71-$L$931)/$L$932</f>
        <v>-0.58687863405616547</v>
      </c>
      <c r="N71">
        <f>+N68+M71</f>
        <v>-2.0643002100073913</v>
      </c>
    </row>
    <row r="72" spans="1:14">
      <c r="A72" s="8">
        <v>5</v>
      </c>
      <c r="B72" s="74">
        <v>37152</v>
      </c>
      <c r="C72" s="12">
        <v>2001</v>
      </c>
      <c r="D72" s="15" t="s">
        <v>26</v>
      </c>
      <c r="E72" s="12">
        <v>9</v>
      </c>
      <c r="F72" s="14">
        <v>3.6413537637524587</v>
      </c>
      <c r="G72" s="14">
        <v>3.7298442000000001E-2</v>
      </c>
    </row>
    <row r="73" spans="1:14">
      <c r="A73" s="8">
        <v>7</v>
      </c>
      <c r="B73" s="74">
        <v>37145</v>
      </c>
      <c r="C73" s="12">
        <v>2001</v>
      </c>
      <c r="D73" s="15" t="s">
        <v>26</v>
      </c>
      <c r="E73" s="12">
        <v>9</v>
      </c>
      <c r="F73" s="14">
        <v>29.587456852823312</v>
      </c>
      <c r="G73" s="14">
        <v>4.7005784323333337</v>
      </c>
    </row>
    <row r="74" spans="1:14">
      <c r="A74" s="8">
        <v>14</v>
      </c>
      <c r="B74" s="74">
        <v>37145</v>
      </c>
      <c r="C74" s="12">
        <v>2001</v>
      </c>
      <c r="D74" s="15" t="s">
        <v>26</v>
      </c>
      <c r="E74" s="12">
        <v>9</v>
      </c>
      <c r="F74" s="14">
        <v>7.5217141606356481</v>
      </c>
      <c r="G74" s="14">
        <v>1.4301082379999999</v>
      </c>
      <c r="I74" s="27">
        <f>AVERAGE(F72:F74)</f>
        <v>13.583508259070472</v>
      </c>
      <c r="J74" s="27">
        <f>AVERAGE(G72:G74)</f>
        <v>2.0559950374444447</v>
      </c>
      <c r="L74">
        <f>+J74/I74</f>
        <v>0.15135964864390178</v>
      </c>
      <c r="M74">
        <f>+(L74-$L$931)/$L$932</f>
        <v>1.9219838829643667</v>
      </c>
      <c r="N74">
        <f>+N71+M74</f>
        <v>-0.14231632704302455</v>
      </c>
    </row>
    <row r="75" spans="1:14">
      <c r="A75" s="8">
        <v>5</v>
      </c>
      <c r="B75" s="74">
        <v>37180</v>
      </c>
      <c r="C75" s="12">
        <v>2001</v>
      </c>
      <c r="D75" s="15" t="s">
        <v>14</v>
      </c>
      <c r="E75" s="12">
        <v>10</v>
      </c>
      <c r="F75" s="13">
        <v>2.998085996406898</v>
      </c>
      <c r="G75" s="13">
        <v>0</v>
      </c>
    </row>
    <row r="76" spans="1:14">
      <c r="A76" s="8">
        <v>7</v>
      </c>
      <c r="B76" s="74">
        <v>37180</v>
      </c>
      <c r="C76" s="12">
        <v>2001</v>
      </c>
      <c r="D76" s="15" t="s">
        <v>14</v>
      </c>
      <c r="E76" s="12">
        <v>10</v>
      </c>
      <c r="F76" s="13">
        <v>5.1351998815226754</v>
      </c>
      <c r="G76" s="13">
        <v>0.37687994907169559</v>
      </c>
    </row>
    <row r="77" spans="1:14">
      <c r="A77" s="8">
        <v>14</v>
      </c>
      <c r="B77" s="74">
        <v>37180</v>
      </c>
      <c r="C77" s="12">
        <v>2001</v>
      </c>
      <c r="D77" s="15" t="s">
        <v>14</v>
      </c>
      <c r="E77" s="12">
        <v>10</v>
      </c>
      <c r="F77" s="13">
        <v>1.5955186504831684</v>
      </c>
      <c r="G77" s="13">
        <v>3.0222566683733857E-2</v>
      </c>
      <c r="I77" s="27">
        <f>AVERAGE(F75:F77)</f>
        <v>3.2429348428042473</v>
      </c>
      <c r="J77" s="27">
        <f>AVERAGE(G75:G77)</f>
        <v>0.13570083858514315</v>
      </c>
      <c r="L77">
        <f>+J77/I77</f>
        <v>4.1845070950546522E-2</v>
      </c>
      <c r="M77">
        <f>+(L77-$L$931)/$L$932</f>
        <v>-0.14520838316986207</v>
      </c>
      <c r="N77">
        <f>+N74+M77</f>
        <v>-0.28752471021288661</v>
      </c>
    </row>
    <row r="78" spans="1:14">
      <c r="A78" s="8">
        <v>5</v>
      </c>
      <c r="B78" s="74">
        <v>37201</v>
      </c>
      <c r="C78" s="12">
        <v>2001</v>
      </c>
      <c r="D78" s="15" t="s">
        <v>16</v>
      </c>
      <c r="E78" s="12">
        <v>11</v>
      </c>
      <c r="F78" s="13">
        <v>0.76783486617007013</v>
      </c>
      <c r="G78" s="13">
        <v>0</v>
      </c>
    </row>
    <row r="79" spans="1:14">
      <c r="A79" s="8">
        <v>7</v>
      </c>
      <c r="B79" s="74">
        <v>37201</v>
      </c>
      <c r="C79" s="12">
        <v>2001</v>
      </c>
      <c r="D79" s="15" t="s">
        <v>16</v>
      </c>
      <c r="E79" s="12">
        <v>11</v>
      </c>
      <c r="F79" s="13">
        <v>1.406645029527225</v>
      </c>
      <c r="G79" s="13">
        <v>2.8979049214946366E-2</v>
      </c>
    </row>
    <row r="80" spans="1:14">
      <c r="A80" s="8">
        <v>14</v>
      </c>
      <c r="B80" s="74">
        <v>37201</v>
      </c>
      <c r="C80" s="12">
        <v>2001</v>
      </c>
      <c r="D80" s="15" t="s">
        <v>16</v>
      </c>
      <c r="E80" s="12">
        <v>11</v>
      </c>
      <c r="F80" s="13">
        <v>2.1011605648905727</v>
      </c>
      <c r="G80" s="13">
        <v>2.2773747592106656E-2</v>
      </c>
      <c r="I80" s="27">
        <f>AVERAGE(F78:F80)</f>
        <v>1.4252134868626225</v>
      </c>
      <c r="J80" s="27">
        <f>AVERAGE(G78:G80)</f>
        <v>1.7250932269017676E-2</v>
      </c>
      <c r="L80">
        <f>+J80/I80</f>
        <v>1.210410400128392E-2</v>
      </c>
      <c r="M80">
        <f>+(L80-$L$931)/$L$932</f>
        <v>-0.70659754395370211</v>
      </c>
      <c r="N80">
        <f>+N77+M80</f>
        <v>-0.99412225416658873</v>
      </c>
    </row>
    <row r="81" spans="1:14">
      <c r="A81" s="8">
        <v>5</v>
      </c>
      <c r="B81" s="74">
        <v>37229</v>
      </c>
      <c r="C81" s="12">
        <v>2001</v>
      </c>
      <c r="D81" s="15" t="s">
        <v>17</v>
      </c>
      <c r="E81" s="12">
        <v>12</v>
      </c>
      <c r="F81" s="13">
        <v>1.1329340623276043</v>
      </c>
      <c r="G81" s="13">
        <v>9.1410905291424843E-2</v>
      </c>
    </row>
    <row r="82" spans="1:14">
      <c r="A82" s="8">
        <v>7</v>
      </c>
      <c r="B82" s="74">
        <v>37229</v>
      </c>
      <c r="C82" s="12">
        <v>2001</v>
      </c>
      <c r="D82" s="15" t="s">
        <v>17</v>
      </c>
      <c r="E82" s="12">
        <v>12</v>
      </c>
      <c r="F82" s="13">
        <v>1.5298015635710343</v>
      </c>
      <c r="G82" s="13">
        <v>9.1110658383313489E-2</v>
      </c>
    </row>
    <row r="83" spans="1:14">
      <c r="A83" s="8">
        <v>14</v>
      </c>
      <c r="B83" s="74">
        <v>37229</v>
      </c>
      <c r="C83" s="12">
        <v>2001</v>
      </c>
      <c r="D83" s="15" t="s">
        <v>17</v>
      </c>
      <c r="E83" s="12">
        <v>12</v>
      </c>
      <c r="F83" s="13">
        <v>1.159816953019184</v>
      </c>
      <c r="G83" s="13">
        <v>0</v>
      </c>
      <c r="I83" s="27">
        <f>AVERAGE(F81:F83)</f>
        <v>1.2741841929726074</v>
      </c>
      <c r="J83" s="27">
        <f>AVERAGE(G81:G83)</f>
        <v>6.0840521224912771E-2</v>
      </c>
      <c r="L83">
        <f>+J83/I83</f>
        <v>4.7748607744830758E-2</v>
      </c>
      <c r="M83">
        <f>+(L83-$L$931)/$L$932</f>
        <v>-3.3773486911994395E-2</v>
      </c>
      <c r="N83">
        <f>+N80+M83</f>
        <v>-1.0278957410785832</v>
      </c>
    </row>
    <row r="84" spans="1:14">
      <c r="A84" s="8">
        <v>5</v>
      </c>
      <c r="B84" s="74">
        <v>37271</v>
      </c>
      <c r="C84" s="12">
        <v>2002</v>
      </c>
      <c r="D84" s="15" t="s">
        <v>18</v>
      </c>
      <c r="E84" s="12">
        <v>1</v>
      </c>
      <c r="F84" s="13">
        <v>2.5492834482718494</v>
      </c>
      <c r="G84" s="13">
        <v>7.0339293261909339E-2</v>
      </c>
    </row>
    <row r="85" spans="1:14">
      <c r="A85" s="8">
        <v>7</v>
      </c>
      <c r="B85" s="74">
        <v>37271</v>
      </c>
      <c r="C85" s="12">
        <v>2002</v>
      </c>
      <c r="D85" s="15" t="s">
        <v>18</v>
      </c>
      <c r="E85" s="12">
        <v>1</v>
      </c>
      <c r="F85" s="13">
        <v>6.006413616748155</v>
      </c>
      <c r="G85" s="13">
        <v>0.3080815283178005</v>
      </c>
    </row>
    <row r="86" spans="1:14">
      <c r="A86" s="8">
        <v>14</v>
      </c>
      <c r="B86" s="74">
        <v>37271</v>
      </c>
      <c r="C86" s="12">
        <v>2002</v>
      </c>
      <c r="D86" s="15" t="s">
        <v>18</v>
      </c>
      <c r="E86" s="12">
        <v>1</v>
      </c>
      <c r="F86" s="13">
        <v>4.3999340380891985</v>
      </c>
      <c r="G86" s="13">
        <v>7.4344902168521992E-2</v>
      </c>
      <c r="I86" s="27">
        <f>AVERAGE(F84:F86)</f>
        <v>4.3185437010364005</v>
      </c>
      <c r="J86" s="27">
        <f>AVERAGE(G84:G86)</f>
        <v>0.15092190791607729</v>
      </c>
      <c r="L86">
        <f>+J86/I86</f>
        <v>3.4947407821728838E-2</v>
      </c>
      <c r="M86">
        <f>+(L86-$L$931)/$L$932</f>
        <v>-0.2754083636164496</v>
      </c>
      <c r="N86">
        <f>+N83+M86</f>
        <v>-1.3033041046950329</v>
      </c>
    </row>
    <row r="87" spans="1:14">
      <c r="A87" s="8">
        <v>5</v>
      </c>
      <c r="B87" s="74">
        <v>37306</v>
      </c>
      <c r="C87" s="12">
        <v>2002</v>
      </c>
      <c r="D87" s="11" t="s">
        <v>19</v>
      </c>
      <c r="E87" s="12">
        <v>2</v>
      </c>
      <c r="F87" s="13">
        <v>1.8545334300930461</v>
      </c>
      <c r="G87" s="13">
        <v>4.1286874698036199E-2</v>
      </c>
    </row>
    <row r="88" spans="1:14">
      <c r="A88" s="8">
        <v>7</v>
      </c>
      <c r="B88" s="74">
        <v>37306</v>
      </c>
      <c r="C88" s="12">
        <v>2002</v>
      </c>
      <c r="D88" s="11" t="s">
        <v>19</v>
      </c>
      <c r="E88" s="12">
        <v>2</v>
      </c>
      <c r="F88" s="13">
        <v>0.85025511842399948</v>
      </c>
      <c r="G88" s="13">
        <v>4.6888190323033659E-2</v>
      </c>
    </row>
    <row r="89" spans="1:14">
      <c r="A89" s="8">
        <v>14</v>
      </c>
      <c r="B89" s="74">
        <v>37306</v>
      </c>
      <c r="C89" s="12">
        <v>2002</v>
      </c>
      <c r="D89" s="11" t="s">
        <v>19</v>
      </c>
      <c r="E89" s="12">
        <v>2</v>
      </c>
      <c r="F89" s="13">
        <v>1.6078379934090927</v>
      </c>
      <c r="G89" s="13">
        <v>6.8178833612144205E-2</v>
      </c>
      <c r="I89" s="27">
        <f>AVERAGE(F87:F89)</f>
        <v>1.4375421806420461</v>
      </c>
      <c r="J89" s="27">
        <f>AVERAGE(G87:G89)</f>
        <v>5.2117966211071363E-2</v>
      </c>
      <c r="L89">
        <f>+J89/I89</f>
        <v>3.6254912664749804E-2</v>
      </c>
      <c r="M89">
        <f>+(L89-$L$931)/$L$932</f>
        <v>-0.25072796072986669</v>
      </c>
      <c r="N89">
        <f>+N86+M89</f>
        <v>-1.5540320654248996</v>
      </c>
    </row>
    <row r="90" spans="1:14">
      <c r="A90" s="8">
        <v>5</v>
      </c>
      <c r="B90" s="72">
        <v>37334</v>
      </c>
      <c r="C90" s="12">
        <v>2002</v>
      </c>
      <c r="D90" s="11" t="s">
        <v>20</v>
      </c>
      <c r="E90" s="12">
        <v>3</v>
      </c>
      <c r="F90" s="13">
        <v>3.6100535183984039</v>
      </c>
      <c r="G90" s="13">
        <v>4.5499180051188554E-2</v>
      </c>
    </row>
    <row r="91" spans="1:14">
      <c r="A91" s="8">
        <v>7</v>
      </c>
      <c r="B91" s="72">
        <v>37336</v>
      </c>
      <c r="C91" s="12">
        <v>2002</v>
      </c>
      <c r="D91" s="11" t="s">
        <v>20</v>
      </c>
      <c r="E91" s="12">
        <v>3</v>
      </c>
      <c r="F91" s="13">
        <v>2.591618421090903</v>
      </c>
      <c r="G91" s="13">
        <v>0.29483343226158615</v>
      </c>
    </row>
    <row r="92" spans="1:14">
      <c r="A92" s="8">
        <v>14</v>
      </c>
      <c r="B92" s="72">
        <v>37336</v>
      </c>
      <c r="C92" s="12">
        <v>2002</v>
      </c>
      <c r="D92" s="11" t="s">
        <v>20</v>
      </c>
      <c r="E92" s="12">
        <v>3</v>
      </c>
      <c r="F92" s="13">
        <v>2.1194047915448686</v>
      </c>
      <c r="G92" s="13">
        <v>2.6767546310393818E-2</v>
      </c>
      <c r="I92" s="27">
        <f>AVERAGE(F90:F92)</f>
        <v>2.7736922436780582</v>
      </c>
      <c r="J92" s="27">
        <f>AVERAGE(G90:G92)</f>
        <v>0.12236671954105616</v>
      </c>
      <c r="L92">
        <f>+J92/I92</f>
        <v>4.4116905839124969E-2</v>
      </c>
      <c r="M92">
        <f>+(L92-$L$931)/$L$932</f>
        <v>-0.10232532951144276</v>
      </c>
      <c r="N92">
        <f>+N89+M92</f>
        <v>-1.6563573949363424</v>
      </c>
    </row>
    <row r="93" spans="1:14">
      <c r="A93" s="8">
        <v>5</v>
      </c>
      <c r="B93" s="72">
        <v>37362</v>
      </c>
      <c r="C93" s="12">
        <v>2002</v>
      </c>
      <c r="D93" s="15" t="s">
        <v>21</v>
      </c>
      <c r="E93" s="12">
        <v>4</v>
      </c>
      <c r="F93" s="13">
        <v>1.9761967751286815</v>
      </c>
      <c r="G93" s="13">
        <v>3.4789774552445731E-2</v>
      </c>
    </row>
    <row r="94" spans="1:14">
      <c r="A94" s="8">
        <v>7</v>
      </c>
      <c r="B94" s="72">
        <v>37362</v>
      </c>
      <c r="C94" s="12">
        <v>2002</v>
      </c>
      <c r="D94" s="15" t="s">
        <v>21</v>
      </c>
      <c r="E94" s="12">
        <v>4</v>
      </c>
      <c r="F94" s="13">
        <v>2.9363923174920807</v>
      </c>
      <c r="G94" s="13">
        <v>0.2730604614842333</v>
      </c>
    </row>
    <row r="95" spans="1:14">
      <c r="A95" s="8">
        <v>14</v>
      </c>
      <c r="B95" s="72">
        <v>37362</v>
      </c>
      <c r="C95" s="12">
        <v>2002</v>
      </c>
      <c r="D95" s="15" t="s">
        <v>21</v>
      </c>
      <c r="E95" s="12">
        <v>4</v>
      </c>
      <c r="F95" s="13">
        <v>1.1530343317617153</v>
      </c>
      <c r="G95" s="13">
        <v>0</v>
      </c>
      <c r="I95" s="27">
        <f>AVERAGE(F93:F95)</f>
        <v>2.0218744747941595</v>
      </c>
      <c r="J95" s="27">
        <f>AVERAGE(G93:G95)</f>
        <v>0.10261674534555969</v>
      </c>
      <c r="L95">
        <f>+J95/I95</f>
        <v>5.0753272087282655E-2</v>
      </c>
      <c r="M95">
        <f>+(L95-$L$931)/$L$932</f>
        <v>2.2942422712726854E-2</v>
      </c>
      <c r="N95">
        <f>+N92+M95</f>
        <v>-1.6334149722236155</v>
      </c>
    </row>
    <row r="96" spans="1:14">
      <c r="A96" s="8">
        <v>5</v>
      </c>
      <c r="B96" s="72">
        <v>37391</v>
      </c>
      <c r="C96" s="12">
        <v>2002</v>
      </c>
      <c r="D96" s="15" t="s">
        <v>22</v>
      </c>
      <c r="E96" s="12">
        <v>5</v>
      </c>
      <c r="F96" s="13">
        <v>2.8598260985117325</v>
      </c>
      <c r="G96" s="19"/>
    </row>
    <row r="97" spans="1:10">
      <c r="A97" s="8">
        <v>7</v>
      </c>
      <c r="B97" s="72">
        <v>37391</v>
      </c>
      <c r="C97" s="12">
        <v>2002</v>
      </c>
      <c r="D97" s="15" t="s">
        <v>22</v>
      </c>
      <c r="E97" s="12">
        <v>5</v>
      </c>
      <c r="F97" s="13">
        <v>2.9985745473254992</v>
      </c>
      <c r="G97" s="19"/>
    </row>
    <row r="98" spans="1:10">
      <c r="A98" s="8">
        <v>14</v>
      </c>
      <c r="B98" s="72">
        <v>37392</v>
      </c>
      <c r="C98" s="12">
        <v>2002</v>
      </c>
      <c r="D98" s="15" t="s">
        <v>22</v>
      </c>
      <c r="E98" s="12">
        <v>5</v>
      </c>
      <c r="F98" s="20" t="s">
        <v>28</v>
      </c>
      <c r="I98" s="27">
        <f>AVERAGE(F96:F98)</f>
        <v>2.9292003229186161</v>
      </c>
      <c r="J98" s="27" t="e">
        <f>AVERAGE(G96:G98)</f>
        <v>#DIV/0!</v>
      </c>
    </row>
    <row r="99" spans="1:10">
      <c r="A99" s="8">
        <v>5</v>
      </c>
      <c r="B99" s="72">
        <v>37419</v>
      </c>
      <c r="C99" s="12">
        <v>2002</v>
      </c>
      <c r="D99" s="15" t="s">
        <v>23</v>
      </c>
      <c r="E99" s="12">
        <v>6</v>
      </c>
      <c r="F99" s="13">
        <v>25.528629066072575</v>
      </c>
      <c r="G99" s="19"/>
    </row>
    <row r="100" spans="1:10">
      <c r="A100" s="8">
        <v>7</v>
      </c>
      <c r="B100" s="72">
        <v>37419</v>
      </c>
      <c r="C100" s="12">
        <v>2002</v>
      </c>
      <c r="D100" s="15" t="s">
        <v>23</v>
      </c>
      <c r="E100" s="12">
        <v>6</v>
      </c>
      <c r="F100" s="13">
        <v>10.036838230880262</v>
      </c>
      <c r="G100" s="19"/>
    </row>
    <row r="101" spans="1:10">
      <c r="A101" s="8">
        <v>14</v>
      </c>
      <c r="B101" s="72">
        <v>37419</v>
      </c>
      <c r="C101" s="12">
        <v>2002</v>
      </c>
      <c r="D101" s="15" t="s">
        <v>23</v>
      </c>
      <c r="E101" s="12">
        <v>6</v>
      </c>
      <c r="F101" s="13">
        <v>7.9767875599068452</v>
      </c>
      <c r="G101" s="19"/>
      <c r="I101" s="27">
        <f>AVERAGE(F99:F101)</f>
        <v>14.514084952286561</v>
      </c>
      <c r="J101" s="27" t="e">
        <f>AVERAGE(G99:G101)</f>
        <v>#DIV/0!</v>
      </c>
    </row>
    <row r="102" spans="1:10">
      <c r="A102" s="8">
        <v>5</v>
      </c>
      <c r="B102" s="72">
        <v>37454</v>
      </c>
      <c r="C102" s="12">
        <v>2002</v>
      </c>
      <c r="D102" s="15" t="s">
        <v>24</v>
      </c>
      <c r="E102" s="12">
        <v>7</v>
      </c>
      <c r="F102" s="13">
        <v>16.788386568415582</v>
      </c>
      <c r="G102" s="19"/>
    </row>
    <row r="103" spans="1:10">
      <c r="A103" s="8">
        <v>7</v>
      </c>
      <c r="B103" s="72">
        <v>37454</v>
      </c>
      <c r="C103" s="12">
        <v>2002</v>
      </c>
      <c r="D103" s="15" t="s">
        <v>24</v>
      </c>
      <c r="E103" s="12">
        <v>7</v>
      </c>
      <c r="F103" s="13">
        <v>10.100291342997316</v>
      </c>
      <c r="G103" s="19"/>
    </row>
    <row r="104" spans="1:10">
      <c r="A104" s="8">
        <v>14</v>
      </c>
      <c r="B104" s="72">
        <v>37454</v>
      </c>
      <c r="C104" s="12">
        <v>2002</v>
      </c>
      <c r="D104" s="15" t="s">
        <v>24</v>
      </c>
      <c r="E104" s="12">
        <v>7</v>
      </c>
      <c r="F104" s="13">
        <v>4.8002010904603711</v>
      </c>
      <c r="G104" s="19"/>
      <c r="I104" s="27">
        <f>AVERAGE(F102:F104)</f>
        <v>10.562959667291089</v>
      </c>
      <c r="J104" s="27" t="e">
        <f>AVERAGE(G102:G104)</f>
        <v>#DIV/0!</v>
      </c>
    </row>
    <row r="105" spans="1:10">
      <c r="A105" s="8">
        <v>5</v>
      </c>
      <c r="B105" s="72">
        <v>37482</v>
      </c>
      <c r="C105" s="12">
        <v>2002</v>
      </c>
      <c r="D105" s="15" t="s">
        <v>25</v>
      </c>
      <c r="E105" s="12">
        <v>8</v>
      </c>
      <c r="F105" s="13">
        <v>13.33498940005825</v>
      </c>
      <c r="G105" s="19"/>
    </row>
    <row r="106" spans="1:10">
      <c r="A106" s="8">
        <v>7</v>
      </c>
      <c r="B106" s="72">
        <v>37482</v>
      </c>
      <c r="C106" s="12">
        <v>2002</v>
      </c>
      <c r="D106" s="15" t="s">
        <v>25</v>
      </c>
      <c r="E106" s="12">
        <v>8</v>
      </c>
      <c r="F106" s="13">
        <v>23.279273949963855</v>
      </c>
      <c r="G106" s="19"/>
    </row>
    <row r="107" spans="1:10">
      <c r="A107" s="8">
        <v>14</v>
      </c>
      <c r="B107" s="72">
        <v>37482</v>
      </c>
      <c r="C107" s="12">
        <v>2002</v>
      </c>
      <c r="D107" s="15" t="s">
        <v>25</v>
      </c>
      <c r="E107" s="12">
        <v>8</v>
      </c>
      <c r="F107" s="13">
        <v>9.4585822253073655</v>
      </c>
      <c r="G107" s="19"/>
      <c r="I107" s="27">
        <f>AVERAGE(F105:F107)</f>
        <v>15.357615191776491</v>
      </c>
      <c r="J107" s="27" t="e">
        <f>AVERAGE(G105:G107)</f>
        <v>#DIV/0!</v>
      </c>
    </row>
    <row r="108" spans="1:10">
      <c r="A108" s="8">
        <v>5</v>
      </c>
      <c r="B108" s="72">
        <v>37517</v>
      </c>
      <c r="C108" s="12">
        <v>2002</v>
      </c>
      <c r="D108" s="15" t="s">
        <v>26</v>
      </c>
      <c r="E108" s="12">
        <v>9</v>
      </c>
      <c r="F108" s="13">
        <v>3.7304174000763646</v>
      </c>
      <c r="G108" s="19"/>
    </row>
    <row r="109" spans="1:10">
      <c r="A109" s="8">
        <v>7</v>
      </c>
      <c r="B109" s="72">
        <v>37517</v>
      </c>
      <c r="C109" s="12">
        <v>2002</v>
      </c>
      <c r="D109" s="15" t="s">
        <v>26</v>
      </c>
      <c r="E109" s="12">
        <v>9</v>
      </c>
      <c r="F109" s="13">
        <v>15.586534639669308</v>
      </c>
      <c r="G109" s="19"/>
    </row>
    <row r="110" spans="1:10">
      <c r="A110" s="8">
        <v>14</v>
      </c>
      <c r="B110" s="72">
        <v>37517</v>
      </c>
      <c r="C110" s="12">
        <v>2002</v>
      </c>
      <c r="D110" s="15" t="s">
        <v>26</v>
      </c>
      <c r="E110" s="12">
        <v>9</v>
      </c>
      <c r="F110" s="13">
        <v>3.0761010545911831</v>
      </c>
      <c r="G110" s="19"/>
      <c r="I110" s="27">
        <f>AVERAGE(F108:F110)</f>
        <v>7.4643510314456192</v>
      </c>
      <c r="J110" s="27" t="e">
        <f>AVERAGE(G108:G110)</f>
        <v>#DIV/0!</v>
      </c>
    </row>
    <row r="111" spans="1:10">
      <c r="A111" s="8">
        <v>5</v>
      </c>
      <c r="B111" s="72">
        <v>37544</v>
      </c>
      <c r="C111" s="12">
        <v>2002</v>
      </c>
      <c r="D111" s="15" t="s">
        <v>14</v>
      </c>
      <c r="E111" s="12">
        <v>10</v>
      </c>
      <c r="F111" s="14">
        <v>7.9787746224652141</v>
      </c>
      <c r="G111" s="14">
        <v>0.81386460427356899</v>
      </c>
    </row>
    <row r="112" spans="1:10">
      <c r="A112" s="8">
        <v>7</v>
      </c>
      <c r="B112" s="72">
        <v>37546</v>
      </c>
      <c r="C112" s="12">
        <v>2002</v>
      </c>
      <c r="D112" s="15" t="s">
        <v>14</v>
      </c>
      <c r="E112" s="12">
        <v>10</v>
      </c>
      <c r="F112" s="14">
        <v>6.5256874825493458</v>
      </c>
      <c r="G112" s="14">
        <v>0.4749209723276156</v>
      </c>
    </row>
    <row r="113" spans="1:14">
      <c r="A113" s="8">
        <v>14</v>
      </c>
      <c r="B113" s="72">
        <v>37546</v>
      </c>
      <c r="C113" s="12">
        <v>2002</v>
      </c>
      <c r="D113" s="15" t="s">
        <v>14</v>
      </c>
      <c r="E113" s="12">
        <v>10</v>
      </c>
      <c r="F113" s="14">
        <v>2.6883282671030262</v>
      </c>
      <c r="G113" s="14">
        <v>0.138376226468822</v>
      </c>
      <c r="I113" s="27">
        <f>AVERAGE(F111:F113)</f>
        <v>5.7309301240391948</v>
      </c>
      <c r="J113" s="27">
        <f>AVERAGE(G111:G113)</f>
        <v>0.47572060102333552</v>
      </c>
      <c r="L113">
        <f>+J113/I113</f>
        <v>8.3009317986247708E-2</v>
      </c>
      <c r="M113">
        <f>+(L113-$L$931)/$L$932</f>
        <v>0.63180610116397484</v>
      </c>
      <c r="N113">
        <f>+N95+M113</f>
        <v>-1.0016088710596407</v>
      </c>
    </row>
    <row r="114" spans="1:14">
      <c r="A114" s="8">
        <v>5</v>
      </c>
      <c r="B114" s="72">
        <v>37575</v>
      </c>
      <c r="C114" s="12">
        <v>2002</v>
      </c>
      <c r="D114" s="15" t="s">
        <v>16</v>
      </c>
      <c r="E114" s="12">
        <v>11</v>
      </c>
      <c r="F114" s="14">
        <v>1.7910795730377769</v>
      </c>
      <c r="G114" s="14">
        <v>0.15692429022909976</v>
      </c>
    </row>
    <row r="115" spans="1:14">
      <c r="A115" s="8">
        <v>7</v>
      </c>
      <c r="B115" s="72">
        <v>37574</v>
      </c>
      <c r="C115" s="12">
        <v>2002</v>
      </c>
      <c r="D115" s="15" t="s">
        <v>16</v>
      </c>
      <c r="E115" s="12">
        <v>11</v>
      </c>
      <c r="F115" s="14">
        <v>6.5521068230829149</v>
      </c>
      <c r="G115" s="14">
        <v>0.11454447940775923</v>
      </c>
    </row>
    <row r="116" spans="1:14">
      <c r="A116" s="8">
        <v>14</v>
      </c>
      <c r="B116" s="72">
        <v>37574</v>
      </c>
      <c r="C116" s="12">
        <v>2002</v>
      </c>
      <c r="D116" s="15" t="s">
        <v>16</v>
      </c>
      <c r="E116" s="12">
        <v>11</v>
      </c>
      <c r="F116" s="14">
        <v>1.810094999529563</v>
      </c>
      <c r="G116" s="14">
        <v>2.5436066721756235E-2</v>
      </c>
      <c r="I116" s="27">
        <f>AVERAGE(F114:F116)</f>
        <v>3.384427131883418</v>
      </c>
      <c r="J116" s="27">
        <f>AVERAGE(G114:G116)</f>
        <v>9.896827878620508E-2</v>
      </c>
      <c r="L116">
        <f>+J116/I116</f>
        <v>2.9242254281045692E-2</v>
      </c>
      <c r="M116">
        <f>+(L116-$L$931)/$L$932</f>
        <v>-0.3830985864599431</v>
      </c>
      <c r="N116">
        <f>+N113+M116</f>
        <v>-1.3847074575195837</v>
      </c>
    </row>
    <row r="117" spans="1:14">
      <c r="A117" s="8">
        <v>5</v>
      </c>
      <c r="B117" s="72">
        <v>37609</v>
      </c>
      <c r="C117" s="12">
        <v>2002</v>
      </c>
      <c r="D117" s="15" t="s">
        <v>17</v>
      </c>
      <c r="E117" s="12">
        <v>12</v>
      </c>
      <c r="F117" s="14">
        <v>4.6153388245531248</v>
      </c>
      <c r="G117" s="14">
        <v>0.2347381230894397</v>
      </c>
    </row>
    <row r="118" spans="1:14">
      <c r="A118" s="8">
        <v>7</v>
      </c>
      <c r="B118" s="72">
        <v>37608</v>
      </c>
      <c r="C118" s="12">
        <v>2002</v>
      </c>
      <c r="D118" s="15" t="s">
        <v>17</v>
      </c>
      <c r="E118" s="12">
        <v>12</v>
      </c>
      <c r="F118" s="14">
        <v>6.3835430769031491</v>
      </c>
      <c r="G118" s="14">
        <v>0.51887761888216932</v>
      </c>
    </row>
    <row r="119" spans="1:14">
      <c r="A119" s="8">
        <v>14</v>
      </c>
      <c r="B119" s="72">
        <v>37608</v>
      </c>
      <c r="C119" s="12">
        <v>2002</v>
      </c>
      <c r="D119" s="15" t="s">
        <v>17</v>
      </c>
      <c r="E119" s="12">
        <v>12</v>
      </c>
      <c r="F119" s="14">
        <v>6.0030567035313371</v>
      </c>
      <c r="G119" s="14">
        <v>0.31581246382554284</v>
      </c>
      <c r="I119" s="27">
        <f>AVERAGE(F117:F119)</f>
        <v>5.667312868329204</v>
      </c>
      <c r="J119" s="27">
        <f>AVERAGE(G117:G119)</f>
        <v>0.35647606859905062</v>
      </c>
      <c r="L119">
        <f>+J119/I119</f>
        <v>6.2900368636987627E-2</v>
      </c>
      <c r="M119">
        <f>+(L119-$L$931)/$L$932</f>
        <v>0.252230473421792</v>
      </c>
      <c r="N119">
        <f>+N116+M119</f>
        <v>-1.1324769840977917</v>
      </c>
    </row>
    <row r="120" spans="1:14">
      <c r="A120" s="8">
        <v>5</v>
      </c>
      <c r="B120" s="72">
        <v>37635</v>
      </c>
      <c r="C120" s="12">
        <v>2003</v>
      </c>
      <c r="D120" s="15" t="s">
        <v>18</v>
      </c>
      <c r="E120" s="12">
        <v>1</v>
      </c>
      <c r="F120" s="14">
        <v>4.526147687175591</v>
      </c>
      <c r="G120" s="14">
        <v>0.18910446813080115</v>
      </c>
    </row>
    <row r="121" spans="1:14">
      <c r="A121" s="8">
        <v>7</v>
      </c>
      <c r="B121" s="72">
        <v>37636</v>
      </c>
      <c r="C121" s="12">
        <v>2003</v>
      </c>
      <c r="D121" s="15" t="s">
        <v>18</v>
      </c>
      <c r="E121" s="12">
        <v>1</v>
      </c>
      <c r="F121" s="14">
        <v>2.9696606090284443</v>
      </c>
      <c r="G121" s="14">
        <v>0.58343263704463633</v>
      </c>
    </row>
    <row r="122" spans="1:14">
      <c r="A122" s="8">
        <v>14</v>
      </c>
      <c r="B122" s="72">
        <v>37636</v>
      </c>
      <c r="C122" s="12">
        <v>2003</v>
      </c>
      <c r="D122" s="15" t="s">
        <v>18</v>
      </c>
      <c r="E122" s="12">
        <v>1</v>
      </c>
      <c r="F122" s="14">
        <v>4.4103329035560979</v>
      </c>
      <c r="G122" s="14">
        <v>0.44982011531414368</v>
      </c>
      <c r="I122" s="27">
        <f>AVERAGE(F120:F122)</f>
        <v>3.9687137332533777</v>
      </c>
      <c r="J122" s="27">
        <f>AVERAGE(G120:G122)</f>
        <v>0.40745240682986039</v>
      </c>
      <c r="L122">
        <f>+J122/I122</f>
        <v>0.10266611154537689</v>
      </c>
      <c r="M122">
        <f>+(L122-$L$931)/$L$932</f>
        <v>1.0028468564523407</v>
      </c>
      <c r="N122">
        <f>+N119+M122</f>
        <v>-0.12963012764545101</v>
      </c>
    </row>
    <row r="123" spans="1:14">
      <c r="A123" s="8">
        <v>5</v>
      </c>
      <c r="B123" s="72">
        <v>37665</v>
      </c>
      <c r="C123" s="12">
        <v>2003</v>
      </c>
      <c r="D123" s="11" t="s">
        <v>19</v>
      </c>
      <c r="E123" s="12">
        <v>2</v>
      </c>
      <c r="F123" s="14">
        <v>7.0548547058053188</v>
      </c>
      <c r="G123" s="14">
        <v>0.38746510896053499</v>
      </c>
    </row>
    <row r="124" spans="1:14">
      <c r="A124" s="8">
        <v>7</v>
      </c>
      <c r="B124" s="72">
        <v>37663</v>
      </c>
      <c r="C124" s="12">
        <v>2003</v>
      </c>
      <c r="D124" s="11" t="s">
        <v>19</v>
      </c>
      <c r="E124" s="12">
        <v>2</v>
      </c>
      <c r="F124" s="14">
        <v>3.973030156542082</v>
      </c>
      <c r="G124" s="14">
        <v>0.36162083263853767</v>
      </c>
    </row>
    <row r="125" spans="1:14">
      <c r="A125" s="8">
        <v>14</v>
      </c>
      <c r="B125" s="72">
        <v>37663</v>
      </c>
      <c r="C125" s="12">
        <v>2003</v>
      </c>
      <c r="D125" s="11" t="s">
        <v>19</v>
      </c>
      <c r="E125" s="12">
        <v>2</v>
      </c>
      <c r="F125" s="14">
        <v>5.2644690270069807</v>
      </c>
      <c r="G125" s="14">
        <v>0.18842406011308657</v>
      </c>
      <c r="I125" s="27">
        <f>AVERAGE(F123:F125)</f>
        <v>5.4307846297847933</v>
      </c>
      <c r="J125" s="27">
        <f>AVERAGE(G123:G125)</f>
        <v>0.3125033339040531</v>
      </c>
      <c r="L125">
        <f>+J125/I125</f>
        <v>5.754294364577605E-2</v>
      </c>
      <c r="M125">
        <f>+(L125-$L$931)/$L$932</f>
        <v>0.15110395911210139</v>
      </c>
      <c r="N125">
        <f>+N122+M125</f>
        <v>2.1473831466650384E-2</v>
      </c>
    </row>
    <row r="126" spans="1:14">
      <c r="A126" s="8">
        <v>5</v>
      </c>
      <c r="B126" s="72">
        <v>37692</v>
      </c>
      <c r="C126" s="12">
        <v>2003</v>
      </c>
      <c r="D126" s="11" t="s">
        <v>20</v>
      </c>
      <c r="E126" s="12">
        <v>3</v>
      </c>
      <c r="F126" s="14">
        <v>5.1416918388761674</v>
      </c>
      <c r="G126" s="14">
        <v>0.50242739416757332</v>
      </c>
    </row>
    <row r="127" spans="1:14">
      <c r="A127" s="8">
        <v>7</v>
      </c>
      <c r="B127" s="72">
        <v>37692</v>
      </c>
      <c r="C127" s="12">
        <v>2003</v>
      </c>
      <c r="D127" s="11" t="s">
        <v>20</v>
      </c>
      <c r="E127" s="12">
        <v>3</v>
      </c>
      <c r="F127" s="14">
        <v>7.9565274473069882</v>
      </c>
      <c r="G127" s="14">
        <v>0.31991342106696763</v>
      </c>
    </row>
    <row r="128" spans="1:14">
      <c r="A128" s="8">
        <v>14</v>
      </c>
      <c r="B128" s="72">
        <v>37692</v>
      </c>
      <c r="C128" s="12">
        <v>2003</v>
      </c>
      <c r="D128" s="11" t="s">
        <v>20</v>
      </c>
      <c r="E128" s="12">
        <v>3</v>
      </c>
      <c r="F128" s="14">
        <v>6.9986494365913217</v>
      </c>
      <c r="G128" s="14">
        <v>0.14165809842099822</v>
      </c>
      <c r="I128" s="27">
        <f>AVERAGE(F126:F128)</f>
        <v>6.6989562409248258</v>
      </c>
      <c r="J128" s="27">
        <f>AVERAGE(G126:G128)</f>
        <v>0.32133297121851306</v>
      </c>
      <c r="L128">
        <f>+J128/I128</f>
        <v>4.7967617590251845E-2</v>
      </c>
      <c r="M128">
        <f>+(L128-$L$931)/$L$932</f>
        <v>-2.9639466873772651E-2</v>
      </c>
      <c r="N128">
        <f>+N125+M128</f>
        <v>-8.1656354071222674E-3</v>
      </c>
    </row>
    <row r="129" spans="1:14">
      <c r="A129" s="8">
        <v>5</v>
      </c>
      <c r="B129" s="72">
        <v>37726</v>
      </c>
      <c r="C129" s="12">
        <v>2003</v>
      </c>
      <c r="D129" s="11" t="s">
        <v>21</v>
      </c>
      <c r="E129" s="12">
        <v>4</v>
      </c>
      <c r="F129" s="14">
        <v>5.4273483479192857</v>
      </c>
      <c r="G129" s="14">
        <v>8.3353541371396944E-2</v>
      </c>
    </row>
    <row r="130" spans="1:14">
      <c r="A130" s="8">
        <v>7</v>
      </c>
      <c r="B130" s="72">
        <v>37726</v>
      </c>
      <c r="C130" s="12">
        <v>2003</v>
      </c>
      <c r="D130" s="11" t="s">
        <v>21</v>
      </c>
      <c r="E130" s="12">
        <v>4</v>
      </c>
      <c r="F130" s="14">
        <v>7.5864515967881783</v>
      </c>
      <c r="G130" s="14">
        <v>0.16568656701431028</v>
      </c>
    </row>
    <row r="131" spans="1:14">
      <c r="A131" s="8">
        <v>14</v>
      </c>
      <c r="B131" s="72">
        <v>37726</v>
      </c>
      <c r="C131" s="12">
        <v>2003</v>
      </c>
      <c r="D131" s="11" t="s">
        <v>21</v>
      </c>
      <c r="E131" s="12">
        <v>4</v>
      </c>
      <c r="F131" s="14">
        <v>6.3995846942038561</v>
      </c>
      <c r="G131" s="14">
        <v>5.126245297303593E-2</v>
      </c>
      <c r="I131" s="27">
        <f>AVERAGE(F129:F131)</f>
        <v>6.4711282129704406</v>
      </c>
      <c r="J131" s="27">
        <f>AVERAGE(G129:G131)</f>
        <v>0.10010085378624772</v>
      </c>
      <c r="L131">
        <f>+J131/I131</f>
        <v>1.5468841057052469E-2</v>
      </c>
      <c r="M131">
        <f>+(L131-$L$931)/$L$932</f>
        <v>-0.64308491791102296</v>
      </c>
      <c r="N131">
        <f>+N128+M131</f>
        <v>-0.65125055331814519</v>
      </c>
    </row>
    <row r="132" spans="1:14">
      <c r="A132" s="8">
        <v>5</v>
      </c>
      <c r="B132" s="72">
        <v>37753</v>
      </c>
      <c r="C132" s="12">
        <v>2003</v>
      </c>
      <c r="D132" s="11" t="s">
        <v>22</v>
      </c>
      <c r="E132" s="12">
        <v>5</v>
      </c>
      <c r="F132" s="14">
        <v>5.7062917028103861</v>
      </c>
      <c r="G132" s="14">
        <v>9.6980753592142616E-2</v>
      </c>
    </row>
    <row r="133" spans="1:14">
      <c r="A133" s="8">
        <v>7</v>
      </c>
      <c r="B133" s="72">
        <v>37755</v>
      </c>
      <c r="C133" s="12">
        <v>2003</v>
      </c>
      <c r="D133" s="11" t="s">
        <v>22</v>
      </c>
      <c r="E133" s="12">
        <v>5</v>
      </c>
      <c r="F133" s="14">
        <v>6.6382630002999914</v>
      </c>
      <c r="G133" s="14">
        <v>0.24395651643368768</v>
      </c>
    </row>
    <row r="134" spans="1:14">
      <c r="A134" s="8">
        <v>14</v>
      </c>
      <c r="B134" s="72">
        <v>37755</v>
      </c>
      <c r="C134" s="12">
        <v>2003</v>
      </c>
      <c r="D134" s="11" t="s">
        <v>22</v>
      </c>
      <c r="E134" s="12">
        <v>5</v>
      </c>
      <c r="F134" s="14">
        <v>3.0104952183256559</v>
      </c>
      <c r="G134" s="14">
        <v>4.8137830692275958E-2</v>
      </c>
      <c r="I134" s="27">
        <f>AVERAGE(F132:F134)</f>
        <v>5.1183499738120117</v>
      </c>
      <c r="J134" s="27">
        <f>AVERAGE(G132:G134)</f>
        <v>0.12969170023936874</v>
      </c>
      <c r="L134">
        <f>+J134/I134</f>
        <v>2.5338576084663042E-2</v>
      </c>
      <c r="M134">
        <f>+(L134-$L$931)/$L$932</f>
        <v>-0.45678424134722528</v>
      </c>
      <c r="N134">
        <f>+N131+M134</f>
        <v>-1.1080347946653704</v>
      </c>
    </row>
    <row r="135" spans="1:14">
      <c r="A135" s="8">
        <v>5</v>
      </c>
      <c r="B135" s="72">
        <v>37792</v>
      </c>
      <c r="C135" s="12">
        <v>2003</v>
      </c>
      <c r="D135" s="11" t="s">
        <v>23</v>
      </c>
      <c r="E135" s="12">
        <v>6</v>
      </c>
      <c r="F135" s="14">
        <v>25.721313922890161</v>
      </c>
      <c r="G135" s="14">
        <v>0</v>
      </c>
    </row>
    <row r="136" spans="1:14">
      <c r="A136" s="8">
        <v>7</v>
      </c>
      <c r="B136" s="72">
        <v>37790</v>
      </c>
      <c r="C136" s="12">
        <v>2003</v>
      </c>
      <c r="D136" s="11" t="s">
        <v>23</v>
      </c>
      <c r="E136" s="12">
        <v>6</v>
      </c>
      <c r="F136" s="14">
        <v>24.046866905257403</v>
      </c>
      <c r="G136" s="14">
        <v>0.19224508467445214</v>
      </c>
    </row>
    <row r="137" spans="1:14">
      <c r="A137" s="8">
        <v>14</v>
      </c>
      <c r="B137" s="72">
        <v>37790</v>
      </c>
      <c r="C137" s="12">
        <v>2003</v>
      </c>
      <c r="D137" s="11" t="s">
        <v>23</v>
      </c>
      <c r="E137" s="12">
        <v>6</v>
      </c>
      <c r="F137" s="14">
        <v>19.344712416949509</v>
      </c>
      <c r="G137" s="14">
        <v>8.390508991628598E-2</v>
      </c>
      <c r="I137" s="27">
        <f>AVERAGE(F135:F137)</f>
        <v>23.037631081699022</v>
      </c>
      <c r="J137" s="27">
        <f>AVERAGE(G135:G137)</f>
        <v>9.2050058196912699E-2</v>
      </c>
      <c r="L137">
        <f>+J137/I137</f>
        <v>3.9956390425071441E-3</v>
      </c>
      <c r="M137">
        <f>+(L137-$L$931)/$L$932</f>
        <v>-0.85965256554121416</v>
      </c>
      <c r="N137">
        <f>+N134+M137</f>
        <v>-1.9676873602065845</v>
      </c>
    </row>
    <row r="138" spans="1:14">
      <c r="A138" s="8">
        <v>5</v>
      </c>
      <c r="B138" s="72">
        <v>37819</v>
      </c>
      <c r="C138" s="12">
        <v>2003</v>
      </c>
      <c r="D138" s="15" t="s">
        <v>24</v>
      </c>
      <c r="E138" s="12">
        <v>7</v>
      </c>
      <c r="F138" s="14">
        <v>23.604890275664197</v>
      </c>
      <c r="G138" s="14">
        <v>0.12764234397128355</v>
      </c>
    </row>
    <row r="139" spans="1:14">
      <c r="A139" s="8">
        <v>7</v>
      </c>
      <c r="B139" s="72">
        <v>37819</v>
      </c>
      <c r="C139" s="12">
        <v>2003</v>
      </c>
      <c r="D139" s="15" t="s">
        <v>24</v>
      </c>
      <c r="E139" s="12">
        <v>7</v>
      </c>
      <c r="F139" s="14">
        <v>12.457397107199027</v>
      </c>
      <c r="G139" s="14">
        <v>7.7431054756380749E-2</v>
      </c>
    </row>
    <row r="140" spans="1:14">
      <c r="A140" s="8">
        <v>14</v>
      </c>
      <c r="B140" s="72">
        <v>37819</v>
      </c>
      <c r="C140" s="12">
        <v>2003</v>
      </c>
      <c r="D140" s="15" t="s">
        <v>24</v>
      </c>
      <c r="E140" s="12">
        <v>7</v>
      </c>
      <c r="F140" s="14">
        <v>9.2505405597753807</v>
      </c>
      <c r="G140" s="14">
        <v>3.6914981481075734E-2</v>
      </c>
      <c r="I140" s="27">
        <f>AVERAGE(F138:F140)</f>
        <v>15.104275980879535</v>
      </c>
      <c r="J140" s="27">
        <f>AVERAGE(G138:G140)</f>
        <v>8.0662793402913338E-2</v>
      </c>
      <c r="L140">
        <f>+J140/I140</f>
        <v>5.3403945680696088E-3</v>
      </c>
      <c r="M140">
        <f>+(L140-$L$931)/$L$932</f>
        <v>-0.83426902043849982</v>
      </c>
      <c r="N140">
        <f>+N137+M140</f>
        <v>-2.8019563806450845</v>
      </c>
    </row>
    <row r="141" spans="1:14">
      <c r="A141" s="8">
        <v>5</v>
      </c>
      <c r="B141" s="72">
        <v>37847</v>
      </c>
      <c r="C141" s="12">
        <v>2003</v>
      </c>
      <c r="D141" s="15" t="s">
        <v>25</v>
      </c>
      <c r="E141" s="12">
        <v>8</v>
      </c>
      <c r="F141" s="14">
        <v>7.2400193285806429</v>
      </c>
      <c r="G141" s="14">
        <v>0.16096967440786819</v>
      </c>
    </row>
    <row r="142" spans="1:14">
      <c r="A142" s="8">
        <v>7</v>
      </c>
      <c r="B142" s="72">
        <v>37847</v>
      </c>
      <c r="C142" s="12">
        <v>2003</v>
      </c>
      <c r="D142" s="15" t="s">
        <v>25</v>
      </c>
      <c r="E142" s="12">
        <v>8</v>
      </c>
      <c r="F142" s="14">
        <v>9.7313972400102831</v>
      </c>
      <c r="G142" s="14">
        <v>0.4492464585014419</v>
      </c>
    </row>
    <row r="143" spans="1:14">
      <c r="A143" s="8">
        <v>14</v>
      </c>
      <c r="B143" s="72">
        <v>37847</v>
      </c>
      <c r="C143" s="12">
        <v>2003</v>
      </c>
      <c r="D143" s="15" t="s">
        <v>25</v>
      </c>
      <c r="E143" s="12">
        <v>8</v>
      </c>
      <c r="F143" s="14">
        <v>7.7509229540473807</v>
      </c>
      <c r="G143" s="14">
        <v>0.24486810498493716</v>
      </c>
      <c r="I143" s="27">
        <f>AVERAGE(F141:F143)</f>
        <v>8.2407798408794353</v>
      </c>
      <c r="J143" s="27">
        <f>AVERAGE(G141:G143)</f>
        <v>0.28502807929808244</v>
      </c>
      <c r="L143">
        <f>+J143/I143</f>
        <v>3.4587512929803617E-2</v>
      </c>
      <c r="M143">
        <f>+(L143-$L$931)/$L$932</f>
        <v>-0.28220172348578293</v>
      </c>
      <c r="N143">
        <f>+N140+M143</f>
        <v>-3.0841581041308674</v>
      </c>
    </row>
    <row r="144" spans="1:14">
      <c r="A144" s="8">
        <v>5</v>
      </c>
      <c r="B144" s="72">
        <v>37888</v>
      </c>
      <c r="C144" s="12">
        <v>2003</v>
      </c>
      <c r="D144" s="15" t="s">
        <v>26</v>
      </c>
      <c r="E144" s="12">
        <v>9</v>
      </c>
      <c r="F144" s="14">
        <v>5.3259843794054316</v>
      </c>
      <c r="G144" s="14">
        <v>7.0766722838774665E-2</v>
      </c>
    </row>
    <row r="145" spans="1:14">
      <c r="A145" s="8">
        <v>7</v>
      </c>
      <c r="B145" s="72">
        <v>37886</v>
      </c>
      <c r="C145" s="12">
        <v>2003</v>
      </c>
      <c r="D145" s="15" t="s">
        <v>26</v>
      </c>
      <c r="E145" s="12">
        <v>9</v>
      </c>
      <c r="F145" s="14">
        <v>16.280058665966621</v>
      </c>
      <c r="G145" s="14">
        <v>0.64005526774287957</v>
      </c>
    </row>
    <row r="146" spans="1:14">
      <c r="A146" s="8">
        <v>14</v>
      </c>
      <c r="B146" s="72">
        <v>37886</v>
      </c>
      <c r="C146" s="12">
        <v>2003</v>
      </c>
      <c r="D146" s="15" t="s">
        <v>26</v>
      </c>
      <c r="E146" s="12">
        <v>9</v>
      </c>
      <c r="F146" s="14">
        <v>12.118507065010169</v>
      </c>
      <c r="G146" s="14">
        <v>0.47327993114083333</v>
      </c>
      <c r="I146" s="27">
        <f>AVERAGE(F144:F146)</f>
        <v>11.241516703460741</v>
      </c>
      <c r="J146" s="27">
        <f>AVERAGE(G144:G146)</f>
        <v>0.39470064057416249</v>
      </c>
      <c r="L146">
        <f>+J146/I146</f>
        <v>3.5110977547420492E-2</v>
      </c>
      <c r="M146">
        <f>+(L146-$L$931)/$L$932</f>
        <v>-0.27232082879647096</v>
      </c>
      <c r="N146">
        <f>+N143+M146</f>
        <v>-3.3564789329273386</v>
      </c>
    </row>
    <row r="147" spans="1:14">
      <c r="A147" s="8">
        <v>5</v>
      </c>
      <c r="B147" s="72">
        <v>37910</v>
      </c>
      <c r="C147" s="12">
        <v>2003</v>
      </c>
      <c r="D147" s="15" t="s">
        <v>14</v>
      </c>
      <c r="E147" s="12">
        <v>10</v>
      </c>
      <c r="F147" s="13">
        <v>5.1002000000000001</v>
      </c>
      <c r="G147" s="14">
        <v>0.43098040197329623</v>
      </c>
    </row>
    <row r="148" spans="1:14">
      <c r="A148" s="8">
        <v>7</v>
      </c>
      <c r="B148" s="72">
        <v>37910</v>
      </c>
      <c r="C148" s="12">
        <v>2003</v>
      </c>
      <c r="D148" s="15" t="s">
        <v>14</v>
      </c>
      <c r="E148" s="12">
        <v>10</v>
      </c>
      <c r="F148" s="13">
        <v>3.2086000000000001</v>
      </c>
      <c r="G148" s="14">
        <v>0.23212981808065178</v>
      </c>
    </row>
    <row r="149" spans="1:14">
      <c r="A149" s="8">
        <v>14</v>
      </c>
      <c r="B149" s="72">
        <v>37910</v>
      </c>
      <c r="C149" s="12">
        <v>2003</v>
      </c>
      <c r="D149" s="15" t="s">
        <v>14</v>
      </c>
      <c r="E149" s="12">
        <v>10</v>
      </c>
      <c r="F149" s="13">
        <v>2.1722999999999999</v>
      </c>
      <c r="G149" s="14">
        <v>0.15820013113672279</v>
      </c>
      <c r="I149" s="27">
        <f>AVERAGE(F147:F149)</f>
        <v>3.4937</v>
      </c>
      <c r="J149" s="27">
        <f>AVERAGE(G147:G149)</f>
        <v>0.27377011706355697</v>
      </c>
      <c r="L149">
        <f>+J149/I149</f>
        <v>7.8361083396844888E-2</v>
      </c>
      <c r="M149">
        <f>+(L149-$L$931)/$L$932</f>
        <v>0.54406623313201208</v>
      </c>
      <c r="N149">
        <f>+N146+M149</f>
        <v>-2.8124126997953267</v>
      </c>
    </row>
    <row r="150" spans="1:14">
      <c r="A150" s="8">
        <v>5</v>
      </c>
      <c r="B150" s="72">
        <v>37943</v>
      </c>
      <c r="C150" s="12">
        <v>2003</v>
      </c>
      <c r="D150" s="15" t="s">
        <v>16</v>
      </c>
      <c r="E150" s="12">
        <v>11</v>
      </c>
      <c r="F150" s="13">
        <v>2.3708</v>
      </c>
      <c r="G150" s="14">
        <v>6.1145193281555661E-2</v>
      </c>
    </row>
    <row r="151" spans="1:14">
      <c r="A151" s="8">
        <v>7</v>
      </c>
      <c r="B151" s="72">
        <v>37942</v>
      </c>
      <c r="C151" s="12">
        <v>2003</v>
      </c>
      <c r="D151" s="15" t="s">
        <v>16</v>
      </c>
      <c r="E151" s="12">
        <v>11</v>
      </c>
      <c r="F151" s="13">
        <v>3.5731999999999999</v>
      </c>
      <c r="G151" s="14">
        <v>0.10215653787338916</v>
      </c>
    </row>
    <row r="152" spans="1:14">
      <c r="A152" s="8">
        <v>14</v>
      </c>
      <c r="B152" s="72">
        <v>37942</v>
      </c>
      <c r="C152" s="12">
        <v>2003</v>
      </c>
      <c r="D152" s="15" t="s">
        <v>16</v>
      </c>
      <c r="E152" s="12">
        <v>11</v>
      </c>
      <c r="F152" s="13">
        <v>1.2110000000000001</v>
      </c>
      <c r="G152" s="14">
        <v>2.0607427823498895E-2</v>
      </c>
      <c r="I152" s="27">
        <f>AVERAGE(F150:F152)</f>
        <v>2.3850000000000002</v>
      </c>
      <c r="J152" s="27">
        <f>AVERAGE(G150:G152)</f>
        <v>6.130305299281457E-2</v>
      </c>
      <c r="L152">
        <f>+J152/I152</f>
        <v>2.5703586160509252E-2</v>
      </c>
      <c r="M152">
        <f>+(L152-$L$931)/$L$932</f>
        <v>-0.44989432749517988</v>
      </c>
      <c r="N152">
        <f>+N149+M152</f>
        <v>-3.2623070272905066</v>
      </c>
    </row>
    <row r="153" spans="1:14">
      <c r="A153" s="8">
        <v>5</v>
      </c>
      <c r="B153" s="72">
        <v>37973</v>
      </c>
      <c r="C153" s="12">
        <v>2003</v>
      </c>
      <c r="D153" s="15" t="s">
        <v>17</v>
      </c>
      <c r="E153" s="12">
        <v>12</v>
      </c>
      <c r="F153" s="13">
        <v>7.5720000000000001</v>
      </c>
      <c r="G153" s="14">
        <v>0.16318884324111949</v>
      </c>
    </row>
    <row r="154" spans="1:14">
      <c r="A154" s="8">
        <v>7</v>
      </c>
      <c r="B154" s="72">
        <v>37971</v>
      </c>
      <c r="C154" s="12">
        <v>2003</v>
      </c>
      <c r="D154" s="15" t="s">
        <v>17</v>
      </c>
      <c r="E154" s="12">
        <v>12</v>
      </c>
      <c r="F154" s="13">
        <v>1.4450000000000001</v>
      </c>
      <c r="G154" s="14">
        <v>0.14400769077223163</v>
      </c>
    </row>
    <row r="155" spans="1:14">
      <c r="A155" s="8">
        <v>14</v>
      </c>
      <c r="B155" s="72">
        <v>37971</v>
      </c>
      <c r="C155" s="12">
        <v>2003</v>
      </c>
      <c r="D155" s="15" t="s">
        <v>17</v>
      </c>
      <c r="E155" s="12">
        <v>12</v>
      </c>
      <c r="F155" s="13">
        <v>1.21</v>
      </c>
      <c r="G155" s="14">
        <v>7.6551714981481611E-2</v>
      </c>
      <c r="I155" s="27">
        <f>AVERAGE(F153:F155)</f>
        <v>3.4090000000000003</v>
      </c>
      <c r="J155" s="27">
        <f>AVERAGE(G153:G155)</f>
        <v>0.12791608299827759</v>
      </c>
      <c r="L155">
        <f>+J155/I155</f>
        <v>3.7523051627538155E-2</v>
      </c>
      <c r="M155">
        <f>+(L155-$L$931)/$L$932</f>
        <v>-0.22679062643634626</v>
      </c>
      <c r="N155">
        <f>+N152+M155</f>
        <v>-3.4890976537268528</v>
      </c>
    </row>
    <row r="156" spans="1:14">
      <c r="A156" s="8">
        <v>5</v>
      </c>
      <c r="B156" s="72">
        <v>37999</v>
      </c>
      <c r="C156" s="12">
        <v>2004</v>
      </c>
      <c r="D156" s="15" t="s">
        <v>18</v>
      </c>
      <c r="E156" s="12">
        <v>1</v>
      </c>
      <c r="F156" s="13">
        <v>8.5737000000000005</v>
      </c>
      <c r="G156" s="13">
        <v>2.6948203281060339E-2</v>
      </c>
    </row>
    <row r="157" spans="1:14">
      <c r="A157" s="8">
        <v>7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14</v>
      </c>
      <c r="C158" s="12">
        <v>2004</v>
      </c>
      <c r="D158" s="15" t="s">
        <v>18</v>
      </c>
      <c r="E158" s="12">
        <v>1</v>
      </c>
      <c r="F158" s="13"/>
      <c r="I158" s="27">
        <f>AVERAGE(F156:F158)</f>
        <v>8.5737000000000005</v>
      </c>
      <c r="J158" s="27">
        <f>AVERAGE(G156:G158)</f>
        <v>2.6948203281060339E-2</v>
      </c>
      <c r="L158">
        <f>+J158/I158</f>
        <v>3.1431241215648248E-3</v>
      </c>
      <c r="M158">
        <f>+(L158-$L$931)/$L$932</f>
        <v>-0.87574459902620405</v>
      </c>
      <c r="N158">
        <f>+N155+M158</f>
        <v>-4.364842252753057</v>
      </c>
    </row>
    <row r="159" spans="1:14">
      <c r="A159" s="8">
        <v>5</v>
      </c>
      <c r="B159" s="72">
        <v>38027</v>
      </c>
      <c r="C159" s="12">
        <v>2004</v>
      </c>
      <c r="D159" s="11" t="s">
        <v>19</v>
      </c>
      <c r="E159" s="12">
        <v>2</v>
      </c>
      <c r="F159" s="13">
        <v>7.1506999999999996</v>
      </c>
      <c r="G159" s="13">
        <v>3.2898402393573403E-2</v>
      </c>
    </row>
    <row r="160" spans="1:14">
      <c r="A160" s="8">
        <v>7</v>
      </c>
      <c r="B160" s="72">
        <v>38026</v>
      </c>
      <c r="C160" s="12">
        <v>2004</v>
      </c>
      <c r="D160" s="11" t="s">
        <v>19</v>
      </c>
      <c r="E160" s="12">
        <v>2</v>
      </c>
      <c r="F160" s="13">
        <v>4.0072999999999999</v>
      </c>
      <c r="G160" s="13">
        <v>0.10370252087540481</v>
      </c>
    </row>
    <row r="161" spans="1:14">
      <c r="A161" s="8">
        <v>14</v>
      </c>
      <c r="B161" s="72">
        <v>38026</v>
      </c>
      <c r="C161" s="12">
        <v>2004</v>
      </c>
      <c r="D161" s="11" t="s">
        <v>19</v>
      </c>
      <c r="E161" s="12">
        <v>2</v>
      </c>
      <c r="F161" s="13">
        <v>7.3216000000000001</v>
      </c>
      <c r="G161" s="13">
        <v>2.0592488294386015E-2</v>
      </c>
      <c r="I161" s="27">
        <f>AVERAGE(F159:F161)</f>
        <v>6.1598666666666659</v>
      </c>
      <c r="J161" s="27">
        <f>AVERAGE(G159:G161)</f>
        <v>5.2397803854454743E-2</v>
      </c>
      <c r="L161">
        <f>+J161/I161</f>
        <v>8.5063211088640574E-3</v>
      </c>
      <c r="M161">
        <f>+(L161-$L$931)/$L$932</f>
        <v>-0.77450913277674538</v>
      </c>
      <c r="N161">
        <f>+N158+M161</f>
        <v>-5.1393513855298023</v>
      </c>
    </row>
    <row r="162" spans="1:14">
      <c r="A162" s="8">
        <v>5</v>
      </c>
      <c r="B162" s="72">
        <v>38063</v>
      </c>
      <c r="C162" s="12">
        <v>2004</v>
      </c>
      <c r="D162" s="11" t="s">
        <v>20</v>
      </c>
      <c r="E162" s="12">
        <v>3</v>
      </c>
      <c r="F162" s="13">
        <v>5.0831999999999997</v>
      </c>
      <c r="G162" s="13">
        <v>2.9831276747966675E-2</v>
      </c>
    </row>
    <row r="163" spans="1:14">
      <c r="A163" s="8">
        <v>7</v>
      </c>
      <c r="B163" s="72">
        <v>38061</v>
      </c>
      <c r="C163" s="12">
        <v>2004</v>
      </c>
      <c r="D163" s="11" t="s">
        <v>20</v>
      </c>
      <c r="E163" s="12">
        <v>3</v>
      </c>
      <c r="F163" s="13">
        <v>8.2256999999999998</v>
      </c>
      <c r="G163" s="13">
        <v>0.18748573693384049</v>
      </c>
    </row>
    <row r="164" spans="1:14">
      <c r="A164" s="8">
        <v>14</v>
      </c>
      <c r="B164" s="72">
        <v>38063</v>
      </c>
      <c r="C164" s="12">
        <v>2004</v>
      </c>
      <c r="D164" s="11" t="s">
        <v>20</v>
      </c>
      <c r="E164" s="12">
        <v>3</v>
      </c>
      <c r="F164" s="13">
        <v>9.5517000000000003</v>
      </c>
      <c r="G164" s="13">
        <v>0</v>
      </c>
      <c r="I164" s="27">
        <f>AVERAGE(F162:F164)</f>
        <v>7.6201999999999996</v>
      </c>
      <c r="J164" s="27">
        <f>AVERAGE(G162:G164)</f>
        <v>7.2439004560602385E-2</v>
      </c>
      <c r="L164">
        <f>+J164/I164</f>
        <v>9.5061815386213479E-3</v>
      </c>
      <c r="M164">
        <f>+(L164-$L$931)/$L$932</f>
        <v>-0.75563581206326635</v>
      </c>
      <c r="N164">
        <f>+N161+M164</f>
        <v>-5.8949871975930686</v>
      </c>
    </row>
    <row r="165" spans="1:14">
      <c r="A165" s="8">
        <v>5</v>
      </c>
      <c r="B165" s="72">
        <v>38094</v>
      </c>
      <c r="C165" s="12">
        <v>2004</v>
      </c>
      <c r="D165" s="11" t="s">
        <v>21</v>
      </c>
      <c r="E165" s="12">
        <v>4</v>
      </c>
      <c r="F165" s="13">
        <v>1.9147000000000001</v>
      </c>
      <c r="G165" s="21">
        <v>0.11065685100059267</v>
      </c>
    </row>
    <row r="166" spans="1:14">
      <c r="A166" s="8">
        <v>7</v>
      </c>
      <c r="B166" s="72">
        <v>38093</v>
      </c>
      <c r="C166" s="12">
        <v>2004</v>
      </c>
      <c r="D166" s="11" t="s">
        <v>21</v>
      </c>
      <c r="E166" s="12">
        <v>4</v>
      </c>
      <c r="F166" s="13">
        <v>2.0545</v>
      </c>
      <c r="G166" s="21">
        <v>0.1306045059398783</v>
      </c>
    </row>
    <row r="167" spans="1:14">
      <c r="A167" s="8">
        <v>14</v>
      </c>
      <c r="B167" s="72">
        <v>38094</v>
      </c>
      <c r="C167" s="12">
        <v>2004</v>
      </c>
      <c r="D167" s="11" t="s">
        <v>21</v>
      </c>
      <c r="E167" s="12">
        <v>4</v>
      </c>
      <c r="F167" s="13">
        <v>1.3051999999999999</v>
      </c>
      <c r="G167" s="21">
        <v>3.3045428991815069E-2</v>
      </c>
      <c r="I167" s="27">
        <f>AVERAGE(F165:F167)</f>
        <v>1.7581333333333333</v>
      </c>
      <c r="J167" s="27">
        <f>AVERAGE(G165:G167)</f>
        <v>9.1435595310762008E-2</v>
      </c>
      <c r="L167">
        <f>+J167/I167</f>
        <v>5.2007201943782423E-2</v>
      </c>
      <c r="M167">
        <f>+(L167-$L$931)/$L$932</f>
        <v>4.6611546552012759E-2</v>
      </c>
      <c r="N167">
        <f>+N164+M167</f>
        <v>-5.8483756510410556</v>
      </c>
    </row>
    <row r="168" spans="1:14">
      <c r="A168" s="8">
        <v>5</v>
      </c>
      <c r="B168" s="72">
        <v>38118</v>
      </c>
      <c r="C168" s="12">
        <v>2004</v>
      </c>
      <c r="D168" s="11" t="s">
        <v>22</v>
      </c>
      <c r="E168" s="12">
        <v>5</v>
      </c>
      <c r="F168" s="13">
        <v>5.8826999999999998</v>
      </c>
      <c r="G168" s="21">
        <v>2.4402370941568288E-2</v>
      </c>
    </row>
    <row r="169" spans="1:14">
      <c r="A169" s="8">
        <v>7</v>
      </c>
      <c r="B169" s="72">
        <v>38117</v>
      </c>
      <c r="C169" s="12">
        <v>2004</v>
      </c>
      <c r="D169" s="11" t="s">
        <v>22</v>
      </c>
      <c r="E169" s="12">
        <v>5</v>
      </c>
      <c r="F169" s="13">
        <v>4.5316999999999998</v>
      </c>
      <c r="G169" s="21">
        <v>3.7148756642373944E-2</v>
      </c>
    </row>
    <row r="170" spans="1:14">
      <c r="A170" s="8">
        <v>14</v>
      </c>
      <c r="B170" s="72">
        <v>38117</v>
      </c>
      <c r="C170" s="12">
        <v>2004</v>
      </c>
      <c r="D170" s="11" t="s">
        <v>22</v>
      </c>
      <c r="E170" s="12">
        <v>5</v>
      </c>
      <c r="F170" s="13">
        <v>3.9127000000000001</v>
      </c>
      <c r="G170" s="21">
        <v>1.9722886659094614E-2</v>
      </c>
      <c r="I170" s="27">
        <f>AVERAGE(F168:F170)</f>
        <v>4.7757000000000005</v>
      </c>
      <c r="J170" s="27">
        <f>AVERAGE(G168:G170)</f>
        <v>2.7091338081012283E-2</v>
      </c>
      <c r="L170">
        <f>+J170/I170</f>
        <v>5.6727470488121701E-3</v>
      </c>
      <c r="M170">
        <f>+(L170-$L$931)/$L$932</f>
        <v>-0.82799554988971802</v>
      </c>
      <c r="N170">
        <f>+N167+M170</f>
        <v>-6.6763712009307739</v>
      </c>
    </row>
    <row r="171" spans="1:14">
      <c r="A171" s="8">
        <v>5</v>
      </c>
      <c r="B171" s="72">
        <v>38153</v>
      </c>
      <c r="C171" s="12">
        <v>2004</v>
      </c>
      <c r="D171" s="11" t="s">
        <v>23</v>
      </c>
      <c r="E171" s="12">
        <v>6</v>
      </c>
      <c r="F171" s="13">
        <v>20.198</v>
      </c>
      <c r="G171" s="21">
        <v>4.854605886253003E-2</v>
      </c>
    </row>
    <row r="172" spans="1:14">
      <c r="A172" s="8">
        <v>7</v>
      </c>
      <c r="B172" s="72">
        <v>38155</v>
      </c>
      <c r="C172" s="12">
        <v>2004</v>
      </c>
      <c r="D172" s="11" t="s">
        <v>23</v>
      </c>
      <c r="E172" s="12">
        <v>6</v>
      </c>
      <c r="F172" s="13">
        <v>12.244300000000001</v>
      </c>
      <c r="G172" s="21">
        <v>0.61073890429733335</v>
      </c>
    </row>
    <row r="173" spans="1:14">
      <c r="A173" s="8">
        <v>14</v>
      </c>
      <c r="B173" s="72">
        <v>38155</v>
      </c>
      <c r="C173" s="12">
        <v>2004</v>
      </c>
      <c r="D173" s="11" t="s">
        <v>23</v>
      </c>
      <c r="E173" s="12">
        <v>6</v>
      </c>
      <c r="F173" s="13">
        <v>14.904</v>
      </c>
      <c r="G173" s="21">
        <v>0.11370167570737787</v>
      </c>
      <c r="I173" s="27">
        <f>AVERAGE(F171:F173)</f>
        <v>15.7821</v>
      </c>
      <c r="J173" s="27">
        <f>AVERAGE(G171:G173)</f>
        <v>0.25766221295574709</v>
      </c>
      <c r="L173">
        <f>+J173/I173</f>
        <v>1.6326231170487267E-2</v>
      </c>
      <c r="M173">
        <f>+(L173-$L$931)/$L$932</f>
        <v>-0.62690086051078253</v>
      </c>
      <c r="N173">
        <f>+N170+M173</f>
        <v>-7.3032720614415565</v>
      </c>
    </row>
    <row r="174" spans="1:14">
      <c r="A174" s="8">
        <v>5</v>
      </c>
      <c r="B174" s="72">
        <v>38181</v>
      </c>
      <c r="C174" s="12">
        <v>2004</v>
      </c>
      <c r="D174" s="15" t="s">
        <v>24</v>
      </c>
      <c r="E174" s="12">
        <v>7</v>
      </c>
      <c r="F174" s="13">
        <v>19.3645</v>
      </c>
      <c r="G174" s="21">
        <v>0.14457254129556907</v>
      </c>
    </row>
    <row r="175" spans="1:14">
      <c r="A175" s="8">
        <v>7</v>
      </c>
      <c r="B175" s="72">
        <v>38182</v>
      </c>
      <c r="C175" s="12">
        <v>2004</v>
      </c>
      <c r="D175" s="15" t="s">
        <v>24</v>
      </c>
      <c r="E175" s="12">
        <v>7</v>
      </c>
      <c r="F175" s="13">
        <v>19.139500000000002</v>
      </c>
      <c r="G175" s="21">
        <v>2.5743626604460128</v>
      </c>
    </row>
    <row r="176" spans="1:14">
      <c r="A176" s="8">
        <v>14</v>
      </c>
      <c r="B176" s="72">
        <v>38182</v>
      </c>
      <c r="C176" s="12">
        <v>2004</v>
      </c>
      <c r="D176" s="15" t="s">
        <v>24</v>
      </c>
      <c r="E176" s="12">
        <v>7</v>
      </c>
      <c r="F176" s="13">
        <v>9.0954999999999995</v>
      </c>
      <c r="G176" s="21">
        <v>0.49656408712725081</v>
      </c>
      <c r="I176" s="27">
        <f>AVERAGE(F174:F176)</f>
        <v>15.866500000000002</v>
      </c>
      <c r="J176" s="27">
        <f>AVERAGE(G174:G176)</f>
        <v>1.071833096289611</v>
      </c>
      <c r="L176">
        <f>+J176/I176</f>
        <v>6.7553215661274438E-2</v>
      </c>
      <c r="M176">
        <f>+(L176-$L$931)/$L$932</f>
        <v>0.3400574055681499</v>
      </c>
      <c r="N176">
        <f>+N173+M176</f>
        <v>-6.9632146558734069</v>
      </c>
    </row>
    <row r="177" spans="1:14">
      <c r="A177" s="8">
        <v>5</v>
      </c>
      <c r="B177" s="72">
        <v>38217</v>
      </c>
      <c r="C177" s="12">
        <v>2004</v>
      </c>
      <c r="D177" s="15" t="s">
        <v>25</v>
      </c>
      <c r="E177" s="12">
        <v>8</v>
      </c>
      <c r="F177" s="13">
        <v>21.066400000000002</v>
      </c>
      <c r="G177" s="21">
        <v>0.25269298809472029</v>
      </c>
    </row>
    <row r="178" spans="1:14">
      <c r="A178" s="8">
        <v>7</v>
      </c>
      <c r="B178" s="72">
        <v>38218</v>
      </c>
      <c r="C178" s="12">
        <v>2004</v>
      </c>
      <c r="D178" s="15" t="s">
        <v>25</v>
      </c>
      <c r="E178" s="12">
        <v>8</v>
      </c>
      <c r="F178" s="13">
        <v>30.9527</v>
      </c>
      <c r="G178" s="21">
        <v>7.556193880782109</v>
      </c>
    </row>
    <row r="179" spans="1:14">
      <c r="A179" s="8">
        <v>14</v>
      </c>
      <c r="B179" s="72">
        <v>38218</v>
      </c>
      <c r="C179" s="12">
        <v>2004</v>
      </c>
      <c r="D179" s="15" t="s">
        <v>25</v>
      </c>
      <c r="E179" s="12">
        <v>8</v>
      </c>
      <c r="F179" s="13">
        <v>25.721599999999999</v>
      </c>
      <c r="G179" s="19"/>
      <c r="I179" s="27">
        <f>AVERAGE(F177:F179)</f>
        <v>25.913566666666668</v>
      </c>
      <c r="J179" s="27">
        <f>AVERAGE(G177:G179)</f>
        <v>3.9044434344384147</v>
      </c>
      <c r="L179">
        <f>+J179/I179</f>
        <v>0.15067178843662643</v>
      </c>
      <c r="M179">
        <f>+(L179-$L$931)/$L$932</f>
        <v>1.9089998644838082</v>
      </c>
      <c r="N179">
        <f>+N176+M179</f>
        <v>-5.0542147913895992</v>
      </c>
    </row>
    <row r="180" spans="1:14">
      <c r="A180" s="8">
        <v>5</v>
      </c>
      <c r="B180" s="72">
        <v>38244</v>
      </c>
      <c r="C180" s="12">
        <v>2004</v>
      </c>
      <c r="D180" s="15" t="s">
        <v>26</v>
      </c>
      <c r="E180" s="12">
        <v>9</v>
      </c>
      <c r="F180" s="13">
        <v>17.081199999999999</v>
      </c>
      <c r="G180" s="21">
        <v>0.71963685005129674</v>
      </c>
    </row>
    <row r="181" spans="1:14">
      <c r="A181" s="8">
        <v>7</v>
      </c>
      <c r="B181" s="72">
        <v>38246</v>
      </c>
      <c r="C181" s="12">
        <v>2004</v>
      </c>
      <c r="D181" s="15" t="s">
        <v>26</v>
      </c>
      <c r="E181" s="12">
        <v>9</v>
      </c>
      <c r="F181" s="13">
        <v>18.3614</v>
      </c>
      <c r="G181" s="21">
        <v>1.8060648103095729</v>
      </c>
    </row>
    <row r="182" spans="1:14">
      <c r="A182" s="8">
        <v>14</v>
      </c>
      <c r="B182" s="72">
        <v>38246</v>
      </c>
      <c r="C182" s="12">
        <v>2004</v>
      </c>
      <c r="D182" s="15" t="s">
        <v>26</v>
      </c>
      <c r="E182" s="12">
        <v>9</v>
      </c>
      <c r="F182" s="13">
        <v>4.8436000000000003</v>
      </c>
      <c r="G182" s="21">
        <v>0.19941095527298944</v>
      </c>
      <c r="I182" s="27">
        <f>AVERAGE(F180:F182)</f>
        <v>13.428733333333334</v>
      </c>
      <c r="J182" s="27">
        <f>AVERAGE(G180:G182)</f>
        <v>0.90837087187795307</v>
      </c>
      <c r="L182">
        <f>+J182/I182</f>
        <v>6.7643823831333286E-2</v>
      </c>
      <c r="M182">
        <f>+(L182-$L$931)/$L$932</f>
        <v>0.34176772133011801</v>
      </c>
      <c r="N182">
        <f>+N179+M182</f>
        <v>-4.7124470700594809</v>
      </c>
    </row>
    <row r="183" spans="1:14">
      <c r="A183" s="8">
        <v>5</v>
      </c>
      <c r="B183" s="72">
        <v>38273</v>
      </c>
      <c r="C183" s="12">
        <v>2004</v>
      </c>
      <c r="D183" s="15" t="s">
        <v>14</v>
      </c>
      <c r="E183" s="12">
        <v>10</v>
      </c>
      <c r="F183" s="14">
        <v>2.69007</v>
      </c>
      <c r="G183" s="14">
        <v>5.6407532358487993E-2</v>
      </c>
    </row>
    <row r="184" spans="1:14">
      <c r="A184" s="8">
        <v>7</v>
      </c>
      <c r="B184" s="72">
        <v>38273</v>
      </c>
      <c r="C184" s="12">
        <v>2004</v>
      </c>
      <c r="D184" s="15" t="s">
        <v>14</v>
      </c>
      <c r="E184" s="12">
        <v>10</v>
      </c>
      <c r="F184" s="14">
        <v>3.7547999999999999</v>
      </c>
      <c r="G184" s="14">
        <v>8.145702907354678E-2</v>
      </c>
    </row>
    <row r="185" spans="1:14">
      <c r="A185" s="8">
        <v>14</v>
      </c>
      <c r="B185" s="72">
        <v>38273</v>
      </c>
      <c r="C185" s="12">
        <v>2004</v>
      </c>
      <c r="D185" s="15" t="s">
        <v>14</v>
      </c>
      <c r="E185" s="12">
        <v>10</v>
      </c>
      <c r="F185" s="14">
        <v>2.8638300000000001</v>
      </c>
      <c r="G185" s="14">
        <v>5.5174317885318958E-2</v>
      </c>
      <c r="I185" s="27">
        <f>AVERAGE(F183:F185)</f>
        <v>3.1029</v>
      </c>
      <c r="J185" s="27">
        <f>AVERAGE(G183:G185)</f>
        <v>6.4346293105784574E-2</v>
      </c>
      <c r="L185">
        <f>+J185/I185</f>
        <v>2.0737469175862767E-2</v>
      </c>
      <c r="M185">
        <f>+(L185-$L$931)/$L$932</f>
        <v>-0.54363452938979884</v>
      </c>
      <c r="N185">
        <f>+N182+M185</f>
        <v>-5.2560815994492796</v>
      </c>
    </row>
    <row r="186" spans="1:14">
      <c r="A186" s="8">
        <v>5</v>
      </c>
      <c r="B186" s="72">
        <v>38307</v>
      </c>
      <c r="C186" s="12">
        <v>2004</v>
      </c>
      <c r="D186" s="15" t="s">
        <v>16</v>
      </c>
      <c r="E186" s="12">
        <v>11</v>
      </c>
      <c r="F186" s="14">
        <v>2.5941100000000001</v>
      </c>
      <c r="G186" s="14">
        <v>5.9141238929310266E-2</v>
      </c>
    </row>
    <row r="187" spans="1:14">
      <c r="A187" s="8">
        <v>7</v>
      </c>
      <c r="B187" s="72">
        <v>38307</v>
      </c>
      <c r="C187" s="12">
        <v>2004</v>
      </c>
      <c r="D187" s="15" t="s">
        <v>16</v>
      </c>
      <c r="E187" s="12">
        <v>11</v>
      </c>
      <c r="F187" s="14">
        <v>2.2926099999999998</v>
      </c>
      <c r="G187" s="14">
        <v>0.24189712968405927</v>
      </c>
    </row>
    <row r="188" spans="1:14">
      <c r="A188" s="8">
        <v>14</v>
      </c>
      <c r="B188" s="72">
        <v>38307</v>
      </c>
      <c r="C188" s="12">
        <v>2004</v>
      </c>
      <c r="D188" s="15" t="s">
        <v>16</v>
      </c>
      <c r="E188" s="12">
        <v>11</v>
      </c>
      <c r="F188" s="14">
        <v>1.3500300000000001</v>
      </c>
      <c r="G188" s="14">
        <v>0.11418679693608853</v>
      </c>
      <c r="I188" s="27">
        <f>AVERAGE(F186:F188)</f>
        <v>2.0789166666666667</v>
      </c>
      <c r="J188" s="27">
        <f>AVERAGE(G186:G188)</f>
        <v>0.13840838851648601</v>
      </c>
      <c r="L188">
        <f>+J188/I188</f>
        <v>6.6577170088500906E-2</v>
      </c>
      <c r="M188">
        <f>+(L188-$L$931)/$L$932</f>
        <v>0.32163361302902732</v>
      </c>
      <c r="N188">
        <f>+N185+M188</f>
        <v>-4.9344479864202526</v>
      </c>
    </row>
    <row r="189" spans="1:14">
      <c r="A189" s="8">
        <v>5</v>
      </c>
      <c r="B189" s="72">
        <v>38336</v>
      </c>
      <c r="C189" s="12">
        <v>2004</v>
      </c>
      <c r="D189" s="15" t="s">
        <v>17</v>
      </c>
      <c r="E189" s="12">
        <v>12</v>
      </c>
      <c r="F189" s="14">
        <v>2.5420099999999999</v>
      </c>
      <c r="G189" s="14">
        <v>0.19131963328544649</v>
      </c>
    </row>
    <row r="190" spans="1:14">
      <c r="A190" s="8">
        <v>7</v>
      </c>
      <c r="B190" s="72">
        <v>38336</v>
      </c>
      <c r="C190" s="12">
        <v>2004</v>
      </c>
      <c r="D190" s="15" t="s">
        <v>17</v>
      </c>
      <c r="E190" s="12">
        <v>12</v>
      </c>
      <c r="F190" s="14">
        <v>1.8256600000000001</v>
      </c>
      <c r="G190" s="14">
        <v>5.9220030163794644E-2</v>
      </c>
    </row>
    <row r="191" spans="1:14">
      <c r="A191" s="8">
        <v>14</v>
      </c>
      <c r="B191" s="72">
        <v>38336</v>
      </c>
      <c r="C191" s="12">
        <v>2004</v>
      </c>
      <c r="D191" s="15" t="s">
        <v>17</v>
      </c>
      <c r="E191" s="12">
        <v>12</v>
      </c>
      <c r="F191" s="14">
        <v>1.59598</v>
      </c>
      <c r="G191" s="14">
        <v>7.5003898599602631E-2</v>
      </c>
      <c r="I191" s="27">
        <f>AVERAGE(F189:F191)</f>
        <v>1.9878833333333334</v>
      </c>
      <c r="J191" s="27">
        <f>AVERAGE(G189:G191)</f>
        <v>0.10851452068294791</v>
      </c>
      <c r="L191">
        <f>+J191/I191</f>
        <v>5.4587972474716612E-2</v>
      </c>
      <c r="M191">
        <f>+(L191-$L$931)/$L$932</f>
        <v>9.5326055566075985E-2</v>
      </c>
      <c r="N191">
        <f>+N188+M191</f>
        <v>-4.8391219308541764</v>
      </c>
    </row>
    <row r="192" spans="1:14">
      <c r="A192" s="8">
        <v>5</v>
      </c>
      <c r="B192" s="75">
        <v>38363</v>
      </c>
      <c r="C192" s="12">
        <v>2005</v>
      </c>
      <c r="D192" s="15" t="s">
        <v>18</v>
      </c>
      <c r="E192" s="12">
        <v>1</v>
      </c>
      <c r="F192" s="14">
        <v>4.5729699999999998</v>
      </c>
      <c r="G192" s="14">
        <v>0.34683565562114793</v>
      </c>
    </row>
    <row r="193" spans="1:14">
      <c r="A193" s="8">
        <v>7</v>
      </c>
      <c r="B193" s="75">
        <v>38363</v>
      </c>
      <c r="C193" s="12">
        <v>2005</v>
      </c>
      <c r="D193" s="15" t="s">
        <v>18</v>
      </c>
      <c r="E193" s="12">
        <v>1</v>
      </c>
      <c r="F193" s="14">
        <v>4.6342400000000001</v>
      </c>
      <c r="G193" s="14">
        <v>0.81447461663789</v>
      </c>
    </row>
    <row r="194" spans="1:14">
      <c r="A194" s="8">
        <v>14</v>
      </c>
      <c r="B194" s="75">
        <v>38363</v>
      </c>
      <c r="C194" s="12">
        <v>2005</v>
      </c>
      <c r="D194" s="15" t="s">
        <v>18</v>
      </c>
      <c r="E194" s="12">
        <v>1</v>
      </c>
      <c r="F194" s="14">
        <v>3.4511500000000002</v>
      </c>
      <c r="G194" s="14">
        <v>0.39977458058524146</v>
      </c>
      <c r="I194" s="27">
        <f>AVERAGE(F192:F194)</f>
        <v>4.2194533333333331</v>
      </c>
      <c r="J194" s="27">
        <f>AVERAGE(G192:G194)</f>
        <v>0.52036161761475974</v>
      </c>
      <c r="L194">
        <f>+J194/I194</f>
        <v>0.12332441586779641</v>
      </c>
      <c r="M194">
        <f>+(L194-$L$931)/$L$932</f>
        <v>1.3927920840760786</v>
      </c>
      <c r="N194">
        <f>+N191+M194</f>
        <v>-3.4463298467780978</v>
      </c>
    </row>
    <row r="195" spans="1:14">
      <c r="A195" s="8">
        <v>5</v>
      </c>
      <c r="B195" s="75">
        <v>38399</v>
      </c>
      <c r="C195" s="12">
        <v>2005</v>
      </c>
      <c r="D195" s="11" t="s">
        <v>19</v>
      </c>
      <c r="E195" s="12">
        <v>2</v>
      </c>
      <c r="F195" s="14">
        <v>4.7669499999999996</v>
      </c>
      <c r="G195" s="14">
        <v>0.19302482752036837</v>
      </c>
    </row>
    <row r="196" spans="1:14">
      <c r="A196" s="8">
        <v>7</v>
      </c>
      <c r="B196" s="75">
        <v>38398</v>
      </c>
      <c r="C196" s="12">
        <v>2005</v>
      </c>
      <c r="D196" s="11" t="s">
        <v>19</v>
      </c>
      <c r="E196" s="12">
        <v>2</v>
      </c>
      <c r="F196" s="14">
        <v>3.8970199999999999</v>
      </c>
      <c r="G196" s="14">
        <v>0.1106997199477031</v>
      </c>
    </row>
    <row r="197" spans="1:14">
      <c r="A197" s="8">
        <v>14</v>
      </c>
      <c r="B197" s="75">
        <v>38398</v>
      </c>
      <c r="C197" s="12">
        <v>2005</v>
      </c>
      <c r="D197" s="11" t="s">
        <v>19</v>
      </c>
      <c r="E197" s="12">
        <v>2</v>
      </c>
      <c r="F197" s="14">
        <v>5.80016</v>
      </c>
      <c r="G197" s="14">
        <v>6.0416775309104415E-2</v>
      </c>
      <c r="I197" s="27">
        <f>AVERAGE(F195:F197)</f>
        <v>4.8213766666666666</v>
      </c>
      <c r="J197" s="27">
        <f>AVERAGE(G195:G197)</f>
        <v>0.12138044092572531</v>
      </c>
      <c r="L197">
        <f>+J197/I197</f>
        <v>2.5175473587224113E-2</v>
      </c>
      <c r="M197">
        <f>+(L197-$L$931)/$L$932</f>
        <v>-0.45986295678762085</v>
      </c>
      <c r="N197">
        <f>+N194+M197</f>
        <v>-3.9061928035657187</v>
      </c>
    </row>
    <row r="198" spans="1:14">
      <c r="A198" s="8">
        <v>5</v>
      </c>
      <c r="B198" s="75">
        <v>38428</v>
      </c>
      <c r="C198" s="12">
        <v>2005</v>
      </c>
      <c r="D198" s="11" t="s">
        <v>20</v>
      </c>
      <c r="E198" s="12">
        <v>3</v>
      </c>
      <c r="F198" s="14">
        <v>1.0083599999999999</v>
      </c>
      <c r="G198" s="14">
        <v>4.1085828891658356E-2</v>
      </c>
    </row>
    <row r="199" spans="1:14">
      <c r="A199" s="8">
        <v>7</v>
      </c>
      <c r="B199" s="75">
        <v>38427</v>
      </c>
      <c r="C199" s="12">
        <v>2005</v>
      </c>
      <c r="D199" s="11" t="s">
        <v>20</v>
      </c>
      <c r="E199" s="12">
        <v>3</v>
      </c>
      <c r="F199" s="14">
        <v>2.6187200000000002</v>
      </c>
      <c r="G199" s="14">
        <v>3.9982792670052961E-2</v>
      </c>
    </row>
    <row r="200" spans="1:14">
      <c r="A200" s="8">
        <v>14</v>
      </c>
      <c r="B200" s="75">
        <v>38427</v>
      </c>
      <c r="C200" s="12">
        <v>2005</v>
      </c>
      <c r="D200" s="11" t="s">
        <v>20</v>
      </c>
      <c r="E200" s="12">
        <v>3</v>
      </c>
      <c r="F200" s="14">
        <v>2.3130199999999999</v>
      </c>
      <c r="G200" s="14">
        <v>4.7697256197194643E-2</v>
      </c>
      <c r="I200" s="27">
        <f>AVERAGE(F198:F200)</f>
        <v>1.9800333333333333</v>
      </c>
      <c r="J200" s="27">
        <f>AVERAGE(G198:G200)</f>
        <v>4.2921959252968656E-2</v>
      </c>
      <c r="L200">
        <f>+J200/I200</f>
        <v>2.1677392259205397E-2</v>
      </c>
      <c r="M200">
        <f>+(L200-$L$931)/$L$932</f>
        <v>-0.52589258334415545</v>
      </c>
      <c r="N200">
        <f>+N197+M200</f>
        <v>-4.4320853869098737</v>
      </c>
    </row>
    <row r="201" spans="1:14">
      <c r="A201" s="8">
        <v>5</v>
      </c>
      <c r="B201" s="75">
        <v>38469</v>
      </c>
      <c r="C201" s="12">
        <v>2005</v>
      </c>
      <c r="D201" s="11" t="s">
        <v>21</v>
      </c>
      <c r="E201" s="12">
        <v>4</v>
      </c>
      <c r="F201" s="14">
        <v>3.3924400000000001</v>
      </c>
      <c r="G201" s="14">
        <v>2.6000531378009714E-2</v>
      </c>
    </row>
    <row r="202" spans="1:14">
      <c r="A202" s="8">
        <v>7</v>
      </c>
      <c r="B202" s="75">
        <v>38469</v>
      </c>
      <c r="C202" s="12">
        <v>2005</v>
      </c>
      <c r="D202" s="11" t="s">
        <v>21</v>
      </c>
      <c r="E202" s="12">
        <v>4</v>
      </c>
      <c r="F202" s="14">
        <v>3.8165</v>
      </c>
      <c r="G202" s="14">
        <v>5.9795082982249524E-2</v>
      </c>
    </row>
    <row r="203" spans="1:14">
      <c r="A203" s="8">
        <v>14</v>
      </c>
      <c r="B203" s="75">
        <v>38469</v>
      </c>
      <c r="C203" s="12">
        <v>2005</v>
      </c>
      <c r="D203" s="11" t="s">
        <v>21</v>
      </c>
      <c r="E203" s="12">
        <v>4</v>
      </c>
      <c r="F203" s="14">
        <v>2.1716899999999999</v>
      </c>
      <c r="G203" s="14">
        <v>0</v>
      </c>
      <c r="I203" s="27">
        <f>AVERAGE(F201:F203)</f>
        <v>3.1268766666666665</v>
      </c>
      <c r="J203" s="27">
        <f>AVERAGE(G201:G203)</f>
        <v>2.8598538120086409E-2</v>
      </c>
      <c r="L203">
        <f>+J203/I203</f>
        <v>9.1460396967217809E-3</v>
      </c>
      <c r="M203">
        <f>+(L203-$L$931)/$L$932</f>
        <v>-0.76243383334926085</v>
      </c>
      <c r="N203">
        <f>+N200+M203</f>
        <v>-5.194519220259135</v>
      </c>
    </row>
    <row r="204" spans="1:14">
      <c r="A204" s="8">
        <v>5</v>
      </c>
      <c r="B204" s="75">
        <v>38490</v>
      </c>
      <c r="C204" s="12">
        <v>2005</v>
      </c>
      <c r="D204" s="11" t="s">
        <v>22</v>
      </c>
      <c r="E204" s="12">
        <v>5</v>
      </c>
      <c r="F204" s="14">
        <v>5.4820099999999998</v>
      </c>
      <c r="G204" s="14">
        <v>0</v>
      </c>
    </row>
    <row r="205" spans="1:14">
      <c r="A205" s="8">
        <v>7</v>
      </c>
      <c r="B205" s="75">
        <v>38490</v>
      </c>
      <c r="C205" s="12">
        <v>2005</v>
      </c>
      <c r="D205" s="11" t="s">
        <v>22</v>
      </c>
      <c r="E205" s="12">
        <v>5</v>
      </c>
      <c r="F205" s="14">
        <v>3.9710299999999998</v>
      </c>
      <c r="G205" s="14">
        <v>2.8531986237078834E-2</v>
      </c>
    </row>
    <row r="206" spans="1:14">
      <c r="A206" s="8">
        <v>14</v>
      </c>
      <c r="B206" s="75">
        <v>38490</v>
      </c>
      <c r="C206" s="12">
        <v>2005</v>
      </c>
      <c r="D206" s="11" t="s">
        <v>22</v>
      </c>
      <c r="E206" s="12">
        <v>5</v>
      </c>
      <c r="F206" s="14">
        <v>1.7203999999999999</v>
      </c>
      <c r="G206" s="14">
        <v>0</v>
      </c>
      <c r="I206" s="27">
        <f>AVERAGE(F204:F206)</f>
        <v>3.7244799999999998</v>
      </c>
      <c r="J206" s="27">
        <f>AVERAGE(G204:G206)</f>
        <v>9.5106620790262782E-3</v>
      </c>
      <c r="L206">
        <f>+J206/I206</f>
        <v>2.5535543428951905E-3</v>
      </c>
      <c r="M206">
        <f>+(L206-$L$931)/$L$932</f>
        <v>-0.8868732917763591</v>
      </c>
      <c r="N206">
        <f>+N203+M206</f>
        <v>-6.0813925120354941</v>
      </c>
    </row>
    <row r="207" spans="1:14">
      <c r="A207" s="8">
        <v>5</v>
      </c>
      <c r="B207" s="75">
        <v>38518</v>
      </c>
      <c r="C207" s="12">
        <v>2005</v>
      </c>
      <c r="D207" s="11" t="s">
        <v>23</v>
      </c>
      <c r="E207" s="12">
        <v>6</v>
      </c>
      <c r="F207" s="14">
        <v>11.36533</v>
      </c>
      <c r="G207" s="14">
        <v>5.3382738687281141E-2</v>
      </c>
    </row>
    <row r="208" spans="1:14">
      <c r="A208" s="8">
        <v>7</v>
      </c>
      <c r="B208" s="75">
        <v>38525</v>
      </c>
      <c r="C208" s="12">
        <v>2005</v>
      </c>
      <c r="D208" s="11" t="s">
        <v>23</v>
      </c>
      <c r="E208" s="12">
        <v>6</v>
      </c>
      <c r="F208" s="14">
        <v>8.9473299999999991</v>
      </c>
      <c r="G208" s="14">
        <v>0.83193879668365167</v>
      </c>
    </row>
    <row r="209" spans="1:14">
      <c r="A209" s="8">
        <v>14</v>
      </c>
      <c r="B209" s="75">
        <v>38525</v>
      </c>
      <c r="C209" s="12">
        <v>2005</v>
      </c>
      <c r="D209" s="11" t="s">
        <v>23</v>
      </c>
      <c r="E209" s="12">
        <v>6</v>
      </c>
      <c r="F209" s="14">
        <v>5.7562100000000003</v>
      </c>
      <c r="G209" s="14">
        <v>3.6622694297359731E-2</v>
      </c>
      <c r="I209" s="27">
        <f>AVERAGE(F207:F209)</f>
        <v>8.6896233333333335</v>
      </c>
      <c r="J209" s="27">
        <f>AVERAGE(G207:G209)</f>
        <v>0.3073147432227642</v>
      </c>
      <c r="L209">
        <f>+J209/I209</f>
        <v>3.5365715110332457E-2</v>
      </c>
      <c r="M209">
        <f>+(L209-$L$931)/$L$932</f>
        <v>-0.26751241396223796</v>
      </c>
      <c r="N209">
        <f>+N206+M209</f>
        <v>-6.3489049259977319</v>
      </c>
    </row>
    <row r="210" spans="1:14">
      <c r="A210" s="8">
        <v>5</v>
      </c>
      <c r="B210" s="75">
        <v>38547</v>
      </c>
      <c r="C210" s="12">
        <v>2005</v>
      </c>
      <c r="D210" s="15" t="s">
        <v>24</v>
      </c>
      <c r="E210" s="12">
        <v>7</v>
      </c>
      <c r="F210" s="14">
        <v>12.59543</v>
      </c>
      <c r="G210" s="14">
        <v>0.43128081454489275</v>
      </c>
    </row>
    <row r="211" spans="1:14">
      <c r="A211" s="8">
        <v>7</v>
      </c>
      <c r="B211" s="75">
        <v>38546</v>
      </c>
      <c r="C211" s="12">
        <v>2005</v>
      </c>
      <c r="D211" s="15" t="s">
        <v>24</v>
      </c>
      <c r="E211" s="12">
        <v>7</v>
      </c>
      <c r="F211" s="14">
        <v>14.10863</v>
      </c>
      <c r="G211" s="14">
        <v>1.1610817897947143</v>
      </c>
    </row>
    <row r="212" spans="1:14">
      <c r="A212" s="8">
        <v>14</v>
      </c>
      <c r="B212" s="75">
        <v>38546</v>
      </c>
      <c r="C212" s="12">
        <v>2005</v>
      </c>
      <c r="D212" s="15" t="s">
        <v>24</v>
      </c>
      <c r="E212" s="12">
        <v>7</v>
      </c>
      <c r="F212" s="14">
        <v>11.15682</v>
      </c>
      <c r="G212" s="14">
        <v>0.31996345424832123</v>
      </c>
      <c r="I212" s="27">
        <f>AVERAGE(F210:F212)</f>
        <v>12.620293333333331</v>
      </c>
      <c r="J212" s="27">
        <f>AVERAGE(G210:G212)</f>
        <v>0.63744201952930946</v>
      </c>
      <c r="L212">
        <f>+J212/I212</f>
        <v>5.0509287121375118E-2</v>
      </c>
      <c r="M212">
        <f>+(L212-$L$931)/$L$932</f>
        <v>1.833697341821082E-2</v>
      </c>
      <c r="N212">
        <f>+N209+M212</f>
        <v>-6.3305679525795213</v>
      </c>
    </row>
    <row r="213" spans="1:14">
      <c r="A213" s="8">
        <v>5</v>
      </c>
      <c r="B213" s="75">
        <v>38587</v>
      </c>
      <c r="C213" s="12">
        <v>2005</v>
      </c>
      <c r="D213" s="15" t="s">
        <v>25</v>
      </c>
      <c r="E213" s="12">
        <v>8</v>
      </c>
      <c r="F213" s="14">
        <v>19.658480000000001</v>
      </c>
      <c r="G213" s="14">
        <v>0.39416663697571563</v>
      </c>
    </row>
    <row r="214" spans="1:14">
      <c r="A214" s="8">
        <v>7</v>
      </c>
      <c r="B214" s="75">
        <v>38594</v>
      </c>
      <c r="C214" s="12">
        <v>2005</v>
      </c>
      <c r="D214" s="15" t="s">
        <v>25</v>
      </c>
      <c r="E214" s="12">
        <v>8</v>
      </c>
      <c r="F214" s="14">
        <v>56.408990000000003</v>
      </c>
      <c r="G214" s="14">
        <v>0.39582628004041231</v>
      </c>
    </row>
    <row r="215" spans="1:14">
      <c r="A215" s="8">
        <v>14</v>
      </c>
      <c r="B215" s="75">
        <v>38594</v>
      </c>
      <c r="C215" s="12">
        <v>2005</v>
      </c>
      <c r="D215" s="15" t="s">
        <v>25</v>
      </c>
      <c r="E215" s="12">
        <v>8</v>
      </c>
      <c r="F215" s="14">
        <v>18.49522</v>
      </c>
      <c r="G215" s="14">
        <v>0.25287871968568376</v>
      </c>
      <c r="I215" s="27">
        <f>AVERAGE(F213:F215)</f>
        <v>31.520896666666669</v>
      </c>
      <c r="J215" s="27">
        <f>AVERAGE(G213:G215)</f>
        <v>0.34762387890060387</v>
      </c>
      <c r="L215">
        <f>+J215/I215</f>
        <v>1.1028362631200651E-2</v>
      </c>
      <c r="M215">
        <f>+(L215-$L$931)/$L$932</f>
        <v>-0.72690318989997416</v>
      </c>
      <c r="N215">
        <f>+N212+M215</f>
        <v>-7.0574711424794954</v>
      </c>
    </row>
    <row r="216" spans="1:14">
      <c r="A216" s="8">
        <v>5</v>
      </c>
      <c r="B216" s="75">
        <v>38608</v>
      </c>
      <c r="C216" s="12">
        <v>2005</v>
      </c>
      <c r="D216" s="15" t="s">
        <v>26</v>
      </c>
      <c r="E216" s="12">
        <v>9</v>
      </c>
      <c r="F216" s="14">
        <v>13.08318</v>
      </c>
      <c r="G216" s="14">
        <v>4.9811086518616883E-2</v>
      </c>
    </row>
    <row r="217" spans="1:14">
      <c r="A217" s="8">
        <v>7</v>
      </c>
      <c r="B217" s="75">
        <v>38609</v>
      </c>
      <c r="C217" s="12">
        <v>2005</v>
      </c>
      <c r="D217" s="15" t="s">
        <v>26</v>
      </c>
      <c r="E217" s="12">
        <v>9</v>
      </c>
      <c r="F217" s="14">
        <v>31.277259999999998</v>
      </c>
      <c r="G217" s="14">
        <v>0.29915893694467621</v>
      </c>
    </row>
    <row r="218" spans="1:14">
      <c r="A218" s="8">
        <v>14</v>
      </c>
      <c r="B218" s="75">
        <v>38609</v>
      </c>
      <c r="C218" s="12">
        <v>2005</v>
      </c>
      <c r="D218" s="15" t="s">
        <v>26</v>
      </c>
      <c r="E218" s="12">
        <v>9</v>
      </c>
      <c r="F218" s="14">
        <v>20.56345</v>
      </c>
      <c r="G218" s="14">
        <v>0.12172038730482386</v>
      </c>
      <c r="I218" s="27">
        <f>AVERAGE(F216:F218)</f>
        <v>21.641296666666666</v>
      </c>
      <c r="J218" s="27">
        <f>AVERAGE(G216:G218)</f>
        <v>0.15689680358937233</v>
      </c>
      <c r="L218">
        <f>+J218/I218</f>
        <v>7.2498799866754287E-3</v>
      </c>
      <c r="M218">
        <f>+(L218-$L$931)/$L$932</f>
        <v>-0.79822565915475785</v>
      </c>
      <c r="N218">
        <f>+N215+M218</f>
        <v>-7.8556968016342532</v>
      </c>
    </row>
    <row r="219" spans="1:14">
      <c r="A219" s="8">
        <v>5</v>
      </c>
      <c r="B219" s="75">
        <v>38636</v>
      </c>
      <c r="C219" s="12">
        <v>2005</v>
      </c>
      <c r="D219" s="15" t="s">
        <v>14</v>
      </c>
      <c r="E219" s="12">
        <v>10</v>
      </c>
      <c r="F219" s="14">
        <v>5.4423000000000004</v>
      </c>
      <c r="G219" s="14">
        <v>3.6499999999999998E-2</v>
      </c>
    </row>
    <row r="220" spans="1:14">
      <c r="A220" s="8">
        <v>7</v>
      </c>
      <c r="B220" s="75">
        <v>38637</v>
      </c>
      <c r="C220" s="12">
        <v>2005</v>
      </c>
      <c r="D220" s="15" t="s">
        <v>14</v>
      </c>
      <c r="E220" s="12">
        <v>10</v>
      </c>
      <c r="F220" s="14">
        <v>9.2856000000000005</v>
      </c>
      <c r="G220" s="14">
        <v>0.10059999999999999</v>
      </c>
    </row>
    <row r="221" spans="1:14">
      <c r="A221" s="8">
        <v>14</v>
      </c>
      <c r="B221" s="75">
        <v>38637</v>
      </c>
      <c r="C221" s="12">
        <v>2005</v>
      </c>
      <c r="D221" s="15" t="s">
        <v>14</v>
      </c>
      <c r="E221" s="12">
        <v>10</v>
      </c>
      <c r="F221" s="14">
        <v>6.9737999999999998</v>
      </c>
      <c r="G221" s="14">
        <v>2.7E-2</v>
      </c>
      <c r="I221" s="27">
        <f>AVERAGE(F219:F221)</f>
        <v>7.2339000000000011</v>
      </c>
      <c r="J221" s="27">
        <f>AVERAGE(G219:G221)</f>
        <v>5.4699999999999999E-2</v>
      </c>
      <c r="L221">
        <f>+J221/I221</f>
        <v>7.5616195966214618E-3</v>
      </c>
      <c r="M221">
        <f>+(L221-$L$931)/$L$932</f>
        <v>-0.79234127623239892</v>
      </c>
      <c r="N221">
        <f>+N218+M221</f>
        <v>-8.6480380778666515</v>
      </c>
    </row>
    <row r="222" spans="1:14">
      <c r="A222" s="8">
        <v>5</v>
      </c>
      <c r="B222" s="75">
        <v>38671</v>
      </c>
      <c r="C222" s="12">
        <v>2005</v>
      </c>
      <c r="D222" s="15" t="s">
        <v>16</v>
      </c>
      <c r="E222" s="12">
        <v>11</v>
      </c>
      <c r="F222" s="14">
        <v>3.4459</v>
      </c>
      <c r="G222" s="14">
        <v>1E-4</v>
      </c>
    </row>
    <row r="223" spans="1:14">
      <c r="A223" s="8">
        <v>7</v>
      </c>
      <c r="B223" s="75">
        <v>38670</v>
      </c>
      <c r="C223" s="12">
        <v>2005</v>
      </c>
      <c r="D223" s="15" t="s">
        <v>16</v>
      </c>
      <c r="E223" s="12">
        <v>11</v>
      </c>
      <c r="F223" s="14">
        <v>4.0153999999999996</v>
      </c>
      <c r="G223" s="14">
        <v>1E-4</v>
      </c>
    </row>
    <row r="224" spans="1:14">
      <c r="A224" s="8">
        <v>14</v>
      </c>
      <c r="B224" s="75">
        <v>38670</v>
      </c>
      <c r="C224" s="12">
        <v>2005</v>
      </c>
      <c r="D224" s="15" t="s">
        <v>16</v>
      </c>
      <c r="E224" s="12">
        <v>11</v>
      </c>
      <c r="F224" s="14">
        <v>2.7275999999999998</v>
      </c>
      <c r="G224" s="14">
        <v>1E-4</v>
      </c>
      <c r="I224" s="27">
        <f>AVERAGE(F222:F224)</f>
        <v>3.3963000000000001</v>
      </c>
      <c r="J224" s="27">
        <f>AVERAGE(G222:G224)</f>
        <v>1E-4</v>
      </c>
      <c r="L224">
        <f>+J224/I224</f>
        <v>2.9443806495303713E-5</v>
      </c>
      <c r="M224">
        <f>+(L224-$L$931)/$L$932</f>
        <v>-0.93451828926996994</v>
      </c>
      <c r="N224">
        <f>+N221+M224</f>
        <v>-9.5825563671366218</v>
      </c>
    </row>
    <row r="225" spans="1:14">
      <c r="A225" s="8">
        <v>5</v>
      </c>
      <c r="B225" s="75">
        <v>38707</v>
      </c>
      <c r="C225" s="12">
        <v>2005</v>
      </c>
      <c r="D225" s="15" t="s">
        <v>17</v>
      </c>
      <c r="E225" s="12">
        <v>12</v>
      </c>
      <c r="F225" s="14">
        <v>4.1544999999999996</v>
      </c>
      <c r="G225" s="14">
        <v>3.5700000000000003E-2</v>
      </c>
    </row>
    <row r="226" spans="1:14">
      <c r="A226" s="8">
        <v>7</v>
      </c>
      <c r="B226" s="75">
        <v>38706</v>
      </c>
      <c r="C226" s="12">
        <v>2005</v>
      </c>
      <c r="D226" s="15" t="s">
        <v>17</v>
      </c>
      <c r="E226" s="12">
        <v>12</v>
      </c>
      <c r="F226" s="14">
        <v>2.1522999999999999</v>
      </c>
      <c r="G226" s="14">
        <v>0.1183</v>
      </c>
    </row>
    <row r="227" spans="1:14">
      <c r="A227" s="8">
        <v>14</v>
      </c>
      <c r="B227" s="75">
        <v>38706</v>
      </c>
      <c r="C227" s="12">
        <v>2005</v>
      </c>
      <c r="D227" s="15" t="s">
        <v>17</v>
      </c>
      <c r="E227" s="12">
        <v>12</v>
      </c>
      <c r="F227" s="14">
        <v>1.6976</v>
      </c>
      <c r="G227" s="14">
        <v>2.18E-2</v>
      </c>
      <c r="I227" s="27">
        <f>AVERAGE(F225:F227)</f>
        <v>2.668133333333333</v>
      </c>
      <c r="J227" s="27">
        <f>AVERAGE(G225:G227)</f>
        <v>5.8600000000000006E-2</v>
      </c>
      <c r="L227">
        <f>+J227/I227</f>
        <v>2.1962920393783423E-2</v>
      </c>
      <c r="M227">
        <f>+(L227-$L$931)/$L$932</f>
        <v>-0.52050296705748977</v>
      </c>
      <c r="N227">
        <f>+N224+M227</f>
        <v>-10.103059334194112</v>
      </c>
    </row>
    <row r="228" spans="1:14">
      <c r="A228" s="12">
        <v>5</v>
      </c>
      <c r="B228" s="75">
        <v>38734</v>
      </c>
      <c r="C228" s="12">
        <v>2006</v>
      </c>
      <c r="D228" s="11" t="s">
        <v>18</v>
      </c>
      <c r="E228" s="12">
        <v>1</v>
      </c>
      <c r="F228" s="14">
        <v>5.7062999999999997</v>
      </c>
      <c r="G228" s="14">
        <v>9.4399999999999998E-2</v>
      </c>
    </row>
    <row r="229" spans="1:14">
      <c r="A229" s="12">
        <v>7</v>
      </c>
      <c r="B229" s="75">
        <v>38737</v>
      </c>
      <c r="C229" s="12">
        <v>2006</v>
      </c>
      <c r="D229" s="11" t="s">
        <v>18</v>
      </c>
      <c r="E229" s="12">
        <v>1</v>
      </c>
      <c r="F229" s="14">
        <v>2.7174</v>
      </c>
      <c r="G229" s="14">
        <v>0.1101</v>
      </c>
    </row>
    <row r="230" spans="1:14">
      <c r="A230" s="12">
        <v>14</v>
      </c>
      <c r="B230" s="75">
        <v>38737</v>
      </c>
      <c r="C230" s="12">
        <v>2006</v>
      </c>
      <c r="D230" s="11" t="s">
        <v>18</v>
      </c>
      <c r="E230" s="12">
        <v>1</v>
      </c>
      <c r="F230" s="14">
        <v>2.2968000000000002</v>
      </c>
      <c r="G230" s="14">
        <v>8.3699999999999997E-2</v>
      </c>
      <c r="I230" s="27">
        <f>AVERAGE(F228:F230)</f>
        <v>3.5735000000000006</v>
      </c>
      <c r="J230" s="27">
        <f>AVERAGE(G228:G230)</f>
        <v>9.6066666666666675E-2</v>
      </c>
      <c r="L230">
        <f>+J230/I230</f>
        <v>2.6883074483466253E-2</v>
      </c>
      <c r="M230">
        <f>+(L230-$L$931)/$L$932</f>
        <v>-0.42763035871068183</v>
      </c>
      <c r="N230">
        <f>+N227+M230</f>
        <v>-10.530689692904794</v>
      </c>
    </row>
    <row r="231" spans="1:14">
      <c r="A231" s="12">
        <v>5</v>
      </c>
      <c r="B231" s="75">
        <v>38762</v>
      </c>
      <c r="C231" s="15">
        <v>2006</v>
      </c>
      <c r="D231" s="11" t="s">
        <v>29</v>
      </c>
      <c r="E231" s="15">
        <v>2</v>
      </c>
      <c r="F231" s="14">
        <v>9.3927999999999994</v>
      </c>
      <c r="G231" s="14">
        <v>6.7000000000000004E-2</v>
      </c>
    </row>
    <row r="232" spans="1:14">
      <c r="A232" s="12">
        <v>7</v>
      </c>
      <c r="B232" s="75">
        <v>38763</v>
      </c>
      <c r="C232" s="15">
        <v>2006</v>
      </c>
      <c r="D232" s="11" t="s">
        <v>29</v>
      </c>
      <c r="E232" s="15">
        <v>2</v>
      </c>
      <c r="F232" s="14">
        <v>3.4839000000000002</v>
      </c>
      <c r="G232" s="14">
        <v>0.1928</v>
      </c>
    </row>
    <row r="233" spans="1:14">
      <c r="A233" s="12">
        <v>14</v>
      </c>
      <c r="B233" s="75">
        <v>38763</v>
      </c>
      <c r="C233" s="15">
        <v>2006</v>
      </c>
      <c r="D233" s="11" t="s">
        <v>29</v>
      </c>
      <c r="E233" s="15">
        <v>2</v>
      </c>
      <c r="F233" s="14">
        <v>3.2663000000000002</v>
      </c>
      <c r="G233" s="14">
        <v>8.1699999999999995E-2</v>
      </c>
      <c r="I233" s="27">
        <f>AVERAGE(F231:F233)</f>
        <v>5.3810000000000002</v>
      </c>
      <c r="J233" s="27">
        <f>AVERAGE(G231:G233)</f>
        <v>0.11383333333333334</v>
      </c>
      <c r="L233">
        <f>+J233/I233</f>
        <v>2.1154680047079231E-2</v>
      </c>
      <c r="M233">
        <f>+(L233-$L$931)/$L$932</f>
        <v>-0.53575927566110615</v>
      </c>
      <c r="N233">
        <f>+N230+M233</f>
        <v>-11.066448968565901</v>
      </c>
    </row>
    <row r="234" spans="1:14">
      <c r="A234" s="12">
        <v>5</v>
      </c>
      <c r="B234" s="75">
        <v>38789</v>
      </c>
      <c r="C234" s="12">
        <v>2006</v>
      </c>
      <c r="D234" s="11" t="s">
        <v>30</v>
      </c>
      <c r="E234" s="15">
        <v>3</v>
      </c>
      <c r="F234" s="14">
        <v>4.1066000000000003</v>
      </c>
      <c r="G234" s="14">
        <v>3.4700000000000002E-2</v>
      </c>
    </row>
    <row r="235" spans="1:14">
      <c r="A235" s="12">
        <v>7</v>
      </c>
      <c r="B235" s="75">
        <v>38792</v>
      </c>
      <c r="C235" s="12">
        <v>2006</v>
      </c>
      <c r="D235" s="11" t="s">
        <v>30</v>
      </c>
      <c r="E235" s="15">
        <v>3</v>
      </c>
      <c r="F235" s="14">
        <v>0.91410000000000002</v>
      </c>
      <c r="G235" s="14">
        <v>3.2199999999999999E-2</v>
      </c>
    </row>
    <row r="236" spans="1:14">
      <c r="A236" s="12">
        <v>14</v>
      </c>
      <c r="B236" s="75">
        <v>38792</v>
      </c>
      <c r="C236" s="12">
        <v>2006</v>
      </c>
      <c r="D236" s="11" t="s">
        <v>30</v>
      </c>
      <c r="E236" s="15">
        <v>3</v>
      </c>
      <c r="F236" s="14">
        <v>1.1214999999999999</v>
      </c>
      <c r="G236" s="14">
        <v>1.6500000000000001E-2</v>
      </c>
      <c r="I236" s="27">
        <f>AVERAGE(F234:F236)</f>
        <v>2.0474000000000001</v>
      </c>
      <c r="J236" s="27">
        <f>AVERAGE(G234:G236)</f>
        <v>2.7800000000000002E-2</v>
      </c>
      <c r="L236">
        <f>+J236/I236</f>
        <v>1.3578196737325389E-2</v>
      </c>
      <c r="M236">
        <f>+(L236-$L$931)/$L$932</f>
        <v>-0.67877263545574917</v>
      </c>
      <c r="N236">
        <f>+N233+M236</f>
        <v>-11.745221604021649</v>
      </c>
    </row>
    <row r="237" spans="1:14">
      <c r="A237" s="12">
        <v>5</v>
      </c>
      <c r="B237" s="74">
        <v>38825</v>
      </c>
      <c r="C237" s="12">
        <v>2006</v>
      </c>
      <c r="D237" s="11" t="s">
        <v>31</v>
      </c>
      <c r="E237" s="12">
        <v>4</v>
      </c>
      <c r="F237" s="14">
        <v>6.9089</v>
      </c>
      <c r="G237" s="14">
        <v>0.64249999999999996</v>
      </c>
    </row>
    <row r="238" spans="1:14">
      <c r="A238" s="12">
        <v>7</v>
      </c>
      <c r="B238" s="74">
        <v>38826</v>
      </c>
      <c r="C238" s="12">
        <v>2006</v>
      </c>
      <c r="D238" s="11" t="s">
        <v>31</v>
      </c>
      <c r="E238" s="12">
        <v>4</v>
      </c>
      <c r="F238" s="14">
        <v>3.5272999999999999</v>
      </c>
      <c r="G238" s="14">
        <v>1.2434000000000001</v>
      </c>
    </row>
    <row r="239" spans="1:14">
      <c r="A239" s="12">
        <v>14</v>
      </c>
      <c r="B239" s="74">
        <v>38826</v>
      </c>
      <c r="C239" s="12">
        <v>2006</v>
      </c>
      <c r="D239" s="11" t="s">
        <v>31</v>
      </c>
      <c r="E239" s="12">
        <v>4</v>
      </c>
      <c r="F239" s="14">
        <v>1.2910999999999999</v>
      </c>
      <c r="G239" s="14">
        <v>0.17150000000000001</v>
      </c>
      <c r="I239" s="27">
        <f>AVERAGE(F237:F239)</f>
        <v>3.9091</v>
      </c>
      <c r="J239" s="27">
        <f>AVERAGE(G237:G239)</f>
        <v>0.68579999999999997</v>
      </c>
      <c r="L239">
        <f>+J239/I239</f>
        <v>0.17543680130976438</v>
      </c>
      <c r="M239">
        <f>+(L239-$L$931)/$L$932</f>
        <v>2.3764631388746436</v>
      </c>
      <c r="N239">
        <f>+N236+M239</f>
        <v>-9.3687584651470068</v>
      </c>
    </row>
    <row r="240" spans="1:14">
      <c r="A240" s="12">
        <v>5</v>
      </c>
      <c r="B240" s="74">
        <v>38852</v>
      </c>
      <c r="C240" s="12">
        <v>2006</v>
      </c>
      <c r="D240" s="11" t="s">
        <v>32</v>
      </c>
      <c r="E240" s="12">
        <v>5</v>
      </c>
      <c r="F240" s="14">
        <v>9.0488999999999997</v>
      </c>
      <c r="G240" s="14">
        <v>0.1125</v>
      </c>
    </row>
    <row r="241" spans="1:14">
      <c r="A241" s="12">
        <v>7</v>
      </c>
      <c r="B241" s="74">
        <v>38853</v>
      </c>
      <c r="C241" s="12">
        <v>2006</v>
      </c>
      <c r="D241" s="11" t="s">
        <v>32</v>
      </c>
      <c r="E241" s="12">
        <v>5</v>
      </c>
      <c r="F241" s="14">
        <v>11.6059</v>
      </c>
      <c r="G241" s="14">
        <v>4.2900000000000001E-2</v>
      </c>
    </row>
    <row r="242" spans="1:14">
      <c r="A242" s="12">
        <v>14</v>
      </c>
      <c r="B242" s="74">
        <v>38853</v>
      </c>
      <c r="C242" s="12">
        <v>2006</v>
      </c>
      <c r="D242" s="11" t="s">
        <v>32</v>
      </c>
      <c r="E242" s="12">
        <v>5</v>
      </c>
      <c r="F242" s="14">
        <v>6.8118999999999996</v>
      </c>
      <c r="G242" s="14">
        <v>2.6599999999999999E-2</v>
      </c>
      <c r="I242" s="27">
        <f>AVERAGE(F240:F242)</f>
        <v>9.1555666666666671</v>
      </c>
      <c r="J242" s="27">
        <f>AVERAGE(G240:G242)</f>
        <v>6.0666666666666667E-2</v>
      </c>
      <c r="L242">
        <f>+J242/I242</f>
        <v>6.6262055507214186E-3</v>
      </c>
      <c r="M242">
        <f>+(L242-$L$931)/$L$932</f>
        <v>-0.80999810988912235</v>
      </c>
      <c r="N242">
        <f>+N239+M242</f>
        <v>-10.178756575036129</v>
      </c>
    </row>
    <row r="243" spans="1:14">
      <c r="A243" s="12">
        <v>5</v>
      </c>
      <c r="B243" s="74">
        <v>38883</v>
      </c>
      <c r="C243" s="12">
        <v>2006</v>
      </c>
      <c r="D243" s="11" t="s">
        <v>33</v>
      </c>
      <c r="E243" s="12">
        <v>6</v>
      </c>
      <c r="F243" s="14">
        <v>17.2865</v>
      </c>
      <c r="G243" s="14">
        <v>2.4500000000000001E-2</v>
      </c>
    </row>
    <row r="244" spans="1:14">
      <c r="A244" s="12">
        <v>7</v>
      </c>
      <c r="B244" s="74">
        <v>38884</v>
      </c>
      <c r="C244" s="12">
        <v>2006</v>
      </c>
      <c r="D244" s="11" t="s">
        <v>33</v>
      </c>
      <c r="E244" s="12">
        <v>6</v>
      </c>
      <c r="F244" s="14">
        <v>23.983799999999999</v>
      </c>
      <c r="G244" s="14">
        <v>5.3699999999999998E-2</v>
      </c>
    </row>
    <row r="245" spans="1:14">
      <c r="A245" s="12">
        <v>14</v>
      </c>
      <c r="B245" s="74">
        <v>38884</v>
      </c>
      <c r="C245" s="12">
        <v>2006</v>
      </c>
      <c r="D245" s="11" t="s">
        <v>33</v>
      </c>
      <c r="E245" s="12">
        <v>6</v>
      </c>
      <c r="F245" s="14">
        <v>14.3201</v>
      </c>
      <c r="G245" s="14">
        <v>3.7400000000000003E-2</v>
      </c>
      <c r="I245" s="27">
        <f>AVERAGE(F243:F245)</f>
        <v>18.530133333333335</v>
      </c>
      <c r="J245" s="27">
        <f>AVERAGE(G243:G245)</f>
        <v>3.8533333333333329E-2</v>
      </c>
      <c r="L245">
        <f>+J245/I245</f>
        <v>2.0794957402717009E-3</v>
      </c>
      <c r="M245">
        <f>+(L245-$L$931)/$L$932</f>
        <v>-0.89582160073830963</v>
      </c>
      <c r="N245">
        <f>+N242+M245</f>
        <v>-11.074578175774439</v>
      </c>
    </row>
    <row r="246" spans="1:14">
      <c r="A246" s="12">
        <v>5</v>
      </c>
      <c r="B246" s="74">
        <v>38916</v>
      </c>
      <c r="C246" s="12">
        <v>2006</v>
      </c>
      <c r="D246" s="11" t="s">
        <v>34</v>
      </c>
      <c r="E246" s="12">
        <v>7</v>
      </c>
      <c r="F246" s="14">
        <v>14.954599999999999</v>
      </c>
      <c r="G246" s="14">
        <v>6.7699999999999996E-2</v>
      </c>
    </row>
    <row r="247" spans="1:14">
      <c r="A247" s="12">
        <v>7</v>
      </c>
      <c r="B247" s="74">
        <v>38915</v>
      </c>
      <c r="C247" s="12">
        <v>2006</v>
      </c>
      <c r="D247" s="11" t="s">
        <v>34</v>
      </c>
      <c r="E247" s="12">
        <v>7</v>
      </c>
      <c r="F247" s="14">
        <v>26.538699999999999</v>
      </c>
      <c r="G247" s="14">
        <v>0.28820000000000001</v>
      </c>
    </row>
    <row r="248" spans="1:14">
      <c r="A248" s="12">
        <v>14</v>
      </c>
      <c r="B248" s="74">
        <v>38915</v>
      </c>
      <c r="C248" s="12">
        <v>2006</v>
      </c>
      <c r="D248" s="11" t="s">
        <v>34</v>
      </c>
      <c r="E248" s="12">
        <v>7</v>
      </c>
      <c r="F248" s="14">
        <v>13.441800000000001</v>
      </c>
      <c r="G248" s="14">
        <v>0.1016</v>
      </c>
      <c r="I248" s="27">
        <f>AVERAGE(F246:F248)</f>
        <v>18.311699999999998</v>
      </c>
      <c r="J248" s="27">
        <f>AVERAGE(G246:G248)</f>
        <v>0.1525</v>
      </c>
      <c r="L248">
        <f>+J248/I248</f>
        <v>8.3280088686468225E-3</v>
      </c>
      <c r="M248">
        <f>+(L248-$L$931)/$L$932</f>
        <v>-0.77787494664096213</v>
      </c>
      <c r="N248">
        <f>+N245+M248</f>
        <v>-11.852453122415401</v>
      </c>
    </row>
    <row r="249" spans="1:14">
      <c r="A249" s="12">
        <v>5</v>
      </c>
      <c r="B249" s="74">
        <v>38953</v>
      </c>
      <c r="C249" s="12">
        <v>2006</v>
      </c>
      <c r="D249" s="11" t="s">
        <v>35</v>
      </c>
      <c r="E249" s="12">
        <v>8</v>
      </c>
      <c r="F249" s="14">
        <v>18.301600000000001</v>
      </c>
      <c r="G249" s="14">
        <v>7.9799999999999996E-2</v>
      </c>
    </row>
    <row r="250" spans="1:14">
      <c r="A250" s="12">
        <v>7</v>
      </c>
      <c r="B250" s="74">
        <v>38952</v>
      </c>
      <c r="C250" s="12">
        <v>2006</v>
      </c>
      <c r="D250" s="11" t="s">
        <v>35</v>
      </c>
      <c r="E250" s="12">
        <v>8</v>
      </c>
      <c r="F250" s="14">
        <v>33.0595</v>
      </c>
      <c r="G250" s="14">
        <v>0.16400000000000001</v>
      </c>
    </row>
    <row r="251" spans="1:14">
      <c r="A251" s="12">
        <v>14</v>
      </c>
      <c r="B251" s="74">
        <v>38952</v>
      </c>
      <c r="C251" s="12">
        <v>2006</v>
      </c>
      <c r="D251" s="11" t="s">
        <v>35</v>
      </c>
      <c r="E251" s="12">
        <v>8</v>
      </c>
      <c r="F251" s="14">
        <v>16.910900000000002</v>
      </c>
      <c r="G251" s="14">
        <v>8.1100000000000005E-2</v>
      </c>
      <c r="I251" s="27">
        <f>AVERAGE(F249:F251)</f>
        <v>22.757333333333335</v>
      </c>
      <c r="J251" s="27">
        <f>AVERAGE(G249:G251)</f>
        <v>0.10830000000000001</v>
      </c>
      <c r="L251">
        <f>+J251/I251</f>
        <v>4.7589055542535735E-3</v>
      </c>
      <c r="M251">
        <f>+(L251-$L$931)/$L$932</f>
        <v>-0.84524518103301272</v>
      </c>
      <c r="N251">
        <f>+N248+M251</f>
        <v>-12.697698303448414</v>
      </c>
    </row>
    <row r="252" spans="1:14">
      <c r="A252" s="12">
        <v>5</v>
      </c>
      <c r="B252" s="74">
        <v>38972</v>
      </c>
      <c r="C252" s="12">
        <v>2006</v>
      </c>
      <c r="D252" s="11" t="s">
        <v>36</v>
      </c>
      <c r="E252" s="12">
        <v>9</v>
      </c>
      <c r="F252" s="14">
        <v>17.918900000000001</v>
      </c>
      <c r="G252" s="14">
        <v>5.6399999999999999E-2</v>
      </c>
    </row>
    <row r="253" spans="1:14">
      <c r="A253" s="12">
        <v>7</v>
      </c>
      <c r="B253" s="74">
        <v>38975</v>
      </c>
      <c r="C253" s="12">
        <v>2006</v>
      </c>
      <c r="D253" s="11" t="s">
        <v>36</v>
      </c>
      <c r="E253" s="12">
        <v>9</v>
      </c>
      <c r="F253" s="14">
        <v>26.758400000000002</v>
      </c>
      <c r="G253" s="14">
        <v>0.82620000000000005</v>
      </c>
    </row>
    <row r="254" spans="1:14">
      <c r="A254" s="12">
        <v>14</v>
      </c>
      <c r="B254" s="74">
        <v>38975</v>
      </c>
      <c r="C254" s="12">
        <v>2006</v>
      </c>
      <c r="D254" s="11" t="s">
        <v>36</v>
      </c>
      <c r="E254" s="12">
        <v>9</v>
      </c>
      <c r="F254" s="14">
        <v>15.141500000000001</v>
      </c>
      <c r="G254" s="14">
        <v>0.14249999999999999</v>
      </c>
      <c r="I254" s="27">
        <f>AVERAGE(F252:F254)</f>
        <v>19.939600000000002</v>
      </c>
      <c r="J254" s="27">
        <f>AVERAGE(G252:G254)</f>
        <v>0.34170000000000006</v>
      </c>
      <c r="L254">
        <f>+J254/I254</f>
        <v>1.7136752994042007E-2</v>
      </c>
      <c r="M254">
        <f>+(L254-$L$931)/$L$932</f>
        <v>-0.61160148685226512</v>
      </c>
      <c r="N254">
        <f>+N251+M254</f>
        <v>-13.309299790300679</v>
      </c>
    </row>
    <row r="255" spans="1:14">
      <c r="A255" s="12">
        <v>5</v>
      </c>
      <c r="B255" s="74">
        <v>39008</v>
      </c>
      <c r="C255" s="12">
        <v>2006</v>
      </c>
      <c r="D255" s="11" t="s">
        <v>37</v>
      </c>
      <c r="E255" s="12">
        <v>10</v>
      </c>
      <c r="F255" s="14">
        <v>3.9820000000000002</v>
      </c>
      <c r="G255" s="14">
        <v>0.05</v>
      </c>
    </row>
    <row r="256" spans="1:14">
      <c r="A256" s="12">
        <v>7</v>
      </c>
      <c r="B256" s="74">
        <v>39006</v>
      </c>
      <c r="C256" s="12">
        <v>2006</v>
      </c>
      <c r="D256" s="11" t="s">
        <v>37</v>
      </c>
      <c r="E256" s="12">
        <v>10</v>
      </c>
      <c r="F256" s="14">
        <v>10.034000000000001</v>
      </c>
      <c r="G256" s="14">
        <v>0.24099999999999999</v>
      </c>
    </row>
    <row r="257" spans="1:14">
      <c r="A257" s="12">
        <v>14</v>
      </c>
      <c r="B257" s="74">
        <v>39006</v>
      </c>
      <c r="C257" s="12">
        <v>2006</v>
      </c>
      <c r="D257" s="11" t="s">
        <v>37</v>
      </c>
      <c r="E257" s="12">
        <v>10</v>
      </c>
      <c r="F257" s="14">
        <v>3.9740000000000002</v>
      </c>
      <c r="G257" s="14">
        <v>0.377</v>
      </c>
      <c r="I257" s="27">
        <f>AVERAGE(F255:F257)</f>
        <v>5.996666666666667</v>
      </c>
      <c r="J257" s="27">
        <f>AVERAGE(G255:G257)</f>
        <v>0.22266666666666665</v>
      </c>
      <c r="L257">
        <f>+J257/I257</f>
        <v>3.7131739855475257E-2</v>
      </c>
      <c r="M257">
        <f>+(L257-$L$931)/$L$932</f>
        <v>-0.23417700992878593</v>
      </c>
      <c r="N257">
        <f>+N254+M257</f>
        <v>-13.543476800229465</v>
      </c>
    </row>
    <row r="258" spans="1:14">
      <c r="A258" s="12">
        <v>5</v>
      </c>
      <c r="B258" s="74">
        <v>39035</v>
      </c>
      <c r="C258" s="12">
        <v>2006</v>
      </c>
      <c r="D258" s="11" t="s">
        <v>38</v>
      </c>
      <c r="E258" s="12">
        <v>11</v>
      </c>
      <c r="F258" s="14">
        <v>10.615</v>
      </c>
      <c r="G258" s="14">
        <v>4.2999999999999997E-2</v>
      </c>
    </row>
    <row r="259" spans="1:14">
      <c r="A259" s="12">
        <v>7</v>
      </c>
      <c r="B259" s="74">
        <v>39041</v>
      </c>
      <c r="C259" s="12">
        <v>2006</v>
      </c>
      <c r="D259" s="11" t="s">
        <v>38</v>
      </c>
      <c r="E259" s="12">
        <v>11</v>
      </c>
      <c r="F259" s="14">
        <v>4.3159999999999998</v>
      </c>
      <c r="G259" s="14">
        <v>0.46600000000000003</v>
      </c>
    </row>
    <row r="260" spans="1:14">
      <c r="A260" s="12">
        <v>14</v>
      </c>
      <c r="B260" s="74">
        <v>39041</v>
      </c>
      <c r="C260" s="12">
        <v>2006</v>
      </c>
      <c r="D260" s="11" t="s">
        <v>38</v>
      </c>
      <c r="E260" s="12">
        <v>11</v>
      </c>
      <c r="F260" s="14">
        <v>1.875</v>
      </c>
      <c r="G260" s="14">
        <v>4.8000000000000001E-2</v>
      </c>
      <c r="I260" s="27">
        <f>AVERAGE(F258:F260)</f>
        <v>5.6020000000000003</v>
      </c>
      <c r="J260" s="27">
        <f>AVERAGE(G258:G260)</f>
        <v>0.18566666666666667</v>
      </c>
      <c r="L260">
        <f>+J260/I260</f>
        <v>3.3142925145781266E-2</v>
      </c>
      <c r="M260">
        <f>+(L260-$L$931)/$L$932</f>
        <v>-0.30946969783020828</v>
      </c>
      <c r="N260">
        <f>+N257+M260</f>
        <v>-13.852946498059673</v>
      </c>
    </row>
    <row r="261" spans="1:14">
      <c r="A261" s="12">
        <v>5</v>
      </c>
      <c r="B261" s="75">
        <v>39063</v>
      </c>
      <c r="C261" s="15">
        <v>2006</v>
      </c>
      <c r="D261" s="11" t="s">
        <v>39</v>
      </c>
      <c r="E261" s="15">
        <v>12</v>
      </c>
      <c r="F261" s="14">
        <v>9.14</v>
      </c>
      <c r="G261" s="14">
        <v>0.20300000000000001</v>
      </c>
    </row>
    <row r="262" spans="1:14">
      <c r="A262" s="12">
        <v>7</v>
      </c>
      <c r="B262" s="75">
        <v>39062</v>
      </c>
      <c r="C262" s="15">
        <v>2006</v>
      </c>
      <c r="D262" s="11" t="s">
        <v>39</v>
      </c>
      <c r="E262" s="15">
        <v>12</v>
      </c>
      <c r="F262" s="14">
        <v>7.17</v>
      </c>
      <c r="G262" s="14">
        <v>0.60199999999999998</v>
      </c>
    </row>
    <row r="263" spans="1:14">
      <c r="A263" s="12">
        <v>14</v>
      </c>
      <c r="B263" s="75">
        <v>39062</v>
      </c>
      <c r="C263" s="15">
        <v>2006</v>
      </c>
      <c r="D263" s="11" t="s">
        <v>39</v>
      </c>
      <c r="E263" s="15">
        <v>12</v>
      </c>
      <c r="F263" s="14">
        <v>2.9009999999999998</v>
      </c>
      <c r="G263" s="14">
        <v>0.23400000000000001</v>
      </c>
      <c r="I263" s="27">
        <f>AVERAGE(F261:F263)</f>
        <v>6.4036666666666671</v>
      </c>
      <c r="J263" s="27">
        <f>AVERAGE(G261:G263)</f>
        <v>0.34633333333333333</v>
      </c>
      <c r="L263">
        <f>+J263/I263</f>
        <v>5.4083597938680956E-2</v>
      </c>
      <c r="M263">
        <f>+(L263-$L$931)/$L$932</f>
        <v>8.580550440212617E-2</v>
      </c>
      <c r="N263">
        <f>+N260+M263</f>
        <v>-13.767140993657547</v>
      </c>
    </row>
    <row r="264" spans="1:14">
      <c r="A264" s="15">
        <v>5</v>
      </c>
      <c r="B264" s="75">
        <v>39100</v>
      </c>
      <c r="C264" s="15">
        <v>2007</v>
      </c>
      <c r="D264" s="11" t="s">
        <v>40</v>
      </c>
      <c r="E264" s="15">
        <v>1</v>
      </c>
      <c r="F264" s="14">
        <v>8.2520000000000007</v>
      </c>
      <c r="G264" s="14">
        <v>7.1999999999999995E-2</v>
      </c>
    </row>
    <row r="265" spans="1:14">
      <c r="A265" s="15">
        <v>7</v>
      </c>
      <c r="B265" s="75">
        <v>39100</v>
      </c>
      <c r="C265" s="15">
        <v>2007</v>
      </c>
      <c r="D265" s="11" t="s">
        <v>40</v>
      </c>
      <c r="E265" s="15">
        <v>1</v>
      </c>
      <c r="F265" s="14">
        <v>3.8980000000000001</v>
      </c>
      <c r="G265" s="14">
        <v>0.34799999999999998</v>
      </c>
    </row>
    <row r="266" spans="1:14">
      <c r="A266" s="15">
        <v>14</v>
      </c>
      <c r="B266" s="75">
        <v>39100</v>
      </c>
      <c r="C266" s="15">
        <v>2007</v>
      </c>
      <c r="D266" s="11" t="s">
        <v>40</v>
      </c>
      <c r="E266" s="15">
        <v>1</v>
      </c>
      <c r="F266" s="14">
        <v>1.804</v>
      </c>
      <c r="G266" s="14">
        <v>8.4000000000000005E-2</v>
      </c>
      <c r="I266" s="27">
        <f>AVERAGE(F264:F266)</f>
        <v>4.6513333333333335</v>
      </c>
      <c r="J266" s="27">
        <f>AVERAGE(G264:G266)</f>
        <v>0.16800000000000001</v>
      </c>
      <c r="L266">
        <f>+J266/I266</f>
        <v>3.6118675648559556E-2</v>
      </c>
      <c r="M266">
        <f>+(L266-$L$931)/$L$932</f>
        <v>-0.25329956454884184</v>
      </c>
      <c r="N266">
        <f>+N263+M266</f>
        <v>-14.020440558206388</v>
      </c>
    </row>
    <row r="267" spans="1:14">
      <c r="A267" s="15">
        <v>5</v>
      </c>
      <c r="B267" s="75">
        <v>39134</v>
      </c>
      <c r="C267" s="15">
        <v>2007</v>
      </c>
      <c r="D267" s="11" t="s">
        <v>29</v>
      </c>
      <c r="E267" s="15">
        <v>2</v>
      </c>
      <c r="F267" s="14">
        <v>6.8289999999999997</v>
      </c>
      <c r="G267" s="14">
        <v>9.9000000000000005E-2</v>
      </c>
    </row>
    <row r="268" spans="1:14">
      <c r="A268" s="15">
        <v>7</v>
      </c>
      <c r="B268" s="75">
        <v>39135</v>
      </c>
      <c r="C268" s="15">
        <v>2007</v>
      </c>
      <c r="D268" s="11" t="s">
        <v>29</v>
      </c>
      <c r="E268" s="15">
        <v>2</v>
      </c>
      <c r="F268" s="14">
        <v>7.5149999999999997</v>
      </c>
      <c r="G268" s="14">
        <v>0.379</v>
      </c>
    </row>
    <row r="269" spans="1:14">
      <c r="A269" s="15">
        <v>14</v>
      </c>
      <c r="B269" s="75">
        <v>39135</v>
      </c>
      <c r="C269" s="15">
        <v>2007</v>
      </c>
      <c r="D269" s="11" t="s">
        <v>29</v>
      </c>
      <c r="E269" s="15">
        <v>2</v>
      </c>
      <c r="F269" s="14">
        <v>5.3339999999999996</v>
      </c>
      <c r="G269" s="14">
        <v>0.104</v>
      </c>
      <c r="I269" s="27">
        <f>AVERAGE(F267:F269)</f>
        <v>6.5593333333333321</v>
      </c>
      <c r="J269" s="27">
        <f>AVERAGE(G267:G269)</f>
        <v>0.19399999999999998</v>
      </c>
      <c r="L269">
        <f>+J269/I269</f>
        <v>2.9576176440695195E-2</v>
      </c>
      <c r="M269">
        <f>+(L269-$L$931)/$L$932</f>
        <v>-0.37679548672238028</v>
      </c>
      <c r="N269">
        <f>+N266+M269</f>
        <v>-14.39723604492877</v>
      </c>
    </row>
    <row r="270" spans="1:14">
      <c r="A270" s="15">
        <v>5</v>
      </c>
      <c r="B270" s="75">
        <v>39154</v>
      </c>
      <c r="C270" s="15">
        <v>2007</v>
      </c>
      <c r="D270" s="11" t="s">
        <v>30</v>
      </c>
      <c r="E270" s="15">
        <v>3</v>
      </c>
      <c r="F270" s="14">
        <v>3.7090000000000001</v>
      </c>
      <c r="G270" s="14">
        <v>6.9000000000000006E-2</v>
      </c>
    </row>
    <row r="271" spans="1:14">
      <c r="A271" s="15">
        <v>7</v>
      </c>
      <c r="B271" s="75">
        <v>39153</v>
      </c>
      <c r="C271" s="15">
        <v>2007</v>
      </c>
      <c r="D271" s="11" t="s">
        <v>30</v>
      </c>
      <c r="E271" s="15">
        <v>3</v>
      </c>
      <c r="F271" s="14">
        <v>2.5489999999999999</v>
      </c>
      <c r="G271" s="14">
        <v>0.186</v>
      </c>
    </row>
    <row r="272" spans="1:14">
      <c r="A272" s="15">
        <v>14</v>
      </c>
      <c r="B272" s="75">
        <v>39153</v>
      </c>
      <c r="C272" s="15">
        <v>2007</v>
      </c>
      <c r="D272" s="11" t="s">
        <v>30</v>
      </c>
      <c r="E272" s="15">
        <v>3</v>
      </c>
      <c r="F272" s="14">
        <v>1.8140000000000001</v>
      </c>
      <c r="G272" s="14">
        <v>5.1999999999999998E-2</v>
      </c>
      <c r="I272" s="27">
        <f>AVERAGE(F270:F272)</f>
        <v>2.6906666666666665</v>
      </c>
      <c r="J272" s="27">
        <f>AVERAGE(G270:G272)</f>
        <v>0.10233333333333333</v>
      </c>
      <c r="L272">
        <f>+J272/I272</f>
        <v>3.8032705649157582E-2</v>
      </c>
      <c r="M272">
        <f>+(L272-$L$931)/$L$932</f>
        <v>-0.21717041993885264</v>
      </c>
      <c r="N272">
        <f>+N269+M272</f>
        <v>-14.614406464867622</v>
      </c>
    </row>
    <row r="273" spans="1:14">
      <c r="A273" s="15">
        <v>5</v>
      </c>
      <c r="B273" s="75">
        <v>39190</v>
      </c>
      <c r="C273" s="15">
        <v>2007</v>
      </c>
      <c r="D273" s="11" t="s">
        <v>31</v>
      </c>
      <c r="E273" s="15">
        <v>4</v>
      </c>
      <c r="F273" s="14">
        <v>5.0140000000000002</v>
      </c>
      <c r="G273" s="14">
        <v>9.9000000000000005E-2</v>
      </c>
    </row>
    <row r="274" spans="1:14">
      <c r="A274" s="15">
        <v>7</v>
      </c>
      <c r="B274" s="75">
        <v>39191</v>
      </c>
      <c r="C274" s="15">
        <v>2007</v>
      </c>
      <c r="D274" s="11" t="s">
        <v>31</v>
      </c>
      <c r="E274" s="15">
        <v>4</v>
      </c>
      <c r="F274" s="14">
        <v>3.1589999999999998</v>
      </c>
      <c r="G274" s="14">
        <v>7.9000000000000001E-2</v>
      </c>
    </row>
    <row r="275" spans="1:14">
      <c r="A275" s="15">
        <v>14</v>
      </c>
      <c r="B275" s="75">
        <v>39191</v>
      </c>
      <c r="C275" s="15">
        <v>2007</v>
      </c>
      <c r="D275" s="11" t="s">
        <v>31</v>
      </c>
      <c r="E275" s="15">
        <v>4</v>
      </c>
      <c r="F275" s="14">
        <v>2.4449999999999998</v>
      </c>
      <c r="G275" s="14">
        <v>1.6E-2</v>
      </c>
      <c r="I275" s="27">
        <f>AVERAGE(F273:F275)</f>
        <v>3.5393333333333334</v>
      </c>
      <c r="J275" s="27">
        <f>AVERAGE(G273:G275)</f>
        <v>6.4666666666666664E-2</v>
      </c>
      <c r="L275">
        <f>+J275/I275</f>
        <v>1.8270860802410999E-2</v>
      </c>
      <c r="M275">
        <f>+(L275-$L$931)/$L$932</f>
        <v>-0.59019411862967774</v>
      </c>
      <c r="N275">
        <f>+N272+M275</f>
        <v>-15.204600583497299</v>
      </c>
    </row>
    <row r="276" spans="1:14">
      <c r="A276" s="15">
        <v>5</v>
      </c>
      <c r="B276" s="75">
        <v>39217</v>
      </c>
      <c r="C276" s="15">
        <v>2007</v>
      </c>
      <c r="D276" s="11" t="s">
        <v>32</v>
      </c>
      <c r="E276" s="15">
        <v>5</v>
      </c>
      <c r="F276" s="14">
        <v>12.028</v>
      </c>
      <c r="G276" s="14">
        <v>5.8999999999999997E-2</v>
      </c>
    </row>
    <row r="277" spans="1:14">
      <c r="A277" s="15">
        <v>7</v>
      </c>
      <c r="B277" s="75">
        <v>39216</v>
      </c>
      <c r="C277" s="15">
        <v>2007</v>
      </c>
      <c r="D277" s="11" t="s">
        <v>32</v>
      </c>
      <c r="E277" s="15">
        <v>5</v>
      </c>
      <c r="F277" s="14">
        <v>12.683</v>
      </c>
      <c r="G277" s="14">
        <v>0.185</v>
      </c>
    </row>
    <row r="278" spans="1:14">
      <c r="A278" s="15">
        <v>14</v>
      </c>
      <c r="B278" s="75">
        <v>39216</v>
      </c>
      <c r="C278" s="15">
        <v>2007</v>
      </c>
      <c r="D278" s="11" t="s">
        <v>32</v>
      </c>
      <c r="E278" s="15">
        <v>5</v>
      </c>
      <c r="F278" s="14">
        <v>9.6349999999999998</v>
      </c>
      <c r="G278" s="14">
        <v>0.104</v>
      </c>
      <c r="I278" s="27">
        <f>AVERAGE(F276:F278)</f>
        <v>11.448666666666666</v>
      </c>
      <c r="J278" s="27">
        <f>AVERAGE(G276:G278)</f>
        <v>0.11599999999999999</v>
      </c>
      <c r="L278">
        <f>+J278/I278</f>
        <v>1.0132184242706574E-2</v>
      </c>
      <c r="M278">
        <f>+(L278-$L$931)/$L$932</f>
        <v>-0.74381941304388177</v>
      </c>
      <c r="N278">
        <f>+N275+M278</f>
        <v>-15.948419996541181</v>
      </c>
    </row>
    <row r="279" spans="1:14">
      <c r="A279" s="15">
        <v>5</v>
      </c>
      <c r="B279" s="75">
        <v>39246</v>
      </c>
      <c r="C279" s="15">
        <v>2007</v>
      </c>
      <c r="D279" s="11" t="s">
        <v>33</v>
      </c>
      <c r="E279" s="15">
        <v>6</v>
      </c>
      <c r="F279" s="14">
        <v>36.761000000000003</v>
      </c>
      <c r="G279" s="14">
        <v>3.5999999999999997E-2</v>
      </c>
    </row>
    <row r="280" spans="1:14">
      <c r="A280" s="15">
        <v>7</v>
      </c>
      <c r="B280" s="75">
        <v>39246</v>
      </c>
      <c r="C280" s="15">
        <v>2007</v>
      </c>
      <c r="D280" s="11" t="s">
        <v>33</v>
      </c>
      <c r="E280" s="15">
        <v>6</v>
      </c>
      <c r="F280" s="14">
        <v>25.888000000000002</v>
      </c>
      <c r="G280" s="14">
        <v>0.11700000000000001</v>
      </c>
    </row>
    <row r="281" spans="1:14">
      <c r="A281" s="15">
        <v>14</v>
      </c>
      <c r="B281" s="75">
        <v>39154</v>
      </c>
      <c r="C281" s="15">
        <v>2007</v>
      </c>
      <c r="D281" s="11" t="s">
        <v>33</v>
      </c>
      <c r="E281" s="15">
        <v>6</v>
      </c>
      <c r="F281" s="14">
        <v>30.686</v>
      </c>
      <c r="G281" s="14">
        <v>8.6999999999999994E-2</v>
      </c>
      <c r="I281" s="27">
        <f>AVERAGE(F279:F281)</f>
        <v>31.111666666666668</v>
      </c>
      <c r="J281" s="27">
        <f>AVERAGE(G279:G281)</f>
        <v>0.08</v>
      </c>
      <c r="L281">
        <f>+J281/I281</f>
        <v>2.5713826538811806E-3</v>
      </c>
      <c r="M281">
        <f>+(L281-$L$931)/$L$932</f>
        <v>-0.88653676537626946</v>
      </c>
      <c r="N281">
        <f>+N278+M281</f>
        <v>-16.83495676191745</v>
      </c>
    </row>
    <row r="282" spans="1:14">
      <c r="A282" s="15">
        <v>5</v>
      </c>
      <c r="B282" s="75">
        <v>39280</v>
      </c>
      <c r="C282" s="15">
        <v>2007</v>
      </c>
      <c r="D282" s="11" t="s">
        <v>34</v>
      </c>
      <c r="E282" s="15">
        <v>7</v>
      </c>
      <c r="F282" s="14">
        <v>20.344999999999999</v>
      </c>
      <c r="G282" s="14">
        <v>0.127</v>
      </c>
    </row>
    <row r="283" spans="1:14">
      <c r="A283" s="15">
        <v>7</v>
      </c>
      <c r="B283" s="75">
        <v>39280</v>
      </c>
      <c r="C283" s="15">
        <v>2007</v>
      </c>
      <c r="D283" s="11" t="s">
        <v>34</v>
      </c>
      <c r="E283" s="15">
        <v>7</v>
      </c>
      <c r="F283" s="14">
        <v>24.135000000000002</v>
      </c>
      <c r="G283" s="14">
        <v>0.29699999999999999</v>
      </c>
    </row>
    <row r="284" spans="1:14">
      <c r="A284" s="15">
        <v>14</v>
      </c>
      <c r="B284" s="75">
        <v>39280</v>
      </c>
      <c r="C284" s="15">
        <v>2007</v>
      </c>
      <c r="D284" s="11" t="s">
        <v>34</v>
      </c>
      <c r="E284" s="15">
        <v>7</v>
      </c>
      <c r="F284" s="14">
        <v>9.3070000000000004</v>
      </c>
      <c r="G284" s="14">
        <v>0.10100000000000001</v>
      </c>
      <c r="I284" s="27">
        <f>AVERAGE(F282:F284)</f>
        <v>17.929000000000002</v>
      </c>
      <c r="J284" s="27">
        <f>AVERAGE(G282:G284)</f>
        <v>0.17500000000000002</v>
      </c>
      <c r="L284">
        <f>+J284/I284</f>
        <v>9.7607228512465831E-3</v>
      </c>
      <c r="M284">
        <f>+(L284-$L$931)/$L$932</f>
        <v>-0.75083110164066058</v>
      </c>
      <c r="N284">
        <f>+N281+M284</f>
        <v>-17.58578786355811</v>
      </c>
    </row>
    <row r="285" spans="1:14">
      <c r="A285" s="15">
        <v>5</v>
      </c>
      <c r="B285" s="75">
        <v>39308</v>
      </c>
      <c r="C285" s="15">
        <v>2007</v>
      </c>
      <c r="D285" s="11" t="s">
        <v>35</v>
      </c>
      <c r="E285" s="15">
        <v>8</v>
      </c>
      <c r="F285" s="14">
        <v>21.533999999999999</v>
      </c>
      <c r="G285" s="14">
        <v>0.20599999999999999</v>
      </c>
    </row>
    <row r="286" spans="1:14">
      <c r="A286" s="15">
        <v>7</v>
      </c>
      <c r="B286" s="75">
        <v>39308</v>
      </c>
      <c r="C286" s="15">
        <v>2007</v>
      </c>
      <c r="D286" s="11" t="s">
        <v>35</v>
      </c>
      <c r="E286" s="15">
        <v>8</v>
      </c>
      <c r="F286" s="14">
        <v>24.722000000000001</v>
      </c>
      <c r="G286" s="14">
        <v>0.56200000000000006</v>
      </c>
    </row>
    <row r="287" spans="1:14">
      <c r="A287" s="15">
        <v>14</v>
      </c>
      <c r="B287" s="75">
        <v>39308</v>
      </c>
      <c r="C287" s="15">
        <v>2007</v>
      </c>
      <c r="D287" s="11" t="s">
        <v>35</v>
      </c>
      <c r="E287" s="15">
        <v>8</v>
      </c>
      <c r="F287" s="14">
        <v>14.334</v>
      </c>
      <c r="G287" s="14">
        <v>0.73599999999999999</v>
      </c>
      <c r="I287" s="27">
        <f>AVERAGE(F285:F287)</f>
        <v>20.196666666666669</v>
      </c>
      <c r="J287" s="27">
        <f>AVERAGE(G285:G287)</f>
        <v>0.5013333333333333</v>
      </c>
      <c r="L287">
        <f>+J287/I287</f>
        <v>2.4822577983165534E-2</v>
      </c>
      <c r="M287">
        <f>+(L287-$L$931)/$L$932</f>
        <v>-0.4665241984125057</v>
      </c>
      <c r="N287">
        <f>+N284+M287</f>
        <v>-18.052312061970618</v>
      </c>
    </row>
    <row r="288" spans="1:14">
      <c r="A288" s="15">
        <v>5</v>
      </c>
      <c r="B288" s="75">
        <v>39336</v>
      </c>
      <c r="C288" s="15">
        <v>2007</v>
      </c>
      <c r="D288" s="11" t="s">
        <v>41</v>
      </c>
      <c r="E288" s="15">
        <v>9</v>
      </c>
      <c r="F288" s="14">
        <v>17.701000000000001</v>
      </c>
      <c r="G288" s="14">
        <v>0.121</v>
      </c>
    </row>
    <row r="289" spans="1:14">
      <c r="A289" s="15">
        <v>7</v>
      </c>
      <c r="B289" s="75">
        <v>39335</v>
      </c>
      <c r="C289" s="15">
        <v>2007</v>
      </c>
      <c r="D289" s="11" t="s">
        <v>41</v>
      </c>
      <c r="E289" s="15">
        <v>9</v>
      </c>
      <c r="F289" s="14">
        <v>29.951000000000001</v>
      </c>
      <c r="G289" s="14">
        <v>9.9989999999999996E-4</v>
      </c>
    </row>
    <row r="290" spans="1:14">
      <c r="A290" s="15">
        <v>14</v>
      </c>
      <c r="B290" s="75">
        <v>39335</v>
      </c>
      <c r="C290" s="15">
        <v>2007</v>
      </c>
      <c r="D290" s="11" t="s">
        <v>41</v>
      </c>
      <c r="E290" s="15">
        <v>9</v>
      </c>
      <c r="F290" s="14">
        <v>15.657</v>
      </c>
      <c r="G290" s="14">
        <v>0.04</v>
      </c>
      <c r="I290" s="27">
        <f>AVERAGE(F288:F290)</f>
        <v>21.102999999999998</v>
      </c>
      <c r="J290" s="27">
        <f>AVERAGE(G288:G290)</f>
        <v>5.399996666666667E-2</v>
      </c>
      <c r="L290">
        <f>+J290/I290</f>
        <v>2.5588763051066993E-3</v>
      </c>
      <c r="M290">
        <f>+(L290-$L$931)/$L$932</f>
        <v>-0.88677283465589163</v>
      </c>
      <c r="N290">
        <f>+N287+M290</f>
        <v>-18.939084896626511</v>
      </c>
    </row>
    <row r="291" spans="1:14">
      <c r="A291" s="15">
        <v>5</v>
      </c>
      <c r="B291" s="75">
        <v>39373</v>
      </c>
      <c r="C291" s="15">
        <v>2007</v>
      </c>
      <c r="D291" s="11" t="s">
        <v>37</v>
      </c>
      <c r="E291" s="15">
        <v>10</v>
      </c>
      <c r="F291" s="14">
        <v>5.6550000000000002</v>
      </c>
      <c r="G291" s="14">
        <v>9.9989999999999996E-4</v>
      </c>
    </row>
    <row r="292" spans="1:14">
      <c r="A292" s="15">
        <v>7</v>
      </c>
      <c r="B292" s="75">
        <v>39370</v>
      </c>
      <c r="C292" s="15">
        <v>2007</v>
      </c>
      <c r="D292" s="11" t="s">
        <v>37</v>
      </c>
      <c r="E292" s="15">
        <v>10</v>
      </c>
      <c r="F292" s="14">
        <v>5.0540000000000003</v>
      </c>
      <c r="G292" s="14">
        <v>1.9E-2</v>
      </c>
    </row>
    <row r="293" spans="1:14">
      <c r="A293" s="15">
        <v>14</v>
      </c>
      <c r="B293" s="75">
        <v>39370</v>
      </c>
      <c r="C293" s="15">
        <v>2007</v>
      </c>
      <c r="D293" s="11" t="s">
        <v>37</v>
      </c>
      <c r="E293" s="15">
        <v>10</v>
      </c>
      <c r="F293" s="14">
        <v>3.0880000000000001</v>
      </c>
      <c r="G293" s="14">
        <v>9.9989999999999996E-4</v>
      </c>
      <c r="I293" s="27">
        <f>AVERAGE(F291:F293)</f>
        <v>4.5990000000000002</v>
      </c>
      <c r="J293" s="27">
        <f>AVERAGE(G291:G293)</f>
        <v>6.9999333333333339E-3</v>
      </c>
      <c r="L293">
        <f>+J293/I293</f>
        <v>1.5220555193157933E-3</v>
      </c>
      <c r="M293">
        <f>+(L293-$L$931)/$L$932</f>
        <v>-0.90634381739533576</v>
      </c>
      <c r="N293">
        <f>+N290+M293</f>
        <v>-19.845428714021846</v>
      </c>
    </row>
    <row r="294" spans="1:14">
      <c r="A294" s="15">
        <v>5</v>
      </c>
      <c r="B294" s="75">
        <v>39400</v>
      </c>
      <c r="C294" s="15">
        <v>2007</v>
      </c>
      <c r="D294" s="11" t="s">
        <v>38</v>
      </c>
      <c r="E294" s="15">
        <v>11</v>
      </c>
      <c r="F294" s="14">
        <v>6.415</v>
      </c>
      <c r="G294" s="14">
        <v>0.04</v>
      </c>
    </row>
    <row r="295" spans="1:14">
      <c r="A295" s="15">
        <v>7</v>
      </c>
      <c r="B295" s="75">
        <v>39400</v>
      </c>
      <c r="C295" s="15">
        <v>2007</v>
      </c>
      <c r="D295" s="11" t="s">
        <v>38</v>
      </c>
      <c r="E295" s="15">
        <v>11</v>
      </c>
      <c r="F295" s="14">
        <v>3.0409999999999999</v>
      </c>
      <c r="G295" s="14">
        <v>3.9E-2</v>
      </c>
    </row>
    <row r="296" spans="1:14">
      <c r="A296" s="15">
        <v>14</v>
      </c>
      <c r="B296" s="75">
        <v>39400</v>
      </c>
      <c r="C296" s="15">
        <v>2007</v>
      </c>
      <c r="D296" s="11" t="s">
        <v>38</v>
      </c>
      <c r="E296" s="15">
        <v>11</v>
      </c>
      <c r="F296" s="14">
        <v>2.3140000000000001</v>
      </c>
      <c r="G296" s="14">
        <v>9.9989999999999996E-4</v>
      </c>
      <c r="I296" s="27">
        <f>AVERAGE(F294:F296)</f>
        <v>3.9233333333333333</v>
      </c>
      <c r="J296" s="27">
        <f>AVERAGE(G294:G296)</f>
        <v>2.6666633333333332E-2</v>
      </c>
      <c r="L296">
        <f>+J296/I296</f>
        <v>6.7969328802039075E-3</v>
      </c>
      <c r="M296">
        <f>+(L296-$L$931)/$L$932</f>
        <v>-0.80677546846039716</v>
      </c>
      <c r="N296">
        <f>+N293+M296</f>
        <v>-20.652204182482244</v>
      </c>
    </row>
    <row r="297" spans="1:14">
      <c r="A297" s="15">
        <v>5</v>
      </c>
      <c r="B297" s="75">
        <v>39427</v>
      </c>
      <c r="C297" s="15">
        <v>2007</v>
      </c>
      <c r="D297" s="11" t="s">
        <v>39</v>
      </c>
      <c r="E297" s="15">
        <v>12</v>
      </c>
      <c r="F297" s="14">
        <v>3.5459999999999998</v>
      </c>
      <c r="G297" s="14">
        <v>0.10299999999999999</v>
      </c>
    </row>
    <row r="298" spans="1:14">
      <c r="A298" s="15">
        <v>7</v>
      </c>
      <c r="B298" s="75">
        <v>39434</v>
      </c>
      <c r="C298" s="15">
        <v>2007</v>
      </c>
      <c r="D298" s="11" t="s">
        <v>39</v>
      </c>
      <c r="E298" s="15">
        <v>12</v>
      </c>
      <c r="F298" s="14">
        <v>2.734</v>
      </c>
      <c r="G298" s="14">
        <v>0.46</v>
      </c>
    </row>
    <row r="299" spans="1:14">
      <c r="A299" s="15">
        <v>14</v>
      </c>
      <c r="B299" s="75">
        <v>39434</v>
      </c>
      <c r="C299" s="15">
        <v>2007</v>
      </c>
      <c r="D299" s="11" t="s">
        <v>39</v>
      </c>
      <c r="E299" s="15">
        <v>12</v>
      </c>
      <c r="F299" s="14">
        <v>0.92400000000000004</v>
      </c>
      <c r="G299" s="14">
        <v>4.2999999999999997E-2</v>
      </c>
      <c r="I299" s="27">
        <f>AVERAGE(F297:F299)</f>
        <v>2.4013333333333331</v>
      </c>
      <c r="J299" s="27">
        <f>AVERAGE(G297:G299)</f>
        <v>0.20200000000000004</v>
      </c>
      <c r="L299">
        <f>+J299/I299</f>
        <v>8.4119933370349828E-2</v>
      </c>
      <c r="M299">
        <f>+(L299-$L$931)/$L$932</f>
        <v>0.65277002743773604</v>
      </c>
      <c r="N299">
        <f>+N296+M299</f>
        <v>-19.999434155044508</v>
      </c>
    </row>
    <row r="300" spans="1:14">
      <c r="A300" s="15">
        <v>5</v>
      </c>
      <c r="B300" s="75">
        <v>39462</v>
      </c>
      <c r="C300" s="15">
        <v>2008</v>
      </c>
      <c r="D300" s="11" t="s">
        <v>40</v>
      </c>
      <c r="E300" s="15">
        <v>1</v>
      </c>
      <c r="F300" s="23">
        <v>4.6689999999999996</v>
      </c>
      <c r="G300" s="23">
        <v>0.19</v>
      </c>
    </row>
    <row r="301" spans="1:14">
      <c r="A301" s="15">
        <v>7</v>
      </c>
      <c r="B301" s="75">
        <v>39463</v>
      </c>
      <c r="C301" s="15">
        <v>2008</v>
      </c>
      <c r="D301" s="11" t="s">
        <v>40</v>
      </c>
      <c r="E301" s="15">
        <v>1</v>
      </c>
      <c r="F301" s="23">
        <v>1.601</v>
      </c>
      <c r="G301" s="23">
        <v>9.6000000000000002E-2</v>
      </c>
    </row>
    <row r="302" spans="1:14">
      <c r="A302" s="15">
        <v>14</v>
      </c>
      <c r="B302" s="75">
        <v>39463</v>
      </c>
      <c r="C302" s="15">
        <v>2008</v>
      </c>
      <c r="D302" s="11" t="s">
        <v>40</v>
      </c>
      <c r="E302" s="15">
        <v>1</v>
      </c>
      <c r="F302" s="23">
        <v>1.2529999999999999</v>
      </c>
      <c r="G302" s="23">
        <v>6.4000000000000001E-2</v>
      </c>
      <c r="I302" s="27">
        <f>AVERAGE(F300:F302)</f>
        <v>2.5076666666666667</v>
      </c>
      <c r="J302" s="27">
        <f>AVERAGE(G300:G302)</f>
        <v>0.11666666666666668</v>
      </c>
      <c r="L302">
        <f>+J302/I302</f>
        <v>4.6523993087863889E-2</v>
      </c>
      <c r="M302">
        <f>+(L302-$L$931)/$L$932</f>
        <v>-5.6889258357188319E-2</v>
      </c>
      <c r="N302">
        <f>+N299+M302</f>
        <v>-20.056323413401696</v>
      </c>
    </row>
    <row r="303" spans="1:14">
      <c r="A303" s="15">
        <v>5</v>
      </c>
      <c r="B303" s="75">
        <v>39490</v>
      </c>
      <c r="C303" s="15">
        <v>2008</v>
      </c>
      <c r="D303" s="11" t="s">
        <v>29</v>
      </c>
      <c r="E303" s="15">
        <v>2</v>
      </c>
      <c r="F303" s="23">
        <v>3.9</v>
      </c>
      <c r="G303" s="23">
        <v>0.20100000000000001</v>
      </c>
    </row>
    <row r="304" spans="1:14">
      <c r="A304" s="15">
        <v>7</v>
      </c>
      <c r="B304" s="75">
        <v>39493</v>
      </c>
      <c r="C304" s="15">
        <v>2008</v>
      </c>
      <c r="D304" s="11" t="s">
        <v>29</v>
      </c>
      <c r="E304" s="15">
        <v>2</v>
      </c>
      <c r="F304" s="23">
        <v>1.7909999999999999</v>
      </c>
      <c r="G304" s="23">
        <v>0.20399999999999999</v>
      </c>
    </row>
    <row r="305" spans="1:14">
      <c r="A305" s="15">
        <v>14</v>
      </c>
      <c r="B305" s="75">
        <v>39493</v>
      </c>
      <c r="C305" s="15">
        <v>2008</v>
      </c>
      <c r="D305" s="11" t="s">
        <v>29</v>
      </c>
      <c r="E305" s="15">
        <v>2</v>
      </c>
      <c r="F305" s="23">
        <v>2.5129999999999999</v>
      </c>
      <c r="G305" s="23">
        <v>0.13900000000000001</v>
      </c>
      <c r="I305" s="27">
        <f>AVERAGE(F303:F305)</f>
        <v>2.734666666666667</v>
      </c>
      <c r="J305" s="27">
        <f>AVERAGE(G303:G305)</f>
        <v>0.18133333333333335</v>
      </c>
      <c r="L305">
        <f>+J305/I305</f>
        <v>6.6309117503656742E-2</v>
      </c>
      <c r="M305">
        <f>+(L305-$L$931)/$L$932</f>
        <v>0.31657386443684732</v>
      </c>
      <c r="N305">
        <f>+N302+M305</f>
        <v>-19.739749548964848</v>
      </c>
    </row>
    <row r="306" spans="1:14">
      <c r="A306" s="15">
        <v>5</v>
      </c>
      <c r="B306" s="75">
        <v>39517</v>
      </c>
      <c r="C306" s="15">
        <v>2008</v>
      </c>
      <c r="D306" s="11" t="s">
        <v>30</v>
      </c>
      <c r="E306" s="15">
        <v>3</v>
      </c>
      <c r="F306" s="24">
        <v>1.9970000000000001</v>
      </c>
      <c r="G306" s="23">
        <v>4.1000000000000002E-2</v>
      </c>
    </row>
    <row r="307" spans="1:14">
      <c r="A307" s="15">
        <v>7</v>
      </c>
      <c r="B307" s="75">
        <v>39517</v>
      </c>
      <c r="C307" s="15">
        <v>2008</v>
      </c>
      <c r="D307" s="11" t="s">
        <v>30</v>
      </c>
      <c r="E307" s="15">
        <v>3</v>
      </c>
      <c r="F307" s="24">
        <v>2.08</v>
      </c>
      <c r="G307" s="23">
        <v>3.5000000000000003E-2</v>
      </c>
    </row>
    <row r="308" spans="1:14">
      <c r="A308" s="15">
        <v>14</v>
      </c>
      <c r="B308" s="75">
        <v>39517</v>
      </c>
      <c r="C308" s="15">
        <v>2008</v>
      </c>
      <c r="D308" s="11" t="s">
        <v>30</v>
      </c>
      <c r="E308" s="15">
        <v>3</v>
      </c>
      <c r="F308" s="24">
        <v>1.8720000000000001</v>
      </c>
      <c r="G308" s="23">
        <v>0.04</v>
      </c>
      <c r="I308" s="27">
        <f>AVERAGE(F306:F308)</f>
        <v>1.9829999999999999</v>
      </c>
      <c r="J308" s="27">
        <f>AVERAGE(G306:G308)</f>
        <v>3.8666666666666676E-2</v>
      </c>
      <c r="L308">
        <f>+J308/I308</f>
        <v>1.9499075474869731E-2</v>
      </c>
      <c r="M308">
        <f>+(L308-$L$931)/$L$932</f>
        <v>-0.56701039345321358</v>
      </c>
      <c r="N308">
        <f>+N305+M308</f>
        <v>-20.306759942418061</v>
      </c>
    </row>
    <row r="309" spans="1:14">
      <c r="A309" s="15">
        <v>5</v>
      </c>
      <c r="B309" s="75">
        <v>39553</v>
      </c>
      <c r="C309" s="15">
        <v>2008</v>
      </c>
      <c r="D309" s="11" t="s">
        <v>31</v>
      </c>
      <c r="E309" s="15">
        <v>4</v>
      </c>
      <c r="F309" s="24">
        <v>3.9340000000000002</v>
      </c>
      <c r="G309" s="23">
        <v>0.111</v>
      </c>
    </row>
    <row r="310" spans="1:14">
      <c r="A310" s="15">
        <v>7</v>
      </c>
      <c r="B310" s="75">
        <v>39552</v>
      </c>
      <c r="C310" s="15">
        <v>2008</v>
      </c>
      <c r="D310" s="11" t="s">
        <v>31</v>
      </c>
      <c r="E310" s="15">
        <v>4</v>
      </c>
      <c r="F310" s="24">
        <v>5.7969999999999997</v>
      </c>
      <c r="G310" s="23">
        <v>0.73799999999999999</v>
      </c>
    </row>
    <row r="311" spans="1:14">
      <c r="A311" s="15">
        <v>14</v>
      </c>
      <c r="B311" s="75">
        <v>39552</v>
      </c>
      <c r="C311" s="15">
        <v>2008</v>
      </c>
      <c r="D311" s="11" t="s">
        <v>31</v>
      </c>
      <c r="E311" s="15">
        <v>4</v>
      </c>
      <c r="F311" s="24">
        <v>1.417</v>
      </c>
      <c r="G311" s="23">
        <v>0.11700000000000001</v>
      </c>
      <c r="I311" s="27">
        <f>AVERAGE(F309:F311)</f>
        <v>3.7159999999999997</v>
      </c>
      <c r="J311" s="27">
        <f>AVERAGE(G309:G311)</f>
        <v>0.32200000000000001</v>
      </c>
      <c r="L311">
        <f>+J311/I311</f>
        <v>8.6652314316469331E-2</v>
      </c>
      <c r="M311">
        <f>+(L311-$L$931)/$L$932</f>
        <v>0.70057113681499061</v>
      </c>
      <c r="N311">
        <f>+N308+M311</f>
        <v>-19.606188805603072</v>
      </c>
    </row>
    <row r="312" spans="1:14">
      <c r="A312" s="15">
        <v>5</v>
      </c>
      <c r="B312" s="75">
        <v>39582</v>
      </c>
      <c r="C312" s="15">
        <v>2008</v>
      </c>
      <c r="D312" s="11" t="s">
        <v>32</v>
      </c>
      <c r="E312" s="15">
        <v>5</v>
      </c>
      <c r="F312" s="24">
        <v>6.69</v>
      </c>
      <c r="G312" s="23">
        <v>8.1000000000000003E-2</v>
      </c>
    </row>
    <row r="313" spans="1:14">
      <c r="A313" s="15">
        <v>7</v>
      </c>
      <c r="B313" s="75">
        <v>39583</v>
      </c>
      <c r="C313" s="15">
        <v>2008</v>
      </c>
      <c r="D313" s="11" t="s">
        <v>32</v>
      </c>
      <c r="E313" s="15">
        <v>5</v>
      </c>
      <c r="F313" s="24">
        <v>3.6389999999999998</v>
      </c>
      <c r="G313" s="23">
        <v>0.75600000000000001</v>
      </c>
    </row>
    <row r="314" spans="1:14">
      <c r="A314" s="15">
        <v>14</v>
      </c>
      <c r="B314" s="75">
        <v>39583</v>
      </c>
      <c r="C314" s="15">
        <v>2008</v>
      </c>
      <c r="D314" s="11" t="s">
        <v>32</v>
      </c>
      <c r="E314" s="15">
        <v>5</v>
      </c>
      <c r="F314" s="24">
        <v>1.901</v>
      </c>
      <c r="G314" s="23">
        <v>0.10199999999999999</v>
      </c>
      <c r="I314" s="27">
        <f>AVERAGE(F312:F314)</f>
        <v>4.0766666666666671</v>
      </c>
      <c r="J314" s="27">
        <f>AVERAGE(G312:G314)</f>
        <v>0.313</v>
      </c>
      <c r="L314">
        <f>+J314/I314</f>
        <v>7.6778413736712986E-2</v>
      </c>
      <c r="M314">
        <f>+(L314-$L$931)/$L$932</f>
        <v>0.51419183147535974</v>
      </c>
      <c r="N314">
        <f>+N311+M314</f>
        <v>-19.091996974127714</v>
      </c>
    </row>
    <row r="315" spans="1:14">
      <c r="A315" s="15">
        <v>5</v>
      </c>
      <c r="B315" s="75">
        <v>39616</v>
      </c>
      <c r="C315" s="15">
        <v>2008</v>
      </c>
      <c r="D315" s="11" t="s">
        <v>33</v>
      </c>
      <c r="E315" s="15">
        <v>6</v>
      </c>
      <c r="F315" s="24">
        <v>11.015000000000001</v>
      </c>
      <c r="G315" s="23">
        <v>7.4999999999999997E-2</v>
      </c>
    </row>
    <row r="316" spans="1:14">
      <c r="A316" s="15">
        <v>7</v>
      </c>
      <c r="B316" s="75">
        <v>39617</v>
      </c>
      <c r="C316" s="15">
        <v>2008</v>
      </c>
      <c r="D316" s="11" t="s">
        <v>33</v>
      </c>
      <c r="E316" s="15">
        <v>6</v>
      </c>
      <c r="F316" s="24">
        <v>22.236999999999998</v>
      </c>
      <c r="G316" s="23">
        <v>3.242</v>
      </c>
    </row>
    <row r="317" spans="1:14">
      <c r="A317" s="15">
        <v>14</v>
      </c>
      <c r="B317" s="75">
        <v>39617</v>
      </c>
      <c r="C317" s="15">
        <v>2008</v>
      </c>
      <c r="D317" s="11" t="s">
        <v>33</v>
      </c>
      <c r="E317" s="15">
        <v>6</v>
      </c>
      <c r="F317" s="24">
        <v>9.8810000000000002</v>
      </c>
      <c r="G317" s="23">
        <v>0.20100000000000001</v>
      </c>
      <c r="I317" s="27">
        <f>AVERAGE(F315:F317)</f>
        <v>14.377666666666665</v>
      </c>
      <c r="J317" s="27">
        <f>AVERAGE(G315:G317)</f>
        <v>1.1726666666666667</v>
      </c>
      <c r="L317">
        <f>+J317/I317</f>
        <v>8.1561681311292988E-2</v>
      </c>
      <c r="M317">
        <f>+(L317-$L$931)/$L$932</f>
        <v>0.60448057609079331</v>
      </c>
      <c r="N317">
        <f>+N314+M317</f>
        <v>-18.48751639803692</v>
      </c>
    </row>
    <row r="318" spans="1:14">
      <c r="A318" s="15">
        <v>5</v>
      </c>
      <c r="B318" s="75">
        <v>39644</v>
      </c>
      <c r="C318" s="15">
        <v>2008</v>
      </c>
      <c r="D318" s="11" t="s">
        <v>34</v>
      </c>
      <c r="E318" s="15">
        <v>7</v>
      </c>
      <c r="F318" s="24">
        <v>15.352</v>
      </c>
      <c r="G318" s="23">
        <v>0.26600000000000001</v>
      </c>
    </row>
    <row r="319" spans="1:14">
      <c r="A319" s="15">
        <v>7</v>
      </c>
      <c r="B319" s="75">
        <v>39645</v>
      </c>
      <c r="C319" s="15">
        <v>2008</v>
      </c>
      <c r="D319" s="11" t="s">
        <v>34</v>
      </c>
      <c r="E319" s="15">
        <v>7</v>
      </c>
      <c r="F319" s="24">
        <v>32.878</v>
      </c>
      <c r="G319" s="23">
        <v>1.986</v>
      </c>
    </row>
    <row r="320" spans="1:14">
      <c r="A320" s="15">
        <v>14</v>
      </c>
      <c r="B320" s="75">
        <v>39645</v>
      </c>
      <c r="C320" s="15">
        <v>2008</v>
      </c>
      <c r="D320" s="11" t="s">
        <v>34</v>
      </c>
      <c r="E320" s="15">
        <v>7</v>
      </c>
      <c r="F320" s="24">
        <v>14.779</v>
      </c>
      <c r="G320" s="23">
        <v>3.0590000000000002</v>
      </c>
      <c r="I320" s="27">
        <f>AVERAGE(F318:F320)</f>
        <v>21.003</v>
      </c>
      <c r="J320" s="27">
        <f>AVERAGE(G318:G320)</f>
        <v>1.7703333333333333</v>
      </c>
      <c r="L320">
        <f>+J320/I320</f>
        <v>8.4289545937881891E-2</v>
      </c>
      <c r="M320">
        <f>+(L320-$L$931)/$L$932</f>
        <v>0.65597162666978714</v>
      </c>
      <c r="N320">
        <f>+N317+M320</f>
        <v>-17.831544771367135</v>
      </c>
    </row>
    <row r="321" spans="1:14">
      <c r="A321" s="15">
        <v>5</v>
      </c>
      <c r="B321" s="75">
        <v>39672</v>
      </c>
      <c r="C321" s="15">
        <v>2008</v>
      </c>
      <c r="D321" s="11" t="s">
        <v>35</v>
      </c>
      <c r="E321" s="15">
        <v>8</v>
      </c>
      <c r="F321" s="24">
        <v>15.361000000000001</v>
      </c>
      <c r="G321" s="23">
        <v>0.28100000000000003</v>
      </c>
    </row>
    <row r="322" spans="1:14">
      <c r="A322" s="15">
        <v>7</v>
      </c>
      <c r="B322" s="75">
        <v>39672</v>
      </c>
      <c r="C322" s="15">
        <v>2008</v>
      </c>
      <c r="D322" s="11" t="s">
        <v>35</v>
      </c>
      <c r="E322" s="15">
        <v>8</v>
      </c>
      <c r="F322" s="24">
        <v>40.704000000000001</v>
      </c>
      <c r="G322" s="23">
        <v>2.6930000000000001</v>
      </c>
    </row>
    <row r="323" spans="1:14">
      <c r="A323" s="15">
        <v>14</v>
      </c>
      <c r="B323" s="75">
        <v>39672</v>
      </c>
      <c r="C323" s="15">
        <v>2008</v>
      </c>
      <c r="D323" s="11" t="s">
        <v>35</v>
      </c>
      <c r="E323" s="15">
        <v>8</v>
      </c>
      <c r="F323" s="24">
        <v>20.457000000000001</v>
      </c>
      <c r="G323" s="23">
        <v>2.3660000000000001</v>
      </c>
      <c r="I323" s="27">
        <f>AVERAGE(F321:F323)</f>
        <v>25.507333333333332</v>
      </c>
      <c r="J323" s="27">
        <f>AVERAGE(G321:G323)</f>
        <v>1.78</v>
      </c>
      <c r="L323">
        <f>+J323/I323</f>
        <v>6.9783853009592015E-2</v>
      </c>
      <c r="M323">
        <f>+(L323-$L$931)/$L$932</f>
        <v>0.38216281630080745</v>
      </c>
      <c r="N323">
        <f>+N320+M323</f>
        <v>-17.449381955066329</v>
      </c>
    </row>
    <row r="324" spans="1:14">
      <c r="A324" s="15">
        <v>5</v>
      </c>
      <c r="B324" s="75">
        <v>39707</v>
      </c>
      <c r="C324" s="15">
        <v>2008</v>
      </c>
      <c r="D324" s="11" t="s">
        <v>41</v>
      </c>
      <c r="E324" s="15">
        <v>9</v>
      </c>
      <c r="F324" s="23">
        <v>30.481000000000002</v>
      </c>
      <c r="G324" s="23">
        <v>0.16700000000000001</v>
      </c>
    </row>
    <row r="325" spans="1:14">
      <c r="A325" s="15">
        <v>7</v>
      </c>
      <c r="B325" s="75">
        <v>39709</v>
      </c>
      <c r="C325" s="15">
        <v>2008</v>
      </c>
      <c r="D325" s="11" t="s">
        <v>41</v>
      </c>
      <c r="E325" s="15">
        <v>9</v>
      </c>
      <c r="F325" s="23">
        <v>13.15</v>
      </c>
      <c r="G325" s="23">
        <v>0.54900000000000004</v>
      </c>
    </row>
    <row r="326" spans="1:14">
      <c r="A326" s="15">
        <v>14</v>
      </c>
      <c r="B326" s="75">
        <v>39709</v>
      </c>
      <c r="C326" s="15">
        <v>2008</v>
      </c>
      <c r="D326" s="11" t="s">
        <v>41</v>
      </c>
      <c r="E326" s="15">
        <v>9</v>
      </c>
      <c r="F326" s="23">
        <v>3.0950000000000002</v>
      </c>
      <c r="G326" s="23">
        <v>0.16300000000000001</v>
      </c>
      <c r="I326" s="27">
        <f>AVERAGE(F324:F326)</f>
        <v>15.575333333333333</v>
      </c>
      <c r="J326" s="27">
        <f>AVERAGE(G324:G326)</f>
        <v>0.29300000000000004</v>
      </c>
      <c r="L326">
        <f>+J326/I326</f>
        <v>1.8811796430252967E-2</v>
      </c>
      <c r="M326">
        <f>+(L326-$L$931)/$L$932</f>
        <v>-0.57998344193344431</v>
      </c>
      <c r="N326">
        <f>+N323+M326</f>
        <v>-18.029365396999772</v>
      </c>
    </row>
    <row r="327" spans="1:14">
      <c r="A327" s="15">
        <v>5</v>
      </c>
      <c r="B327" s="75">
        <v>39737</v>
      </c>
      <c r="C327" s="15">
        <v>2008</v>
      </c>
      <c r="D327" s="11" t="s">
        <v>37</v>
      </c>
      <c r="E327" s="15">
        <v>10</v>
      </c>
      <c r="F327" s="23">
        <v>10.756</v>
      </c>
      <c r="G327" s="23">
        <v>1.9E-2</v>
      </c>
    </row>
    <row r="328" spans="1:14">
      <c r="A328" s="15">
        <v>7</v>
      </c>
      <c r="B328" s="75">
        <v>39735</v>
      </c>
      <c r="C328" s="15">
        <v>2008</v>
      </c>
      <c r="D328" s="11" t="s">
        <v>37</v>
      </c>
      <c r="E328" s="15">
        <v>10</v>
      </c>
      <c r="F328" s="23">
        <v>19.638999999999999</v>
      </c>
      <c r="G328" s="23">
        <v>0.13100000000000001</v>
      </c>
    </row>
    <row r="329" spans="1:14">
      <c r="A329" s="15">
        <v>14</v>
      </c>
      <c r="B329" s="75">
        <v>39735</v>
      </c>
      <c r="C329" s="15">
        <v>2008</v>
      </c>
      <c r="D329" s="11" t="s">
        <v>37</v>
      </c>
      <c r="E329" s="15">
        <v>10</v>
      </c>
      <c r="F329" s="23">
        <v>2.2909999999999999</v>
      </c>
      <c r="G329" s="23">
        <v>2.1000000000000001E-2</v>
      </c>
      <c r="I329" s="27">
        <f>AVERAGE(F327:F329)</f>
        <v>10.895333333333333</v>
      </c>
      <c r="J329" s="27">
        <f>AVERAGE(G327:G329)</f>
        <v>5.6999999999999995E-2</v>
      </c>
      <c r="L329">
        <f>+J329/I329</f>
        <v>5.2315976258948777E-3</v>
      </c>
      <c r="M329">
        <f>+(L329-$L$931)/$L$932</f>
        <v>-0.83632266664870936</v>
      </c>
      <c r="N329">
        <f>+N326+M329</f>
        <v>-18.865688063648481</v>
      </c>
    </row>
    <row r="330" spans="1:14">
      <c r="A330" s="15">
        <v>5</v>
      </c>
      <c r="B330" s="75">
        <v>39763</v>
      </c>
      <c r="C330" s="15">
        <v>2008</v>
      </c>
      <c r="D330" s="11" t="s">
        <v>38</v>
      </c>
      <c r="E330" s="15">
        <v>11</v>
      </c>
      <c r="F330" s="23">
        <v>1.7749999999999999</v>
      </c>
      <c r="G330" s="23">
        <v>1.2E-2</v>
      </c>
    </row>
    <row r="331" spans="1:14">
      <c r="A331" s="15">
        <v>7</v>
      </c>
      <c r="B331" s="75">
        <v>39769</v>
      </c>
      <c r="C331" s="15">
        <v>2008</v>
      </c>
      <c r="D331" s="11" t="s">
        <v>38</v>
      </c>
      <c r="E331" s="15">
        <v>11</v>
      </c>
      <c r="F331" s="23">
        <v>4.7770000000000001</v>
      </c>
      <c r="G331" s="23">
        <v>0.113</v>
      </c>
    </row>
    <row r="332" spans="1:14">
      <c r="A332" s="15">
        <v>14</v>
      </c>
      <c r="B332" s="75">
        <v>39769</v>
      </c>
      <c r="C332" s="15">
        <v>2008</v>
      </c>
      <c r="D332" s="11" t="s">
        <v>38</v>
      </c>
      <c r="E332" s="15">
        <v>11</v>
      </c>
      <c r="F332" s="23">
        <v>1.095</v>
      </c>
      <c r="G332" s="23">
        <v>2.1000000000000001E-2</v>
      </c>
      <c r="I332" s="27">
        <f>AVERAGE(F330:F332)</f>
        <v>2.5489999999999999</v>
      </c>
      <c r="J332" s="27">
        <f>AVERAGE(G330:G332)</f>
        <v>4.8666666666666664E-2</v>
      </c>
      <c r="L332">
        <f>+J332/I332</f>
        <v>1.9092454557342747E-2</v>
      </c>
      <c r="M332">
        <f>+(L332-$L$931)/$L$932</f>
        <v>-0.57468575169012148</v>
      </c>
      <c r="N332">
        <f>+N329+M332</f>
        <v>-19.440373815338603</v>
      </c>
    </row>
    <row r="333" spans="1:14">
      <c r="A333" s="15">
        <v>5</v>
      </c>
      <c r="B333" s="75">
        <v>39434</v>
      </c>
      <c r="C333" s="15">
        <v>2008</v>
      </c>
      <c r="D333" s="11" t="s">
        <v>39</v>
      </c>
      <c r="E333" s="15">
        <v>12</v>
      </c>
      <c r="F333" s="23">
        <v>3.83</v>
      </c>
      <c r="G333" s="23">
        <v>0.13200000000000001</v>
      </c>
    </row>
    <row r="334" spans="1:14">
      <c r="A334" s="15">
        <v>7</v>
      </c>
      <c r="B334" s="75">
        <v>39797</v>
      </c>
      <c r="C334" s="15">
        <v>2008</v>
      </c>
      <c r="D334" s="11" t="s">
        <v>39</v>
      </c>
      <c r="E334" s="15">
        <v>12</v>
      </c>
      <c r="F334" s="23">
        <v>2.895</v>
      </c>
      <c r="G334" s="23">
        <v>0.39</v>
      </c>
    </row>
    <row r="335" spans="1:14">
      <c r="A335" s="15">
        <v>14</v>
      </c>
      <c r="B335" s="75">
        <v>39797</v>
      </c>
      <c r="C335" s="15">
        <v>2008</v>
      </c>
      <c r="D335" s="11" t="s">
        <v>39</v>
      </c>
      <c r="E335" s="15">
        <v>12</v>
      </c>
      <c r="F335" s="23">
        <v>2.363</v>
      </c>
      <c r="G335" s="23">
        <v>0.221</v>
      </c>
      <c r="I335" s="27">
        <f>AVERAGE(F333:F335)</f>
        <v>3.0293333333333332</v>
      </c>
      <c r="J335" s="27">
        <f>AVERAGE(G333:G335)</f>
        <v>0.24766666666666667</v>
      </c>
      <c r="L335">
        <f>+J335/I335</f>
        <v>8.1756161971830998E-2</v>
      </c>
      <c r="M335">
        <f>+(L335-$L$931)/$L$932</f>
        <v>0.60815158433320782</v>
      </c>
      <c r="N335">
        <f>+N332+M335</f>
        <v>-18.832222231005396</v>
      </c>
    </row>
    <row r="336" spans="1:14">
      <c r="A336" s="15">
        <v>5</v>
      </c>
      <c r="B336" s="75">
        <v>39825</v>
      </c>
      <c r="C336" s="15">
        <v>2009</v>
      </c>
      <c r="D336" s="11" t="s">
        <v>40</v>
      </c>
      <c r="E336" s="12">
        <v>1</v>
      </c>
      <c r="F336" s="23">
        <v>4.41</v>
      </c>
      <c r="G336" s="23">
        <v>0.11899999999999999</v>
      </c>
    </row>
    <row r="337" spans="1:14">
      <c r="A337" s="15">
        <v>7</v>
      </c>
      <c r="B337" s="75">
        <v>39826</v>
      </c>
      <c r="C337" s="15">
        <v>2009</v>
      </c>
      <c r="D337" s="11" t="s">
        <v>40</v>
      </c>
      <c r="E337" s="12">
        <v>1</v>
      </c>
      <c r="F337" s="23">
        <v>4.9820000000000002</v>
      </c>
      <c r="G337" s="23">
        <v>0.20899999999999999</v>
      </c>
    </row>
    <row r="338" spans="1:14">
      <c r="A338" s="15">
        <v>14</v>
      </c>
      <c r="B338" s="75">
        <v>39826</v>
      </c>
      <c r="C338" s="15">
        <v>2009</v>
      </c>
      <c r="D338" s="11" t="s">
        <v>40</v>
      </c>
      <c r="E338" s="12">
        <v>1</v>
      </c>
      <c r="F338" s="23">
        <v>2.9969999999999999</v>
      </c>
      <c r="G338" s="23">
        <v>0.107</v>
      </c>
      <c r="I338" s="27">
        <f>AVERAGE(F336:F338)</f>
        <v>4.1296666666666662</v>
      </c>
      <c r="J338" s="27">
        <f>AVERAGE(G336:G338)</f>
        <v>0.14499999999999999</v>
      </c>
      <c r="L338">
        <f>+J338/I338</f>
        <v>3.5111792719347813E-2</v>
      </c>
      <c r="M338">
        <f>+(L338-$L$931)/$L$932</f>
        <v>-0.27230544164766196</v>
      </c>
      <c r="N338">
        <f>+N335+M338</f>
        <v>-19.10452767265306</v>
      </c>
    </row>
    <row r="339" spans="1:14">
      <c r="A339" s="12">
        <v>5</v>
      </c>
      <c r="B339" s="75">
        <v>39854</v>
      </c>
      <c r="C339" s="15">
        <v>2009</v>
      </c>
      <c r="D339" s="11" t="s">
        <v>29</v>
      </c>
      <c r="E339" s="12">
        <v>2</v>
      </c>
      <c r="F339" s="23">
        <v>3.5470000000000002</v>
      </c>
      <c r="G339" s="23">
        <v>2.9000000000000001E-2</v>
      </c>
    </row>
    <row r="340" spans="1:14">
      <c r="A340" s="12">
        <v>7</v>
      </c>
      <c r="B340" s="75">
        <v>39855</v>
      </c>
      <c r="C340" s="15">
        <v>2009</v>
      </c>
      <c r="D340" s="11" t="s">
        <v>29</v>
      </c>
      <c r="E340" s="12">
        <v>2</v>
      </c>
      <c r="F340" s="23">
        <v>4.4909999999999997</v>
      </c>
      <c r="G340" s="23">
        <v>0.112</v>
      </c>
    </row>
    <row r="341" spans="1:14">
      <c r="A341" s="12">
        <v>14</v>
      </c>
      <c r="B341" s="75">
        <v>39855</v>
      </c>
      <c r="C341" s="15">
        <v>2009</v>
      </c>
      <c r="D341" s="11" t="s">
        <v>29</v>
      </c>
      <c r="E341" s="12">
        <v>2</v>
      </c>
      <c r="F341" s="23">
        <v>3.9569999999999999</v>
      </c>
      <c r="G341" s="23">
        <v>1.6E-2</v>
      </c>
      <c r="I341" s="27">
        <f>AVERAGE(F339:F341)</f>
        <v>3.9983333333333335</v>
      </c>
      <c r="J341" s="27">
        <f>AVERAGE(G339:G341)</f>
        <v>5.2333333333333343E-2</v>
      </c>
      <c r="L341">
        <f>+J341/I341</f>
        <v>1.3088786994581077E-2</v>
      </c>
      <c r="M341">
        <f>+(L341-$L$931)/$L$932</f>
        <v>-0.68801071185142859</v>
      </c>
      <c r="N341">
        <f>+N338+M341</f>
        <v>-19.792538384504489</v>
      </c>
    </row>
    <row r="342" spans="1:14">
      <c r="A342" s="12">
        <v>5</v>
      </c>
      <c r="B342" s="75">
        <v>39890</v>
      </c>
      <c r="C342" s="15">
        <v>2009</v>
      </c>
      <c r="D342" s="11" t="s">
        <v>30</v>
      </c>
      <c r="E342" s="12">
        <v>3</v>
      </c>
      <c r="F342" s="23">
        <v>6.4729999999999999</v>
      </c>
      <c r="G342" s="25">
        <v>3.6999999999999998E-2</v>
      </c>
    </row>
    <row r="343" spans="1:14">
      <c r="A343" s="12">
        <v>7</v>
      </c>
      <c r="B343" s="75">
        <v>39888</v>
      </c>
      <c r="C343" s="15">
        <v>2009</v>
      </c>
      <c r="D343" s="11" t="s">
        <v>30</v>
      </c>
      <c r="E343" s="12">
        <v>3</v>
      </c>
      <c r="F343" s="23">
        <v>4.806</v>
      </c>
      <c r="G343" s="25">
        <v>0.14599999999999999</v>
      </c>
    </row>
    <row r="344" spans="1:14">
      <c r="A344" s="12">
        <v>14</v>
      </c>
      <c r="B344" s="75">
        <v>39888</v>
      </c>
      <c r="C344" s="15">
        <v>2009</v>
      </c>
      <c r="D344" s="11" t="s">
        <v>30</v>
      </c>
      <c r="E344" s="12">
        <v>3</v>
      </c>
      <c r="F344" s="23">
        <v>2.1040000000000001</v>
      </c>
      <c r="G344" s="25">
        <v>0.08</v>
      </c>
      <c r="I344" s="27">
        <f>AVERAGE(F342:F344)</f>
        <v>4.4609999999999994</v>
      </c>
      <c r="J344" s="27">
        <f>AVERAGE(G342:G344)</f>
        <v>8.7666666666666671E-2</v>
      </c>
      <c r="L344">
        <f>+J344/I344</f>
        <v>1.9651797055966529E-2</v>
      </c>
      <c r="M344">
        <f>+(L344-$L$931)/$L$932</f>
        <v>-0.5641276277249917</v>
      </c>
      <c r="N344">
        <f>+N341+M344</f>
        <v>-20.356666012229482</v>
      </c>
    </row>
    <row r="345" spans="1:14">
      <c r="A345" s="12">
        <v>5</v>
      </c>
      <c r="B345" s="75">
        <v>39920</v>
      </c>
      <c r="C345" s="15">
        <v>2009</v>
      </c>
      <c r="D345" s="11" t="s">
        <v>31</v>
      </c>
      <c r="E345" s="12">
        <v>4</v>
      </c>
      <c r="F345" s="23">
        <v>2.0179999999999998</v>
      </c>
      <c r="G345" s="25">
        <v>1.9E-2</v>
      </c>
    </row>
    <row r="346" spans="1:14">
      <c r="A346" s="12">
        <v>7</v>
      </c>
      <c r="B346" s="75">
        <v>39916</v>
      </c>
      <c r="C346" s="15">
        <v>2009</v>
      </c>
      <c r="D346" s="11" t="s">
        <v>31</v>
      </c>
      <c r="E346" s="12">
        <v>4</v>
      </c>
      <c r="F346" s="23">
        <v>2.2160000000000002</v>
      </c>
      <c r="G346" s="25">
        <v>0.126</v>
      </c>
    </row>
    <row r="347" spans="1:14">
      <c r="A347" s="12">
        <v>14</v>
      </c>
      <c r="B347" s="75">
        <v>39916</v>
      </c>
      <c r="C347" s="15">
        <v>2009</v>
      </c>
      <c r="D347" s="11" t="s">
        <v>31</v>
      </c>
      <c r="E347" s="12">
        <v>4</v>
      </c>
      <c r="F347" s="23">
        <v>1.155</v>
      </c>
      <c r="G347" s="25">
        <v>1.4E-2</v>
      </c>
      <c r="I347" s="27">
        <f>AVERAGE(F345:F347)</f>
        <v>1.7963333333333333</v>
      </c>
      <c r="J347" s="27">
        <f>AVERAGE(G345:G347)</f>
        <v>5.2999999999999999E-2</v>
      </c>
      <c r="L347">
        <f>+J347/I347</f>
        <v>2.9504546298014474E-2</v>
      </c>
      <c r="M347">
        <f>+(L347-$L$931)/$L$932</f>
        <v>-0.37814757408910771</v>
      </c>
      <c r="N347">
        <f>+N344+M347</f>
        <v>-20.734813586318591</v>
      </c>
    </row>
    <row r="348" spans="1:14">
      <c r="A348" s="12">
        <v>5</v>
      </c>
      <c r="B348" s="75">
        <v>39945</v>
      </c>
      <c r="C348" s="15">
        <v>2009</v>
      </c>
      <c r="D348" s="11" t="s">
        <v>32</v>
      </c>
      <c r="E348" s="12">
        <v>5</v>
      </c>
      <c r="F348" s="23">
        <v>2.8839999999999999</v>
      </c>
      <c r="G348" s="25">
        <v>0.17699999999999999</v>
      </c>
    </row>
    <row r="349" spans="1:14">
      <c r="A349" s="12">
        <v>7</v>
      </c>
      <c r="B349" s="75">
        <v>39946</v>
      </c>
      <c r="C349" s="15">
        <v>2009</v>
      </c>
      <c r="D349" s="11" t="s">
        <v>32</v>
      </c>
      <c r="E349" s="12">
        <v>5</v>
      </c>
      <c r="F349" s="23">
        <v>2.2050000000000001</v>
      </c>
      <c r="G349" s="25">
        <v>6.7000000000000004E-2</v>
      </c>
    </row>
    <row r="350" spans="1:14">
      <c r="A350" s="12">
        <v>14</v>
      </c>
      <c r="B350" s="75">
        <v>39946</v>
      </c>
      <c r="C350" s="15">
        <v>2009</v>
      </c>
      <c r="D350" s="11" t="s">
        <v>32</v>
      </c>
      <c r="E350" s="12">
        <v>5</v>
      </c>
      <c r="F350" s="23">
        <v>0.94399999999999995</v>
      </c>
      <c r="G350" s="25">
        <v>1.2E-2</v>
      </c>
      <c r="I350" s="27">
        <f>AVERAGE(F348:F350)</f>
        <v>2.0110000000000001</v>
      </c>
      <c r="J350" s="27">
        <f>AVERAGE(G348:G350)</f>
        <v>8.533333333333333E-2</v>
      </c>
      <c r="L350">
        <f>+J350/I350</f>
        <v>4.2433283606829103E-2</v>
      </c>
      <c r="M350">
        <f>+(L350-$L$931)/$L$932</f>
        <v>-0.13410530740113361</v>
      </c>
      <c r="N350">
        <f>+N347+M350</f>
        <v>-20.868918893719723</v>
      </c>
    </row>
    <row r="351" spans="1:14">
      <c r="A351" s="15">
        <v>5</v>
      </c>
      <c r="B351" s="75">
        <v>39980</v>
      </c>
      <c r="C351" s="15">
        <v>2009</v>
      </c>
      <c r="D351" s="11" t="s">
        <v>33</v>
      </c>
      <c r="E351" s="12">
        <v>6</v>
      </c>
      <c r="F351" s="23">
        <v>22.056999999999999</v>
      </c>
      <c r="G351" s="25">
        <v>2.5999999999999999E-2</v>
      </c>
    </row>
    <row r="352" spans="1:14">
      <c r="A352" s="15">
        <v>7</v>
      </c>
      <c r="B352" s="75">
        <v>39983</v>
      </c>
      <c r="C352" s="15">
        <v>2009</v>
      </c>
      <c r="D352" s="11" t="s">
        <v>33</v>
      </c>
      <c r="E352" s="12">
        <v>6</v>
      </c>
      <c r="F352" s="23">
        <v>5.6120000000000001</v>
      </c>
      <c r="G352" s="25">
        <v>0.24099999999999999</v>
      </c>
    </row>
    <row r="353" spans="1:14">
      <c r="A353" s="15">
        <v>14</v>
      </c>
      <c r="B353" s="75">
        <v>39983</v>
      </c>
      <c r="C353" s="15">
        <v>2009</v>
      </c>
      <c r="D353" s="11" t="s">
        <v>33</v>
      </c>
      <c r="E353" s="12">
        <v>6</v>
      </c>
      <c r="F353" s="23">
        <v>4.7190000000000003</v>
      </c>
      <c r="G353" s="25">
        <v>0.17399999999999999</v>
      </c>
      <c r="I353" s="27">
        <f>AVERAGE(F351:F353)</f>
        <v>10.795999999999999</v>
      </c>
      <c r="J353" s="27">
        <f>AVERAGE(G351:G353)</f>
        <v>0.14699999999999999</v>
      </c>
      <c r="L353">
        <f>+J353/I353</f>
        <v>1.3616154131159689E-2</v>
      </c>
      <c r="M353">
        <f>+(L353-$L$931)/$L$932</f>
        <v>-0.67805615338889058</v>
      </c>
      <c r="N353">
        <f>+N350+M353</f>
        <v>-21.546975047108614</v>
      </c>
    </row>
    <row r="354" spans="1:14">
      <c r="A354" s="15">
        <v>5</v>
      </c>
      <c r="B354" s="75">
        <v>40007</v>
      </c>
      <c r="C354" s="15">
        <v>2009</v>
      </c>
      <c r="D354" s="11" t="s">
        <v>34</v>
      </c>
      <c r="E354" s="12">
        <v>7</v>
      </c>
      <c r="F354" s="23">
        <v>13.250999999999999</v>
      </c>
      <c r="G354" s="25">
        <v>0.24299999999999999</v>
      </c>
    </row>
    <row r="355" spans="1:14">
      <c r="A355" s="15">
        <v>7</v>
      </c>
      <c r="B355" s="75">
        <v>40007</v>
      </c>
      <c r="C355" s="15">
        <v>2009</v>
      </c>
      <c r="D355" s="11" t="s">
        <v>34</v>
      </c>
      <c r="E355" s="12">
        <v>7</v>
      </c>
      <c r="F355" s="23">
        <v>9.6219999999999999</v>
      </c>
      <c r="G355" s="25">
        <v>1.512</v>
      </c>
    </row>
    <row r="356" spans="1:14">
      <c r="A356" s="15">
        <v>14</v>
      </c>
      <c r="B356" s="75">
        <v>40007</v>
      </c>
      <c r="C356" s="15">
        <v>2009</v>
      </c>
      <c r="D356" s="11" t="s">
        <v>34</v>
      </c>
      <c r="E356" s="12">
        <v>7</v>
      </c>
      <c r="F356" s="23">
        <v>5.0369999999999999</v>
      </c>
      <c r="G356" s="25">
        <v>0.39900000000000002</v>
      </c>
      <c r="I356" s="27">
        <f>AVERAGE(F354:F356)</f>
        <v>9.3033333333333328</v>
      </c>
      <c r="J356" s="27">
        <f>AVERAGE(G354:G356)</f>
        <v>0.71799999999999997</v>
      </c>
      <c r="L356">
        <f>+J356/I356</f>
        <v>7.717663919742028E-2</v>
      </c>
      <c r="M356">
        <f>+(L356-$L$931)/$L$932</f>
        <v>0.52170871744516067</v>
      </c>
      <c r="N356">
        <f>+N353+M356</f>
        <v>-21.025266329663452</v>
      </c>
    </row>
    <row r="357" spans="1:14">
      <c r="A357" s="15">
        <v>5</v>
      </c>
      <c r="B357" s="75">
        <v>40043</v>
      </c>
      <c r="C357" s="15">
        <v>2009</v>
      </c>
      <c r="D357" s="11" t="s">
        <v>35</v>
      </c>
      <c r="E357" s="12">
        <v>8</v>
      </c>
      <c r="F357" s="23">
        <v>13.522</v>
      </c>
      <c r="G357" s="25">
        <v>0.17100000000000001</v>
      </c>
    </row>
    <row r="358" spans="1:14">
      <c r="A358" s="15">
        <v>7</v>
      </c>
      <c r="B358" s="75">
        <v>40042</v>
      </c>
      <c r="C358" s="15">
        <v>2009</v>
      </c>
      <c r="D358" s="11" t="s">
        <v>35</v>
      </c>
      <c r="E358" s="12">
        <v>8</v>
      </c>
      <c r="F358" s="23">
        <v>73.146000000000001</v>
      </c>
      <c r="G358" s="25">
        <v>21.587</v>
      </c>
    </row>
    <row r="359" spans="1:14">
      <c r="A359" s="15">
        <v>14</v>
      </c>
      <c r="B359" s="75">
        <v>40042</v>
      </c>
      <c r="C359" s="15">
        <v>2009</v>
      </c>
      <c r="D359" s="11" t="s">
        <v>35</v>
      </c>
      <c r="E359" s="12">
        <v>8</v>
      </c>
      <c r="F359" s="23">
        <v>16.117999999999999</v>
      </c>
      <c r="G359" s="25">
        <v>2.3130000000000002</v>
      </c>
      <c r="I359" s="27">
        <f>AVERAGE(F357:F359)</f>
        <v>34.262</v>
      </c>
      <c r="J359" s="27">
        <f>AVERAGE(G357:G359)</f>
        <v>8.0236666666666654</v>
      </c>
      <c r="L359">
        <f>+J359/I359</f>
        <v>0.23418558947716611</v>
      </c>
      <c r="M359">
        <f>+(L359-$L$931)/$L$932</f>
        <v>3.4854026344408084</v>
      </c>
      <c r="N359">
        <f>+N356+M359</f>
        <v>-17.539863695222643</v>
      </c>
    </row>
    <row r="360" spans="1:14">
      <c r="A360" s="15">
        <v>5</v>
      </c>
      <c r="B360" s="75">
        <v>40070</v>
      </c>
      <c r="C360" s="15">
        <v>2009</v>
      </c>
      <c r="D360" s="11" t="s">
        <v>41</v>
      </c>
      <c r="E360" s="12">
        <v>9</v>
      </c>
      <c r="F360" s="23">
        <v>7.6310000000000002</v>
      </c>
      <c r="G360" s="25">
        <v>7.2999999999999995E-2</v>
      </c>
    </row>
    <row r="361" spans="1:14">
      <c r="A361" s="15">
        <v>7</v>
      </c>
      <c r="B361" s="75">
        <v>40071</v>
      </c>
      <c r="C361" s="15">
        <v>2009</v>
      </c>
      <c r="D361" s="11" t="s">
        <v>41</v>
      </c>
      <c r="E361" s="12">
        <v>9</v>
      </c>
      <c r="F361" s="23">
        <v>18.936</v>
      </c>
      <c r="G361" s="25">
        <v>0.627</v>
      </c>
    </row>
    <row r="362" spans="1:14">
      <c r="A362" s="15">
        <v>14</v>
      </c>
      <c r="B362" s="75">
        <v>40071</v>
      </c>
      <c r="C362" s="15">
        <v>2009</v>
      </c>
      <c r="D362" s="11" t="s">
        <v>41</v>
      </c>
      <c r="E362" s="12">
        <v>9</v>
      </c>
      <c r="F362" s="23">
        <v>15.295999999999999</v>
      </c>
      <c r="G362" s="25">
        <v>0.157</v>
      </c>
      <c r="I362" s="27">
        <f>AVERAGE(F360:F362)</f>
        <v>13.954333333333333</v>
      </c>
      <c r="J362" s="27">
        <f>AVERAGE(G360:G362)</f>
        <v>0.28566666666666668</v>
      </c>
      <c r="L362">
        <f>+J362/I362</f>
        <v>2.0471538112414304E-2</v>
      </c>
      <c r="M362">
        <f>+(L362-$L$931)/$L$932</f>
        <v>-0.54865423223908316</v>
      </c>
      <c r="N362">
        <f>+N359+M362</f>
        <v>-18.088517927461726</v>
      </c>
    </row>
    <row r="363" spans="1:14">
      <c r="A363" s="15">
        <v>5</v>
      </c>
      <c r="B363" s="75">
        <v>40099</v>
      </c>
      <c r="C363" s="15">
        <v>2009</v>
      </c>
      <c r="D363" s="11" t="s">
        <v>37</v>
      </c>
      <c r="E363" s="12">
        <v>10</v>
      </c>
      <c r="F363" s="23">
        <v>6.7610000000000001</v>
      </c>
      <c r="G363" s="25">
        <v>0.23499999999999999</v>
      </c>
    </row>
    <row r="364" spans="1:14">
      <c r="A364" s="15">
        <v>7</v>
      </c>
      <c r="B364" s="75">
        <v>40100</v>
      </c>
      <c r="C364" s="15">
        <v>2009</v>
      </c>
      <c r="D364" s="11" t="s">
        <v>37</v>
      </c>
      <c r="E364" s="12">
        <v>10</v>
      </c>
      <c r="F364" s="23">
        <v>4.1459999999999999</v>
      </c>
      <c r="G364" s="25">
        <v>0.53200000000000003</v>
      </c>
    </row>
    <row r="365" spans="1:14">
      <c r="A365" s="15">
        <v>14</v>
      </c>
      <c r="B365" s="75">
        <v>40100</v>
      </c>
      <c r="C365" s="15">
        <v>2009</v>
      </c>
      <c r="D365" s="11" t="s">
        <v>37</v>
      </c>
      <c r="E365" s="12">
        <v>10</v>
      </c>
      <c r="F365" s="23">
        <v>0.84099999999999997</v>
      </c>
      <c r="G365" s="25">
        <v>2.8000000000000001E-2</v>
      </c>
      <c r="I365" s="27">
        <f>AVERAGE(F363:F365)</f>
        <v>3.9159999999999999</v>
      </c>
      <c r="J365" s="27">
        <f>AVERAGE(G363:G365)</f>
        <v>0.26500000000000001</v>
      </c>
      <c r="L365">
        <f>+J365/I365</f>
        <v>6.7671092951991835E-2</v>
      </c>
      <c r="M365">
        <f>+(L365-$L$931)/$L$932</f>
        <v>0.34228245203097024</v>
      </c>
      <c r="N365">
        <f>+N362+M365</f>
        <v>-17.746235475430755</v>
      </c>
    </row>
    <row r="366" spans="1:14">
      <c r="A366" s="15">
        <v>5</v>
      </c>
      <c r="B366" s="75">
        <v>40133</v>
      </c>
      <c r="C366" s="15">
        <v>2009</v>
      </c>
      <c r="D366" s="11" t="s">
        <v>38</v>
      </c>
      <c r="E366" s="12">
        <v>11</v>
      </c>
      <c r="F366" s="23">
        <v>3.4159999999999999</v>
      </c>
      <c r="G366" s="25">
        <v>0.153</v>
      </c>
    </row>
    <row r="367" spans="1:14">
      <c r="A367" s="15">
        <v>7</v>
      </c>
      <c r="B367" s="75">
        <v>40133</v>
      </c>
      <c r="C367" s="15">
        <v>2009</v>
      </c>
      <c r="D367" s="11" t="s">
        <v>38</v>
      </c>
      <c r="E367" s="12">
        <v>11</v>
      </c>
      <c r="F367" s="23">
        <v>1.85</v>
      </c>
      <c r="G367" s="25">
        <v>5.2999999999999999E-2</v>
      </c>
    </row>
    <row r="368" spans="1:14">
      <c r="A368" s="15">
        <v>14</v>
      </c>
      <c r="B368" s="75">
        <v>40133</v>
      </c>
      <c r="C368" s="15">
        <v>2009</v>
      </c>
      <c r="D368" s="11" t="s">
        <v>38</v>
      </c>
      <c r="E368" s="12">
        <v>11</v>
      </c>
      <c r="F368" s="23">
        <v>2.5369999999999999</v>
      </c>
      <c r="G368" s="25">
        <v>0.24299999999999999</v>
      </c>
      <c r="I368" s="27">
        <f>AVERAGE(F366:F368)</f>
        <v>2.601</v>
      </c>
      <c r="J368" s="27">
        <f>AVERAGE(G366:G368)</f>
        <v>0.14966666666666664</v>
      </c>
      <c r="L368">
        <f>+J368/I368</f>
        <v>5.7541971036780715E-2</v>
      </c>
      <c r="M368">
        <f>+(L368-$L$931)/$L$932</f>
        <v>0.15108560018824416</v>
      </c>
      <c r="N368">
        <f>+N365+M368</f>
        <v>-17.595149875242509</v>
      </c>
    </row>
    <row r="369" spans="1:14">
      <c r="A369" s="15">
        <v>5</v>
      </c>
      <c r="B369" s="75">
        <v>40161</v>
      </c>
      <c r="C369" s="15">
        <v>2009</v>
      </c>
      <c r="D369" s="11" t="s">
        <v>39</v>
      </c>
      <c r="E369" s="12">
        <v>12</v>
      </c>
      <c r="F369" s="23">
        <v>2.4079999999999999</v>
      </c>
      <c r="G369" s="25">
        <v>0.14199999999999999</v>
      </c>
    </row>
    <row r="370" spans="1:14">
      <c r="A370" s="15">
        <v>7</v>
      </c>
      <c r="B370" s="75">
        <v>40161</v>
      </c>
      <c r="C370" s="15">
        <v>2009</v>
      </c>
      <c r="D370" s="11" t="s">
        <v>39</v>
      </c>
      <c r="E370" s="12">
        <v>12</v>
      </c>
      <c r="F370" s="23">
        <v>33.402000000000001</v>
      </c>
      <c r="G370" s="25">
        <v>0.91400000000000003</v>
      </c>
    </row>
    <row r="371" spans="1:14">
      <c r="A371" s="15">
        <v>14</v>
      </c>
      <c r="B371" s="75">
        <v>40161</v>
      </c>
      <c r="C371" s="15">
        <v>2009</v>
      </c>
      <c r="D371" s="11" t="s">
        <v>39</v>
      </c>
      <c r="E371" s="12">
        <v>12</v>
      </c>
      <c r="F371" s="23">
        <v>2.8039999999999998</v>
      </c>
      <c r="G371" s="25">
        <v>0.122</v>
      </c>
      <c r="I371" s="27">
        <f>AVERAGE(F369:F371)</f>
        <v>12.871333333333334</v>
      </c>
      <c r="J371" s="27">
        <f>AVERAGE(G369:G371)</f>
        <v>0.39266666666666666</v>
      </c>
      <c r="L371">
        <f>+J371/I371</f>
        <v>3.0507069974620601E-2</v>
      </c>
      <c r="M371">
        <f>+(L371-$L$931)/$L$932</f>
        <v>-0.35922398204732986</v>
      </c>
      <c r="N371">
        <f>+N368+M371</f>
        <v>-17.954373857289838</v>
      </c>
    </row>
    <row r="372" spans="1:14">
      <c r="A372" s="15">
        <v>5</v>
      </c>
      <c r="B372" s="72">
        <v>40197</v>
      </c>
      <c r="C372" s="15">
        <v>2010</v>
      </c>
      <c r="D372" s="11" t="s">
        <v>40</v>
      </c>
      <c r="E372" s="15">
        <v>1</v>
      </c>
      <c r="F372" s="26">
        <v>5.4580000000000002</v>
      </c>
      <c r="G372" s="27">
        <v>0.10845374999999999</v>
      </c>
    </row>
    <row r="373" spans="1:14">
      <c r="A373" s="15">
        <v>7</v>
      </c>
      <c r="B373" s="72">
        <v>40197</v>
      </c>
      <c r="C373" s="15">
        <v>2010</v>
      </c>
      <c r="D373" s="11" t="s">
        <v>40</v>
      </c>
      <c r="E373" s="15">
        <v>1</v>
      </c>
      <c r="F373" s="26">
        <v>5.9630000000000001</v>
      </c>
      <c r="G373" s="27">
        <v>0.93845649999999992</v>
      </c>
    </row>
    <row r="374" spans="1:14">
      <c r="A374" s="15">
        <v>14</v>
      </c>
      <c r="B374" s="72">
        <v>40197</v>
      </c>
      <c r="C374" s="15">
        <v>2010</v>
      </c>
      <c r="D374" s="11" t="s">
        <v>40</v>
      </c>
      <c r="E374" s="15">
        <v>1</v>
      </c>
      <c r="F374" s="26">
        <v>5.6950000000000003</v>
      </c>
      <c r="G374" s="27">
        <v>0.40216225</v>
      </c>
      <c r="I374" s="27">
        <f>AVERAGE(F372:F374)</f>
        <v>5.7053333333333329</v>
      </c>
      <c r="J374" s="27">
        <f>AVERAGE(G372:G374)</f>
        <v>0.48302416666666659</v>
      </c>
      <c r="L374">
        <f>+J374/I374</f>
        <v>8.4661866090207982E-2</v>
      </c>
      <c r="M374">
        <f>+(L374-$L$931)/$L$932</f>
        <v>0.66299952519823224</v>
      </c>
      <c r="N374">
        <f>+N371+M374</f>
        <v>-17.291374332091607</v>
      </c>
    </row>
    <row r="375" spans="1:14">
      <c r="A375" s="15">
        <v>5</v>
      </c>
      <c r="B375" s="72">
        <v>40225</v>
      </c>
      <c r="C375" s="15">
        <v>2010</v>
      </c>
      <c r="D375" s="11" t="s">
        <v>29</v>
      </c>
      <c r="E375" s="15">
        <v>2</v>
      </c>
      <c r="F375" s="26">
        <v>0.83299999999999996</v>
      </c>
      <c r="G375" s="27">
        <v>0</v>
      </c>
    </row>
    <row r="376" spans="1:14">
      <c r="A376" s="15">
        <v>7</v>
      </c>
      <c r="B376" s="72">
        <v>40225</v>
      </c>
      <c r="C376" s="15">
        <v>2010</v>
      </c>
      <c r="D376" s="11" t="s">
        <v>29</v>
      </c>
      <c r="E376" s="15">
        <v>2</v>
      </c>
      <c r="F376" s="26">
        <v>1.6459999999999999</v>
      </c>
      <c r="G376" s="27">
        <v>2.8400125000000002E-2</v>
      </c>
    </row>
    <row r="377" spans="1:14">
      <c r="A377" s="15">
        <v>14</v>
      </c>
      <c r="B377" s="72">
        <v>40225</v>
      </c>
      <c r="C377" s="15">
        <v>2010</v>
      </c>
      <c r="D377" s="11" t="s">
        <v>29</v>
      </c>
      <c r="E377" s="15">
        <v>2</v>
      </c>
      <c r="F377" s="26">
        <v>5.359</v>
      </c>
      <c r="G377" s="27">
        <v>6.1096624999999995E-2</v>
      </c>
      <c r="I377" s="27"/>
      <c r="J377" s="27"/>
    </row>
    <row r="378" spans="1:14">
      <c r="A378" s="15">
        <v>14</v>
      </c>
      <c r="B378" s="72">
        <v>40225</v>
      </c>
      <c r="C378" s="15">
        <v>2010</v>
      </c>
      <c r="D378" s="11" t="s">
        <v>29</v>
      </c>
      <c r="E378" s="15">
        <v>2</v>
      </c>
      <c r="F378" s="26">
        <v>5.359</v>
      </c>
      <c r="G378" s="27">
        <v>0</v>
      </c>
      <c r="H378" t="s">
        <v>13</v>
      </c>
      <c r="I378" s="27">
        <f>AVERAGE(F375:F378)</f>
        <v>3.2992499999999998</v>
      </c>
      <c r="J378" s="27">
        <f>AVERAGE(G375:G378)</f>
        <v>2.23741875E-2</v>
      </c>
      <c r="L378">
        <f>+J378/I378</f>
        <v>6.7815980904751081E-3</v>
      </c>
      <c r="M378">
        <f>+(L378-$L$931)/$L$932</f>
        <v>-0.80706492726485823</v>
      </c>
      <c r="N378">
        <f>+N374+M378</f>
        <v>-18.098439259356464</v>
      </c>
    </row>
    <row r="379" spans="1:14">
      <c r="A379" s="15">
        <v>5</v>
      </c>
      <c r="B379" s="72">
        <v>40254</v>
      </c>
      <c r="C379" s="15">
        <v>2010</v>
      </c>
      <c r="D379" s="11" t="s">
        <v>30</v>
      </c>
      <c r="E379" s="15">
        <v>3</v>
      </c>
      <c r="F379" s="26">
        <v>8.8989999999999991</v>
      </c>
      <c r="G379" s="27">
        <v>0</v>
      </c>
    </row>
    <row r="380" spans="1:14">
      <c r="A380" s="15">
        <v>7</v>
      </c>
      <c r="B380" s="72">
        <v>40255</v>
      </c>
      <c r="C380" s="15">
        <v>2010</v>
      </c>
      <c r="D380" s="11" t="s">
        <v>30</v>
      </c>
      <c r="E380" s="15">
        <v>3</v>
      </c>
      <c r="F380" s="26">
        <v>6.4260000000000002</v>
      </c>
      <c r="G380" s="27">
        <v>0.24068562499999996</v>
      </c>
      <c r="I380" s="27"/>
      <c r="J380" s="27"/>
    </row>
    <row r="381" spans="1:14">
      <c r="A381" s="15">
        <v>14</v>
      </c>
      <c r="B381" s="72">
        <v>40255</v>
      </c>
      <c r="C381" s="15">
        <v>2010</v>
      </c>
      <c r="D381" s="11" t="s">
        <v>30</v>
      </c>
      <c r="E381" s="15">
        <v>3</v>
      </c>
      <c r="F381" s="26">
        <v>6.8689999999999998</v>
      </c>
      <c r="G381" s="27">
        <v>5.786100000000001E-2</v>
      </c>
      <c r="I381" s="27">
        <f>AVERAGE(F379:F381)</f>
        <v>7.3979999999999997</v>
      </c>
      <c r="J381" s="27">
        <f>AVERAGE(G379:G381)</f>
        <v>9.9515541666666651E-2</v>
      </c>
      <c r="L381">
        <f>+J381/I381</f>
        <v>1.345168176083626E-2</v>
      </c>
      <c r="M381">
        <f>+(L381-$L$931)/$L$932</f>
        <v>-0.68116072648853176</v>
      </c>
      <c r="N381">
        <f>+N378+M381</f>
        <v>-18.779599985844996</v>
      </c>
    </row>
    <row r="382" spans="1:14">
      <c r="A382" s="15">
        <v>5</v>
      </c>
      <c r="B382" s="72">
        <v>40280</v>
      </c>
      <c r="C382" s="15">
        <v>2010</v>
      </c>
      <c r="D382" s="11" t="s">
        <v>31</v>
      </c>
      <c r="E382" s="15">
        <v>4</v>
      </c>
      <c r="F382" s="26">
        <v>4.75</v>
      </c>
      <c r="G382" s="27">
        <v>0</v>
      </c>
    </row>
    <row r="383" spans="1:14">
      <c r="A383" s="15">
        <v>7</v>
      </c>
      <c r="B383" s="72">
        <v>40281</v>
      </c>
      <c r="C383" s="15">
        <v>2010</v>
      </c>
      <c r="D383" s="11" t="s">
        <v>31</v>
      </c>
      <c r="E383" s="15">
        <v>4</v>
      </c>
      <c r="F383" s="26">
        <v>3.3580000000000001</v>
      </c>
      <c r="G383" s="27">
        <v>0</v>
      </c>
    </row>
    <row r="384" spans="1:14">
      <c r="A384" s="15">
        <v>14</v>
      </c>
      <c r="B384" s="72">
        <v>40281</v>
      </c>
      <c r="C384" s="15">
        <v>2010</v>
      </c>
      <c r="D384" s="11" t="s">
        <v>31</v>
      </c>
      <c r="E384" s="15">
        <v>4</v>
      </c>
      <c r="F384" s="26">
        <v>1.8879999999999999</v>
      </c>
      <c r="G384" s="27">
        <v>0</v>
      </c>
      <c r="I384" s="27">
        <f>AVERAGE(F382:F384)</f>
        <v>3.3320000000000003</v>
      </c>
      <c r="J384" s="27">
        <f>AVERAGE(G382:G384)</f>
        <v>0</v>
      </c>
      <c r="L384">
        <f>+J384/I384</f>
        <v>0</v>
      </c>
      <c r="M384">
        <f>+(L384-$L$931)/$L$932</f>
        <v>-0.93507406924332725</v>
      </c>
      <c r="N384">
        <f>+N381+M384</f>
        <v>-19.714674055088324</v>
      </c>
    </row>
    <row r="385" spans="1:14">
      <c r="A385" s="15">
        <v>5</v>
      </c>
      <c r="B385" s="75">
        <v>40315</v>
      </c>
      <c r="C385" s="15">
        <v>2010</v>
      </c>
      <c r="D385" s="11" t="s">
        <v>32</v>
      </c>
      <c r="E385" s="15">
        <v>5</v>
      </c>
      <c r="F385" s="28">
        <v>10.981999999999999</v>
      </c>
      <c r="G385" s="27">
        <v>0.11020962499999999</v>
      </c>
    </row>
    <row r="386" spans="1:14">
      <c r="A386" s="15">
        <v>7</v>
      </c>
      <c r="B386" s="75">
        <v>40317</v>
      </c>
      <c r="C386" s="15">
        <v>2010</v>
      </c>
      <c r="D386" s="11" t="s">
        <v>32</v>
      </c>
      <c r="E386" s="15">
        <v>5</v>
      </c>
      <c r="F386" s="28">
        <v>5.1840000000000002</v>
      </c>
      <c r="G386" s="27">
        <v>2.2408749999999998E-2</v>
      </c>
    </row>
    <row r="387" spans="1:14">
      <c r="A387" s="15">
        <v>14</v>
      </c>
      <c r="B387" s="75">
        <v>40317</v>
      </c>
      <c r="C387" s="15">
        <v>2010</v>
      </c>
      <c r="D387" s="11" t="s">
        <v>32</v>
      </c>
      <c r="E387" s="15">
        <v>5</v>
      </c>
      <c r="F387" s="28">
        <v>5.593</v>
      </c>
      <c r="G387" s="27">
        <v>0</v>
      </c>
      <c r="I387" s="27">
        <f>AVERAGE(F385:F387)</f>
        <v>7.2530000000000001</v>
      </c>
      <c r="J387" s="27">
        <f>AVERAGE(G385:G387)</f>
        <v>4.4206124999999992E-2</v>
      </c>
      <c r="L387">
        <f>+J387/I387</f>
        <v>6.0948745346753059E-3</v>
      </c>
      <c r="M387">
        <f>+(L387-$L$931)/$L$932</f>
        <v>-0.82002749036304634</v>
      </c>
      <c r="N387">
        <f>+N384+M387</f>
        <v>-20.534701545451369</v>
      </c>
    </row>
    <row r="388" spans="1:14">
      <c r="A388" s="15">
        <v>5</v>
      </c>
      <c r="B388" s="75">
        <v>40344</v>
      </c>
      <c r="C388" s="15">
        <v>2010</v>
      </c>
      <c r="D388" s="11" t="s">
        <v>33</v>
      </c>
      <c r="E388" s="15">
        <v>6</v>
      </c>
      <c r="F388" s="28">
        <v>12.042999999999999</v>
      </c>
      <c r="G388" s="27">
        <v>0.217636625</v>
      </c>
    </row>
    <row r="389" spans="1:14">
      <c r="A389" s="15">
        <v>7</v>
      </c>
      <c r="B389" s="75">
        <v>40345</v>
      </c>
      <c r="C389" s="15">
        <v>2010</v>
      </c>
      <c r="D389" s="11" t="s">
        <v>33</v>
      </c>
      <c r="E389" s="15">
        <v>6</v>
      </c>
      <c r="F389" s="28">
        <v>20.408999999999999</v>
      </c>
      <c r="G389" s="27">
        <v>1.351972</v>
      </c>
      <c r="I389" s="27"/>
      <c r="J389" s="27"/>
    </row>
    <row r="390" spans="1:14">
      <c r="A390" s="15">
        <v>14</v>
      </c>
      <c r="B390" s="75">
        <v>40345</v>
      </c>
      <c r="C390" s="15">
        <v>2010</v>
      </c>
      <c r="D390" s="11" t="s">
        <v>33</v>
      </c>
      <c r="E390" s="15">
        <v>6</v>
      </c>
      <c r="F390" s="28">
        <v>9.24</v>
      </c>
      <c r="G390" s="27">
        <v>0.29088724999999993</v>
      </c>
      <c r="I390" s="27">
        <f>AVERAGE(F388:F390)</f>
        <v>13.897333333333334</v>
      </c>
      <c r="J390" s="27">
        <f>AVERAGE(G388:G390)</f>
        <v>0.62016529166666656</v>
      </c>
      <c r="L390">
        <f>+J390/I390</f>
        <v>4.4624769140362647E-2</v>
      </c>
      <c r="M390">
        <f>+(L390-$L$931)/$L$932</f>
        <v>-9.2738924571713663E-2</v>
      </c>
      <c r="N390">
        <f>+N387+M390</f>
        <v>-20.627440470023082</v>
      </c>
    </row>
    <row r="391" spans="1:14">
      <c r="A391" s="15">
        <v>5</v>
      </c>
      <c r="B391" s="75">
        <v>40373</v>
      </c>
      <c r="C391" s="15">
        <v>2010</v>
      </c>
      <c r="D391" s="11" t="s">
        <v>34</v>
      </c>
      <c r="E391" s="15">
        <v>7</v>
      </c>
      <c r="F391" s="28">
        <v>19.992000000000001</v>
      </c>
      <c r="G391" s="27">
        <v>0.46416337499999988</v>
      </c>
    </row>
    <row r="392" spans="1:14">
      <c r="A392" s="15">
        <v>7</v>
      </c>
      <c r="B392" s="75">
        <v>40373</v>
      </c>
      <c r="C392" s="15">
        <v>2010</v>
      </c>
      <c r="D392" s="11" t="s">
        <v>34</v>
      </c>
      <c r="E392" s="15">
        <v>7</v>
      </c>
      <c r="F392" s="28">
        <v>18.753</v>
      </c>
      <c r="G392" s="27">
        <v>2.5273604999999999</v>
      </c>
      <c r="I392" s="27"/>
      <c r="J392" s="27"/>
    </row>
    <row r="393" spans="1:14">
      <c r="A393" s="15">
        <v>7</v>
      </c>
      <c r="B393" s="75">
        <v>40373</v>
      </c>
      <c r="C393" s="15">
        <v>2010</v>
      </c>
      <c r="D393" s="11" t="s">
        <v>34</v>
      </c>
      <c r="E393" s="15">
        <v>7</v>
      </c>
      <c r="F393" s="28">
        <v>18.753</v>
      </c>
      <c r="G393" s="27">
        <v>2.414512625</v>
      </c>
      <c r="H393" t="s">
        <v>13</v>
      </c>
    </row>
    <row r="394" spans="1:14">
      <c r="A394" s="15">
        <v>14</v>
      </c>
      <c r="B394" s="75">
        <v>40373</v>
      </c>
      <c r="C394" s="15">
        <v>2010</v>
      </c>
      <c r="D394" s="11" t="s">
        <v>34</v>
      </c>
      <c r="E394" s="15">
        <v>7</v>
      </c>
      <c r="F394" s="28">
        <v>11.59</v>
      </c>
      <c r="G394" s="27">
        <v>1.7816926250000003</v>
      </c>
      <c r="I394" s="27">
        <f>AVERAGE(F391:F394)</f>
        <v>17.272000000000002</v>
      </c>
      <c r="J394" s="27">
        <f>AVERAGE(G391:G394)</f>
        <v>1.7969322812500002</v>
      </c>
      <c r="L394">
        <f>+J394/I394</f>
        <v>0.10403730206403428</v>
      </c>
      <c r="M394">
        <f>+(L394-$L$931)/$L$932</f>
        <v>1.0287293873013559</v>
      </c>
      <c r="N394">
        <f>+N390+M394</f>
        <v>-19.598711082721724</v>
      </c>
    </row>
    <row r="395" spans="1:14">
      <c r="A395" s="15">
        <v>5</v>
      </c>
      <c r="B395" s="75">
        <v>40407</v>
      </c>
      <c r="C395" s="15">
        <v>2010</v>
      </c>
      <c r="D395" s="11" t="s">
        <v>35</v>
      </c>
      <c r="E395" s="15">
        <v>8</v>
      </c>
      <c r="F395" s="28">
        <v>22.228999999999999</v>
      </c>
      <c r="G395" s="27">
        <v>0.22649762500000001</v>
      </c>
    </row>
    <row r="396" spans="1:14">
      <c r="A396" s="15">
        <v>7</v>
      </c>
      <c r="B396" s="75">
        <v>40409</v>
      </c>
      <c r="C396" s="15">
        <v>2010</v>
      </c>
      <c r="D396" s="11" t="s">
        <v>35</v>
      </c>
      <c r="E396" s="15">
        <v>8</v>
      </c>
      <c r="F396" s="28">
        <v>27.542000000000002</v>
      </c>
      <c r="G396" s="27">
        <v>0.80496900000000005</v>
      </c>
    </row>
    <row r="397" spans="1:14">
      <c r="A397" s="15">
        <v>14</v>
      </c>
      <c r="B397" s="75">
        <v>40409</v>
      </c>
      <c r="C397" s="15">
        <v>2010</v>
      </c>
      <c r="D397" s="11" t="s">
        <v>35</v>
      </c>
      <c r="E397" s="15">
        <v>8</v>
      </c>
      <c r="F397" s="28">
        <v>10.205</v>
      </c>
      <c r="G397" s="27">
        <v>0.14675425</v>
      </c>
      <c r="I397" s="27">
        <f>AVERAGE(F395:F397)</f>
        <v>19.992000000000001</v>
      </c>
      <c r="J397" s="27">
        <f>AVERAGE(G395:G397)</f>
        <v>0.39274029166666669</v>
      </c>
      <c r="L397">
        <f>+J397/I397</f>
        <v>1.9644872532346272E-2</v>
      </c>
      <c r="M397">
        <f>+(L397-$L$931)/$L$932</f>
        <v>-0.56425833472287235</v>
      </c>
      <c r="N397">
        <f>+N394+M397</f>
        <v>-20.162969417444597</v>
      </c>
    </row>
    <row r="398" spans="1:14">
      <c r="A398" s="15">
        <v>5</v>
      </c>
      <c r="B398" s="75">
        <v>40436</v>
      </c>
      <c r="C398" s="15">
        <v>2010</v>
      </c>
      <c r="D398" s="11" t="s">
        <v>41</v>
      </c>
      <c r="E398" s="15">
        <v>9</v>
      </c>
      <c r="F398" s="28">
        <v>12.015000000000001</v>
      </c>
      <c r="G398" s="27">
        <v>3.435125E-2</v>
      </c>
    </row>
    <row r="399" spans="1:14">
      <c r="A399" s="15">
        <v>7</v>
      </c>
      <c r="B399" s="75">
        <v>40434</v>
      </c>
      <c r="C399" s="15">
        <v>2010</v>
      </c>
      <c r="D399" s="11" t="s">
        <v>41</v>
      </c>
      <c r="E399" s="15">
        <v>9</v>
      </c>
      <c r="F399" s="28">
        <v>13.039</v>
      </c>
      <c r="G399" s="27">
        <v>0.116666625</v>
      </c>
    </row>
    <row r="400" spans="1:14">
      <c r="A400" s="15">
        <v>14</v>
      </c>
      <c r="B400" s="75">
        <v>40434</v>
      </c>
      <c r="C400" s="15">
        <v>2010</v>
      </c>
      <c r="D400" s="11" t="s">
        <v>41</v>
      </c>
      <c r="E400" s="15">
        <v>9</v>
      </c>
      <c r="F400" s="28">
        <v>9.4990000000000006</v>
      </c>
      <c r="G400" s="27">
        <v>0.108947875</v>
      </c>
      <c r="I400" s="27">
        <f>AVERAGE(F398:F400)</f>
        <v>11.517666666666669</v>
      </c>
      <c r="J400" s="27">
        <f>AVERAGE(G398:G400)</f>
        <v>8.6655250000000003E-2</v>
      </c>
      <c r="L400">
        <f>+J400/I400</f>
        <v>7.5236810117790048E-3</v>
      </c>
      <c r="M400">
        <f>+(L400-$L$931)/$L$932</f>
        <v>-0.79305740326156937</v>
      </c>
      <c r="N400">
        <f>+N397+M400</f>
        <v>-20.956026820706168</v>
      </c>
    </row>
    <row r="401" spans="1:14">
      <c r="A401" s="15">
        <v>5</v>
      </c>
      <c r="B401" s="75">
        <v>40464</v>
      </c>
      <c r="C401" s="15">
        <v>2010</v>
      </c>
      <c r="D401" s="11" t="s">
        <v>37</v>
      </c>
      <c r="E401" s="15">
        <v>10</v>
      </c>
      <c r="F401" s="26">
        <v>9.34</v>
      </c>
      <c r="G401" s="27">
        <v>0</v>
      </c>
    </row>
    <row r="402" spans="1:14">
      <c r="A402" s="15">
        <v>7</v>
      </c>
      <c r="B402" s="75">
        <v>40463</v>
      </c>
      <c r="C402" s="15">
        <v>2010</v>
      </c>
      <c r="D402" s="11" t="s">
        <v>37</v>
      </c>
      <c r="E402" s="15">
        <v>10</v>
      </c>
      <c r="F402" s="26">
        <v>6.4480000000000004</v>
      </c>
      <c r="G402" s="27">
        <v>0.10507362499999999</v>
      </c>
    </row>
    <row r="403" spans="1:14">
      <c r="A403" s="15">
        <v>14</v>
      </c>
      <c r="B403" s="75">
        <v>40463</v>
      </c>
      <c r="C403" s="15">
        <v>2010</v>
      </c>
      <c r="D403" s="11" t="s">
        <v>37</v>
      </c>
      <c r="E403" s="15">
        <v>10</v>
      </c>
      <c r="F403" s="26">
        <v>4.7690000000000001</v>
      </c>
      <c r="G403" s="27">
        <v>0.18988974999999997</v>
      </c>
      <c r="I403" s="27">
        <f>AVERAGE(F401:F403)</f>
        <v>6.8523333333333341</v>
      </c>
      <c r="J403" s="27">
        <f>AVERAGE(G401:G403)</f>
        <v>9.8321124999999995E-2</v>
      </c>
      <c r="L403">
        <f>+J403/I403</f>
        <v>1.4348561317312835E-2</v>
      </c>
      <c r="M403">
        <f>+(L403-$L$931)/$L$932</f>
        <v>-0.66423126812917443</v>
      </c>
      <c r="N403">
        <f>+N400+M403</f>
        <v>-21.620258088835342</v>
      </c>
    </row>
    <row r="404" spans="1:14">
      <c r="A404" s="15">
        <v>5</v>
      </c>
      <c r="B404" s="75">
        <v>40498</v>
      </c>
      <c r="C404" s="15">
        <v>2010</v>
      </c>
      <c r="D404" s="11" t="s">
        <v>38</v>
      </c>
      <c r="E404" s="15">
        <v>11</v>
      </c>
      <c r="F404" s="26">
        <v>2.137</v>
      </c>
      <c r="G404" s="27">
        <v>5.6293500000000003E-2</v>
      </c>
    </row>
    <row r="405" spans="1:14">
      <c r="A405" s="15">
        <v>7</v>
      </c>
      <c r="B405" s="75">
        <v>40500</v>
      </c>
      <c r="C405" s="15">
        <v>2010</v>
      </c>
      <c r="D405" s="11" t="s">
        <v>38</v>
      </c>
      <c r="E405" s="15">
        <v>11</v>
      </c>
      <c r="F405" s="26">
        <v>3.3730000000000002</v>
      </c>
      <c r="G405" s="27">
        <v>0</v>
      </c>
    </row>
    <row r="406" spans="1:14">
      <c r="A406" s="15">
        <v>14</v>
      </c>
      <c r="B406" s="75">
        <v>40500</v>
      </c>
      <c r="C406" s="15">
        <v>2010</v>
      </c>
      <c r="D406" s="11" t="s">
        <v>38</v>
      </c>
      <c r="E406" s="15">
        <v>11</v>
      </c>
      <c r="F406" s="26">
        <v>2.2999999999999998</v>
      </c>
      <c r="G406" s="27">
        <v>2.1414374999999999E-2</v>
      </c>
      <c r="I406" s="27">
        <f>AVERAGE(F404:F406)</f>
        <v>2.6033333333333331</v>
      </c>
      <c r="J406" s="27">
        <f>AVERAGE(G404:G406)</f>
        <v>2.5902625000000002E-2</v>
      </c>
      <c r="L406">
        <f>+J406/I406</f>
        <v>9.949791933418696E-3</v>
      </c>
      <c r="M406">
        <f>+(L406-$L$931)/$L$932</f>
        <v>-0.7472622421092322</v>
      </c>
      <c r="N406">
        <f>+N403+M406</f>
        <v>-22.367520330944576</v>
      </c>
    </row>
    <row r="407" spans="1:14">
      <c r="A407" s="15">
        <v>5</v>
      </c>
      <c r="B407" s="75">
        <v>40520</v>
      </c>
      <c r="C407" s="15">
        <v>2010</v>
      </c>
      <c r="D407" s="11" t="s">
        <v>39</v>
      </c>
      <c r="E407" s="15">
        <v>12</v>
      </c>
      <c r="F407" s="26">
        <v>1.663</v>
      </c>
      <c r="G407" s="27">
        <v>3.9588999999999999E-2</v>
      </c>
    </row>
    <row r="408" spans="1:14">
      <c r="A408" s="15">
        <v>7</v>
      </c>
      <c r="B408" s="75">
        <v>40521</v>
      </c>
      <c r="C408" s="15">
        <v>2010</v>
      </c>
      <c r="D408" s="11" t="s">
        <v>39</v>
      </c>
      <c r="E408" s="15">
        <v>12</v>
      </c>
      <c r="F408" s="26">
        <v>0.93799999999999994</v>
      </c>
      <c r="G408" s="27">
        <v>7.1696250000000003E-2</v>
      </c>
    </row>
    <row r="409" spans="1:14">
      <c r="A409" s="15">
        <v>14</v>
      </c>
      <c r="B409" s="75">
        <v>40521</v>
      </c>
      <c r="C409" s="15">
        <v>2010</v>
      </c>
      <c r="D409" s="11" t="s">
        <v>39</v>
      </c>
      <c r="E409" s="15">
        <v>12</v>
      </c>
      <c r="F409" s="26">
        <v>0.92800000000000005</v>
      </c>
      <c r="G409" s="27">
        <v>5.0569874999999993E-2</v>
      </c>
      <c r="I409" s="27">
        <f>AVERAGE(F407:F409)</f>
        <v>1.1763333333333332</v>
      </c>
      <c r="J409" s="27">
        <f>AVERAGE(G407:G409)</f>
        <v>5.3951708333333327E-2</v>
      </c>
      <c r="L409">
        <f>+J409/I409</f>
        <v>4.5864302918673841E-2</v>
      </c>
      <c r="M409">
        <f>+(L409-$L$931)/$L$932</f>
        <v>-6.9341540459876741E-2</v>
      </c>
      <c r="N409">
        <f>+N406+M409</f>
        <v>-22.436861871404453</v>
      </c>
    </row>
    <row r="410" spans="1:14">
      <c r="A410" s="15">
        <v>5</v>
      </c>
      <c r="B410" s="75">
        <v>40562</v>
      </c>
      <c r="C410" s="15">
        <v>2011</v>
      </c>
      <c r="D410" s="11" t="s">
        <v>40</v>
      </c>
      <c r="E410" s="15">
        <v>1</v>
      </c>
      <c r="F410" s="26">
        <v>4.2149999999999999</v>
      </c>
      <c r="G410" s="27">
        <v>7.4409875E-2</v>
      </c>
    </row>
    <row r="411" spans="1:14">
      <c r="A411" s="15">
        <v>7</v>
      </c>
      <c r="B411" s="75">
        <v>40563</v>
      </c>
      <c r="C411" s="15">
        <v>2011</v>
      </c>
      <c r="D411" s="11" t="s">
        <v>40</v>
      </c>
      <c r="E411" s="15">
        <v>1</v>
      </c>
      <c r="F411" s="26">
        <v>3.4990000000000001</v>
      </c>
      <c r="G411" s="27">
        <v>0.20002887499999999</v>
      </c>
    </row>
    <row r="412" spans="1:14">
      <c r="A412" s="15">
        <v>14</v>
      </c>
      <c r="B412" s="75">
        <v>40563</v>
      </c>
      <c r="C412" s="15">
        <v>2011</v>
      </c>
      <c r="D412" s="11" t="s">
        <v>40</v>
      </c>
      <c r="E412" s="15">
        <v>1</v>
      </c>
      <c r="F412" s="26">
        <v>2.98</v>
      </c>
      <c r="G412" s="27">
        <v>9.2050000000000007E-2</v>
      </c>
      <c r="I412" s="27">
        <f>AVERAGE(F410:F412)</f>
        <v>3.5646666666666671</v>
      </c>
      <c r="J412" s="27">
        <f>AVERAGE(G410:G412)</f>
        <v>0.12216291666666668</v>
      </c>
      <c r="L412">
        <f>+J412/I412</f>
        <v>3.4270502150738728E-2</v>
      </c>
      <c r="M412">
        <f>+(L412-$L$931)/$L$932</f>
        <v>-0.28818560476046629</v>
      </c>
      <c r="N412">
        <f>+N409+M412</f>
        <v>-22.725047476164921</v>
      </c>
    </row>
    <row r="413" spans="1:14">
      <c r="A413" s="15">
        <v>5</v>
      </c>
      <c r="B413" s="75">
        <v>40591</v>
      </c>
      <c r="C413" s="15">
        <v>2011</v>
      </c>
      <c r="D413" s="11" t="s">
        <v>29</v>
      </c>
      <c r="E413" s="15">
        <v>2</v>
      </c>
      <c r="F413" s="26">
        <v>1.84</v>
      </c>
      <c r="G413" s="27">
        <v>7.9073874999999988E-2</v>
      </c>
    </row>
    <row r="414" spans="1:14">
      <c r="A414" s="15">
        <v>7</v>
      </c>
      <c r="B414" s="75">
        <v>40598</v>
      </c>
      <c r="C414" s="15">
        <v>2011</v>
      </c>
      <c r="D414" s="11" t="s">
        <v>29</v>
      </c>
      <c r="E414" s="15">
        <v>2</v>
      </c>
      <c r="F414" s="26">
        <v>2.8570000000000002</v>
      </c>
      <c r="G414" s="27">
        <v>3.8677125000000007E-2</v>
      </c>
    </row>
    <row r="415" spans="1:14">
      <c r="A415" s="15">
        <v>14</v>
      </c>
      <c r="B415" s="75">
        <v>40598</v>
      </c>
      <c r="C415" s="15">
        <v>2011</v>
      </c>
      <c r="D415" s="11" t="s">
        <v>29</v>
      </c>
      <c r="E415" s="15">
        <v>2</v>
      </c>
      <c r="F415" s="26">
        <v>3.6110000000000002</v>
      </c>
      <c r="G415" s="27">
        <v>6.9131749999999992E-2</v>
      </c>
    </row>
    <row r="416" spans="1:14">
      <c r="A416" s="15">
        <v>14</v>
      </c>
      <c r="B416" s="75">
        <v>40598</v>
      </c>
      <c r="C416" s="15">
        <v>2011</v>
      </c>
      <c r="D416" s="11" t="s">
        <v>29</v>
      </c>
      <c r="E416" s="15">
        <v>2</v>
      </c>
      <c r="F416" s="26">
        <v>3.6110000000000002</v>
      </c>
      <c r="G416" s="27">
        <v>5.7119374999999993E-2</v>
      </c>
      <c r="H416" t="s">
        <v>13</v>
      </c>
      <c r="I416" s="27">
        <f>AVERAGE(F413:F416)</f>
        <v>2.9797500000000001</v>
      </c>
      <c r="J416" s="27">
        <f>AVERAGE(G413:G416)</f>
        <v>6.1000531249999997E-2</v>
      </c>
      <c r="L416">
        <f>+J416/I416</f>
        <v>2.0471694353553147E-2</v>
      </c>
      <c r="M416">
        <f>+(L416-$L$931)/$L$932</f>
        <v>-0.54865128303834054</v>
      </c>
      <c r="N416">
        <f>+N412+M416</f>
        <v>-23.27369875920326</v>
      </c>
    </row>
    <row r="417" spans="1:14">
      <c r="A417" s="15">
        <v>5</v>
      </c>
      <c r="B417" s="75">
        <v>40619</v>
      </c>
      <c r="C417" s="15">
        <v>2011</v>
      </c>
      <c r="D417" s="11" t="s">
        <v>30</v>
      </c>
      <c r="E417" s="15">
        <v>3</v>
      </c>
      <c r="F417" s="26">
        <v>1.3129999999999999</v>
      </c>
      <c r="G417" s="27">
        <v>0</v>
      </c>
    </row>
    <row r="418" spans="1:14">
      <c r="A418" s="15">
        <v>7</v>
      </c>
      <c r="B418" s="75">
        <v>40617</v>
      </c>
      <c r="C418" s="15">
        <v>2011</v>
      </c>
      <c r="D418" s="11" t="s">
        <v>30</v>
      </c>
      <c r="E418" s="15">
        <v>3</v>
      </c>
      <c r="F418" s="26">
        <v>1.3180000000000001</v>
      </c>
      <c r="G418" s="27">
        <v>2.9983125000000003E-2</v>
      </c>
      <c r="I418" s="27"/>
      <c r="J418" s="27"/>
    </row>
    <row r="419" spans="1:14">
      <c r="A419" s="15">
        <v>14</v>
      </c>
      <c r="B419" s="75">
        <v>40617</v>
      </c>
      <c r="C419" s="15">
        <v>2011</v>
      </c>
      <c r="D419" s="11" t="s">
        <v>30</v>
      </c>
      <c r="E419" s="15">
        <v>3</v>
      </c>
      <c r="F419" s="26">
        <v>0.77200000000000002</v>
      </c>
      <c r="G419" s="27">
        <v>0</v>
      </c>
      <c r="I419" s="27">
        <f>AVERAGE(F417:F419)</f>
        <v>1.1343333333333334</v>
      </c>
      <c r="J419" s="27">
        <f>AVERAGE(G417:G419)</f>
        <v>9.9943750000000015E-3</v>
      </c>
      <c r="L419">
        <f>+J419/I419</f>
        <v>8.8107919482809296E-3</v>
      </c>
      <c r="M419">
        <f>+(L419-$L$931)/$L$932</f>
        <v>-0.76876195484150933</v>
      </c>
      <c r="N419">
        <f>+N416+M419</f>
        <v>-24.042460714044768</v>
      </c>
    </row>
    <row r="420" spans="1:14">
      <c r="A420" s="15">
        <v>5</v>
      </c>
      <c r="B420" s="75">
        <v>40646</v>
      </c>
      <c r="C420" s="15">
        <v>2011</v>
      </c>
      <c r="D420" s="11" t="s">
        <v>31</v>
      </c>
      <c r="E420" s="15">
        <v>4</v>
      </c>
      <c r="F420" s="26">
        <v>1.1399999999999999</v>
      </c>
      <c r="G420" s="27">
        <v>3.5857999999999994E-2</v>
      </c>
    </row>
    <row r="421" spans="1:14">
      <c r="A421" s="15">
        <v>7</v>
      </c>
      <c r="B421" s="75">
        <v>40647</v>
      </c>
      <c r="C421" s="15">
        <v>2011</v>
      </c>
      <c r="D421" s="11" t="s">
        <v>31</v>
      </c>
      <c r="E421" s="15">
        <v>4</v>
      </c>
      <c r="F421" s="26">
        <v>4.4039999999999999</v>
      </c>
      <c r="G421" s="27">
        <v>3.5615124999999991E-2</v>
      </c>
    </row>
    <row r="422" spans="1:14">
      <c r="A422" s="15">
        <v>14</v>
      </c>
      <c r="B422" s="75">
        <v>40647</v>
      </c>
      <c r="C422" s="15">
        <v>2011</v>
      </c>
      <c r="D422" s="11" t="s">
        <v>31</v>
      </c>
      <c r="E422" s="15">
        <v>4</v>
      </c>
      <c r="F422" s="26">
        <v>0.46700000000000003</v>
      </c>
      <c r="G422" s="27">
        <v>0</v>
      </c>
      <c r="I422" s="27">
        <f>AVERAGE(F420:F422)</f>
        <v>2.0036666666666663</v>
      </c>
      <c r="J422" s="27">
        <f>AVERAGE(G420:G422)</f>
        <v>2.3824374999999995E-2</v>
      </c>
      <c r="L422">
        <f>+J422/I422</f>
        <v>1.1890388454500083E-2</v>
      </c>
      <c r="M422">
        <f>+(L422-$L$931)/$L$932</f>
        <v>-0.71063162904784571</v>
      </c>
      <c r="N422">
        <f>+N419+M422</f>
        <v>-24.753092343092614</v>
      </c>
    </row>
    <row r="423" spans="1:14">
      <c r="A423" s="15">
        <v>5</v>
      </c>
      <c r="B423" s="75">
        <v>40681</v>
      </c>
      <c r="C423" s="15">
        <v>2011</v>
      </c>
      <c r="D423" s="11" t="s">
        <v>32</v>
      </c>
      <c r="E423" s="15">
        <v>5</v>
      </c>
      <c r="F423" s="26">
        <v>6.0640000000000001</v>
      </c>
      <c r="G423" s="27">
        <v>0.11639962500000001</v>
      </c>
    </row>
    <row r="424" spans="1:14">
      <c r="A424" s="15">
        <v>7</v>
      </c>
      <c r="B424" s="75">
        <v>40682</v>
      </c>
      <c r="C424" s="15">
        <v>2011</v>
      </c>
      <c r="D424" s="11" t="s">
        <v>32</v>
      </c>
      <c r="E424" s="15">
        <v>5</v>
      </c>
      <c r="F424" s="26">
        <v>5.2119999999999997</v>
      </c>
      <c r="G424" s="27">
        <v>0.11606925</v>
      </c>
    </row>
    <row r="425" spans="1:14">
      <c r="A425" s="15">
        <v>14</v>
      </c>
      <c r="B425" s="75">
        <v>40682</v>
      </c>
      <c r="C425" s="15">
        <v>2011</v>
      </c>
      <c r="D425" s="11" t="s">
        <v>32</v>
      </c>
      <c r="E425" s="15">
        <v>5</v>
      </c>
      <c r="F425" s="26">
        <v>4.5979999999999999</v>
      </c>
      <c r="G425" s="27">
        <v>5.0060499999999987E-2</v>
      </c>
      <c r="I425" s="27">
        <f>AVERAGE(F423:F425)</f>
        <v>5.2913333333333332</v>
      </c>
      <c r="J425" s="27">
        <f>AVERAGE(G423:G425)</f>
        <v>9.4176458333333338E-2</v>
      </c>
      <c r="L425">
        <f>+J425/I425</f>
        <v>1.7798247133677714E-2</v>
      </c>
      <c r="M425">
        <f>+(L425-$L$931)/$L$932</f>
        <v>-0.59911515308419894</v>
      </c>
      <c r="N425">
        <f>+N422+M425</f>
        <v>-25.352207496176813</v>
      </c>
    </row>
    <row r="426" spans="1:14">
      <c r="A426" s="15">
        <v>5</v>
      </c>
      <c r="B426" s="75">
        <v>40709</v>
      </c>
      <c r="C426" s="15">
        <v>2011</v>
      </c>
      <c r="D426" s="11" t="s">
        <v>33</v>
      </c>
      <c r="E426" s="15">
        <v>6</v>
      </c>
      <c r="F426" s="26">
        <v>10.51</v>
      </c>
      <c r="G426" s="27">
        <v>8.5586374999999978E-2</v>
      </c>
    </row>
    <row r="427" spans="1:14">
      <c r="A427" s="15">
        <v>7</v>
      </c>
      <c r="B427" s="75">
        <v>40709</v>
      </c>
      <c r="C427" s="15">
        <v>2011</v>
      </c>
      <c r="D427" s="11" t="s">
        <v>33</v>
      </c>
      <c r="E427" s="15">
        <v>6</v>
      </c>
      <c r="F427" s="26">
        <v>7.7389999999999999</v>
      </c>
      <c r="G427" s="27">
        <v>0.3033865</v>
      </c>
    </row>
    <row r="428" spans="1:14">
      <c r="A428" s="15">
        <v>14</v>
      </c>
      <c r="B428" s="75">
        <v>40709</v>
      </c>
      <c r="C428" s="15">
        <v>2011</v>
      </c>
      <c r="D428" s="11" t="s">
        <v>33</v>
      </c>
      <c r="E428" s="15">
        <v>6</v>
      </c>
      <c r="F428" s="26">
        <v>6.5990000000000002</v>
      </c>
      <c r="G428" s="27">
        <v>0.17669174999999998</v>
      </c>
      <c r="I428" s="27">
        <f>AVERAGE(F426:F428)</f>
        <v>8.2826666666666657</v>
      </c>
      <c r="J428" s="27">
        <f>AVERAGE(G426:G428)</f>
        <v>0.18855487499999998</v>
      </c>
      <c r="L428">
        <f>+J428/I428</f>
        <v>2.2764996176754669E-2</v>
      </c>
      <c r="M428">
        <f>+(L428-$L$931)/$L$932</f>
        <v>-0.50536302048294057</v>
      </c>
      <c r="N428">
        <f>+N425+M428</f>
        <v>-25.857570516659752</v>
      </c>
    </row>
    <row r="429" spans="1:14">
      <c r="A429" s="15">
        <v>5</v>
      </c>
      <c r="B429" s="75">
        <v>40735</v>
      </c>
      <c r="C429" s="15">
        <v>2011</v>
      </c>
      <c r="D429" s="11" t="s">
        <v>34</v>
      </c>
      <c r="E429" s="15">
        <v>7</v>
      </c>
      <c r="F429" s="26">
        <v>7.0949999999999998</v>
      </c>
      <c r="G429" s="27">
        <v>0.14367487500000001</v>
      </c>
    </row>
    <row r="430" spans="1:14">
      <c r="A430" s="15">
        <v>7</v>
      </c>
      <c r="B430" s="75">
        <v>40736</v>
      </c>
      <c r="C430" s="15">
        <v>2011</v>
      </c>
      <c r="D430" s="11" t="s">
        <v>34</v>
      </c>
      <c r="E430" s="15">
        <v>7</v>
      </c>
      <c r="F430" s="26">
        <v>9.6560000000000006</v>
      </c>
      <c r="G430" s="27">
        <v>1.1057623750000001</v>
      </c>
    </row>
    <row r="431" spans="1:14">
      <c r="A431" s="15">
        <v>14</v>
      </c>
      <c r="B431" s="75">
        <v>40736</v>
      </c>
      <c r="C431" s="15">
        <v>2011</v>
      </c>
      <c r="D431" s="11" t="s">
        <v>34</v>
      </c>
      <c r="E431" s="15">
        <v>7</v>
      </c>
      <c r="F431" s="26">
        <v>5.9269999999999996</v>
      </c>
      <c r="G431" s="27">
        <v>0.41227350000000001</v>
      </c>
      <c r="I431" s="27">
        <f>AVERAGE(F429:F431)</f>
        <v>7.5593333333333339</v>
      </c>
      <c r="J431" s="27">
        <f>AVERAGE(G429:G431)</f>
        <v>0.55390358333333334</v>
      </c>
      <c r="L431">
        <f>+J431/I431</f>
        <v>7.3274131316694593E-2</v>
      </c>
      <c r="M431">
        <f>+(L431-$L$931)/$L$932</f>
        <v>0.44804515338383027</v>
      </c>
      <c r="N431">
        <f>+N428+M431</f>
        <v>-25.409525363275922</v>
      </c>
    </row>
    <row r="432" spans="1:14">
      <c r="A432" s="15">
        <v>5</v>
      </c>
      <c r="B432" s="75">
        <v>40771</v>
      </c>
      <c r="C432" s="15">
        <v>2011</v>
      </c>
      <c r="D432" s="11" t="s">
        <v>35</v>
      </c>
      <c r="E432" s="15">
        <v>8</v>
      </c>
      <c r="F432" s="26">
        <v>9.5779999999999994</v>
      </c>
      <c r="G432" s="27">
        <v>0.12113662499999998</v>
      </c>
    </row>
    <row r="433" spans="1:14">
      <c r="A433" s="15">
        <v>7</v>
      </c>
      <c r="B433" s="75">
        <v>40772</v>
      </c>
      <c r="C433" s="15">
        <v>2011</v>
      </c>
      <c r="D433" s="11" t="s">
        <v>35</v>
      </c>
      <c r="E433" s="15">
        <v>8</v>
      </c>
      <c r="F433" s="26">
        <v>11.446999999999999</v>
      </c>
      <c r="G433" s="27">
        <v>0.28692699999999999</v>
      </c>
    </row>
    <row r="434" spans="1:14">
      <c r="A434" s="15">
        <v>7</v>
      </c>
      <c r="B434" s="75">
        <v>40772</v>
      </c>
      <c r="C434" s="15">
        <v>2011</v>
      </c>
      <c r="D434" s="11" t="s">
        <v>35</v>
      </c>
      <c r="E434" s="15">
        <v>8</v>
      </c>
      <c r="F434" s="26">
        <v>11.446999999999999</v>
      </c>
      <c r="G434" s="27">
        <v>0.30860624999999997</v>
      </c>
      <c r="H434" t="s">
        <v>13</v>
      </c>
      <c r="I434" s="27"/>
      <c r="J434" s="27"/>
    </row>
    <row r="435" spans="1:14">
      <c r="A435" s="15">
        <v>14</v>
      </c>
      <c r="B435" s="75">
        <v>40772</v>
      </c>
      <c r="C435" s="15">
        <v>2011</v>
      </c>
      <c r="D435" s="11" t="s">
        <v>35</v>
      </c>
      <c r="E435" s="15">
        <v>8</v>
      </c>
      <c r="F435" s="26">
        <v>14.853</v>
      </c>
      <c r="G435" s="27">
        <v>0.12725450000000002</v>
      </c>
      <c r="I435" s="27">
        <f>AVERAGE(F432:F435)</f>
        <v>11.831249999999999</v>
      </c>
      <c r="J435" s="27">
        <f>AVERAGE(G432:G435)</f>
        <v>0.21098109375000001</v>
      </c>
      <c r="L435">
        <f>+J435/I435</f>
        <v>1.7832527733755946E-2</v>
      </c>
      <c r="M435">
        <f>+(L435-$L$931)/$L$932</f>
        <v>-0.59846807401168878</v>
      </c>
      <c r="N435">
        <f>+N431+M435</f>
        <v>-26.00799343728761</v>
      </c>
    </row>
    <row r="436" spans="1:14">
      <c r="A436" s="15">
        <v>5</v>
      </c>
      <c r="B436" s="75">
        <v>40799</v>
      </c>
      <c r="C436" s="15">
        <v>2011</v>
      </c>
      <c r="D436" s="11" t="s">
        <v>41</v>
      </c>
      <c r="E436" s="15">
        <v>9</v>
      </c>
      <c r="F436" s="26">
        <v>7.4850000000000003</v>
      </c>
      <c r="G436" s="27">
        <v>0.170316625</v>
      </c>
    </row>
    <row r="437" spans="1:14">
      <c r="A437" s="15">
        <v>7</v>
      </c>
      <c r="B437" s="75">
        <v>40798</v>
      </c>
      <c r="C437" s="15">
        <v>2011</v>
      </c>
      <c r="D437" s="11" t="s">
        <v>41</v>
      </c>
      <c r="E437" s="15">
        <v>9</v>
      </c>
      <c r="F437" s="26">
        <v>3.5179999999999998</v>
      </c>
      <c r="G437" s="27">
        <v>0.45642362500000005</v>
      </c>
      <c r="I437" s="27"/>
      <c r="J437" s="27"/>
    </row>
    <row r="438" spans="1:14">
      <c r="A438" s="15">
        <v>14</v>
      </c>
      <c r="B438" s="75">
        <v>40798</v>
      </c>
      <c r="C438" s="15">
        <v>2011</v>
      </c>
      <c r="D438" s="11" t="s">
        <v>41</v>
      </c>
      <c r="E438" s="15">
        <v>9</v>
      </c>
      <c r="F438" s="26">
        <v>5.4429999999999996</v>
      </c>
      <c r="G438" s="27">
        <v>8.4384874999999998E-2</v>
      </c>
      <c r="I438" s="27">
        <f>AVERAGE(F436:F438)</f>
        <v>5.4819999999999993</v>
      </c>
      <c r="J438" s="27">
        <f>AVERAGE(G436:G438)</f>
        <v>0.23704170833333338</v>
      </c>
      <c r="L438">
        <f>+J438/I438</f>
        <v>4.3240005168430025E-2</v>
      </c>
      <c r="M438">
        <f>+(L438-$L$931)/$L$932</f>
        <v>-0.11887766731713831</v>
      </c>
      <c r="N438">
        <f>+N435+M438</f>
        <v>-26.126871104604749</v>
      </c>
    </row>
    <row r="439" spans="1:14">
      <c r="A439" s="15">
        <v>5</v>
      </c>
      <c r="B439" s="75">
        <v>40827</v>
      </c>
      <c r="C439" s="15">
        <v>2011</v>
      </c>
      <c r="D439" s="11" t="s">
        <v>37</v>
      </c>
      <c r="E439" s="15">
        <v>10</v>
      </c>
      <c r="F439" s="28">
        <v>2.77</v>
      </c>
      <c r="G439" s="27">
        <v>0.207520125</v>
      </c>
    </row>
    <row r="440" spans="1:14">
      <c r="A440" s="15">
        <v>7</v>
      </c>
      <c r="B440" s="75">
        <v>40829</v>
      </c>
      <c r="C440" s="15">
        <v>2011</v>
      </c>
      <c r="D440" s="11" t="s">
        <v>37</v>
      </c>
      <c r="E440" s="15">
        <v>10</v>
      </c>
      <c r="F440" s="28">
        <v>2.016</v>
      </c>
      <c r="G440" s="27">
        <v>0.47737537499999994</v>
      </c>
    </row>
    <row r="441" spans="1:14">
      <c r="A441" s="15">
        <v>14</v>
      </c>
      <c r="B441" s="75">
        <v>40829</v>
      </c>
      <c r="C441" s="15">
        <v>2011</v>
      </c>
      <c r="D441" s="11" t="s">
        <v>37</v>
      </c>
      <c r="E441" s="15">
        <v>10</v>
      </c>
      <c r="F441" s="28">
        <v>1.399</v>
      </c>
      <c r="G441" s="27">
        <v>8.7415499999999979E-2</v>
      </c>
      <c r="I441" s="27">
        <f>AVERAGE(F439:F441)</f>
        <v>2.0616666666666665</v>
      </c>
      <c r="J441" s="27">
        <f>AVERAGE(G439:G441)</f>
        <v>0.25743699999999997</v>
      </c>
      <c r="L441">
        <f>+J441/I441</f>
        <v>0.12486839126919967</v>
      </c>
      <c r="M441">
        <f>+(L441-$L$931)/$L$932</f>
        <v>1.4219360946371127</v>
      </c>
      <c r="N441">
        <f>+N438+M441</f>
        <v>-24.704935009967638</v>
      </c>
    </row>
    <row r="442" spans="1:14">
      <c r="A442" s="15">
        <v>5</v>
      </c>
      <c r="B442" s="76">
        <v>40862</v>
      </c>
      <c r="C442" s="15">
        <v>2011</v>
      </c>
      <c r="D442" s="11" t="s">
        <v>38</v>
      </c>
      <c r="E442" s="15">
        <v>11</v>
      </c>
      <c r="F442" s="28">
        <v>4.5650000000000004</v>
      </c>
      <c r="G442" s="27">
        <v>9.3002749999999981E-2</v>
      </c>
    </row>
    <row r="443" spans="1:14">
      <c r="A443" s="15">
        <v>7</v>
      </c>
      <c r="B443" s="76">
        <v>40865</v>
      </c>
      <c r="C443" s="15">
        <v>2011</v>
      </c>
      <c r="D443" s="11" t="s">
        <v>38</v>
      </c>
      <c r="E443" s="15">
        <v>11</v>
      </c>
      <c r="F443" s="28">
        <v>1.5209999999999999</v>
      </c>
      <c r="G443" s="27">
        <v>0.26376949999999999</v>
      </c>
    </row>
    <row r="444" spans="1:14">
      <c r="A444" s="15">
        <v>14</v>
      </c>
      <c r="B444" s="76">
        <v>40877</v>
      </c>
      <c r="C444" s="15">
        <v>2011</v>
      </c>
      <c r="D444" s="11" t="s">
        <v>38</v>
      </c>
      <c r="E444" s="15">
        <v>11</v>
      </c>
      <c r="F444" s="28">
        <v>1.0429999999999999</v>
      </c>
      <c r="G444" s="27">
        <v>0.22616649999999996</v>
      </c>
      <c r="I444" s="27">
        <f>AVERAGE(F442:F444)</f>
        <v>2.3763333333333336</v>
      </c>
      <c r="J444" s="27">
        <f>AVERAGE(G442:G444)</f>
        <v>0.19431291666666664</v>
      </c>
      <c r="L444">
        <f>+J444/I444</f>
        <v>8.1770058914293703E-2</v>
      </c>
      <c r="M444">
        <f>+(L444-$L$931)/$L$932</f>
        <v>0.60841390239703896</v>
      </c>
      <c r="N444">
        <f>+N441+M444</f>
        <v>-24.096521107570599</v>
      </c>
    </row>
    <row r="445" spans="1:14">
      <c r="A445" s="15">
        <v>5</v>
      </c>
      <c r="B445" s="76">
        <v>40891</v>
      </c>
      <c r="C445" s="15">
        <v>2011</v>
      </c>
      <c r="D445" s="11" t="s">
        <v>39</v>
      </c>
      <c r="E445" s="15">
        <v>12</v>
      </c>
      <c r="F445" s="28">
        <v>2.3290000000000002</v>
      </c>
      <c r="G445" s="27">
        <v>0.19859737499999996</v>
      </c>
    </row>
    <row r="446" spans="1:14">
      <c r="A446" s="15">
        <v>7</v>
      </c>
      <c r="B446" s="76">
        <v>40891</v>
      </c>
      <c r="C446" s="15">
        <v>2011</v>
      </c>
      <c r="D446" s="11" t="s">
        <v>39</v>
      </c>
      <c r="E446" s="15">
        <v>12</v>
      </c>
      <c r="F446" s="28">
        <v>1.361</v>
      </c>
      <c r="G446" s="27">
        <v>0.27198250000000002</v>
      </c>
    </row>
    <row r="447" spans="1:14">
      <c r="A447" s="15">
        <v>14</v>
      </c>
      <c r="B447" s="76">
        <v>40891</v>
      </c>
      <c r="C447" s="15">
        <v>2011</v>
      </c>
      <c r="D447" s="11" t="s">
        <v>39</v>
      </c>
      <c r="E447" s="15">
        <v>12</v>
      </c>
      <c r="F447" s="28">
        <v>0.53100000000000003</v>
      </c>
      <c r="G447" s="27">
        <v>4.1847250000000003E-2</v>
      </c>
      <c r="I447" s="27">
        <f>AVERAGE(F445:F447)</f>
        <v>1.407</v>
      </c>
      <c r="J447" s="27">
        <f>AVERAGE(G445:G447)</f>
        <v>0.17080904166666666</v>
      </c>
      <c r="L447">
        <f>+J447/I447</f>
        <v>0.12139946102819237</v>
      </c>
      <c r="M447">
        <f>+(L447-$L$931)/$L$932</f>
        <v>1.3564567226940609</v>
      </c>
      <c r="N447">
        <f>+N444+M447</f>
        <v>-22.740064384876536</v>
      </c>
    </row>
    <row r="448" spans="1:14">
      <c r="A448" s="15">
        <v>5</v>
      </c>
      <c r="B448" s="75">
        <v>40919</v>
      </c>
      <c r="C448" s="15">
        <v>2012</v>
      </c>
      <c r="D448" s="11" t="s">
        <v>40</v>
      </c>
      <c r="E448" s="15">
        <v>1</v>
      </c>
      <c r="F448" s="30">
        <v>11.461</v>
      </c>
      <c r="G448" s="27">
        <v>0.15698149999999997</v>
      </c>
    </row>
    <row r="449" spans="1:14">
      <c r="A449" s="15">
        <v>7</v>
      </c>
      <c r="B449" s="75">
        <v>40919</v>
      </c>
      <c r="C449" s="15">
        <v>2012</v>
      </c>
      <c r="D449" s="11" t="s">
        <v>40</v>
      </c>
      <c r="E449" s="15">
        <v>1</v>
      </c>
      <c r="F449" s="30">
        <v>2.4740000000000002</v>
      </c>
      <c r="G449" s="27">
        <v>0.37227999999999994</v>
      </c>
    </row>
    <row r="450" spans="1:14">
      <c r="A450" s="15">
        <v>7</v>
      </c>
      <c r="B450" s="75">
        <v>40919</v>
      </c>
      <c r="C450" s="15">
        <v>2012</v>
      </c>
      <c r="D450" s="11" t="s">
        <v>40</v>
      </c>
      <c r="E450" s="15">
        <v>1</v>
      </c>
      <c r="F450" s="30">
        <v>2.4740000000000002</v>
      </c>
      <c r="G450" s="27">
        <v>0.35858125000000007</v>
      </c>
      <c r="H450" t="s">
        <v>13</v>
      </c>
      <c r="I450" s="27"/>
      <c r="J450" s="27"/>
    </row>
    <row r="451" spans="1:14">
      <c r="A451" s="15">
        <v>14</v>
      </c>
      <c r="B451" s="75">
        <v>40919</v>
      </c>
      <c r="C451" s="15">
        <v>2012</v>
      </c>
      <c r="D451" s="11" t="s">
        <v>40</v>
      </c>
      <c r="E451" s="15">
        <v>1</v>
      </c>
      <c r="F451" s="30">
        <v>1.694</v>
      </c>
      <c r="G451" s="27">
        <v>0.21017612499999996</v>
      </c>
      <c r="I451" s="27">
        <f>AVERAGE(F448:F451)</f>
        <v>4.5257499999999995</v>
      </c>
      <c r="J451" s="27">
        <f>AVERAGE(G448:G451)</f>
        <v>0.27450471874999999</v>
      </c>
      <c r="L451">
        <f>+J451/I451</f>
        <v>6.065397309838149E-2</v>
      </c>
      <c r="M451">
        <f>+(L451-$L$931)/$L$932</f>
        <v>0.20982761179466089</v>
      </c>
      <c r="N451">
        <f>+N447+M451</f>
        <v>-22.530236773081874</v>
      </c>
    </row>
    <row r="452" spans="1:14">
      <c r="A452" s="15">
        <v>5</v>
      </c>
      <c r="B452" s="75">
        <v>40962</v>
      </c>
      <c r="C452" s="15">
        <v>2012</v>
      </c>
      <c r="D452" s="11" t="s">
        <v>29</v>
      </c>
      <c r="E452" s="15">
        <v>2</v>
      </c>
      <c r="F452" s="30">
        <v>3.3820000000000001</v>
      </c>
      <c r="G452" s="27">
        <v>4.4984375E-2</v>
      </c>
    </row>
    <row r="453" spans="1:14">
      <c r="A453" s="15">
        <v>7</v>
      </c>
      <c r="B453" s="75">
        <v>40960</v>
      </c>
      <c r="C453" s="15">
        <v>2012</v>
      </c>
      <c r="D453" s="11" t="s">
        <v>29</v>
      </c>
      <c r="E453" s="15">
        <v>2</v>
      </c>
      <c r="F453" s="30">
        <v>1.637</v>
      </c>
      <c r="G453" s="27">
        <v>0.39141387499999997</v>
      </c>
    </row>
    <row r="454" spans="1:14">
      <c r="A454" s="15">
        <v>14</v>
      </c>
      <c r="B454" s="75">
        <v>40960</v>
      </c>
      <c r="C454" s="15">
        <v>2012</v>
      </c>
      <c r="D454" s="11" t="s">
        <v>29</v>
      </c>
      <c r="E454" s="15">
        <v>2</v>
      </c>
      <c r="F454" s="30">
        <v>1.046</v>
      </c>
      <c r="G454" s="27">
        <v>5.5810749999999992E-2</v>
      </c>
    </row>
    <row r="455" spans="1:14">
      <c r="A455" s="15">
        <v>14</v>
      </c>
      <c r="B455" s="75">
        <v>40960</v>
      </c>
      <c r="C455" s="15">
        <v>2012</v>
      </c>
      <c r="D455" s="11" t="s">
        <v>29</v>
      </c>
      <c r="E455" s="15">
        <v>2</v>
      </c>
      <c r="F455" s="30">
        <v>1.046</v>
      </c>
      <c r="G455" s="27">
        <v>5.3256999999999992E-2</v>
      </c>
      <c r="H455" t="s">
        <v>13</v>
      </c>
      <c r="I455" s="27">
        <f>AVERAGE(F452:F455)</f>
        <v>1.7777500000000002</v>
      </c>
      <c r="J455" s="27">
        <f>AVERAGE(G452:G455)</f>
        <v>0.1363665</v>
      </c>
      <c r="L455">
        <f>+J455/I455</f>
        <v>7.6707354802418776E-2</v>
      </c>
      <c r="M455">
        <f>+(L455-$L$931)/$L$932</f>
        <v>0.51285052621256599</v>
      </c>
      <c r="N455">
        <f>+N451+M455</f>
        <v>-22.017386246869307</v>
      </c>
    </row>
    <row r="456" spans="1:14">
      <c r="A456" s="15">
        <v>5</v>
      </c>
      <c r="B456" s="75">
        <v>40980</v>
      </c>
      <c r="C456" s="15">
        <v>2012</v>
      </c>
      <c r="D456" s="11" t="s">
        <v>30</v>
      </c>
      <c r="E456" s="15">
        <v>3</v>
      </c>
      <c r="F456" s="30">
        <v>3.1850000000000001</v>
      </c>
      <c r="G456" s="27">
        <v>0.10675899999999999</v>
      </c>
    </row>
    <row r="457" spans="1:14">
      <c r="A457" s="15">
        <v>7</v>
      </c>
      <c r="B457" s="75">
        <v>40982</v>
      </c>
      <c r="C457" s="15">
        <v>2012</v>
      </c>
      <c r="D457" s="11" t="s">
        <v>30</v>
      </c>
      <c r="E457" s="15">
        <v>3</v>
      </c>
      <c r="F457" s="30">
        <v>2.8159999999999998</v>
      </c>
      <c r="G457" s="27">
        <v>1.27299875</v>
      </c>
    </row>
    <row r="458" spans="1:14">
      <c r="A458" s="15">
        <v>14</v>
      </c>
      <c r="B458" s="75">
        <v>40982</v>
      </c>
      <c r="C458" s="15">
        <v>2012</v>
      </c>
      <c r="D458" s="11" t="s">
        <v>30</v>
      </c>
      <c r="E458" s="15">
        <v>3</v>
      </c>
      <c r="F458" s="30">
        <v>1.1919999999999999</v>
      </c>
      <c r="G458" s="27">
        <v>0.10796475000000001</v>
      </c>
      <c r="I458" s="27">
        <f>AVERAGE(F455:F458)</f>
        <v>2.0597499999999997</v>
      </c>
      <c r="J458" s="27">
        <f>AVERAGE(G455:G458)</f>
        <v>0.38524487499999999</v>
      </c>
      <c r="L458">
        <f>+J458/I458</f>
        <v>0.1870347736375774</v>
      </c>
      <c r="M458">
        <f>+(L458-$L$931)/$L$932</f>
        <v>2.5953859453527492</v>
      </c>
      <c r="N458">
        <f>+N455+M458</f>
        <v>-19.422000301516558</v>
      </c>
    </row>
    <row r="459" spans="1:14">
      <c r="A459" s="15">
        <v>5</v>
      </c>
      <c r="B459" s="75">
        <v>41015</v>
      </c>
      <c r="C459" s="15">
        <v>2012</v>
      </c>
      <c r="D459" s="11" t="s">
        <v>31</v>
      </c>
      <c r="E459" s="15">
        <v>4</v>
      </c>
      <c r="F459" s="26">
        <v>1.6759999999999999</v>
      </c>
      <c r="G459" s="27">
        <v>0</v>
      </c>
    </row>
    <row r="460" spans="1:14">
      <c r="A460" s="15">
        <v>7</v>
      </c>
      <c r="B460" s="75">
        <v>41016</v>
      </c>
      <c r="C460" s="15">
        <v>2012</v>
      </c>
      <c r="D460" s="11" t="s">
        <v>31</v>
      </c>
      <c r="E460" s="15">
        <v>4</v>
      </c>
      <c r="F460" s="26">
        <v>1.776</v>
      </c>
      <c r="G460" s="27">
        <v>4.2599875000000002E-2</v>
      </c>
      <c r="I460" s="27"/>
      <c r="J460" s="27"/>
    </row>
    <row r="461" spans="1:14">
      <c r="A461" s="15">
        <v>14</v>
      </c>
      <c r="B461" s="75">
        <v>41016</v>
      </c>
      <c r="C461" s="15">
        <v>2012</v>
      </c>
      <c r="D461" s="11" t="s">
        <v>31</v>
      </c>
      <c r="E461" s="15">
        <v>4</v>
      </c>
      <c r="F461" s="26">
        <v>1.0149999999999999</v>
      </c>
      <c r="G461" s="27">
        <v>1.7628999999999999E-2</v>
      </c>
      <c r="I461" s="27">
        <f>AVERAGE(F459:F461)</f>
        <v>1.4889999999999999</v>
      </c>
      <c r="J461" s="27">
        <f>AVERAGE(G459:G461)</f>
        <v>2.0076291666666666E-2</v>
      </c>
      <c r="L461">
        <f>+J461/I461</f>
        <v>1.3483070293261698E-2</v>
      </c>
      <c r="M461">
        <f>+(L461-$L$931)/$L$932</f>
        <v>-0.68056823795557275</v>
      </c>
      <c r="N461">
        <f>+N458+M461</f>
        <v>-20.102568539472131</v>
      </c>
    </row>
    <row r="462" spans="1:14">
      <c r="A462" s="15">
        <v>5</v>
      </c>
      <c r="B462" s="75">
        <v>41045</v>
      </c>
      <c r="C462" s="15">
        <v>2012</v>
      </c>
      <c r="D462" s="11" t="s">
        <v>32</v>
      </c>
      <c r="E462" s="15">
        <v>5</v>
      </c>
      <c r="F462" s="26">
        <v>3.4529999999999998</v>
      </c>
      <c r="G462" s="27">
        <v>5.8535875000000001E-2</v>
      </c>
    </row>
    <row r="463" spans="1:14">
      <c r="A463" s="15">
        <v>7</v>
      </c>
      <c r="B463" s="75">
        <v>41046</v>
      </c>
      <c r="C463" s="15">
        <v>2012</v>
      </c>
      <c r="D463" s="11" t="s">
        <v>32</v>
      </c>
      <c r="E463" s="15">
        <v>5</v>
      </c>
      <c r="F463" s="26">
        <v>6.641</v>
      </c>
      <c r="G463" s="27">
        <v>0.25983749999999994</v>
      </c>
    </row>
    <row r="464" spans="1:14">
      <c r="A464" s="15">
        <v>14</v>
      </c>
      <c r="B464" s="75">
        <v>41046</v>
      </c>
      <c r="C464" s="15">
        <v>2012</v>
      </c>
      <c r="D464" s="11" t="s">
        <v>32</v>
      </c>
      <c r="E464" s="15">
        <v>5</v>
      </c>
      <c r="F464" s="26">
        <v>4.2300000000000004</v>
      </c>
      <c r="G464" s="27">
        <v>0</v>
      </c>
      <c r="I464" s="27">
        <f>AVERAGE(F462:F464)</f>
        <v>4.7746666666666666</v>
      </c>
      <c r="J464" s="27">
        <f>AVERAGE(G462:G464)</f>
        <v>0.10612445833333332</v>
      </c>
      <c r="L464">
        <f>+J464/I464</f>
        <v>2.2226569044959506E-2</v>
      </c>
      <c r="M464">
        <f>+(L464-$L$931)/$L$932</f>
        <v>-0.51552634692008692</v>
      </c>
      <c r="N464">
        <f>+N461+M464</f>
        <v>-20.618094886392218</v>
      </c>
    </row>
    <row r="465" spans="1:14">
      <c r="A465" s="15">
        <v>5</v>
      </c>
      <c r="B465" s="75">
        <v>41073</v>
      </c>
      <c r="C465" s="15">
        <v>2012</v>
      </c>
      <c r="D465" s="11" t="s">
        <v>33</v>
      </c>
      <c r="E465" s="15">
        <v>6</v>
      </c>
      <c r="F465" s="26">
        <v>8.7240000000000002</v>
      </c>
      <c r="G465" s="27">
        <v>2.1453124999999997E-2</v>
      </c>
    </row>
    <row r="466" spans="1:14">
      <c r="A466" s="15">
        <v>7</v>
      </c>
      <c r="B466" s="75">
        <v>41080</v>
      </c>
      <c r="C466" s="15">
        <v>2012</v>
      </c>
      <c r="D466" s="11" t="s">
        <v>33</v>
      </c>
      <c r="E466" s="15">
        <v>6</v>
      </c>
      <c r="F466" s="26">
        <v>6.5609999999999999</v>
      </c>
      <c r="G466" s="27">
        <v>0.18889137499999997</v>
      </c>
    </row>
    <row r="467" spans="1:14">
      <c r="A467" s="15">
        <v>7</v>
      </c>
      <c r="B467" s="75">
        <v>41080</v>
      </c>
      <c r="C467" s="15">
        <v>2012</v>
      </c>
      <c r="D467" s="11" t="s">
        <v>33</v>
      </c>
      <c r="E467" s="15">
        <v>6</v>
      </c>
      <c r="F467" s="26">
        <v>6.5609999999999999</v>
      </c>
      <c r="G467" s="27">
        <v>0.16536487499999997</v>
      </c>
      <c r="H467" t="s">
        <v>94</v>
      </c>
      <c r="I467" s="27"/>
      <c r="J467" s="27"/>
    </row>
    <row r="468" spans="1:14">
      <c r="A468" s="15">
        <v>14</v>
      </c>
      <c r="B468" s="75">
        <v>41080</v>
      </c>
      <c r="C468" s="15">
        <v>2012</v>
      </c>
      <c r="D468" s="11" t="s">
        <v>33</v>
      </c>
      <c r="E468" s="15">
        <v>6</v>
      </c>
      <c r="F468" s="26">
        <v>1.976</v>
      </c>
      <c r="G468" s="27">
        <v>5.6003124999999994E-2</v>
      </c>
      <c r="I468" s="27">
        <f>AVERAGE(F465:F468)</f>
        <v>5.9554999999999998</v>
      </c>
      <c r="J468" s="27">
        <f>AVERAGE(G465:G468)</f>
        <v>0.10792812499999997</v>
      </c>
      <c r="L468">
        <f>+J468/I468</f>
        <v>1.812242884728402E-2</v>
      </c>
      <c r="M468">
        <f>+(L468-$L$931)/$L$932</f>
        <v>-0.59299591357011772</v>
      </c>
      <c r="N468">
        <f>+N464+M468</f>
        <v>-21.211090799962335</v>
      </c>
    </row>
    <row r="469" spans="1:14">
      <c r="A469" s="15">
        <v>5</v>
      </c>
      <c r="B469" s="75">
        <v>41107</v>
      </c>
      <c r="C469" s="15">
        <v>2012</v>
      </c>
      <c r="D469" s="11" t="s">
        <v>34</v>
      </c>
      <c r="E469" s="15">
        <v>7</v>
      </c>
      <c r="F469" s="26">
        <v>13.635999999999999</v>
      </c>
      <c r="G469" s="27">
        <v>0.24522775000000002</v>
      </c>
    </row>
    <row r="470" spans="1:14">
      <c r="A470" s="15">
        <v>7</v>
      </c>
      <c r="B470" s="75">
        <v>41106</v>
      </c>
      <c r="C470" s="15">
        <v>2012</v>
      </c>
      <c r="D470" s="11" t="s">
        <v>34</v>
      </c>
      <c r="E470" s="15">
        <v>7</v>
      </c>
      <c r="F470" s="26">
        <v>10.025</v>
      </c>
      <c r="G470" s="27">
        <v>1.5582315</v>
      </c>
      <c r="I470" s="27"/>
      <c r="J470" s="27"/>
    </row>
    <row r="471" spans="1:14">
      <c r="A471" s="15">
        <v>14</v>
      </c>
      <c r="B471" s="75">
        <v>41106</v>
      </c>
      <c r="C471" s="15">
        <v>2012</v>
      </c>
      <c r="D471" s="11" t="s">
        <v>34</v>
      </c>
      <c r="E471" s="15">
        <v>7</v>
      </c>
      <c r="F471" s="26">
        <v>7.0940000000000003</v>
      </c>
      <c r="G471" s="27">
        <v>1.4122453749999997</v>
      </c>
      <c r="I471" s="27">
        <f>AVERAGE(F469:F471)</f>
        <v>10.251666666666667</v>
      </c>
      <c r="J471" s="27">
        <f>AVERAGE(G469:G471)</f>
        <v>1.0719015416666666</v>
      </c>
      <c r="L471">
        <f>+J471/I471</f>
        <v>0.10455875873841651</v>
      </c>
      <c r="M471">
        <f>+(L471-$L$931)/$L$932</f>
        <v>1.0385723801440561</v>
      </c>
      <c r="N471">
        <f>+N468+M471</f>
        <v>-20.172518419818278</v>
      </c>
    </row>
    <row r="472" spans="1:14">
      <c r="A472" s="15">
        <v>5</v>
      </c>
      <c r="B472" s="75">
        <v>41135</v>
      </c>
      <c r="C472" s="15">
        <v>2012</v>
      </c>
      <c r="D472" s="11" t="s">
        <v>35</v>
      </c>
      <c r="E472" s="15">
        <v>8</v>
      </c>
      <c r="F472" s="26">
        <v>57.398000000000003</v>
      </c>
      <c r="G472" s="27">
        <v>15.261165999999999</v>
      </c>
    </row>
    <row r="473" spans="1:14">
      <c r="A473" s="15">
        <v>7</v>
      </c>
      <c r="B473" s="75">
        <v>41137</v>
      </c>
      <c r="C473" s="15">
        <v>2012</v>
      </c>
      <c r="D473" s="11" t="s">
        <v>35</v>
      </c>
      <c r="E473" s="15">
        <v>8</v>
      </c>
      <c r="F473" s="26">
        <v>21.312999999999999</v>
      </c>
      <c r="G473" s="27">
        <v>9.8906587500000001</v>
      </c>
    </row>
    <row r="474" spans="1:14">
      <c r="A474" s="15">
        <v>14</v>
      </c>
      <c r="B474" s="75">
        <v>41137</v>
      </c>
      <c r="C474" s="15">
        <v>2012</v>
      </c>
      <c r="D474" s="11" t="s">
        <v>35</v>
      </c>
      <c r="E474" s="15">
        <v>8</v>
      </c>
      <c r="F474" s="26">
        <v>3.71</v>
      </c>
      <c r="G474" s="27">
        <v>1.1223240000000001</v>
      </c>
      <c r="I474" s="27">
        <f>AVERAGE(F472:F474)</f>
        <v>27.473666666666663</v>
      </c>
      <c r="J474" s="27">
        <f>AVERAGE(G472:G474)</f>
        <v>8.7580495833333334</v>
      </c>
      <c r="L474">
        <f>+J474/I474</f>
        <v>0.31877978609820318</v>
      </c>
      <c r="M474">
        <f>+(L474-$L$931)/$L$932</f>
        <v>5.0821989030115136</v>
      </c>
      <c r="N474">
        <f>+N471+M474</f>
        <v>-15.090319516806765</v>
      </c>
    </row>
    <row r="475" spans="1:14">
      <c r="A475" s="15">
        <v>5</v>
      </c>
      <c r="B475" s="75">
        <v>41164</v>
      </c>
      <c r="C475" s="15">
        <v>2012</v>
      </c>
      <c r="D475" s="11" t="s">
        <v>41</v>
      </c>
      <c r="E475" s="15">
        <v>9</v>
      </c>
      <c r="F475" s="26">
        <v>13.07</v>
      </c>
      <c r="G475" s="27">
        <v>5.4359612499999983</v>
      </c>
    </row>
    <row r="476" spans="1:14">
      <c r="A476" s="15">
        <v>7</v>
      </c>
      <c r="B476" s="75">
        <v>41163</v>
      </c>
      <c r="C476" s="15">
        <v>2012</v>
      </c>
      <c r="D476" s="11" t="s">
        <v>41</v>
      </c>
      <c r="E476" s="15">
        <v>9</v>
      </c>
      <c r="F476" s="26">
        <v>20.484999999999999</v>
      </c>
      <c r="G476" s="27">
        <v>5.4859546249999989</v>
      </c>
    </row>
    <row r="477" spans="1:14">
      <c r="A477" s="15">
        <v>14</v>
      </c>
      <c r="B477" s="75">
        <v>41163</v>
      </c>
      <c r="C477" s="15">
        <v>2012</v>
      </c>
      <c r="D477" s="11" t="s">
        <v>41</v>
      </c>
      <c r="E477" s="15">
        <v>9</v>
      </c>
      <c r="F477" s="26">
        <v>2.7469999999999999</v>
      </c>
      <c r="G477" s="27">
        <v>0.34613925000000006</v>
      </c>
      <c r="I477" s="27">
        <f>AVERAGE(F475:F477)</f>
        <v>12.100666666666667</v>
      </c>
      <c r="J477" s="27">
        <f>AVERAGE(G475:G477)</f>
        <v>3.7560183749999987</v>
      </c>
      <c r="L477">
        <f>+J477/I477</f>
        <v>0.31039763993719344</v>
      </c>
      <c r="M477">
        <f>+(L477-$L$931)/$L$932</f>
        <v>4.9239778873019544</v>
      </c>
      <c r="N477">
        <f>+N474+M477</f>
        <v>-10.16634162950481</v>
      </c>
    </row>
    <row r="478" spans="1:14">
      <c r="A478" s="15">
        <v>5</v>
      </c>
      <c r="B478" s="75">
        <v>41199</v>
      </c>
      <c r="C478" s="15">
        <v>2012</v>
      </c>
      <c r="D478" s="11" t="s">
        <v>37</v>
      </c>
      <c r="E478" s="15">
        <v>10</v>
      </c>
      <c r="F478" s="26">
        <v>3.6970000000000001</v>
      </c>
      <c r="G478" s="27">
        <v>0.243508</v>
      </c>
    </row>
    <row r="479" spans="1:14">
      <c r="A479" s="15">
        <v>7</v>
      </c>
      <c r="B479" s="75">
        <v>41199</v>
      </c>
      <c r="C479" s="15">
        <v>2012</v>
      </c>
      <c r="D479" s="11" t="s">
        <v>37</v>
      </c>
      <c r="E479" s="15">
        <v>10</v>
      </c>
      <c r="F479" s="26">
        <v>1.903</v>
      </c>
      <c r="G479" s="27">
        <v>7.3273624999999995E-2</v>
      </c>
    </row>
    <row r="480" spans="1:14">
      <c r="A480" s="15">
        <v>14</v>
      </c>
      <c r="B480" s="75">
        <v>41199</v>
      </c>
      <c r="C480" s="15">
        <v>2012</v>
      </c>
      <c r="D480" s="11" t="s">
        <v>37</v>
      </c>
      <c r="E480" s="15">
        <v>10</v>
      </c>
      <c r="F480" s="26">
        <v>1.704</v>
      </c>
      <c r="G480" s="27">
        <v>0.11216862499999999</v>
      </c>
      <c r="I480" s="27">
        <f>AVERAGE(F478:F480)</f>
        <v>2.4346666666666663</v>
      </c>
      <c r="J480" s="27">
        <f>AVERAGE(G478:G480)</f>
        <v>0.14298341666666667</v>
      </c>
      <c r="L480">
        <f>+J480/I480</f>
        <v>5.872812842278205E-2</v>
      </c>
      <c r="M480">
        <f>+(L480-$L$931)/$L$932</f>
        <v>0.1734754539082273</v>
      </c>
      <c r="N480">
        <f>+N477+M480</f>
        <v>-9.992866175596582</v>
      </c>
    </row>
    <row r="481" spans="1:14">
      <c r="A481" s="15">
        <v>5</v>
      </c>
      <c r="B481" s="75">
        <v>41225</v>
      </c>
      <c r="C481" s="15">
        <v>2012</v>
      </c>
      <c r="D481" s="11" t="s">
        <v>38</v>
      </c>
      <c r="E481" s="15">
        <v>11</v>
      </c>
      <c r="F481" s="26">
        <v>4.7450000000000001</v>
      </c>
      <c r="G481" s="27">
        <v>4.525524999999999E-2</v>
      </c>
    </row>
    <row r="482" spans="1:14">
      <c r="A482" s="15">
        <v>7</v>
      </c>
      <c r="B482" s="75">
        <v>41225</v>
      </c>
      <c r="C482" s="15">
        <v>2012</v>
      </c>
      <c r="D482" s="11" t="s">
        <v>38</v>
      </c>
      <c r="E482" s="15">
        <v>11</v>
      </c>
      <c r="F482" s="26">
        <v>4.2389999999999999</v>
      </c>
      <c r="G482" s="27">
        <v>0</v>
      </c>
    </row>
    <row r="483" spans="1:14">
      <c r="A483" s="15">
        <v>14</v>
      </c>
      <c r="B483" s="75">
        <v>41225</v>
      </c>
      <c r="C483" s="15">
        <v>2012</v>
      </c>
      <c r="D483" s="11" t="s">
        <v>38</v>
      </c>
      <c r="E483" s="15">
        <v>11</v>
      </c>
      <c r="F483" s="26">
        <v>1.831</v>
      </c>
      <c r="G483" s="27">
        <v>0</v>
      </c>
    </row>
    <row r="484" spans="1:14">
      <c r="A484" s="15">
        <v>14</v>
      </c>
      <c r="B484" s="75">
        <v>41225</v>
      </c>
      <c r="C484" s="15">
        <v>2012</v>
      </c>
      <c r="D484" s="11" t="s">
        <v>38</v>
      </c>
      <c r="E484" s="15">
        <v>11</v>
      </c>
      <c r="F484" s="26">
        <v>1.831</v>
      </c>
      <c r="G484" s="27">
        <v>0</v>
      </c>
      <c r="H484" t="s">
        <v>13</v>
      </c>
      <c r="I484" s="27">
        <f>AVERAGE(F481:F484)</f>
        <v>3.1614999999999998</v>
      </c>
      <c r="J484" s="27">
        <f>AVERAGE(G481:G484)</f>
        <v>1.1313812499999997E-2</v>
      </c>
      <c r="L484">
        <f>+J484/I484</f>
        <v>3.5786216985608092E-3</v>
      </c>
      <c r="M484">
        <f>+(L484-$L$931)/$L$932</f>
        <v>-0.86752416625781903</v>
      </c>
      <c r="N484">
        <f>+N480+M484</f>
        <v>-10.860390341854401</v>
      </c>
    </row>
    <row r="485" spans="1:14">
      <c r="A485" s="15">
        <v>5</v>
      </c>
      <c r="B485" s="75">
        <v>41254</v>
      </c>
      <c r="C485" s="15">
        <v>2012</v>
      </c>
      <c r="D485" s="11" t="s">
        <v>39</v>
      </c>
      <c r="E485" s="15">
        <v>12</v>
      </c>
      <c r="F485" s="26">
        <v>2.2109999999999999</v>
      </c>
      <c r="G485" s="27">
        <v>9.9273499999999987E-2</v>
      </c>
    </row>
    <row r="486" spans="1:14">
      <c r="A486" s="15">
        <v>7</v>
      </c>
      <c r="B486" s="75">
        <v>41255</v>
      </c>
      <c r="C486" s="15">
        <v>2012</v>
      </c>
      <c r="D486" s="11" t="s">
        <v>39</v>
      </c>
      <c r="E486" s="15">
        <v>12</v>
      </c>
      <c r="F486" s="26">
        <v>3.383</v>
      </c>
      <c r="G486" s="27">
        <v>0.50575687499999999</v>
      </c>
    </row>
    <row r="487" spans="1:14">
      <c r="A487" s="15">
        <v>14</v>
      </c>
      <c r="B487" s="75">
        <v>41255</v>
      </c>
      <c r="C487" s="15">
        <v>2012</v>
      </c>
      <c r="D487" s="11" t="s">
        <v>39</v>
      </c>
      <c r="E487" s="15">
        <v>12</v>
      </c>
      <c r="F487" s="26">
        <v>1.1919999999999999</v>
      </c>
      <c r="G487" s="27">
        <v>0.12254112499999997</v>
      </c>
      <c r="I487" s="27">
        <f>AVERAGE(F485:F487)</f>
        <v>2.262</v>
      </c>
      <c r="J487" s="27">
        <f>AVERAGE(G485:G487)</f>
        <v>0.24252383333333336</v>
      </c>
      <c r="L487">
        <f>+J487/I487</f>
        <v>0.10721654877689361</v>
      </c>
      <c r="M487">
        <f>+(L487-$L$931)/$L$932</f>
        <v>1.0887407059347314</v>
      </c>
      <c r="N487">
        <f>+N484+M487</f>
        <v>-9.7716496359196707</v>
      </c>
    </row>
    <row r="488" spans="1:14">
      <c r="A488" s="15">
        <v>5</v>
      </c>
      <c r="B488" s="75">
        <v>41288</v>
      </c>
      <c r="C488" s="15">
        <v>2013</v>
      </c>
      <c r="D488" s="11" t="s">
        <v>40</v>
      </c>
      <c r="E488" s="15">
        <v>1</v>
      </c>
      <c r="F488" s="26">
        <v>2.3490000000000002</v>
      </c>
      <c r="G488" s="27">
        <v>0</v>
      </c>
    </row>
    <row r="489" spans="1:14">
      <c r="A489" s="15">
        <v>7</v>
      </c>
      <c r="B489" s="75">
        <v>41297</v>
      </c>
      <c r="C489" s="15">
        <v>2013</v>
      </c>
      <c r="D489" s="11" t="s">
        <v>40</v>
      </c>
      <c r="E489" s="15">
        <v>1</v>
      </c>
      <c r="F489" s="26">
        <v>2.6680000000000001</v>
      </c>
      <c r="G489" s="27">
        <v>0.17473962499999998</v>
      </c>
    </row>
    <row r="490" spans="1:14">
      <c r="A490" s="15">
        <v>7</v>
      </c>
      <c r="B490" s="75">
        <v>41297</v>
      </c>
      <c r="C490" s="15">
        <v>2013</v>
      </c>
      <c r="D490" s="11" t="s">
        <v>40</v>
      </c>
      <c r="E490" s="15">
        <v>1</v>
      </c>
      <c r="F490" s="26">
        <v>2.6680000000000001</v>
      </c>
      <c r="G490" s="27">
        <v>0.18654137500000001</v>
      </c>
      <c r="H490" t="s">
        <v>13</v>
      </c>
    </row>
    <row r="491" spans="1:14">
      <c r="A491" s="15">
        <v>14</v>
      </c>
      <c r="B491" s="75">
        <v>41297</v>
      </c>
      <c r="C491" s="15">
        <v>2013</v>
      </c>
      <c r="D491" s="11" t="s">
        <v>40</v>
      </c>
      <c r="E491" s="15">
        <v>1</v>
      </c>
      <c r="F491" s="26">
        <v>1.38</v>
      </c>
      <c r="G491" s="27">
        <v>2.6025874999999997E-2</v>
      </c>
      <c r="I491" s="27">
        <f>AVERAGE(F488:F491)</f>
        <v>2.2662500000000003</v>
      </c>
      <c r="J491" s="27">
        <f>AVERAGE(G488:G491)</f>
        <v>9.6826718749999985E-2</v>
      </c>
      <c r="L491">
        <f>+J491/I491</f>
        <v>4.2725523993381122E-2</v>
      </c>
      <c r="M491">
        <f>+(L491-$L$931)/$L$932</f>
        <v>-0.12858899094667983</v>
      </c>
      <c r="N491">
        <f>+N487+M491</f>
        <v>-9.9002386268663507</v>
      </c>
    </row>
    <row r="492" spans="1:14">
      <c r="A492" s="15">
        <v>5</v>
      </c>
      <c r="B492" s="75">
        <v>41318</v>
      </c>
      <c r="C492" s="15">
        <v>2013</v>
      </c>
      <c r="D492" s="11" t="s">
        <v>29</v>
      </c>
      <c r="E492" s="15">
        <v>2</v>
      </c>
      <c r="F492" s="31">
        <v>8.3369999999999997</v>
      </c>
      <c r="G492" s="27">
        <v>0</v>
      </c>
    </row>
    <row r="493" spans="1:14">
      <c r="A493" s="15">
        <v>7</v>
      </c>
      <c r="B493" s="75">
        <v>41319</v>
      </c>
      <c r="C493" s="15">
        <v>2013</v>
      </c>
      <c r="D493" s="11" t="s">
        <v>29</v>
      </c>
      <c r="E493" s="15">
        <v>2</v>
      </c>
      <c r="F493" s="31">
        <v>5.2880000000000003</v>
      </c>
      <c r="G493" s="27">
        <v>0.11775949999999999</v>
      </c>
    </row>
    <row r="494" spans="1:14">
      <c r="A494" s="15">
        <v>14</v>
      </c>
      <c r="B494" s="75">
        <v>41319</v>
      </c>
      <c r="C494" s="15">
        <v>2013</v>
      </c>
      <c r="D494" s="11" t="s">
        <v>29</v>
      </c>
      <c r="E494" s="15">
        <v>2</v>
      </c>
      <c r="F494" s="31">
        <v>6.0389999999999997</v>
      </c>
      <c r="G494" s="27">
        <v>3.8291249999999999E-2</v>
      </c>
    </row>
    <row r="495" spans="1:14">
      <c r="A495" s="15">
        <v>14</v>
      </c>
      <c r="B495" s="75">
        <v>41319</v>
      </c>
      <c r="C495" s="15">
        <v>2013</v>
      </c>
      <c r="D495" s="11" t="s">
        <v>29</v>
      </c>
      <c r="E495" s="15">
        <v>2</v>
      </c>
      <c r="F495" s="31">
        <v>6.0389999999999997</v>
      </c>
      <c r="G495" s="27">
        <v>4.2549249999999983E-2</v>
      </c>
      <c r="H495" t="s">
        <v>13</v>
      </c>
      <c r="I495" s="27">
        <f>AVERAGE(F492:F495)</f>
        <v>6.4257500000000007</v>
      </c>
      <c r="J495" s="27">
        <f>AVERAGE(G492:G495)</f>
        <v>4.9649999999999993E-2</v>
      </c>
      <c r="L495">
        <f>+J495/I495</f>
        <v>7.7267245068669008E-3</v>
      </c>
      <c r="M495">
        <f>+(L495-$L$931)/$L$932</f>
        <v>-0.78922476333750535</v>
      </c>
      <c r="N495">
        <f>+N491+M495</f>
        <v>-10.689463390203857</v>
      </c>
    </row>
    <row r="496" spans="1:14">
      <c r="A496" s="15">
        <v>5</v>
      </c>
      <c r="B496" s="75">
        <v>41344</v>
      </c>
      <c r="C496" s="15">
        <v>2013</v>
      </c>
      <c r="D496" s="11" t="s">
        <v>30</v>
      </c>
      <c r="E496" s="15">
        <v>3</v>
      </c>
      <c r="F496" s="31">
        <v>6.8650000000000002</v>
      </c>
      <c r="G496" s="27">
        <v>5.5329749999999997E-2</v>
      </c>
    </row>
    <row r="497" spans="1:14">
      <c r="A497" s="15">
        <v>7</v>
      </c>
      <c r="B497" s="75">
        <v>41346</v>
      </c>
      <c r="C497" s="15">
        <v>2013</v>
      </c>
      <c r="D497" s="11" t="s">
        <v>30</v>
      </c>
      <c r="E497" s="15">
        <v>3</v>
      </c>
      <c r="F497" s="31">
        <v>10.744</v>
      </c>
      <c r="G497" s="27">
        <v>0.15812812499999998</v>
      </c>
    </row>
    <row r="498" spans="1:14">
      <c r="A498" s="15">
        <v>14</v>
      </c>
      <c r="B498" s="75">
        <v>41346</v>
      </c>
      <c r="C498" s="15">
        <v>2013</v>
      </c>
      <c r="D498" s="11" t="s">
        <v>30</v>
      </c>
      <c r="E498" s="15">
        <v>3</v>
      </c>
      <c r="F498" s="31">
        <v>8.9760000000000009</v>
      </c>
      <c r="G498" s="27">
        <v>0</v>
      </c>
      <c r="I498" s="27">
        <f>AVERAGE(F496:F498)</f>
        <v>8.8616666666666664</v>
      </c>
      <c r="J498" s="27">
        <f>AVERAGE(G496:G498)</f>
        <v>7.1152624999999983E-2</v>
      </c>
      <c r="L498">
        <f>+J498/I498</f>
        <v>8.0292599210080862E-3</v>
      </c>
      <c r="M498">
        <f>+(L498-$L$931)/$L$932</f>
        <v>-0.78351411840313401</v>
      </c>
      <c r="N498">
        <f>+N495+M498</f>
        <v>-11.472977508606991</v>
      </c>
    </row>
    <row r="499" spans="1:14">
      <c r="A499" s="15">
        <v>5</v>
      </c>
      <c r="B499" s="75">
        <v>41379</v>
      </c>
      <c r="C499" s="15">
        <v>2013</v>
      </c>
      <c r="D499" s="11" t="s">
        <v>31</v>
      </c>
      <c r="E499" s="15">
        <v>4</v>
      </c>
      <c r="F499" s="32">
        <v>2.5430000000000001</v>
      </c>
      <c r="G499" s="27">
        <v>0</v>
      </c>
    </row>
    <row r="500" spans="1:14">
      <c r="A500" s="15">
        <v>7</v>
      </c>
      <c r="B500" s="75">
        <v>41380</v>
      </c>
      <c r="C500" s="15">
        <v>2013</v>
      </c>
      <c r="D500" s="11" t="s">
        <v>31</v>
      </c>
      <c r="E500" s="15">
        <v>4</v>
      </c>
      <c r="F500" s="32">
        <v>5.2409999999999997</v>
      </c>
      <c r="G500" s="27">
        <v>7.3791999999999983E-2</v>
      </c>
    </row>
    <row r="501" spans="1:14">
      <c r="A501" s="15">
        <v>14</v>
      </c>
      <c r="B501" s="75">
        <v>41380</v>
      </c>
      <c r="C501" s="15">
        <v>2013</v>
      </c>
      <c r="D501" s="11" t="s">
        <v>31</v>
      </c>
      <c r="E501" s="15">
        <v>4</v>
      </c>
      <c r="F501" s="32">
        <v>0.433</v>
      </c>
      <c r="G501" s="27">
        <v>0</v>
      </c>
      <c r="I501" s="27">
        <f>AVERAGE(F499:F501)</f>
        <v>2.7390000000000003</v>
      </c>
      <c r="J501" s="27">
        <f>AVERAGE(G499:G501)</f>
        <v>2.4597333333333329E-2</v>
      </c>
      <c r="L501">
        <f>+J501/I501</f>
        <v>8.9804064743823752E-3</v>
      </c>
      <c r="M501">
        <f>+(L501-$L$931)/$L$932</f>
        <v>-0.76556031863959018</v>
      </c>
      <c r="N501">
        <f>+N498+M501</f>
        <v>-12.238537827246581</v>
      </c>
    </row>
    <row r="502" spans="1:14">
      <c r="A502" s="15">
        <v>5</v>
      </c>
      <c r="B502" s="75">
        <v>41407</v>
      </c>
      <c r="C502" s="15">
        <v>2013</v>
      </c>
      <c r="D502" s="11" t="s">
        <v>32</v>
      </c>
      <c r="E502" s="15">
        <v>5</v>
      </c>
      <c r="F502" s="32">
        <v>1.2370000000000001</v>
      </c>
      <c r="G502" s="27">
        <v>5.5783999999999993E-2</v>
      </c>
    </row>
    <row r="503" spans="1:14">
      <c r="A503" s="15">
        <v>7</v>
      </c>
      <c r="B503" s="75">
        <v>41407</v>
      </c>
      <c r="C503" s="15">
        <v>2013</v>
      </c>
      <c r="D503" s="11" t="s">
        <v>32</v>
      </c>
      <c r="E503" s="15">
        <v>5</v>
      </c>
      <c r="F503" s="32">
        <v>1.2390000000000001</v>
      </c>
      <c r="G503" s="27">
        <v>0</v>
      </c>
    </row>
    <row r="504" spans="1:14">
      <c r="A504" s="15">
        <v>14</v>
      </c>
      <c r="B504" s="75">
        <v>41407</v>
      </c>
      <c r="C504" s="15">
        <v>2013</v>
      </c>
      <c r="D504" s="11" t="s">
        <v>32</v>
      </c>
      <c r="E504" s="15">
        <v>5</v>
      </c>
      <c r="F504" s="32">
        <v>0.63600000000000001</v>
      </c>
      <c r="G504" s="27">
        <v>0</v>
      </c>
      <c r="I504" s="27">
        <f>AVERAGE(F502:F504)</f>
        <v>1.0373333333333334</v>
      </c>
      <c r="J504" s="27">
        <f>AVERAGE(G502:G504)</f>
        <v>1.8594666666666666E-2</v>
      </c>
      <c r="L504">
        <f>+J504/I504</f>
        <v>1.7925449871465292E-2</v>
      </c>
      <c r="M504">
        <f>+(L504-$L$931)/$L$932</f>
        <v>-0.5967140798999343</v>
      </c>
      <c r="N504">
        <f>+N501+M504</f>
        <v>-12.835251907146516</v>
      </c>
    </row>
    <row r="505" spans="1:14">
      <c r="A505" s="15">
        <v>5</v>
      </c>
      <c r="B505" s="75">
        <v>41436</v>
      </c>
      <c r="C505" s="15">
        <v>2013</v>
      </c>
      <c r="D505" s="11" t="s">
        <v>33</v>
      </c>
      <c r="E505" s="15">
        <v>6</v>
      </c>
      <c r="F505" s="32">
        <v>6.915</v>
      </c>
      <c r="G505" s="27">
        <v>6.516812499999998E-2</v>
      </c>
    </row>
    <row r="506" spans="1:14">
      <c r="A506" s="15">
        <v>5</v>
      </c>
      <c r="B506" s="75">
        <v>41436</v>
      </c>
      <c r="C506" s="15">
        <v>2013</v>
      </c>
      <c r="D506" s="11" t="s">
        <v>33</v>
      </c>
      <c r="E506" s="15">
        <v>6</v>
      </c>
      <c r="F506" s="32">
        <v>6.915</v>
      </c>
      <c r="G506" s="27">
        <v>4.9605125E-2</v>
      </c>
      <c r="H506" t="s">
        <v>13</v>
      </c>
    </row>
    <row r="507" spans="1:14">
      <c r="A507" s="15">
        <v>7</v>
      </c>
      <c r="B507" s="75">
        <v>41437</v>
      </c>
      <c r="C507" s="15">
        <v>2013</v>
      </c>
      <c r="D507" s="11" t="s">
        <v>33</v>
      </c>
      <c r="E507" s="15">
        <v>6</v>
      </c>
      <c r="F507" s="32">
        <v>7.1859999999999999</v>
      </c>
      <c r="G507" s="27">
        <v>0.36853812499999999</v>
      </c>
      <c r="I507" s="27"/>
      <c r="J507" s="27"/>
    </row>
    <row r="508" spans="1:14">
      <c r="A508" s="15">
        <v>14</v>
      </c>
      <c r="B508" s="75">
        <v>41437</v>
      </c>
      <c r="C508" s="15">
        <v>2013</v>
      </c>
      <c r="D508" s="11" t="s">
        <v>33</v>
      </c>
      <c r="E508" s="15">
        <v>6</v>
      </c>
      <c r="F508" s="32">
        <v>5.2770000000000001</v>
      </c>
      <c r="G508" s="27">
        <v>0.19935900000000001</v>
      </c>
      <c r="I508" s="27">
        <f>AVERAGE(F505:F508)</f>
        <v>6.5732499999999998</v>
      </c>
      <c r="J508" s="27">
        <f>AVERAGE(G505:G508)</f>
        <v>0.17066759375000001</v>
      </c>
      <c r="L508">
        <f>+J508/I508</f>
        <v>2.5963959038527367E-2</v>
      </c>
      <c r="M508">
        <f>+(L508-$L$931)/$L$932</f>
        <v>-0.4449795407052673</v>
      </c>
      <c r="N508">
        <f>+N504+M508</f>
        <v>-13.280231447851783</v>
      </c>
    </row>
    <row r="509" spans="1:14">
      <c r="A509" s="15">
        <v>5</v>
      </c>
      <c r="B509" s="75">
        <v>41470</v>
      </c>
      <c r="C509" s="15">
        <v>2013</v>
      </c>
      <c r="D509" s="11" t="s">
        <v>34</v>
      </c>
      <c r="E509" s="15">
        <v>7</v>
      </c>
      <c r="F509" s="32">
        <v>6.6029999999999998</v>
      </c>
      <c r="G509" s="27">
        <v>0.34459912500000001</v>
      </c>
    </row>
    <row r="510" spans="1:14">
      <c r="A510" s="15">
        <v>7</v>
      </c>
      <c r="B510" s="75">
        <v>41470</v>
      </c>
      <c r="C510" s="15">
        <v>2013</v>
      </c>
      <c r="D510" s="11" t="s">
        <v>34</v>
      </c>
      <c r="E510" s="15">
        <v>7</v>
      </c>
      <c r="F510" s="32">
        <v>9.8219999999999992</v>
      </c>
      <c r="G510" s="27">
        <v>0.71107524999999994</v>
      </c>
    </row>
    <row r="511" spans="1:14">
      <c r="A511" s="15">
        <v>14</v>
      </c>
      <c r="B511" s="75">
        <v>41470</v>
      </c>
      <c r="C511" s="15">
        <v>2013</v>
      </c>
      <c r="D511" s="11" t="s">
        <v>34</v>
      </c>
      <c r="E511" s="15">
        <v>7</v>
      </c>
      <c r="F511" s="32">
        <v>4.4320000000000004</v>
      </c>
      <c r="G511" s="27">
        <v>0.18958487499999999</v>
      </c>
      <c r="I511" s="27">
        <f>AVERAGE(F509:F511)</f>
        <v>6.9523333333333328</v>
      </c>
      <c r="J511" s="27">
        <f>AVERAGE(G509:G511)</f>
        <v>0.41508641666666662</v>
      </c>
      <c r="L511">
        <f>+J511/I511</f>
        <v>5.9704619552188712E-2</v>
      </c>
      <c r="M511">
        <f>+(L511-$L$931)/$L$932</f>
        <v>0.19190765675441157</v>
      </c>
      <c r="N511">
        <f>+N508+M511</f>
        <v>-13.088323791097372</v>
      </c>
    </row>
    <row r="512" spans="1:14">
      <c r="A512" s="15">
        <v>5</v>
      </c>
      <c r="B512" s="75">
        <v>41498</v>
      </c>
      <c r="C512" s="15">
        <v>2013</v>
      </c>
      <c r="D512" s="11" t="s">
        <v>35</v>
      </c>
      <c r="E512" s="15">
        <v>8</v>
      </c>
      <c r="F512" s="32">
        <v>6.9290000000000003</v>
      </c>
      <c r="G512" s="27">
        <v>0.28015137499999998</v>
      </c>
    </row>
    <row r="513" spans="1:14">
      <c r="A513" s="15">
        <v>7</v>
      </c>
      <c r="B513" s="75">
        <v>41498</v>
      </c>
      <c r="C513" s="15">
        <v>2013</v>
      </c>
      <c r="D513" s="11" t="s">
        <v>35</v>
      </c>
      <c r="E513" s="15">
        <v>8</v>
      </c>
      <c r="F513" s="32">
        <v>5.9130000000000003</v>
      </c>
      <c r="G513" s="27">
        <v>1.7123891250000001</v>
      </c>
    </row>
    <row r="514" spans="1:14">
      <c r="A514" s="15">
        <v>14</v>
      </c>
      <c r="B514" s="75">
        <v>41498</v>
      </c>
      <c r="C514" s="15">
        <v>2013</v>
      </c>
      <c r="D514" s="11" t="s">
        <v>35</v>
      </c>
      <c r="E514" s="15">
        <v>8</v>
      </c>
      <c r="F514" s="32">
        <v>4.3970000000000002</v>
      </c>
      <c r="G514" s="27">
        <v>1.6612114999999996</v>
      </c>
      <c r="I514" s="27">
        <f>AVERAGE(F512:F514)</f>
        <v>5.7463333333333333</v>
      </c>
      <c r="J514" s="27">
        <f>AVERAGE(G512:G514)</f>
        <v>1.2179173333333333</v>
      </c>
      <c r="L514">
        <f>+J514/I514</f>
        <v>0.2119468646673241</v>
      </c>
      <c r="M514">
        <f>+(L514-$L$931)/$L$932</f>
        <v>3.0656254604437971</v>
      </c>
      <c r="N514">
        <f>+N511+M514</f>
        <v>-10.022698330653574</v>
      </c>
    </row>
    <row r="515" spans="1:14">
      <c r="A515" s="15">
        <v>5</v>
      </c>
      <c r="B515" s="75">
        <v>41533</v>
      </c>
      <c r="C515" s="15">
        <v>2013</v>
      </c>
      <c r="D515" s="11" t="s">
        <v>41</v>
      </c>
      <c r="E515" s="15">
        <v>9</v>
      </c>
      <c r="F515" s="32">
        <v>3.4</v>
      </c>
      <c r="G515" s="27">
        <v>4.6190249999999995E-2</v>
      </c>
    </row>
    <row r="516" spans="1:14">
      <c r="A516" s="15">
        <v>7</v>
      </c>
      <c r="B516" s="75">
        <v>41535</v>
      </c>
      <c r="C516" s="15">
        <v>2013</v>
      </c>
      <c r="D516" s="11" t="s">
        <v>41</v>
      </c>
      <c r="E516" s="15">
        <v>9</v>
      </c>
      <c r="F516" s="32">
        <v>7.87</v>
      </c>
      <c r="G516" s="27">
        <v>3.7157478749999995</v>
      </c>
    </row>
    <row r="517" spans="1:14">
      <c r="A517" s="15">
        <v>14</v>
      </c>
      <c r="B517" s="75">
        <v>41535</v>
      </c>
      <c r="C517" s="15">
        <v>2013</v>
      </c>
      <c r="D517" s="11" t="s">
        <v>41</v>
      </c>
      <c r="E517" s="15">
        <v>9</v>
      </c>
      <c r="F517" s="32">
        <v>0.88300000000000001</v>
      </c>
      <c r="G517" s="27">
        <v>0.14354525000000001</v>
      </c>
      <c r="I517" s="27">
        <f>AVERAGE(F515:F517)</f>
        <v>4.0509999999999993</v>
      </c>
      <c r="J517" s="27">
        <f>AVERAGE(G515:G517)</f>
        <v>1.3018277916666665</v>
      </c>
      <c r="L517">
        <f>+J517/I517</f>
        <v>0.32135961285279357</v>
      </c>
      <c r="M517">
        <f>+(L517-$L$931)/$L$932</f>
        <v>5.1308955973455586</v>
      </c>
      <c r="N517">
        <f>+N514+M517</f>
        <v>-4.8918027333080154</v>
      </c>
    </row>
    <row r="518" spans="1:14">
      <c r="A518" s="15">
        <v>5</v>
      </c>
      <c r="B518" s="75">
        <v>41569</v>
      </c>
      <c r="C518" s="15">
        <v>2013</v>
      </c>
      <c r="D518" s="11" t="s">
        <v>37</v>
      </c>
      <c r="E518" s="15">
        <v>10</v>
      </c>
      <c r="F518" s="26">
        <v>2.6429999999999998</v>
      </c>
      <c r="G518" s="27">
        <v>4.0691375000000002E-2</v>
      </c>
    </row>
    <row r="519" spans="1:14">
      <c r="A519" s="15">
        <v>7</v>
      </c>
      <c r="B519" s="75">
        <v>406810</v>
      </c>
      <c r="C519" s="15">
        <v>2013</v>
      </c>
      <c r="D519" s="11" t="s">
        <v>37</v>
      </c>
      <c r="E519" s="15">
        <v>10</v>
      </c>
      <c r="F519" s="26">
        <v>3.2120000000000002</v>
      </c>
      <c r="G519" s="27">
        <v>0.133235625</v>
      </c>
    </row>
    <row r="520" spans="1:14">
      <c r="A520" s="15">
        <v>14</v>
      </c>
      <c r="B520" s="75">
        <v>406810</v>
      </c>
      <c r="C520" s="15">
        <v>2013</v>
      </c>
      <c r="D520" s="11" t="s">
        <v>37</v>
      </c>
      <c r="E520" s="15">
        <v>10</v>
      </c>
      <c r="F520" s="26">
        <v>1.133</v>
      </c>
      <c r="G520" s="27">
        <v>6.076875000000001E-2</v>
      </c>
      <c r="I520" s="27">
        <f>AVERAGE(F518:F520)</f>
        <v>2.3293333333333335</v>
      </c>
      <c r="J520" s="27">
        <f>AVERAGE(G518:G520)</f>
        <v>7.8231916666666665E-2</v>
      </c>
      <c r="L520">
        <f>+J520/I520</f>
        <v>3.3585539496279335E-2</v>
      </c>
      <c r="M520">
        <f>+(L520-$L$931)/$L$932</f>
        <v>-0.30111492916377947</v>
      </c>
      <c r="N520">
        <f>+N517+M520</f>
        <v>-5.1929176624717952</v>
      </c>
    </row>
    <row r="521" spans="1:14">
      <c r="A521" s="15">
        <v>5</v>
      </c>
      <c r="B521" s="75">
        <v>41597</v>
      </c>
      <c r="C521" s="15">
        <v>2013</v>
      </c>
      <c r="D521" s="11" t="s">
        <v>38</v>
      </c>
      <c r="E521" s="15">
        <v>11</v>
      </c>
      <c r="F521" s="26">
        <v>0.70799999999999996</v>
      </c>
      <c r="G521" s="27">
        <v>0</v>
      </c>
    </row>
    <row r="522" spans="1:14">
      <c r="A522" s="15">
        <v>7</v>
      </c>
      <c r="B522" s="75">
        <v>41599</v>
      </c>
      <c r="C522" s="15">
        <v>2013</v>
      </c>
      <c r="D522" s="11" t="s">
        <v>38</v>
      </c>
      <c r="E522" s="15">
        <v>11</v>
      </c>
      <c r="F522" s="26">
        <v>0.64800000000000002</v>
      </c>
      <c r="G522" s="27">
        <v>3.8234749999999991E-2</v>
      </c>
    </row>
    <row r="523" spans="1:14">
      <c r="A523" s="15">
        <v>14</v>
      </c>
      <c r="B523" s="75">
        <v>41599</v>
      </c>
      <c r="C523" s="15">
        <v>2013</v>
      </c>
      <c r="D523" s="11" t="s">
        <v>38</v>
      </c>
      <c r="E523" s="15">
        <v>11</v>
      </c>
      <c r="F523" s="26">
        <v>0.48199999999999998</v>
      </c>
      <c r="G523" s="27">
        <v>1.3696E-2</v>
      </c>
    </row>
    <row r="524" spans="1:14">
      <c r="A524" s="15">
        <v>14</v>
      </c>
      <c r="B524" s="75">
        <v>41599</v>
      </c>
      <c r="C524" s="15">
        <v>2013</v>
      </c>
      <c r="D524" s="11" t="s">
        <v>38</v>
      </c>
      <c r="E524" s="15">
        <v>11</v>
      </c>
      <c r="F524" s="26">
        <v>0.48199999999999998</v>
      </c>
      <c r="G524" s="27">
        <v>0</v>
      </c>
      <c r="H524" t="s">
        <v>13</v>
      </c>
      <c r="I524" s="27">
        <f>AVERAGE(F521:F524)</f>
        <v>0.57999999999999996</v>
      </c>
      <c r="J524" s="27">
        <f>AVERAGE(G521:G524)</f>
        <v>1.2982687499999998E-2</v>
      </c>
      <c r="L524">
        <f>+J524/I524</f>
        <v>2.2383943965517239E-2</v>
      </c>
      <c r="M524">
        <f>+(L524-$L$931)/$L$932</f>
        <v>-0.51255574496450651</v>
      </c>
      <c r="N524">
        <f>+N520+M524</f>
        <v>-5.705473407436302</v>
      </c>
    </row>
    <row r="525" spans="1:14">
      <c r="A525" s="15">
        <v>5</v>
      </c>
      <c r="B525" s="75">
        <v>41624</v>
      </c>
      <c r="C525" s="15">
        <v>2013</v>
      </c>
      <c r="D525" s="11" t="s">
        <v>39</v>
      </c>
      <c r="E525" s="15">
        <v>12</v>
      </c>
      <c r="F525" s="26">
        <v>3.2549999999999999</v>
      </c>
      <c r="G525" s="27">
        <v>7.7903750000000008E-2</v>
      </c>
    </row>
    <row r="526" spans="1:14">
      <c r="A526" s="15">
        <v>7</v>
      </c>
      <c r="B526" s="75">
        <v>41627</v>
      </c>
      <c r="C526" s="15">
        <v>2013</v>
      </c>
      <c r="D526" s="11" t="s">
        <v>39</v>
      </c>
      <c r="E526" s="15">
        <v>12</v>
      </c>
      <c r="F526" s="26">
        <v>6.6989999999999998</v>
      </c>
      <c r="G526" s="27">
        <v>2.6235210000000002</v>
      </c>
    </row>
    <row r="527" spans="1:14">
      <c r="A527" s="15">
        <v>14</v>
      </c>
      <c r="B527" s="75">
        <v>41627</v>
      </c>
      <c r="C527" s="15">
        <v>2013</v>
      </c>
      <c r="D527" s="11" t="s">
        <v>39</v>
      </c>
      <c r="E527" s="15">
        <v>12</v>
      </c>
      <c r="F527" s="26">
        <v>2.052</v>
      </c>
      <c r="G527" s="27">
        <v>0.29339100000000001</v>
      </c>
    </row>
    <row r="528" spans="1:14">
      <c r="A528" s="15">
        <v>14</v>
      </c>
      <c r="B528" s="75">
        <v>41627</v>
      </c>
      <c r="C528" s="15">
        <v>2013</v>
      </c>
      <c r="D528" s="11" t="s">
        <v>39</v>
      </c>
      <c r="E528" s="15">
        <v>12</v>
      </c>
      <c r="F528" s="26">
        <v>2.052</v>
      </c>
      <c r="G528" s="27">
        <v>0.27372249999999998</v>
      </c>
      <c r="H528" t="s">
        <v>13</v>
      </c>
      <c r="I528" s="27">
        <f>AVERAGE(F525:F528)</f>
        <v>3.5145</v>
      </c>
      <c r="J528" s="27">
        <f>AVERAGE(G525:G528)</f>
        <v>0.81713456250000005</v>
      </c>
      <c r="L528">
        <f>+J528/I528</f>
        <v>0.23250378787878789</v>
      </c>
      <c r="M528">
        <f>+(L528-$L$931)/$L$932</f>
        <v>3.4536570227554466</v>
      </c>
      <c r="N528">
        <f>+N524+M528</f>
        <v>-2.2518163846808554</v>
      </c>
    </row>
    <row r="529" spans="1:14">
      <c r="A529" s="15">
        <v>5</v>
      </c>
      <c r="B529" s="75">
        <v>41654</v>
      </c>
      <c r="C529" s="15">
        <v>2014</v>
      </c>
      <c r="D529" s="11" t="s">
        <v>40</v>
      </c>
      <c r="E529" s="15">
        <v>1</v>
      </c>
      <c r="F529" s="26">
        <v>2.7160000000000002</v>
      </c>
      <c r="G529" s="27">
        <v>0</v>
      </c>
    </row>
    <row r="530" spans="1:14">
      <c r="A530" s="15">
        <v>7</v>
      </c>
      <c r="B530" s="75">
        <v>41655</v>
      </c>
      <c r="C530" s="15">
        <v>2014</v>
      </c>
      <c r="D530" s="11" t="s">
        <v>40</v>
      </c>
      <c r="E530" s="15">
        <v>1</v>
      </c>
      <c r="F530" s="26">
        <v>4.1989999999999998</v>
      </c>
      <c r="G530" s="27">
        <v>0.40375324999999995</v>
      </c>
    </row>
    <row r="531" spans="1:14">
      <c r="A531" s="15">
        <v>14</v>
      </c>
      <c r="B531" s="75">
        <v>41655</v>
      </c>
      <c r="C531" s="15">
        <v>2014</v>
      </c>
      <c r="D531" s="11" t="s">
        <v>40</v>
      </c>
      <c r="E531" s="15">
        <v>1</v>
      </c>
      <c r="F531" s="26">
        <v>2.839</v>
      </c>
      <c r="G531" s="27">
        <v>0.14082174999999997</v>
      </c>
      <c r="I531" s="27">
        <f>AVERAGE(F528:F531)</f>
        <v>2.9515000000000002</v>
      </c>
      <c r="J531" s="27">
        <f>AVERAGE(G528:G531)</f>
        <v>0.20457437499999997</v>
      </c>
      <c r="L531">
        <f>+J531/I531</f>
        <v>6.931200237167541E-2</v>
      </c>
      <c r="M531">
        <f>+(L531-$L$931)/$L$932</f>
        <v>0.37325618478182487</v>
      </c>
      <c r="N531">
        <f>+N528+M531</f>
        <v>-1.8785601998990304</v>
      </c>
    </row>
    <row r="532" spans="1:14">
      <c r="A532" s="15">
        <v>5</v>
      </c>
      <c r="B532" s="75">
        <v>41688</v>
      </c>
      <c r="C532" s="15">
        <v>2014</v>
      </c>
      <c r="D532" s="11" t="s">
        <v>29</v>
      </c>
      <c r="E532" s="15">
        <v>2</v>
      </c>
      <c r="F532" s="26">
        <v>2.9209999999999998</v>
      </c>
      <c r="G532" s="27">
        <v>3.2449499999999999E-2</v>
      </c>
    </row>
    <row r="533" spans="1:14">
      <c r="A533" s="15">
        <v>7</v>
      </c>
      <c r="B533" s="75">
        <v>41690</v>
      </c>
      <c r="C533" s="15">
        <v>2014</v>
      </c>
      <c r="D533" s="11" t="s">
        <v>29</v>
      </c>
      <c r="E533" s="15">
        <v>2</v>
      </c>
      <c r="F533" s="26">
        <v>3.8149999999999999</v>
      </c>
      <c r="G533" s="27">
        <v>0.138683</v>
      </c>
    </row>
    <row r="534" spans="1:14">
      <c r="A534" s="15">
        <v>7</v>
      </c>
      <c r="B534" s="75">
        <v>41690</v>
      </c>
      <c r="C534" s="15">
        <v>2014</v>
      </c>
      <c r="D534" s="11" t="s">
        <v>29</v>
      </c>
      <c r="E534" s="15">
        <v>2</v>
      </c>
      <c r="F534" s="26">
        <v>3.8149999999999999</v>
      </c>
      <c r="G534" s="27">
        <v>0.15760874999999999</v>
      </c>
    </row>
    <row r="535" spans="1:14">
      <c r="A535" s="15">
        <v>14</v>
      </c>
      <c r="B535" s="75">
        <v>41690</v>
      </c>
      <c r="C535" s="15">
        <v>2014</v>
      </c>
      <c r="D535" s="11" t="s">
        <v>29</v>
      </c>
      <c r="E535" s="15">
        <v>2</v>
      </c>
      <c r="F535" s="26">
        <v>4.59</v>
      </c>
      <c r="G535" s="27">
        <v>6.8962124999999999E-2</v>
      </c>
      <c r="I535" s="27">
        <f>AVERAGE(F532:F535)</f>
        <v>3.78525</v>
      </c>
      <c r="J535" s="27">
        <f>AVERAGE(G532:G535)</f>
        <v>9.9425843749999993E-2</v>
      </c>
      <c r="L535">
        <f>+J535/I535</f>
        <v>2.6266651806353607E-2</v>
      </c>
      <c r="M535">
        <f>+(L535-$L$931)/$L$932</f>
        <v>-0.43926592556978078</v>
      </c>
      <c r="N535">
        <f>+N531+M535</f>
        <v>-2.3178261254688111</v>
      </c>
    </row>
    <row r="536" spans="1:14">
      <c r="A536" s="15">
        <v>5</v>
      </c>
      <c r="B536" s="75">
        <v>41718</v>
      </c>
      <c r="C536" s="15">
        <v>2014</v>
      </c>
      <c r="D536" s="11" t="s">
        <v>30</v>
      </c>
      <c r="E536" s="15">
        <v>3</v>
      </c>
      <c r="F536" s="26">
        <v>5.923</v>
      </c>
      <c r="G536" s="27">
        <v>0.15427262499999997</v>
      </c>
    </row>
    <row r="537" spans="1:14">
      <c r="A537" s="15">
        <v>7</v>
      </c>
      <c r="B537" s="75">
        <v>41718</v>
      </c>
      <c r="C537" s="15">
        <v>2014</v>
      </c>
      <c r="D537" s="11" t="s">
        <v>30</v>
      </c>
      <c r="E537" s="15">
        <v>3</v>
      </c>
      <c r="F537" s="26">
        <v>3.7069999999999999</v>
      </c>
      <c r="G537" s="27">
        <v>0.17214475000000001</v>
      </c>
    </row>
    <row r="538" spans="1:14">
      <c r="A538" s="15">
        <v>14</v>
      </c>
      <c r="B538" s="75">
        <v>41718</v>
      </c>
      <c r="C538" s="15">
        <v>2014</v>
      </c>
      <c r="D538" s="11" t="s">
        <v>30</v>
      </c>
      <c r="E538" s="15">
        <v>3</v>
      </c>
      <c r="F538" s="26">
        <v>5.3289999999999997</v>
      </c>
      <c r="G538" s="27">
        <v>0.16295824999999997</v>
      </c>
      <c r="I538" s="27">
        <f>AVERAGE(F535:F538)</f>
        <v>4.8872499999999999</v>
      </c>
      <c r="J538" s="27">
        <f>AVERAGE(G535:G538)</f>
        <v>0.13958443749999999</v>
      </c>
      <c r="L538">
        <f>+J538/I538</f>
        <v>2.8560936620799018E-2</v>
      </c>
      <c r="M538">
        <f>+(L538-$L$931)/$L$932</f>
        <v>-0.39595910811566459</v>
      </c>
      <c r="N538">
        <f>+N535+M538</f>
        <v>-2.7137852335844759</v>
      </c>
    </row>
    <row r="539" spans="1:14">
      <c r="A539" s="15">
        <v>5</v>
      </c>
      <c r="B539" s="75">
        <v>41747</v>
      </c>
      <c r="C539" s="15">
        <v>2014</v>
      </c>
      <c r="D539" s="11" t="s">
        <v>31</v>
      </c>
      <c r="E539" s="15">
        <v>4</v>
      </c>
      <c r="F539" s="33">
        <v>5.7229999999999999</v>
      </c>
      <c r="G539" s="27">
        <v>0.13722800000000002</v>
      </c>
    </row>
    <row r="540" spans="1:14">
      <c r="A540" s="15">
        <v>7</v>
      </c>
      <c r="B540" s="75">
        <v>41750</v>
      </c>
      <c r="C540" s="15">
        <v>2014</v>
      </c>
      <c r="D540" s="11" t="s">
        <v>31</v>
      </c>
      <c r="E540" s="15">
        <v>4</v>
      </c>
      <c r="F540" s="33">
        <v>2.2210000000000001</v>
      </c>
      <c r="G540" s="27">
        <v>1.8017249999999999E-2</v>
      </c>
    </row>
    <row r="541" spans="1:14">
      <c r="A541" s="15">
        <v>7</v>
      </c>
      <c r="B541" s="75">
        <v>41750</v>
      </c>
      <c r="C541" s="15">
        <v>2014</v>
      </c>
      <c r="D541" s="11" t="s">
        <v>31</v>
      </c>
      <c r="E541" s="15">
        <v>4</v>
      </c>
      <c r="F541" s="33">
        <v>2.2210000000000001</v>
      </c>
      <c r="G541" s="27">
        <v>2.3177374999999993E-2</v>
      </c>
      <c r="H541" t="s">
        <v>13</v>
      </c>
      <c r="I541" s="27">
        <f>AVERAGE(F538:F541)</f>
        <v>3.8734999999999999</v>
      </c>
      <c r="J541" s="27">
        <f>AVERAGE(G538:G541)</f>
        <v>8.5345218749999993E-2</v>
      </c>
      <c r="L541">
        <f>+J541/I541</f>
        <v>2.2033101523170256E-2</v>
      </c>
      <c r="M541">
        <f>+(L541-$L$931)/$L$932</f>
        <v>-0.51917823120083284</v>
      </c>
      <c r="N541">
        <f>+N538+M541</f>
        <v>-3.2329634647853087</v>
      </c>
    </row>
    <row r="542" spans="1:14">
      <c r="A542" s="15">
        <v>14</v>
      </c>
      <c r="B542" s="75">
        <v>41750</v>
      </c>
      <c r="C542" s="15">
        <v>2014</v>
      </c>
      <c r="D542" s="11" t="s">
        <v>31</v>
      </c>
      <c r="E542" s="15">
        <v>4</v>
      </c>
      <c r="F542" s="34">
        <v>2.3580000000000001</v>
      </c>
      <c r="G542" s="27">
        <v>6.2692833333333337E-2</v>
      </c>
    </row>
    <row r="543" spans="1:14">
      <c r="A543" s="15">
        <v>5</v>
      </c>
      <c r="B543" s="75">
        <v>41772</v>
      </c>
      <c r="C543" s="15">
        <v>2014</v>
      </c>
      <c r="D543" s="11" t="s">
        <v>32</v>
      </c>
      <c r="E543" s="15">
        <v>5</v>
      </c>
      <c r="F543" s="33">
        <v>1.1399999999999999</v>
      </c>
      <c r="G543" s="27">
        <v>0</v>
      </c>
    </row>
    <row r="544" spans="1:14">
      <c r="A544" s="15">
        <v>7</v>
      </c>
      <c r="B544" s="75">
        <v>41406</v>
      </c>
      <c r="C544" s="15">
        <v>2014</v>
      </c>
      <c r="D544" s="11" t="s">
        <v>32</v>
      </c>
      <c r="E544" s="15">
        <v>5</v>
      </c>
      <c r="F544" s="33">
        <v>2.476</v>
      </c>
      <c r="G544" s="27">
        <v>0</v>
      </c>
      <c r="I544" s="27">
        <f>AVERAGE(F541:F544)</f>
        <v>2.0487500000000001</v>
      </c>
      <c r="J544" s="27">
        <f>AVERAGE(G541:G544)</f>
        <v>2.1467552083333334E-2</v>
      </c>
      <c r="L544">
        <f>+J544/I544</f>
        <v>1.0478365873500102E-2</v>
      </c>
      <c r="M544">
        <f>+(L544-$L$931)/$L$932</f>
        <v>-0.7372849040777979</v>
      </c>
      <c r="N544">
        <f>+N541+M544</f>
        <v>-3.9702483688631065</v>
      </c>
    </row>
    <row r="545" spans="1:14">
      <c r="A545" s="15">
        <v>14</v>
      </c>
      <c r="B545" s="75">
        <v>41406</v>
      </c>
      <c r="C545" s="15">
        <v>2014</v>
      </c>
      <c r="D545" s="11" t="s">
        <v>32</v>
      </c>
      <c r="E545" s="15">
        <v>5</v>
      </c>
      <c r="F545" s="33">
        <v>1.5740000000000001</v>
      </c>
      <c r="G545" s="27">
        <v>2.6669624999999995E-2</v>
      </c>
    </row>
    <row r="546" spans="1:14">
      <c r="A546" s="15">
        <v>5</v>
      </c>
      <c r="B546" s="75">
        <v>41808</v>
      </c>
      <c r="C546" s="15">
        <v>2014</v>
      </c>
      <c r="D546" s="11" t="s">
        <v>33</v>
      </c>
      <c r="E546" s="15">
        <v>6</v>
      </c>
      <c r="F546" s="33">
        <v>4.274</v>
      </c>
      <c r="G546" s="27">
        <v>9.1353874999999987E-2</v>
      </c>
    </row>
    <row r="547" spans="1:14">
      <c r="A547" s="15">
        <v>7</v>
      </c>
      <c r="B547" s="75">
        <v>41807</v>
      </c>
      <c r="C547" s="15">
        <v>2014</v>
      </c>
      <c r="D547" s="11" t="s">
        <v>33</v>
      </c>
      <c r="E547" s="15">
        <v>6</v>
      </c>
      <c r="F547" s="33">
        <v>1.589</v>
      </c>
      <c r="G547" s="27">
        <v>0.237976875</v>
      </c>
    </row>
    <row r="548" spans="1:14">
      <c r="A548" s="15">
        <v>14</v>
      </c>
      <c r="B548" s="75">
        <v>41807</v>
      </c>
      <c r="C548" s="15">
        <v>2014</v>
      </c>
      <c r="D548" s="11" t="s">
        <v>33</v>
      </c>
      <c r="E548" s="15">
        <v>6</v>
      </c>
      <c r="F548" s="33">
        <v>1.0229999999999999</v>
      </c>
      <c r="G548" s="27">
        <v>4.6392124999999999E-2</v>
      </c>
      <c r="I548" s="27">
        <f>AVERAGE(F545:F548)</f>
        <v>2.1149999999999998</v>
      </c>
      <c r="J548" s="27">
        <f>AVERAGE(G545:G548)</f>
        <v>0.100598125</v>
      </c>
      <c r="L548">
        <f>+J548/I548</f>
        <v>4.7564125295508276E-2</v>
      </c>
      <c r="M548">
        <f>+(L548-$L$931)/$L$932</f>
        <v>-3.7255769367073185E-2</v>
      </c>
      <c r="N548">
        <f>+N544+M548</f>
        <v>-4.0075041382301793</v>
      </c>
    </row>
    <row r="549" spans="1:14">
      <c r="A549" s="15">
        <v>5</v>
      </c>
      <c r="B549" s="75">
        <v>41834</v>
      </c>
      <c r="C549" s="15">
        <v>2014</v>
      </c>
      <c r="D549" s="11" t="s">
        <v>34</v>
      </c>
      <c r="E549" s="15">
        <v>7</v>
      </c>
      <c r="F549" s="33">
        <v>10.997999999999999</v>
      </c>
      <c r="G549" s="27">
        <v>0.43608549999999996</v>
      </c>
    </row>
    <row r="550" spans="1:14">
      <c r="A550" s="15">
        <v>5</v>
      </c>
      <c r="B550" s="75">
        <v>41834</v>
      </c>
      <c r="C550" s="15">
        <v>2014</v>
      </c>
      <c r="D550" s="11" t="s">
        <v>34</v>
      </c>
      <c r="E550" s="15">
        <v>7</v>
      </c>
      <c r="F550" s="33">
        <v>10.997999999999999</v>
      </c>
      <c r="G550" s="27">
        <v>0.46657962499999994</v>
      </c>
      <c r="H550" t="s">
        <v>13</v>
      </c>
    </row>
    <row r="551" spans="1:14">
      <c r="A551" s="15">
        <v>7</v>
      </c>
      <c r="B551" s="75">
        <v>41837</v>
      </c>
      <c r="C551" s="15">
        <v>2014</v>
      </c>
      <c r="D551" s="11" t="s">
        <v>34</v>
      </c>
      <c r="E551" s="15">
        <v>7</v>
      </c>
      <c r="F551" s="33">
        <v>5.3529999999999998</v>
      </c>
      <c r="G551" s="27">
        <v>0.80758562499999975</v>
      </c>
    </row>
    <row r="552" spans="1:14">
      <c r="A552" s="15">
        <v>14</v>
      </c>
      <c r="B552" s="75">
        <v>41837</v>
      </c>
      <c r="C552" s="15">
        <v>2014</v>
      </c>
      <c r="D552" s="11" t="s">
        <v>34</v>
      </c>
      <c r="E552" s="15">
        <v>7</v>
      </c>
      <c r="F552" s="33">
        <v>3.3460000000000001</v>
      </c>
      <c r="G552" s="27">
        <v>0.24616237499999993</v>
      </c>
      <c r="I552" s="27">
        <f>AVERAGE(F549:F552)</f>
        <v>7.6737499999999992</v>
      </c>
      <c r="J552" s="27">
        <f>AVERAGE(G549:G552)</f>
        <v>0.48910328124999991</v>
      </c>
      <c r="L552">
        <f>+J552/I552</f>
        <v>6.3737192539501539E-2</v>
      </c>
      <c r="M552">
        <f>+(L552-$L$931)/$L$932</f>
        <v>0.2680263239453336</v>
      </c>
      <c r="N552">
        <f>+N548+M552</f>
        <v>-3.7394778142848457</v>
      </c>
    </row>
    <row r="553" spans="1:14">
      <c r="A553" s="15">
        <v>5</v>
      </c>
      <c r="B553" s="75">
        <v>41864</v>
      </c>
      <c r="C553" s="15">
        <v>2014</v>
      </c>
      <c r="D553" s="11" t="s">
        <v>35</v>
      </c>
      <c r="E553" s="15">
        <v>8</v>
      </c>
      <c r="F553" s="33">
        <v>3.7149999999999999</v>
      </c>
      <c r="G553" s="27">
        <v>0.22170287499999997</v>
      </c>
    </row>
    <row r="554" spans="1:14">
      <c r="A554" s="15">
        <v>7</v>
      </c>
      <c r="B554" s="75">
        <v>41862</v>
      </c>
      <c r="C554" s="15">
        <v>2014</v>
      </c>
      <c r="D554" s="11" t="s">
        <v>35</v>
      </c>
      <c r="E554" s="15">
        <v>8</v>
      </c>
      <c r="F554" s="33">
        <v>9.3279999999999994</v>
      </c>
      <c r="G554" s="27">
        <v>2.2704987499999998</v>
      </c>
    </row>
    <row r="555" spans="1:14">
      <c r="A555" s="15">
        <v>14</v>
      </c>
      <c r="B555" s="75">
        <v>41862</v>
      </c>
      <c r="C555" s="15">
        <v>2014</v>
      </c>
      <c r="D555" s="11" t="s">
        <v>35</v>
      </c>
      <c r="E555" s="15">
        <v>8</v>
      </c>
      <c r="F555" s="33">
        <v>2.9540000000000002</v>
      </c>
      <c r="G555" s="27">
        <v>0.228185625</v>
      </c>
    </row>
    <row r="556" spans="1:14">
      <c r="A556" s="15">
        <v>14</v>
      </c>
      <c r="B556" s="75">
        <v>41862</v>
      </c>
      <c r="C556" s="15">
        <v>2014</v>
      </c>
      <c r="D556" s="11" t="s">
        <v>35</v>
      </c>
      <c r="E556" s="15">
        <v>8</v>
      </c>
      <c r="F556" s="33">
        <v>2.9540000000000002</v>
      </c>
      <c r="G556" s="27">
        <v>0.28442237500000001</v>
      </c>
      <c r="H556" t="s">
        <v>13</v>
      </c>
      <c r="I556" s="27">
        <f>AVERAGE(F553:F556)</f>
        <v>4.7377500000000001</v>
      </c>
      <c r="J556" s="27">
        <f>AVERAGE(G553:G556)</f>
        <v>0.75120240625000001</v>
      </c>
      <c r="L556">
        <f>+J556/I556</f>
        <v>0.15855678460239564</v>
      </c>
      <c r="M556">
        <f>+(L556-$L$931)/$L$932</f>
        <v>2.0578366991380603</v>
      </c>
      <c r="N556">
        <f>+N552+M556</f>
        <v>-1.6816411151467854</v>
      </c>
    </row>
    <row r="557" spans="1:14">
      <c r="A557" s="15">
        <v>5</v>
      </c>
      <c r="B557" s="75">
        <v>41898</v>
      </c>
      <c r="C557" s="15">
        <v>2014</v>
      </c>
      <c r="D557" s="11" t="s">
        <v>41</v>
      </c>
      <c r="E557" s="15">
        <v>9</v>
      </c>
      <c r="F557" s="33">
        <v>4.335</v>
      </c>
      <c r="G557" s="27">
        <v>9.3033624999999981E-2</v>
      </c>
    </row>
    <row r="558" spans="1:14">
      <c r="A558" s="15">
        <v>7</v>
      </c>
      <c r="B558" s="75">
        <v>41897</v>
      </c>
      <c r="C558" s="15">
        <v>2014</v>
      </c>
      <c r="D558" s="11" t="s">
        <v>41</v>
      </c>
      <c r="E558" s="15">
        <v>9</v>
      </c>
      <c r="F558" s="33">
        <v>1.879</v>
      </c>
      <c r="G558" s="27">
        <v>0.29378512499999998</v>
      </c>
    </row>
    <row r="559" spans="1:14">
      <c r="A559" s="15">
        <v>14</v>
      </c>
      <c r="B559" s="75">
        <v>41897</v>
      </c>
      <c r="C559" s="15">
        <v>2014</v>
      </c>
      <c r="D559" s="11" t="s">
        <v>41</v>
      </c>
      <c r="E559" s="15">
        <v>9</v>
      </c>
      <c r="F559" s="33">
        <v>1.1180000000000001</v>
      </c>
      <c r="G559" s="27">
        <v>4.734374999999999E-2</v>
      </c>
      <c r="I559" s="27">
        <f>AVERAGE(F556:F559)</f>
        <v>2.5714999999999999</v>
      </c>
      <c r="J559" s="27">
        <f>AVERAGE(G556:G559)</f>
        <v>0.17964621875</v>
      </c>
      <c r="L559">
        <f>+J559/I559</f>
        <v>6.9860477833949067E-2</v>
      </c>
      <c r="M559">
        <f>+(L559-$L$931)/$L$932</f>
        <v>0.38360918305527109</v>
      </c>
      <c r="N559">
        <f>+N556+M559</f>
        <v>-1.2980319320915144</v>
      </c>
    </row>
    <row r="560" spans="1:14">
      <c r="A560" s="15">
        <v>5</v>
      </c>
      <c r="B560" s="75">
        <v>41929</v>
      </c>
      <c r="C560" s="15">
        <v>2014</v>
      </c>
      <c r="D560" s="11" t="s">
        <v>37</v>
      </c>
      <c r="E560" s="15">
        <v>10</v>
      </c>
      <c r="F560" s="26">
        <v>1.516</v>
      </c>
      <c r="G560" s="27">
        <v>4.6567875000000002E-2</v>
      </c>
    </row>
    <row r="561" spans="1:14">
      <c r="A561" s="15">
        <v>7</v>
      </c>
      <c r="B561" s="75">
        <v>41928</v>
      </c>
      <c r="C561" s="15">
        <v>2014</v>
      </c>
      <c r="D561" s="11" t="s">
        <v>37</v>
      </c>
      <c r="E561" s="15">
        <v>10</v>
      </c>
      <c r="F561" s="26">
        <v>1.3819999999999999</v>
      </c>
      <c r="G561" s="27">
        <v>6.1296625E-2</v>
      </c>
    </row>
    <row r="562" spans="1:14">
      <c r="A562" s="15">
        <v>14</v>
      </c>
      <c r="B562" s="75">
        <v>41928</v>
      </c>
      <c r="C562" s="15">
        <v>2014</v>
      </c>
      <c r="D562" s="11" t="s">
        <v>37</v>
      </c>
      <c r="E562" s="15">
        <v>10</v>
      </c>
      <c r="F562" s="26">
        <v>1.58</v>
      </c>
      <c r="G562" s="27">
        <v>4.2894124999999998E-2</v>
      </c>
      <c r="I562" s="27">
        <f>AVERAGE(F559:F562)</f>
        <v>1.399</v>
      </c>
      <c r="J562" s="27">
        <f>AVERAGE(G559:G562)</f>
        <v>4.9525593749999999E-2</v>
      </c>
      <c r="L562">
        <f>+J562/I562</f>
        <v>3.540071032880629E-2</v>
      </c>
      <c r="M562">
        <f>+(L562-$L$931)/$L$932</f>
        <v>-0.26685184578488219</v>
      </c>
      <c r="N562">
        <f>+N559+M562</f>
        <v>-1.5648837778763967</v>
      </c>
    </row>
    <row r="563" spans="1:14">
      <c r="A563" s="15">
        <v>5</v>
      </c>
      <c r="B563" s="75">
        <v>41953</v>
      </c>
      <c r="C563" s="15">
        <v>2014</v>
      </c>
      <c r="D563" s="11" t="s">
        <v>38</v>
      </c>
      <c r="E563" s="15">
        <v>11</v>
      </c>
      <c r="F563" s="26">
        <v>1.988</v>
      </c>
      <c r="G563" s="27">
        <v>4.4916874999999988E-2</v>
      </c>
    </row>
    <row r="564" spans="1:14">
      <c r="A564" s="15">
        <v>7</v>
      </c>
      <c r="B564" s="75">
        <v>41955</v>
      </c>
      <c r="C564" s="15">
        <v>2014</v>
      </c>
      <c r="D564" s="11" t="s">
        <v>38</v>
      </c>
      <c r="E564" s="15">
        <v>11</v>
      </c>
      <c r="F564" s="26">
        <v>1.7809999999999999</v>
      </c>
      <c r="G564" s="27">
        <v>0.15034562500000001</v>
      </c>
    </row>
    <row r="565" spans="1:14">
      <c r="A565" s="15">
        <v>14</v>
      </c>
      <c r="B565" s="75">
        <v>41955</v>
      </c>
      <c r="C565" s="15">
        <v>2014</v>
      </c>
      <c r="D565" s="11" t="s">
        <v>38</v>
      </c>
      <c r="E565" s="15">
        <v>11</v>
      </c>
      <c r="F565" s="26">
        <v>1.137</v>
      </c>
      <c r="G565" s="27">
        <v>0.13461075</v>
      </c>
      <c r="I565" s="27">
        <f>AVERAGE(F562:F565)</f>
        <v>1.6215000000000002</v>
      </c>
      <c r="J565" s="27">
        <f>AVERAGE(G562:G565)</f>
        <v>9.3191843750000003E-2</v>
      </c>
      <c r="L565">
        <f>+J565/I565</f>
        <v>5.7472614091890223E-2</v>
      </c>
      <c r="M565">
        <f>+(L565-$L$931)/$L$932</f>
        <v>0.14977642160124569</v>
      </c>
      <c r="N565">
        <f>+N562+M565</f>
        <v>-1.4151073562751511</v>
      </c>
    </row>
    <row r="566" spans="1:14">
      <c r="A566" s="15">
        <v>5</v>
      </c>
      <c r="B566" s="75">
        <v>41988</v>
      </c>
      <c r="C566" s="15">
        <v>2014</v>
      </c>
      <c r="D566" s="11" t="s">
        <v>39</v>
      </c>
      <c r="E566" s="15">
        <v>12</v>
      </c>
      <c r="F566" s="26">
        <v>3.3159999999999998</v>
      </c>
      <c r="G566" s="27">
        <v>0.11864650000000002</v>
      </c>
    </row>
    <row r="567" spans="1:14">
      <c r="A567" s="15">
        <v>7</v>
      </c>
      <c r="B567" s="75">
        <v>41992</v>
      </c>
      <c r="C567" s="15">
        <v>2014</v>
      </c>
      <c r="D567" s="11" t="s">
        <v>39</v>
      </c>
      <c r="E567" s="15">
        <v>12</v>
      </c>
      <c r="F567" s="26">
        <v>1.2729999999999999</v>
      </c>
      <c r="G567" s="27">
        <v>9.857912499999999E-2</v>
      </c>
    </row>
    <row r="568" spans="1:14">
      <c r="A568" s="15">
        <v>14</v>
      </c>
      <c r="B568" s="75">
        <v>41992</v>
      </c>
      <c r="C568" s="15">
        <v>2014</v>
      </c>
      <c r="D568" s="11" t="s">
        <v>39</v>
      </c>
      <c r="E568" s="15">
        <v>12</v>
      </c>
      <c r="F568" s="26">
        <v>1.286</v>
      </c>
      <c r="G568" s="27">
        <v>9.9849874999999991E-2</v>
      </c>
      <c r="I568" s="27">
        <f>AVERAGE(F565:F568)</f>
        <v>1.7529999999999997</v>
      </c>
      <c r="J568" s="27">
        <f>AVERAGE(G565:G568)</f>
        <v>0.11292156249999999</v>
      </c>
      <c r="L568">
        <f>+J568/I568</f>
        <v>6.4416179406731319E-2</v>
      </c>
      <c r="M568">
        <f>+(L568-$L$931)/$L$932</f>
        <v>0.28084284965640588</v>
      </c>
      <c r="N568">
        <f>+N565+M568</f>
        <v>-1.1342645066187451</v>
      </c>
    </row>
    <row r="569" spans="1:14">
      <c r="A569" s="15">
        <v>5</v>
      </c>
      <c r="B569" s="72">
        <v>42014</v>
      </c>
      <c r="E569" s="10">
        <v>1</v>
      </c>
      <c r="F569" s="81">
        <v>4.4349999999999996</v>
      </c>
      <c r="G569" s="81">
        <v>1.0999999999999999E-2</v>
      </c>
    </row>
    <row r="570" spans="1:14">
      <c r="A570" s="15">
        <v>7</v>
      </c>
      <c r="B570" s="72">
        <v>42009</v>
      </c>
      <c r="E570" s="10">
        <v>1</v>
      </c>
      <c r="F570" s="81">
        <v>5.681</v>
      </c>
      <c r="G570" s="81">
        <v>0.66</v>
      </c>
    </row>
    <row r="571" spans="1:14">
      <c r="A571" s="15">
        <v>14</v>
      </c>
      <c r="B571" s="72">
        <v>42009</v>
      </c>
      <c r="E571" s="10">
        <v>1</v>
      </c>
      <c r="F571" s="81">
        <v>3.4119999999999999</v>
      </c>
      <c r="G571" s="81">
        <v>0.14299999999999999</v>
      </c>
      <c r="I571" s="27">
        <f>AVERAGE(F569:F571)</f>
        <v>4.5093333333333332</v>
      </c>
      <c r="J571" s="27">
        <f>AVERAGE(G569:G571)</f>
        <v>0.27133333333333337</v>
      </c>
      <c r="L571">
        <f>+J571/I571</f>
        <v>6.0171496156120649E-2</v>
      </c>
      <c r="M571">
        <f>+(L571-$L$931)/$L$932</f>
        <v>0.20072039863056157</v>
      </c>
      <c r="N571">
        <f>+N568+M571</f>
        <v>-0.93354410798818355</v>
      </c>
    </row>
    <row r="572" spans="1:14">
      <c r="A572" s="15">
        <v>5</v>
      </c>
      <c r="B572" s="77">
        <v>42036</v>
      </c>
      <c r="E572" s="12">
        <v>2</v>
      </c>
    </row>
    <row r="573" spans="1:14">
      <c r="A573" s="15">
        <v>7</v>
      </c>
      <c r="B573" s="77">
        <v>42036</v>
      </c>
      <c r="E573" s="12">
        <v>2</v>
      </c>
    </row>
    <row r="574" spans="1:14">
      <c r="A574" s="15">
        <v>14</v>
      </c>
      <c r="B574" s="77">
        <v>42036</v>
      </c>
      <c r="E574" s="12">
        <v>2</v>
      </c>
      <c r="I574" s="27"/>
      <c r="J574" s="27"/>
    </row>
    <row r="575" spans="1:14">
      <c r="A575" s="15">
        <v>5</v>
      </c>
      <c r="B575" s="77">
        <v>42064</v>
      </c>
      <c r="E575" s="12">
        <v>3</v>
      </c>
      <c r="F575" s="81">
        <v>9.5150000000000006</v>
      </c>
      <c r="G575" s="81">
        <v>7.1999999999999995E-2</v>
      </c>
    </row>
    <row r="576" spans="1:14">
      <c r="A576" s="15">
        <v>7</v>
      </c>
      <c r="B576" s="77">
        <v>42064</v>
      </c>
      <c r="E576" s="12">
        <v>3</v>
      </c>
      <c r="F576" s="81">
        <v>3</v>
      </c>
      <c r="G576" s="81">
        <v>8.4000000000000005E-2</v>
      </c>
    </row>
    <row r="577" spans="1:14">
      <c r="A577" s="15">
        <v>14</v>
      </c>
      <c r="B577" s="77">
        <v>42064</v>
      </c>
      <c r="E577" s="12">
        <v>3</v>
      </c>
      <c r="F577" s="81">
        <v>4.8070000000000004</v>
      </c>
      <c r="G577" s="81">
        <v>6.7000000000000004E-2</v>
      </c>
      <c r="I577" s="27">
        <f>AVERAGE(F575:F577)</f>
        <v>5.7740000000000009</v>
      </c>
      <c r="J577" s="27">
        <f>AVERAGE(G575:G577)</f>
        <v>7.4333333333333335E-2</v>
      </c>
      <c r="L577">
        <f>+J577/I577</f>
        <v>1.2873802101373974E-2</v>
      </c>
      <c r="M577">
        <f>+(L577-$L$931)/$L$932</f>
        <v>-0.69206875707183568</v>
      </c>
      <c r="N577">
        <f>+N571+M577</f>
        <v>-1.6256128650600192</v>
      </c>
    </row>
    <row r="578" spans="1:14">
      <c r="A578" s="15">
        <v>5</v>
      </c>
      <c r="B578" s="77">
        <v>42095</v>
      </c>
      <c r="E578" s="12">
        <v>4</v>
      </c>
      <c r="F578" s="81">
        <v>3.8610000000000002</v>
      </c>
      <c r="G578" s="81">
        <v>5.7000000000000002E-2</v>
      </c>
    </row>
    <row r="579" spans="1:14">
      <c r="A579" s="15">
        <v>7</v>
      </c>
      <c r="B579" s="77">
        <v>42095</v>
      </c>
      <c r="E579" s="12">
        <v>4</v>
      </c>
      <c r="F579" s="81">
        <v>1.1739999999999999</v>
      </c>
      <c r="G579" s="81">
        <v>9.9989999999999996E-4</v>
      </c>
    </row>
    <row r="580" spans="1:14">
      <c r="A580" s="15">
        <v>14</v>
      </c>
      <c r="B580" s="77">
        <v>42095</v>
      </c>
      <c r="E580" s="12">
        <v>4</v>
      </c>
      <c r="F580" s="81">
        <v>1.194</v>
      </c>
      <c r="G580" s="81">
        <v>7.0000000000000001E-3</v>
      </c>
      <c r="I580" s="27">
        <f>AVERAGE(F578:F580)</f>
        <v>2.0763333333333334</v>
      </c>
      <c r="J580" s="27">
        <f>AVERAGE(G578:G580)</f>
        <v>2.1666633333333334E-2</v>
      </c>
      <c r="L580">
        <f>+J580/I580</f>
        <v>1.0435045753732542E-2</v>
      </c>
      <c r="M580">
        <f>+(L580-$L$931)/$L$932</f>
        <v>-0.73810261271931088</v>
      </c>
      <c r="N580">
        <f>+N577+M580</f>
        <v>-2.3637154777793299</v>
      </c>
    </row>
    <row r="581" spans="1:14">
      <c r="A581" s="15">
        <v>5</v>
      </c>
      <c r="B581" s="77">
        <v>42125</v>
      </c>
      <c r="E581" s="12">
        <v>5</v>
      </c>
      <c r="F581" s="81">
        <v>4.5069999999999997</v>
      </c>
      <c r="G581" s="81">
        <v>0.14799999999999999</v>
      </c>
    </row>
    <row r="582" spans="1:14">
      <c r="A582" s="15">
        <v>7</v>
      </c>
      <c r="B582" s="77">
        <v>42125</v>
      </c>
      <c r="E582" s="12">
        <v>5</v>
      </c>
      <c r="F582" s="81">
        <v>3.887</v>
      </c>
      <c r="G582" s="81">
        <v>9.9989999999999996E-4</v>
      </c>
    </row>
    <row r="583" spans="1:14">
      <c r="A583" s="15">
        <v>14</v>
      </c>
      <c r="B583" s="77">
        <v>42125</v>
      </c>
      <c r="E583" s="12">
        <v>5</v>
      </c>
      <c r="F583" s="81">
        <v>2.5880000000000001</v>
      </c>
      <c r="G583" s="81">
        <v>1.6E-2</v>
      </c>
      <c r="I583" s="27">
        <f>AVERAGE(F581:F583)</f>
        <v>3.6606666666666663</v>
      </c>
      <c r="J583" s="27">
        <f>AVERAGE(G581:G583)</f>
        <v>5.4999966666666657E-2</v>
      </c>
      <c r="L583">
        <f>+J583/I583</f>
        <v>1.5024576579857948E-2</v>
      </c>
      <c r="M583">
        <f>+(L583-$L$931)/$L$932</f>
        <v>-0.65147083429510655</v>
      </c>
      <c r="N583">
        <f>+N580+M583</f>
        <v>-3.0151863120744364</v>
      </c>
    </row>
    <row r="584" spans="1:14">
      <c r="A584" s="15">
        <v>5</v>
      </c>
      <c r="B584" s="77">
        <v>42156</v>
      </c>
      <c r="E584" s="12">
        <v>6</v>
      </c>
      <c r="F584" s="81">
        <v>6.4160000000000004</v>
      </c>
      <c r="G584" s="81">
        <v>0.29799999999999999</v>
      </c>
    </row>
    <row r="585" spans="1:14">
      <c r="A585" s="15">
        <v>7</v>
      </c>
      <c r="B585" s="77">
        <v>42156</v>
      </c>
      <c r="E585" s="12">
        <v>6</v>
      </c>
      <c r="F585" s="81">
        <v>4.3869999999999996</v>
      </c>
      <c r="G585" s="81">
        <v>0.307</v>
      </c>
    </row>
    <row r="586" spans="1:14">
      <c r="A586" s="15">
        <v>14</v>
      </c>
      <c r="B586" s="77">
        <v>42156</v>
      </c>
      <c r="E586" s="12">
        <v>6</v>
      </c>
      <c r="F586" s="81">
        <v>2.8580000000000001</v>
      </c>
      <c r="G586" s="81">
        <v>0.313</v>
      </c>
      <c r="I586" s="27">
        <f>AVERAGE(F584:F586)</f>
        <v>4.5536666666666674</v>
      </c>
      <c r="J586" s="27">
        <f>AVERAGE(G584:G586)</f>
        <v>0.30599999999999999</v>
      </c>
      <c r="L586">
        <f>+J586/I586</f>
        <v>6.7198594539199172E-2</v>
      </c>
      <c r="M586">
        <f>+(L586-$L$931)/$L$932</f>
        <v>0.3333635931424247</v>
      </c>
      <c r="N586">
        <f>+N583+M586</f>
        <v>-2.6818227189320116</v>
      </c>
    </row>
    <row r="587" spans="1:14">
      <c r="A587" s="15">
        <v>5</v>
      </c>
      <c r="B587" s="77">
        <v>42186</v>
      </c>
      <c r="E587" s="12">
        <v>7</v>
      </c>
      <c r="F587" s="81">
        <v>8.3529999999999998</v>
      </c>
      <c r="G587" s="81">
        <v>0.20899999999999999</v>
      </c>
    </row>
    <row r="588" spans="1:14">
      <c r="A588" s="15">
        <v>7</v>
      </c>
      <c r="B588" s="77">
        <v>42186</v>
      </c>
      <c r="E588" s="12">
        <v>7</v>
      </c>
      <c r="F588" s="81">
        <v>15.036</v>
      </c>
      <c r="G588" s="81">
        <v>3.258</v>
      </c>
    </row>
    <row r="589" spans="1:14">
      <c r="A589" s="15">
        <v>14</v>
      </c>
      <c r="B589" s="77">
        <v>42186</v>
      </c>
      <c r="E589" s="12">
        <v>7</v>
      </c>
      <c r="F589" s="81">
        <v>6.8049999999999997</v>
      </c>
      <c r="G589" s="81">
        <v>0.40200000000000002</v>
      </c>
      <c r="I589" s="27">
        <f>AVERAGE(F587:F589)</f>
        <v>10.064666666666666</v>
      </c>
      <c r="J589" s="27">
        <f>AVERAGE(G587:G589)</f>
        <v>1.2896666666666667</v>
      </c>
      <c r="L589">
        <f>+J589/I589</f>
        <v>0.12813804067033188</v>
      </c>
      <c r="M589">
        <f>+(L589-$L$931)/$L$932</f>
        <v>1.4836538503674623</v>
      </c>
      <c r="N589">
        <f>+N586+M589</f>
        <v>-1.1981688685645493</v>
      </c>
    </row>
    <row r="590" spans="1:14">
      <c r="A590" s="15">
        <v>5</v>
      </c>
      <c r="B590" s="77">
        <v>42217</v>
      </c>
      <c r="E590" s="12">
        <v>8</v>
      </c>
      <c r="F590" s="81">
        <v>12.521000000000001</v>
      </c>
      <c r="G590" s="81">
        <v>2.7E-2</v>
      </c>
    </row>
    <row r="591" spans="1:14">
      <c r="A591" s="15">
        <v>7</v>
      </c>
      <c r="B591" s="77">
        <v>42217</v>
      </c>
      <c r="E591" s="12">
        <v>8</v>
      </c>
      <c r="F591" s="81">
        <v>25.341000000000001</v>
      </c>
      <c r="G591" s="81">
        <v>1.2929999999999999</v>
      </c>
    </row>
    <row r="592" spans="1:14">
      <c r="A592" s="15">
        <v>14</v>
      </c>
      <c r="B592" s="77">
        <v>42217</v>
      </c>
      <c r="E592" s="12">
        <v>8</v>
      </c>
      <c r="F592" s="81">
        <v>10.223000000000001</v>
      </c>
      <c r="G592" s="81">
        <v>0.193</v>
      </c>
      <c r="I592" s="27">
        <f>AVERAGE(F590:F592)</f>
        <v>16.028333333333332</v>
      </c>
      <c r="J592" s="27">
        <f>AVERAGE(G590:G592)</f>
        <v>0.5043333333333333</v>
      </c>
      <c r="L592">
        <f>+J592/I592</f>
        <v>3.146511386087137E-2</v>
      </c>
      <c r="M592">
        <f>+(L592-$L$931)/$L$932</f>
        <v>-0.34113998853716787</v>
      </c>
      <c r="N592">
        <f>+N589+M592</f>
        <v>-1.5393088571017173</v>
      </c>
    </row>
    <row r="593" spans="1:14">
      <c r="A593" s="15">
        <v>5</v>
      </c>
      <c r="B593" s="77">
        <v>42248</v>
      </c>
      <c r="E593" s="12">
        <v>9</v>
      </c>
      <c r="F593" s="81">
        <v>2.331</v>
      </c>
      <c r="G593" s="81">
        <v>9.9000000000000005E-2</v>
      </c>
    </row>
    <row r="594" spans="1:14">
      <c r="A594" s="15">
        <v>7</v>
      </c>
      <c r="B594" s="77">
        <v>42248</v>
      </c>
      <c r="E594" s="12">
        <v>9</v>
      </c>
      <c r="F594" s="81">
        <v>16.768000000000001</v>
      </c>
      <c r="G594" s="81">
        <v>0.35599999999999998</v>
      </c>
    </row>
    <row r="595" spans="1:14">
      <c r="A595" s="15">
        <v>14</v>
      </c>
      <c r="B595" s="77">
        <v>42248</v>
      </c>
      <c r="E595" s="12">
        <v>9</v>
      </c>
      <c r="F595" s="81">
        <v>6.8369999999999997</v>
      </c>
      <c r="G595" s="81">
        <v>0.105</v>
      </c>
      <c r="I595" s="27">
        <f>AVERAGE(F593:F595)</f>
        <v>8.6453333333333333</v>
      </c>
      <c r="J595" s="27">
        <f>AVERAGE(G593:G595)</f>
        <v>0.18666666666666665</v>
      </c>
      <c r="L595">
        <f>+J595/I595</f>
        <v>2.1591610117211595E-2</v>
      </c>
      <c r="M595">
        <f>+(L595-$L$931)/$L$932</f>
        <v>-0.52751180321640423</v>
      </c>
      <c r="N595">
        <f>+N592+M595</f>
        <v>-2.0668206603181214</v>
      </c>
    </row>
    <row r="596" spans="1:14">
      <c r="A596" s="15">
        <v>5</v>
      </c>
      <c r="B596" s="77">
        <v>42278</v>
      </c>
      <c r="E596" s="12">
        <v>10</v>
      </c>
      <c r="F596" s="81">
        <v>4.4619999999999997</v>
      </c>
      <c r="G596" s="81">
        <v>0.123</v>
      </c>
    </row>
    <row r="597" spans="1:14">
      <c r="A597" s="15">
        <v>7</v>
      </c>
      <c r="B597" s="77">
        <v>42278</v>
      </c>
      <c r="E597" s="12">
        <v>10</v>
      </c>
      <c r="F597" s="81">
        <v>5.4770000000000003</v>
      </c>
      <c r="G597" s="81">
        <v>0.34399999999999997</v>
      </c>
    </row>
    <row r="598" spans="1:14">
      <c r="A598" s="15">
        <v>14</v>
      </c>
      <c r="B598" s="77">
        <v>42278</v>
      </c>
      <c r="E598" s="12">
        <v>10</v>
      </c>
      <c r="F598" s="81">
        <v>1.6850000000000001</v>
      </c>
      <c r="G598" s="81">
        <v>0.124</v>
      </c>
      <c r="I598" s="27">
        <f>AVERAGE(F596:F598)</f>
        <v>3.8746666666666667</v>
      </c>
      <c r="J598" s="27">
        <f>AVERAGE(G596:G598)</f>
        <v>0.19699999999999998</v>
      </c>
      <c r="L598">
        <f>+J598/I598</f>
        <v>5.0843083275980722E-2</v>
      </c>
      <c r="M598">
        <f>+(L598-$L$931)/$L$932</f>
        <v>2.4637694690205603E-2</v>
      </c>
      <c r="N598">
        <f>+N595+M598</f>
        <v>-2.0421829656279158</v>
      </c>
    </row>
    <row r="599" spans="1:14">
      <c r="A599" s="15">
        <v>5</v>
      </c>
      <c r="B599" s="77">
        <v>42309</v>
      </c>
      <c r="E599" s="12">
        <v>11</v>
      </c>
      <c r="F599" s="81">
        <v>0.39600000000000002</v>
      </c>
      <c r="G599" s="81">
        <v>2.1000000000000001E-2</v>
      </c>
    </row>
    <row r="600" spans="1:14">
      <c r="A600" s="15">
        <v>7</v>
      </c>
      <c r="B600" s="77">
        <v>42309</v>
      </c>
      <c r="E600" s="12">
        <v>11</v>
      </c>
      <c r="F600" s="81">
        <v>1.89</v>
      </c>
      <c r="G600" s="81">
        <v>1.2999999999999999E-2</v>
      </c>
    </row>
    <row r="601" spans="1:14">
      <c r="A601" s="15">
        <v>14</v>
      </c>
      <c r="B601" s="77">
        <v>42309</v>
      </c>
      <c r="E601" s="12">
        <v>11</v>
      </c>
      <c r="F601" s="81">
        <v>0.78500000000000003</v>
      </c>
      <c r="G601" s="81">
        <v>1.2E-2</v>
      </c>
    </row>
    <row r="602" spans="1:14">
      <c r="A602" s="15">
        <v>5</v>
      </c>
      <c r="B602" s="78">
        <v>42339</v>
      </c>
      <c r="E602" s="12">
        <v>12</v>
      </c>
      <c r="F602" s="81">
        <v>1.883</v>
      </c>
      <c r="G602" s="81">
        <v>0.112</v>
      </c>
      <c r="I602" s="27">
        <f>AVERAGE(F600:F602)</f>
        <v>1.5193333333333332</v>
      </c>
      <c r="J602" s="27">
        <f>AVERAGE(G600:G602)</f>
        <v>4.5666666666666668E-2</v>
      </c>
      <c r="L602">
        <f>+J602/I602</f>
        <v>3.0057042562527427E-2</v>
      </c>
      <c r="M602">
        <f>+(L602-$L$931)/$L$932</f>
        <v>-0.36771867933258323</v>
      </c>
      <c r="N602">
        <f>+N598+M602</f>
        <v>-2.4099016449604989</v>
      </c>
    </row>
    <row r="603" spans="1:14">
      <c r="A603" s="15">
        <v>7</v>
      </c>
      <c r="B603" s="77">
        <v>42339</v>
      </c>
      <c r="E603" s="12">
        <v>12</v>
      </c>
      <c r="F603" s="81">
        <v>1.6990000000000001</v>
      </c>
      <c r="G603" s="81">
        <v>0.107</v>
      </c>
    </row>
    <row r="604" spans="1:14">
      <c r="A604" s="15">
        <v>14</v>
      </c>
      <c r="B604" s="77">
        <v>42339</v>
      </c>
      <c r="E604" s="12">
        <v>12</v>
      </c>
      <c r="F604" s="81">
        <v>1.4910000000000001</v>
      </c>
      <c r="G604" s="81">
        <v>0.107</v>
      </c>
    </row>
    <row r="605" spans="1:14">
      <c r="A605" s="15">
        <v>5</v>
      </c>
      <c r="B605" s="72">
        <v>42379</v>
      </c>
      <c r="E605" s="10">
        <v>1</v>
      </c>
      <c r="F605" s="83">
        <v>1.357</v>
      </c>
      <c r="G605" s="83">
        <v>8.9999999999999993E-3</v>
      </c>
      <c r="I605" s="27">
        <f>AVERAGE(F603:F605)</f>
        <v>1.5156666666666669</v>
      </c>
      <c r="J605" s="27">
        <f>AVERAGE(G603:G605)</f>
        <v>7.4333333333333335E-2</v>
      </c>
      <c r="L605">
        <f>+J605/I605</f>
        <v>4.904332526940839E-2</v>
      </c>
      <c r="M605">
        <f>+(L605-$L$931)/$L$932</f>
        <v>-9.3344568759252747E-3</v>
      </c>
      <c r="N605">
        <f>+N602+M605</f>
        <v>-2.4192361018364243</v>
      </c>
    </row>
    <row r="606" spans="1:14">
      <c r="A606" s="15">
        <v>7</v>
      </c>
      <c r="B606" s="72">
        <v>42374</v>
      </c>
      <c r="E606" s="10">
        <v>1</v>
      </c>
      <c r="F606" s="83">
        <v>1.921</v>
      </c>
      <c r="G606" s="83">
        <v>1.7999999999999999E-2</v>
      </c>
    </row>
    <row r="607" spans="1:14">
      <c r="A607" s="15">
        <v>14</v>
      </c>
      <c r="B607" s="72">
        <v>42374</v>
      </c>
      <c r="E607" s="10">
        <v>1</v>
      </c>
      <c r="F607" s="83">
        <v>1.569</v>
      </c>
      <c r="G607" s="83">
        <v>8.9999999999999993E-3</v>
      </c>
    </row>
    <row r="608" spans="1:14">
      <c r="A608" s="15">
        <v>5</v>
      </c>
      <c r="B608" s="77">
        <v>42401</v>
      </c>
      <c r="E608" s="12">
        <v>2</v>
      </c>
      <c r="F608" s="83">
        <v>6.2510000000000003</v>
      </c>
      <c r="G608" s="83">
        <v>1.125</v>
      </c>
      <c r="I608" s="27">
        <f>AVERAGE(F606:F608)</f>
        <v>3.2469999999999999</v>
      </c>
      <c r="J608" s="27">
        <f>AVERAGE(G606:G608)</f>
        <v>0.38399999999999995</v>
      </c>
      <c r="L608">
        <f>+J608/I608</f>
        <v>0.11826301201108715</v>
      </c>
      <c r="M608">
        <f>+(L608-$L$931)/$L$932</f>
        <v>1.2972532514499071</v>
      </c>
      <c r="N608">
        <f>+N605+M608</f>
        <v>-1.1219828503865172</v>
      </c>
    </row>
    <row r="609" spans="1:14">
      <c r="A609" s="15">
        <v>7</v>
      </c>
      <c r="B609" s="77">
        <v>42401</v>
      </c>
      <c r="E609" s="12">
        <v>2</v>
      </c>
      <c r="F609" s="84">
        <v>5.2869999999999999</v>
      </c>
      <c r="G609" s="84">
        <v>1.0589999999999999</v>
      </c>
    </row>
    <row r="610" spans="1:14">
      <c r="A610" s="15">
        <v>14</v>
      </c>
      <c r="B610" s="77">
        <v>42401</v>
      </c>
      <c r="E610" s="12">
        <v>2</v>
      </c>
      <c r="F610" s="83">
        <v>3.1019999999999999</v>
      </c>
      <c r="G610" s="83">
        <v>0.16</v>
      </c>
    </row>
    <row r="611" spans="1:14">
      <c r="A611" s="15">
        <v>5</v>
      </c>
      <c r="B611" s="77">
        <v>42430</v>
      </c>
      <c r="E611" s="12">
        <v>3</v>
      </c>
      <c r="F611" s="83">
        <v>4.0209999999999999</v>
      </c>
      <c r="G611" s="83">
        <v>0.216</v>
      </c>
      <c r="I611" s="27">
        <f>AVERAGE(F609:F611)</f>
        <v>4.1366666666666667</v>
      </c>
      <c r="J611" s="27">
        <f>AVERAGE(G609:G611)</f>
        <v>0.47833333333333328</v>
      </c>
      <c r="L611">
        <f>+J611/I611</f>
        <v>0.11563255439161965</v>
      </c>
      <c r="M611">
        <f>+(L611-$L$931)/$L$932</f>
        <v>1.2476008511769248</v>
      </c>
      <c r="N611">
        <f>+N608+M611</f>
        <v>0.12561800079040752</v>
      </c>
    </row>
    <row r="612" spans="1:14">
      <c r="A612" s="15">
        <v>7</v>
      </c>
      <c r="B612" s="77">
        <v>42430</v>
      </c>
      <c r="E612" s="12">
        <v>3</v>
      </c>
      <c r="F612" s="83">
        <v>3.9</v>
      </c>
      <c r="G612" s="83">
        <v>0.68300000000000005</v>
      </c>
    </row>
    <row r="613" spans="1:14">
      <c r="A613" s="15">
        <v>14</v>
      </c>
      <c r="B613" s="77">
        <v>42430</v>
      </c>
      <c r="E613" s="12">
        <v>3</v>
      </c>
      <c r="F613" s="83">
        <v>1.583</v>
      </c>
      <c r="G613" s="83">
        <v>2.5999999999999999E-2</v>
      </c>
    </row>
    <row r="614" spans="1:14">
      <c r="A614" s="15">
        <v>5</v>
      </c>
      <c r="B614" s="77">
        <v>42461</v>
      </c>
      <c r="E614" s="12">
        <v>4</v>
      </c>
      <c r="F614" s="83">
        <v>3.6829999999999998</v>
      </c>
      <c r="G614" s="83">
        <v>1.4E-2</v>
      </c>
      <c r="I614" s="27">
        <f>AVERAGE(F612:F614)</f>
        <v>3.0553333333333335</v>
      </c>
      <c r="J614" s="27">
        <f>AVERAGE(G612:G614)</f>
        <v>0.24100000000000002</v>
      </c>
      <c r="L614">
        <f>+J614/I614</f>
        <v>7.887846388828279E-2</v>
      </c>
      <c r="M614">
        <f>+(L614-$L$931)/$L$932</f>
        <v>0.55383228412792485</v>
      </c>
      <c r="N614">
        <f>+N611+M614</f>
        <v>0.67945028491833237</v>
      </c>
    </row>
    <row r="615" spans="1:14">
      <c r="A615" s="15">
        <v>7</v>
      </c>
      <c r="B615" s="77">
        <v>42461</v>
      </c>
      <c r="E615" s="12">
        <v>4</v>
      </c>
      <c r="F615" s="83">
        <v>4.1120000000000001</v>
      </c>
      <c r="G615" s="83">
        <v>0.14799999999999999</v>
      </c>
    </row>
    <row r="616" spans="1:14">
      <c r="A616" s="15">
        <v>14</v>
      </c>
      <c r="B616" s="77">
        <v>42461</v>
      </c>
      <c r="E616" s="12">
        <v>4</v>
      </c>
      <c r="F616" s="83">
        <v>1.421</v>
      </c>
      <c r="G616" s="83">
        <v>5.2999999999999999E-2</v>
      </c>
    </row>
    <row r="617" spans="1:14">
      <c r="A617" s="15">
        <v>5</v>
      </c>
      <c r="B617" s="77">
        <v>42491</v>
      </c>
      <c r="E617" s="12">
        <v>5</v>
      </c>
      <c r="F617" s="83">
        <v>9.234</v>
      </c>
      <c r="G617" s="83">
        <v>1.7000000000000001E-2</v>
      </c>
    </row>
    <row r="618" spans="1:14">
      <c r="A618" s="15">
        <v>7</v>
      </c>
      <c r="B618" s="77">
        <v>42491</v>
      </c>
      <c r="E618" s="12">
        <v>5</v>
      </c>
      <c r="F618" s="83">
        <v>10.819000000000001</v>
      </c>
      <c r="G618" s="83">
        <v>0.8</v>
      </c>
      <c r="I618" s="27">
        <f>AVERAGE(F616:F618)</f>
        <v>7.1580000000000004</v>
      </c>
      <c r="J618" s="27">
        <f>AVERAGE(G616:G618)</f>
        <v>0.29000000000000004</v>
      </c>
      <c r="L618">
        <f>+J618/I618</f>
        <v>4.0514110086616373E-2</v>
      </c>
      <c r="M618">
        <f>+(L618-$L$931)/$L$932</f>
        <v>-0.17033154085712102</v>
      </c>
      <c r="N618">
        <f>+N614+M618</f>
        <v>0.50911874406121138</v>
      </c>
    </row>
    <row r="619" spans="1:14">
      <c r="A619" s="15">
        <v>14</v>
      </c>
      <c r="B619" s="77">
        <v>42491</v>
      </c>
      <c r="E619" s="12">
        <v>5</v>
      </c>
      <c r="F619" s="83">
        <v>4.843</v>
      </c>
      <c r="G619" s="83">
        <v>0.26</v>
      </c>
    </row>
    <row r="620" spans="1:14">
      <c r="A620" s="15">
        <v>5</v>
      </c>
      <c r="B620" s="77">
        <v>42522</v>
      </c>
      <c r="E620" s="12">
        <v>6</v>
      </c>
      <c r="F620" s="83">
        <v>10.271000000000001</v>
      </c>
      <c r="G620" s="83">
        <v>5.2999999999999999E-2</v>
      </c>
    </row>
    <row r="621" spans="1:14">
      <c r="A621" s="15">
        <v>7</v>
      </c>
      <c r="B621" s="77">
        <v>42522</v>
      </c>
      <c r="E621" s="12">
        <v>6</v>
      </c>
      <c r="F621" s="83">
        <v>10.773</v>
      </c>
      <c r="G621" s="83">
        <v>0.27700000000000002</v>
      </c>
      <c r="I621" s="27">
        <f>AVERAGE(F619:F621)</f>
        <v>8.6289999999999996</v>
      </c>
      <c r="J621" s="27">
        <f>AVERAGE(G619:G621)</f>
        <v>0.19666666666666668</v>
      </c>
      <c r="L621">
        <f>+J621/I621</f>
        <v>2.2791362459921971E-2</v>
      </c>
      <c r="M621">
        <f>+(L621-$L$931)/$L$932</f>
        <v>-0.50486533170215775</v>
      </c>
      <c r="N621">
        <f>+N618+M621</f>
        <v>4.2534123590536321E-3</v>
      </c>
    </row>
    <row r="622" spans="1:14">
      <c r="A622" s="15">
        <v>14</v>
      </c>
      <c r="B622" s="77">
        <v>42522</v>
      </c>
      <c r="E622" s="12">
        <v>6</v>
      </c>
      <c r="F622" s="83">
        <v>11.180999999999999</v>
      </c>
      <c r="G622" s="83">
        <v>0.43</v>
      </c>
    </row>
    <row r="623" spans="1:14">
      <c r="A623" s="15">
        <v>5</v>
      </c>
      <c r="B623" s="77">
        <v>42552</v>
      </c>
      <c r="E623" s="12">
        <v>7</v>
      </c>
      <c r="F623" s="83">
        <v>10.353</v>
      </c>
      <c r="G623" s="83">
        <v>3.7999999999999999E-2</v>
      </c>
    </row>
    <row r="624" spans="1:14">
      <c r="A624" s="15">
        <v>7</v>
      </c>
      <c r="B624" s="77">
        <v>42552</v>
      </c>
      <c r="E624" s="12">
        <v>7</v>
      </c>
      <c r="F624" s="83">
        <v>14.101000000000001</v>
      </c>
      <c r="G624" s="83">
        <v>0.98799999999999999</v>
      </c>
      <c r="I624" s="27">
        <f>AVERAGE(F622:F624)</f>
        <v>11.878333333333332</v>
      </c>
      <c r="J624" s="27">
        <f>AVERAGE(G622:G624)</f>
        <v>0.48533333333333334</v>
      </c>
      <c r="L624">
        <f>+J624/I624</f>
        <v>4.0858706328048271E-2</v>
      </c>
      <c r="M624">
        <f>+(L624-$L$931)/$L$932</f>
        <v>-0.16382695762965754</v>
      </c>
      <c r="N624">
        <f>+N621+M624</f>
        <v>-0.15957354527060391</v>
      </c>
    </row>
    <row r="625" spans="1:14">
      <c r="A625" s="15">
        <v>14</v>
      </c>
      <c r="B625" s="77">
        <v>42552</v>
      </c>
      <c r="E625" s="12">
        <v>7</v>
      </c>
      <c r="F625" s="83">
        <v>5.9050000000000002</v>
      </c>
      <c r="G625" s="83">
        <v>0.74199999999999999</v>
      </c>
    </row>
    <row r="626" spans="1:14">
      <c r="A626" s="15">
        <v>5</v>
      </c>
      <c r="B626" s="77">
        <v>42583</v>
      </c>
      <c r="E626" s="12">
        <v>8</v>
      </c>
      <c r="F626" s="83">
        <v>14.885999999999999</v>
      </c>
      <c r="G626" s="83">
        <v>0.36099999999999999</v>
      </c>
    </row>
    <row r="627" spans="1:14">
      <c r="A627" s="15">
        <v>7</v>
      </c>
      <c r="B627" s="77">
        <v>42583</v>
      </c>
      <c r="E627" s="12">
        <v>8</v>
      </c>
      <c r="F627" s="83">
        <v>11.77</v>
      </c>
      <c r="G627" s="83">
        <v>0.157</v>
      </c>
      <c r="I627" s="27">
        <f>AVERAGE(F625:F627)</f>
        <v>10.853666666666667</v>
      </c>
      <c r="J627" s="27">
        <f>AVERAGE(G625:G627)</f>
        <v>0.42</v>
      </c>
      <c r="L627">
        <f>+J627/I627</f>
        <v>3.8696600227265746E-2</v>
      </c>
      <c r="M627">
        <f>+(L627-$L$931)/$L$932</f>
        <v>-0.20463877560163565</v>
      </c>
      <c r="N627">
        <f>+N624+M627</f>
        <v>-0.36421232087223954</v>
      </c>
    </row>
    <row r="628" spans="1:14">
      <c r="A628" s="15">
        <v>14</v>
      </c>
      <c r="B628" s="77">
        <v>42583</v>
      </c>
      <c r="E628" s="12">
        <v>8</v>
      </c>
      <c r="F628" s="83">
        <v>2.694</v>
      </c>
      <c r="G628" s="83">
        <v>0.221</v>
      </c>
    </row>
    <row r="629" spans="1:14">
      <c r="A629" s="15">
        <v>5</v>
      </c>
      <c r="B629" s="77">
        <v>42614</v>
      </c>
      <c r="E629" s="12">
        <v>9</v>
      </c>
      <c r="F629" s="83">
        <v>8.5429999999999993</v>
      </c>
      <c r="G629" s="83">
        <v>4.3999999999999997E-2</v>
      </c>
    </row>
    <row r="630" spans="1:14">
      <c r="A630" s="15">
        <v>7</v>
      </c>
      <c r="B630" s="77">
        <v>42614</v>
      </c>
      <c r="E630" s="12">
        <v>9</v>
      </c>
      <c r="F630" s="83">
        <v>22.082999999999998</v>
      </c>
      <c r="G630" s="83">
        <v>0.49199999999999999</v>
      </c>
      <c r="I630" s="27">
        <f>AVERAGE(F628:F630)</f>
        <v>11.106666666666664</v>
      </c>
      <c r="J630" s="27">
        <f>AVERAGE(G628:G630)</f>
        <v>0.25233333333333335</v>
      </c>
      <c r="L630">
        <f>+J630/I630</f>
        <v>2.2719087635054029E-2</v>
      </c>
      <c r="M630">
        <f>+(L630-$L$931)/$L$932</f>
        <v>-0.50622958806099205</v>
      </c>
      <c r="N630">
        <f>+N627+M630</f>
        <v>-0.87044190893323159</v>
      </c>
    </row>
    <row r="631" spans="1:14">
      <c r="A631" s="15">
        <v>14</v>
      </c>
      <c r="B631" s="77">
        <v>42614</v>
      </c>
      <c r="E631" s="12">
        <v>9</v>
      </c>
      <c r="F631" s="83">
        <v>1.5660000000000001</v>
      </c>
      <c r="G631" s="83">
        <v>6.6000000000000003E-2</v>
      </c>
    </row>
    <row r="632" spans="1:14">
      <c r="A632" s="15">
        <v>5</v>
      </c>
      <c r="B632" s="77">
        <v>42644</v>
      </c>
      <c r="E632" s="12">
        <v>10</v>
      </c>
      <c r="F632" s="83">
        <v>1.851</v>
      </c>
      <c r="G632" s="83">
        <v>1.9E-2</v>
      </c>
    </row>
    <row r="633" spans="1:14">
      <c r="A633" s="15">
        <v>7</v>
      </c>
      <c r="B633" s="77">
        <v>42644</v>
      </c>
      <c r="E633" s="12">
        <v>10</v>
      </c>
      <c r="F633" s="83">
        <v>2.5150000000000001</v>
      </c>
      <c r="G633" s="83">
        <v>8.4000000000000005E-2</v>
      </c>
    </row>
    <row r="634" spans="1:14">
      <c r="A634" s="15">
        <v>14</v>
      </c>
      <c r="B634" s="77">
        <v>42644</v>
      </c>
      <c r="E634" s="12">
        <v>10</v>
      </c>
      <c r="F634" s="84">
        <v>1.171</v>
      </c>
      <c r="G634" s="84">
        <v>1.2999999999999999E-2</v>
      </c>
      <c r="I634" s="27">
        <f>AVERAGE(F632:F634)</f>
        <v>1.8456666666666666</v>
      </c>
      <c r="J634" s="27">
        <f>AVERAGE(G632:G634)</f>
        <v>3.8666666666666669E-2</v>
      </c>
      <c r="L634">
        <f>+J634/I634</f>
        <v>2.0949972909517792E-2</v>
      </c>
      <c r="M634">
        <f>+(L634-$L$931)/$L$932</f>
        <v>-0.53962331842602795</v>
      </c>
      <c r="N634">
        <f>+N630+M634</f>
        <v>-1.4100652273592595</v>
      </c>
    </row>
    <row r="635" spans="1:14">
      <c r="A635" s="15">
        <v>5</v>
      </c>
      <c r="B635" s="77">
        <v>42675</v>
      </c>
      <c r="E635" s="12">
        <v>11</v>
      </c>
      <c r="F635" s="83">
        <v>0.311</v>
      </c>
      <c r="G635" s="83">
        <v>9.9989999999999996E-4</v>
      </c>
    </row>
    <row r="636" spans="1:14">
      <c r="A636" s="15">
        <v>7</v>
      </c>
      <c r="B636" s="77">
        <v>42675</v>
      </c>
      <c r="E636" s="12">
        <v>11</v>
      </c>
      <c r="F636" s="83">
        <v>1.7270000000000001</v>
      </c>
      <c r="G636" s="83">
        <v>2.1999999999999999E-2</v>
      </c>
    </row>
    <row r="637" spans="1:14">
      <c r="A637" s="15">
        <v>14</v>
      </c>
      <c r="B637" s="77">
        <v>42675</v>
      </c>
      <c r="E637" s="12">
        <v>11</v>
      </c>
      <c r="F637" s="83">
        <v>0.38400000000000001</v>
      </c>
      <c r="G637" s="83">
        <v>8.9999999999999993E-3</v>
      </c>
      <c r="I637" s="27">
        <f>AVERAGE(F635:F637)</f>
        <v>0.80733333333333335</v>
      </c>
      <c r="J637" s="27">
        <f>AVERAGE(G635:G637)</f>
        <v>1.0666633333333333E-2</v>
      </c>
      <c r="L637">
        <f>+J637/I637</f>
        <v>1.3212180016515276E-2</v>
      </c>
      <c r="M637">
        <f>+(L637-$L$931)/$L$932</f>
        <v>-0.68568155069307102</v>
      </c>
      <c r="N637">
        <f>+N634+M637</f>
        <v>-2.0957467780523307</v>
      </c>
    </row>
    <row r="638" spans="1:14">
      <c r="A638" s="15">
        <v>5</v>
      </c>
      <c r="B638" s="78">
        <v>42705</v>
      </c>
      <c r="E638" s="12">
        <v>12</v>
      </c>
      <c r="F638" s="83">
        <v>1.5609999999999999</v>
      </c>
      <c r="G638" s="83">
        <v>0.112</v>
      </c>
    </row>
    <row r="639" spans="1:14">
      <c r="A639" s="15">
        <v>7</v>
      </c>
      <c r="B639" s="77">
        <v>42705</v>
      </c>
      <c r="E639" s="12">
        <v>12</v>
      </c>
      <c r="F639" s="83">
        <v>2.3180000000000001</v>
      </c>
      <c r="G639" s="83">
        <v>1.2E-2</v>
      </c>
    </row>
    <row r="640" spans="1:14">
      <c r="A640" s="15">
        <v>14</v>
      </c>
      <c r="B640" s="77">
        <v>42705</v>
      </c>
      <c r="E640" s="12">
        <v>12</v>
      </c>
      <c r="F640" s="83">
        <v>1.1519999999999999</v>
      </c>
      <c r="G640" s="83">
        <v>2.5999999999999999E-2</v>
      </c>
      <c r="I640" s="27">
        <f>AVERAGE(F638:F640)</f>
        <v>1.6769999999999998</v>
      </c>
      <c r="J640" s="27">
        <f>AVERAGE(G638:G640)</f>
        <v>4.9999999999999996E-2</v>
      </c>
      <c r="L640">
        <f>+J640/I640</f>
        <v>2.9815146094215862E-2</v>
      </c>
      <c r="M640">
        <f>+(L640-$L$931)/$L$932</f>
        <v>-0.37228470623996901</v>
      </c>
      <c r="N640">
        <f>+N637+M640</f>
        <v>-2.4680314842922995</v>
      </c>
    </row>
    <row r="641" spans="1:14">
      <c r="A641" s="15">
        <v>5</v>
      </c>
      <c r="B641" s="72">
        <v>42745</v>
      </c>
      <c r="E641" s="10">
        <v>1</v>
      </c>
    </row>
    <row r="642" spans="1:14">
      <c r="A642" s="15">
        <v>7</v>
      </c>
      <c r="B642" s="72">
        <v>42740</v>
      </c>
      <c r="E642" s="10">
        <v>1</v>
      </c>
    </row>
    <row r="643" spans="1:14">
      <c r="A643" s="15">
        <v>14</v>
      </c>
      <c r="B643" s="72">
        <v>42740</v>
      </c>
      <c r="E643" s="10">
        <v>1</v>
      </c>
      <c r="I643" s="27" t="e">
        <f>AVERAGE(F641:F643)</f>
        <v>#DIV/0!</v>
      </c>
      <c r="J643" s="27" t="e">
        <f>AVERAGE(G641:G643)</f>
        <v>#DIV/0!</v>
      </c>
    </row>
    <row r="644" spans="1:14">
      <c r="A644" s="15">
        <v>5</v>
      </c>
      <c r="B644" s="77">
        <v>42767</v>
      </c>
      <c r="E644" s="12">
        <v>2</v>
      </c>
    </row>
    <row r="645" spans="1:14">
      <c r="A645" s="15">
        <v>7</v>
      </c>
      <c r="B645" s="77">
        <v>42767</v>
      </c>
      <c r="E645" s="12">
        <v>2</v>
      </c>
    </row>
    <row r="646" spans="1:14">
      <c r="A646" s="15">
        <v>14</v>
      </c>
      <c r="B646" s="77">
        <v>42767</v>
      </c>
      <c r="E646" s="12">
        <v>2</v>
      </c>
      <c r="I646" s="27" t="e">
        <f>AVERAGE(F644:F646)</f>
        <v>#DIV/0!</v>
      </c>
      <c r="J646" s="27" t="e">
        <f>AVERAGE(G644:G646)</f>
        <v>#DIV/0!</v>
      </c>
    </row>
    <row r="647" spans="1:14">
      <c r="A647" s="15">
        <v>5</v>
      </c>
      <c r="B647" s="77">
        <v>42795</v>
      </c>
      <c r="E647" s="12">
        <v>3</v>
      </c>
      <c r="F647" s="83">
        <v>1.772</v>
      </c>
      <c r="G647" s="83">
        <v>2.4E-2</v>
      </c>
    </row>
    <row r="648" spans="1:14">
      <c r="A648" s="15">
        <v>7</v>
      </c>
      <c r="B648" s="77">
        <v>42795</v>
      </c>
      <c r="E648" s="12">
        <v>3</v>
      </c>
      <c r="F648" s="83">
        <v>2.4049999999999998</v>
      </c>
      <c r="G648" s="83">
        <v>8.6999999999999994E-2</v>
      </c>
    </row>
    <row r="649" spans="1:14">
      <c r="A649" s="15">
        <v>14</v>
      </c>
      <c r="B649" s="77">
        <v>42795</v>
      </c>
      <c r="E649" s="12">
        <v>3</v>
      </c>
      <c r="F649" s="83">
        <v>0.74399999999999999</v>
      </c>
      <c r="G649" s="83">
        <v>3.7999999999999999E-2</v>
      </c>
      <c r="I649" s="27">
        <f>AVERAGE(F647:F649)</f>
        <v>1.6403333333333332</v>
      </c>
      <c r="J649" s="27">
        <f>AVERAGE(G647:G649)</f>
        <v>4.9666666666666665E-2</v>
      </c>
      <c r="L649">
        <f>+J649/I649</f>
        <v>3.0278398699451332E-2</v>
      </c>
      <c r="M649">
        <f>+(L649-$L$931)/$L$932</f>
        <v>-0.36354037080098572</v>
      </c>
      <c r="N649">
        <f>+N640+M649</f>
        <v>-2.8315718550932854</v>
      </c>
    </row>
    <row r="650" spans="1:14">
      <c r="A650" s="15">
        <v>5</v>
      </c>
      <c r="B650" s="77">
        <v>42826</v>
      </c>
      <c r="E650" s="12">
        <v>4</v>
      </c>
    </row>
    <row r="651" spans="1:14">
      <c r="A651" s="15">
        <v>7</v>
      </c>
      <c r="B651" s="77">
        <v>42826</v>
      </c>
      <c r="E651" s="12">
        <v>4</v>
      </c>
      <c r="F651" s="83">
        <v>2.4369999999999998</v>
      </c>
      <c r="G651" s="83">
        <v>4.7E-2</v>
      </c>
    </row>
    <row r="652" spans="1:14">
      <c r="A652" s="15">
        <v>14</v>
      </c>
      <c r="B652" s="77">
        <v>42826</v>
      </c>
      <c r="E652" s="12">
        <v>4</v>
      </c>
      <c r="F652" s="83">
        <v>0.60899999999999999</v>
      </c>
      <c r="G652" s="83">
        <v>2.3E-2</v>
      </c>
      <c r="I652" s="27">
        <f>AVERAGE(F650:F652)</f>
        <v>1.5229999999999999</v>
      </c>
      <c r="J652" s="27">
        <f>AVERAGE(G650:G652)</f>
        <v>3.5000000000000003E-2</v>
      </c>
      <c r="L652">
        <f>+J652/I652</f>
        <v>2.2980958634274462E-2</v>
      </c>
      <c r="M652">
        <f>+(L652-$L$931)/$L$932</f>
        <v>-0.50128652280232766</v>
      </c>
      <c r="N652">
        <f>+N649+M652</f>
        <v>-3.3328583778956129</v>
      </c>
    </row>
    <row r="653" spans="1:14">
      <c r="A653" s="15">
        <v>5</v>
      </c>
      <c r="B653" s="77">
        <v>42856</v>
      </c>
      <c r="E653" s="12">
        <v>5</v>
      </c>
      <c r="F653" s="83">
        <v>16.995999999999999</v>
      </c>
      <c r="G653" s="83">
        <v>2.5999999999999999E-2</v>
      </c>
    </row>
    <row r="654" spans="1:14">
      <c r="A654" s="15">
        <v>7</v>
      </c>
      <c r="B654" s="77">
        <v>42856</v>
      </c>
      <c r="E654" s="12">
        <v>5</v>
      </c>
      <c r="F654" s="83">
        <v>3.274</v>
      </c>
      <c r="G654" s="83">
        <v>0.23499999999999999</v>
      </c>
    </row>
    <row r="655" spans="1:14">
      <c r="A655" s="15">
        <v>14</v>
      </c>
      <c r="B655" s="77">
        <v>42856</v>
      </c>
      <c r="E655" s="12">
        <v>5</v>
      </c>
      <c r="F655" s="83">
        <v>2.7749999999999999</v>
      </c>
      <c r="G655" s="83">
        <v>0.34300000000000003</v>
      </c>
      <c r="I655" s="27">
        <f>AVERAGE(F653:F655)</f>
        <v>7.6816666666666658</v>
      </c>
      <c r="J655" s="27">
        <f>AVERAGE(G653:G655)</f>
        <v>0.20133333333333336</v>
      </c>
      <c r="L655">
        <f>+J655/I655</f>
        <v>2.6209589932740297E-2</v>
      </c>
      <c r="M655">
        <f>+(L655-$L$931)/$L$932</f>
        <v>-0.44034302294173844</v>
      </c>
      <c r="N655">
        <f>+N652+M655</f>
        <v>-3.7732014008373511</v>
      </c>
    </row>
    <row r="656" spans="1:14">
      <c r="A656" s="15">
        <v>5</v>
      </c>
      <c r="B656" s="77">
        <v>42887</v>
      </c>
      <c r="E656" s="12">
        <v>6</v>
      </c>
      <c r="F656" s="83">
        <v>12.574</v>
      </c>
      <c r="G656" s="83">
        <v>0.14299999999999999</v>
      </c>
    </row>
    <row r="657" spans="1:14">
      <c r="A657" s="15">
        <v>7</v>
      </c>
      <c r="B657" s="77">
        <v>42887</v>
      </c>
      <c r="E657" s="12">
        <v>6</v>
      </c>
      <c r="F657" s="83">
        <v>6.6470000000000002</v>
      </c>
      <c r="G657" s="83">
        <v>0.92</v>
      </c>
    </row>
    <row r="658" spans="1:14">
      <c r="A658" s="15">
        <v>14</v>
      </c>
      <c r="B658" s="77">
        <v>42887</v>
      </c>
      <c r="E658" s="12">
        <v>6</v>
      </c>
      <c r="F658" s="83">
        <v>2.3959999999999999</v>
      </c>
      <c r="G658" s="83">
        <v>0.24099999999999999</v>
      </c>
      <c r="I658" s="27">
        <f>AVERAGE(F656:F658)</f>
        <v>7.2056666666666667</v>
      </c>
      <c r="J658" s="27">
        <f>AVERAGE(G656:G658)</f>
        <v>0.43466666666666659</v>
      </c>
      <c r="L658">
        <f>+J658/I658</f>
        <v>6.0322894018596467E-2</v>
      </c>
      <c r="M658">
        <f>+(L658-$L$931)/$L$932</f>
        <v>0.20357817790534988</v>
      </c>
      <c r="N658">
        <f>+N655+M658</f>
        <v>-3.5696232229320013</v>
      </c>
    </row>
    <row r="659" spans="1:14">
      <c r="A659" s="15">
        <v>5</v>
      </c>
      <c r="B659" s="77">
        <v>42917</v>
      </c>
      <c r="E659" s="12">
        <v>7</v>
      </c>
      <c r="F659" s="83">
        <v>6.5910000000000002</v>
      </c>
      <c r="G659" s="83">
        <v>4.2000000000000003E-2</v>
      </c>
    </row>
    <row r="660" spans="1:14">
      <c r="A660" s="15">
        <v>7</v>
      </c>
      <c r="B660" s="77">
        <v>42917</v>
      </c>
      <c r="E660" s="12">
        <v>7</v>
      </c>
      <c r="F660" s="83">
        <v>8.4939999999999998</v>
      </c>
      <c r="G660" s="83">
        <v>1.613</v>
      </c>
    </row>
    <row r="661" spans="1:14">
      <c r="A661" s="15">
        <v>14</v>
      </c>
      <c r="B661" s="77">
        <v>42917</v>
      </c>
      <c r="E661" s="12">
        <v>7</v>
      </c>
      <c r="F661" s="83">
        <v>1.4570000000000001</v>
      </c>
      <c r="G661" s="83">
        <v>0.27500000000000002</v>
      </c>
      <c r="I661" s="27">
        <f>AVERAGE(F659:F661)</f>
        <v>5.5140000000000002</v>
      </c>
      <c r="J661" s="27">
        <f>AVERAGE(G659:G661)</f>
        <v>0.64333333333333342</v>
      </c>
      <c r="L661">
        <f>+J661/I661</f>
        <v>0.11667271188489906</v>
      </c>
      <c r="M661">
        <f>+(L661-$L$931)/$L$932</f>
        <v>1.2672348174575545</v>
      </c>
      <c r="N661">
        <f>+N658+M661</f>
        <v>-2.3023884054744466</v>
      </c>
    </row>
    <row r="662" spans="1:14">
      <c r="A662" s="15">
        <v>5</v>
      </c>
      <c r="B662" s="77">
        <v>42948</v>
      </c>
      <c r="E662" s="12">
        <v>8</v>
      </c>
    </row>
    <row r="663" spans="1:14">
      <c r="A663" s="15">
        <v>7</v>
      </c>
      <c r="B663" s="77">
        <v>42948</v>
      </c>
      <c r="E663" s="12">
        <v>8</v>
      </c>
    </row>
    <row r="664" spans="1:14">
      <c r="A664" s="15">
        <v>14</v>
      </c>
      <c r="B664" s="77">
        <v>42948</v>
      </c>
      <c r="E664" s="12">
        <v>8</v>
      </c>
      <c r="I664" s="27"/>
      <c r="J664" s="27"/>
    </row>
    <row r="665" spans="1:14">
      <c r="A665" s="15">
        <v>5</v>
      </c>
      <c r="B665" s="77">
        <v>42979</v>
      </c>
      <c r="E665" s="12">
        <v>9</v>
      </c>
      <c r="F665" s="83">
        <v>1.8979999999999999</v>
      </c>
      <c r="G665" s="83">
        <v>2.7E-2</v>
      </c>
    </row>
    <row r="666" spans="1:14">
      <c r="A666" s="15">
        <v>7</v>
      </c>
      <c r="B666" s="77">
        <v>42979</v>
      </c>
      <c r="E666" s="12">
        <v>9</v>
      </c>
      <c r="F666" s="83">
        <v>3.137</v>
      </c>
      <c r="G666" s="83">
        <v>0.30499999999999999</v>
      </c>
    </row>
    <row r="667" spans="1:14">
      <c r="A667" s="15">
        <v>14</v>
      </c>
      <c r="B667" s="77">
        <v>42979</v>
      </c>
      <c r="E667" s="12">
        <v>9</v>
      </c>
      <c r="F667" s="84">
        <v>0.66800000000000004</v>
      </c>
      <c r="G667" s="84">
        <v>2.9000000000000001E-2</v>
      </c>
      <c r="I667" s="27">
        <f>AVERAGE(F665:F667)</f>
        <v>1.901</v>
      </c>
      <c r="J667" s="27">
        <f>AVERAGE(G665:G667)</f>
        <v>0.12033333333333335</v>
      </c>
      <c r="L667">
        <f>+J667/I667</f>
        <v>6.3300017534630909E-2</v>
      </c>
      <c r="M667">
        <f>+(L667-$L$931)/$L$932</f>
        <v>0.25977422812347667</v>
      </c>
      <c r="N667">
        <f>+N661+M667</f>
        <v>-2.0426141773509698</v>
      </c>
    </row>
    <row r="668" spans="1:14">
      <c r="A668" s="15">
        <v>5</v>
      </c>
      <c r="B668" s="77">
        <v>43009</v>
      </c>
      <c r="E668" s="12">
        <v>10</v>
      </c>
    </row>
    <row r="669" spans="1:14">
      <c r="A669" s="15">
        <v>7</v>
      </c>
      <c r="B669" s="77">
        <v>43009</v>
      </c>
      <c r="E669" s="12">
        <v>10</v>
      </c>
    </row>
    <row r="670" spans="1:14">
      <c r="A670" s="15">
        <v>14</v>
      </c>
      <c r="B670" s="77">
        <v>43009</v>
      </c>
      <c r="E670" s="12">
        <v>10</v>
      </c>
      <c r="I670" s="27"/>
      <c r="J670" s="27"/>
    </row>
    <row r="671" spans="1:14">
      <c r="A671" s="15">
        <v>5</v>
      </c>
      <c r="B671" s="77">
        <v>43040</v>
      </c>
      <c r="E671" s="12">
        <v>11</v>
      </c>
      <c r="F671" s="83">
        <v>0.70399999999999996</v>
      </c>
      <c r="G671" s="83">
        <v>2.1999999999999999E-2</v>
      </c>
    </row>
    <row r="672" spans="1:14">
      <c r="A672" s="15">
        <v>7</v>
      </c>
      <c r="B672" s="77">
        <v>43040</v>
      </c>
      <c r="E672" s="12">
        <v>11</v>
      </c>
      <c r="F672" s="83">
        <v>0.96899999999999997</v>
      </c>
      <c r="G672" s="83">
        <v>2.9000000000000001E-2</v>
      </c>
    </row>
    <row r="673" spans="1:14">
      <c r="A673" s="15">
        <v>14</v>
      </c>
      <c r="B673" s="77">
        <v>43040</v>
      </c>
      <c r="E673" s="12">
        <v>11</v>
      </c>
      <c r="F673" s="83">
        <v>0.40600000000000003</v>
      </c>
      <c r="G673" s="83">
        <v>1.6E-2</v>
      </c>
      <c r="I673" s="27">
        <f>AVERAGE(F671:F673)</f>
        <v>0.69300000000000006</v>
      </c>
      <c r="J673" s="27">
        <f>AVERAGE(G671:G673)</f>
        <v>2.2333333333333334E-2</v>
      </c>
      <c r="L673">
        <f>+J673/I673</f>
        <v>3.2227032227032222E-2</v>
      </c>
      <c r="M673">
        <f>+(L673-$L$931)/$L$932</f>
        <v>-0.32675805156469023</v>
      </c>
      <c r="N673">
        <f>+N667+M673</f>
        <v>-2.36937222891566</v>
      </c>
    </row>
    <row r="674" spans="1:14">
      <c r="A674" s="15">
        <v>5</v>
      </c>
      <c r="B674" s="78">
        <v>43070</v>
      </c>
      <c r="E674" s="12">
        <v>12</v>
      </c>
      <c r="F674" s="83">
        <v>1.8959999999999999</v>
      </c>
      <c r="G674" s="83">
        <v>0.14699999999999999</v>
      </c>
    </row>
    <row r="675" spans="1:14">
      <c r="A675" s="15">
        <v>7</v>
      </c>
      <c r="B675" s="77">
        <v>43070</v>
      </c>
      <c r="E675" s="12">
        <v>12</v>
      </c>
      <c r="F675" s="83">
        <v>3.827</v>
      </c>
      <c r="G675" s="83">
        <v>0.72499999999999998</v>
      </c>
    </row>
    <row r="676" spans="1:14">
      <c r="A676" s="15">
        <v>14</v>
      </c>
      <c r="B676" s="77">
        <v>43070</v>
      </c>
      <c r="E676" s="12">
        <v>12</v>
      </c>
      <c r="F676" s="83">
        <v>1.651</v>
      </c>
      <c r="G676" s="83">
        <v>0.22700000000000001</v>
      </c>
      <c r="I676" s="27">
        <f>AVERAGE(F674:F676)</f>
        <v>2.4579999999999997</v>
      </c>
      <c r="J676" s="27">
        <f>AVERAGE(G674:G676)</f>
        <v>0.36633333333333334</v>
      </c>
      <c r="L676">
        <f>+J676/I676</f>
        <v>0.14903715758068892</v>
      </c>
      <c r="M676">
        <f>+(L676-$L$931)/$L$932</f>
        <v>1.8781446456211652</v>
      </c>
      <c r="N676">
        <f>+N673+M676</f>
        <v>-0.49122758329449479</v>
      </c>
    </row>
    <row r="677" spans="1:14">
      <c r="A677" s="15">
        <v>5</v>
      </c>
      <c r="B677" s="72">
        <v>43110</v>
      </c>
      <c r="E677" s="10">
        <v>1</v>
      </c>
      <c r="F677" s="79">
        <v>3.125</v>
      </c>
      <c r="G677" s="79">
        <v>2.7E-2</v>
      </c>
    </row>
    <row r="678" spans="1:14">
      <c r="A678" s="15">
        <v>7</v>
      </c>
      <c r="B678" s="72">
        <v>43105</v>
      </c>
      <c r="E678" s="10">
        <v>1</v>
      </c>
      <c r="F678" s="79">
        <v>5.2939999999999996</v>
      </c>
      <c r="G678" s="79">
        <v>2.1000000000000001E-2</v>
      </c>
    </row>
    <row r="679" spans="1:14">
      <c r="A679" s="15">
        <v>14</v>
      </c>
      <c r="B679" s="72">
        <v>43105</v>
      </c>
      <c r="E679" s="10">
        <v>1</v>
      </c>
      <c r="F679" s="79">
        <v>5.2080000000000002</v>
      </c>
      <c r="G679" s="79">
        <v>9.9989999999999996E-4</v>
      </c>
      <c r="I679">
        <v>4.5423333333333336</v>
      </c>
      <c r="J679">
        <v>1.6333299999999999E-2</v>
      </c>
      <c r="L679">
        <v>3.5957951126440149E-3</v>
      </c>
      <c r="M679">
        <f>+(L679-$L$931)/$L$932</f>
        <v>-0.86720000166235001</v>
      </c>
      <c r="N679">
        <f>+N676+M679</f>
        <v>-1.3584275849568448</v>
      </c>
    </row>
    <row r="680" spans="1:14">
      <c r="A680" s="15">
        <v>5</v>
      </c>
      <c r="B680" s="77">
        <v>43132</v>
      </c>
      <c r="E680" s="12">
        <v>2</v>
      </c>
      <c r="F680" s="79">
        <v>3.33</v>
      </c>
      <c r="G680" s="79">
        <v>0.06</v>
      </c>
    </row>
    <row r="681" spans="1:14">
      <c r="A681" s="15">
        <v>7</v>
      </c>
      <c r="B681" s="77">
        <v>43132</v>
      </c>
      <c r="E681" s="12">
        <v>2</v>
      </c>
      <c r="F681" s="79">
        <v>3.649</v>
      </c>
      <c r="G681" s="79">
        <v>0.50700000000000001</v>
      </c>
    </row>
    <row r="682" spans="1:14">
      <c r="A682" s="15">
        <v>14</v>
      </c>
      <c r="B682" s="77">
        <v>43132</v>
      </c>
      <c r="E682" s="12">
        <v>2</v>
      </c>
      <c r="F682" s="79">
        <v>0.86699999999999999</v>
      </c>
      <c r="G682" s="79">
        <v>0.02</v>
      </c>
      <c r="I682">
        <v>2.6153333333333335</v>
      </c>
      <c r="J682">
        <v>0.19566666666666666</v>
      </c>
      <c r="L682">
        <v>7.4815192454754001E-2</v>
      </c>
      <c r="M682">
        <f>+(L682-$L$931)/$L$932</f>
        <v>0.47713415444044216</v>
      </c>
      <c r="N682">
        <f>+N679+M682</f>
        <v>-0.88129343051640263</v>
      </c>
    </row>
    <row r="683" spans="1:14">
      <c r="A683" s="15">
        <v>5</v>
      </c>
      <c r="B683" s="77">
        <v>43160</v>
      </c>
      <c r="E683" s="12">
        <v>3</v>
      </c>
      <c r="F683" s="79">
        <v>5.3890000000000002</v>
      </c>
      <c r="G683" s="79">
        <v>2.5000000000000001E-2</v>
      </c>
    </row>
    <row r="684" spans="1:14">
      <c r="A684" s="15">
        <v>7</v>
      </c>
      <c r="B684" s="77">
        <v>43160</v>
      </c>
      <c r="E684" s="12">
        <v>3</v>
      </c>
      <c r="F684" s="79">
        <v>3.4910000000000001</v>
      </c>
      <c r="G684" s="79">
        <v>6.7000000000000004E-2</v>
      </c>
    </row>
    <row r="685" spans="1:14">
      <c r="A685" s="15">
        <v>14</v>
      </c>
      <c r="B685" s="77">
        <v>43160</v>
      </c>
      <c r="E685" s="12">
        <v>3</v>
      </c>
      <c r="F685" s="79">
        <v>2.0699999999999998</v>
      </c>
      <c r="G685" s="79">
        <v>1.2E-2</v>
      </c>
      <c r="I685">
        <v>3.6500000000000004</v>
      </c>
      <c r="J685">
        <v>3.4666666666666665E-2</v>
      </c>
      <c r="L685">
        <v>9.4977168949771668E-3</v>
      </c>
      <c r="M685">
        <f>+(L685-$L$931)/$L$932</f>
        <v>-0.75579559029777532</v>
      </c>
      <c r="N685">
        <f>+N682+M685</f>
        <v>-1.637089020814178</v>
      </c>
    </row>
    <row r="686" spans="1:14">
      <c r="A686" s="15">
        <v>5</v>
      </c>
      <c r="B686" s="77">
        <v>43191</v>
      </c>
      <c r="E686" s="12">
        <v>4</v>
      </c>
      <c r="F686" s="79">
        <v>1.431</v>
      </c>
      <c r="G686" s="79">
        <v>9.9989999999999996E-4</v>
      </c>
    </row>
    <row r="687" spans="1:14">
      <c r="A687" s="15">
        <v>7</v>
      </c>
      <c r="B687" s="77">
        <v>43191</v>
      </c>
      <c r="E687" s="12">
        <v>4</v>
      </c>
      <c r="F687" s="79">
        <v>2.3180000000000001</v>
      </c>
      <c r="G687" s="79">
        <v>9.9989999999999996E-4</v>
      </c>
    </row>
    <row r="688" spans="1:14">
      <c r="A688" s="15">
        <v>14</v>
      </c>
      <c r="B688" s="77">
        <v>43191</v>
      </c>
      <c r="E688" s="12">
        <v>4</v>
      </c>
      <c r="F688" s="80">
        <v>0.88800000000000001</v>
      </c>
      <c r="G688" s="80">
        <v>9.9989999999999996E-4</v>
      </c>
      <c r="I688">
        <v>1.5456666666666667</v>
      </c>
      <c r="J688">
        <v>9.9989999999999996E-4</v>
      </c>
      <c r="L688">
        <v>6.4690532671986191E-4</v>
      </c>
      <c r="M688">
        <f>+(L688-$L$931)/$L$932</f>
        <v>-0.92286311325479431</v>
      </c>
      <c r="N688">
        <f>+N685+M688</f>
        <v>-2.5599521340689724</v>
      </c>
    </row>
    <row r="689" spans="1:14">
      <c r="A689" s="15">
        <v>5</v>
      </c>
      <c r="B689" s="77">
        <v>43221</v>
      </c>
      <c r="E689" s="12">
        <v>5</v>
      </c>
      <c r="F689" s="80">
        <v>17.451000000000001</v>
      </c>
      <c r="G689" s="80">
        <v>7.6999999999999999E-2</v>
      </c>
    </row>
    <row r="690" spans="1:14">
      <c r="A690" s="15">
        <v>7</v>
      </c>
      <c r="B690" s="77">
        <v>43221</v>
      </c>
      <c r="E690" s="12">
        <v>5</v>
      </c>
      <c r="F690" s="80">
        <v>6.1669999999999998</v>
      </c>
      <c r="G690" s="80">
        <v>0.154</v>
      </c>
    </row>
    <row r="691" spans="1:14">
      <c r="A691" s="15">
        <v>14</v>
      </c>
      <c r="B691" s="77">
        <v>43221</v>
      </c>
      <c r="E691" s="12">
        <v>5</v>
      </c>
      <c r="F691" s="80">
        <v>1.347</v>
      </c>
      <c r="G691" s="80">
        <v>3.7999999999999999E-2</v>
      </c>
      <c r="I691">
        <v>8.3216666666666672</v>
      </c>
      <c r="J691">
        <v>8.9666666666666658E-2</v>
      </c>
      <c r="L691">
        <v>1.0775085119166831E-2</v>
      </c>
      <c r="M691">
        <f>+(L691-$L$931)/$L$932</f>
        <v>-0.73168404487919037</v>
      </c>
      <c r="N691">
        <f>+N688+M691</f>
        <v>-3.2916361789481625</v>
      </c>
    </row>
    <row r="692" spans="1:14">
      <c r="A692" s="15">
        <v>5</v>
      </c>
      <c r="B692" s="77">
        <v>43252</v>
      </c>
      <c r="E692" s="12">
        <v>6</v>
      </c>
      <c r="F692" s="80">
        <v>5.9429999999999996</v>
      </c>
      <c r="G692" s="80">
        <v>4.1000000000000002E-2</v>
      </c>
    </row>
    <row r="693" spans="1:14">
      <c r="A693" s="15">
        <v>7</v>
      </c>
      <c r="B693" s="77">
        <v>43252</v>
      </c>
      <c r="E693" s="12">
        <v>6</v>
      </c>
      <c r="F693" s="80">
        <v>13.451000000000001</v>
      </c>
      <c r="G693" s="80">
        <v>2.76</v>
      </c>
    </row>
    <row r="694" spans="1:14">
      <c r="A694" s="15">
        <v>14</v>
      </c>
      <c r="B694" s="77">
        <v>43252</v>
      </c>
      <c r="E694" s="12">
        <v>6</v>
      </c>
      <c r="F694" s="80">
        <v>2.2999999999999998</v>
      </c>
      <c r="G694" s="80">
        <v>0.19800000000000001</v>
      </c>
      <c r="I694">
        <v>7.2313333333333327</v>
      </c>
      <c r="J694">
        <v>0.99966666666666659</v>
      </c>
      <c r="L694">
        <v>0.13824098829169357</v>
      </c>
      <c r="M694">
        <f>+(L694-$L$931)/$L$932</f>
        <v>1.6743566374111751</v>
      </c>
      <c r="N694">
        <f>+N691+M694</f>
        <v>-1.6172795415369874</v>
      </c>
    </row>
    <row r="695" spans="1:14">
      <c r="A695" s="15">
        <v>5</v>
      </c>
      <c r="B695" s="77">
        <v>43282</v>
      </c>
      <c r="E695" s="12">
        <v>7</v>
      </c>
      <c r="F695" s="80">
        <v>19.792999999999999</v>
      </c>
      <c r="G695" s="80">
        <v>0.66900000000000004</v>
      </c>
    </row>
    <row r="696" spans="1:14">
      <c r="A696" s="15">
        <v>7</v>
      </c>
      <c r="B696" s="77">
        <v>43282</v>
      </c>
      <c r="E696" s="12">
        <v>7</v>
      </c>
      <c r="F696" s="80">
        <v>15.863</v>
      </c>
      <c r="G696" s="80">
        <v>1.3129999999999999</v>
      </c>
    </row>
    <row r="697" spans="1:14">
      <c r="A697" s="15">
        <v>14</v>
      </c>
      <c r="B697" s="77">
        <v>43282</v>
      </c>
      <c r="E697" s="12">
        <v>7</v>
      </c>
      <c r="F697" s="80">
        <v>3.9430000000000001</v>
      </c>
      <c r="G697" s="80">
        <v>0.16600000000000001</v>
      </c>
      <c r="I697">
        <v>13.199666666666666</v>
      </c>
      <c r="J697">
        <v>0.71600000000000008</v>
      </c>
      <c r="L697">
        <v>5.4243794035202922E-2</v>
      </c>
      <c r="M697">
        <f>+(L697-$L$931)/$L$932</f>
        <v>8.8829358748917772E-2</v>
      </c>
      <c r="N697">
        <f>+N694+M697</f>
        <v>-1.5284501827880697</v>
      </c>
    </row>
    <row r="698" spans="1:14">
      <c r="A698" s="15">
        <v>5</v>
      </c>
      <c r="B698" s="77">
        <v>43313</v>
      </c>
      <c r="E698" s="12">
        <v>8</v>
      </c>
      <c r="F698" s="80">
        <v>7.8440000000000003</v>
      </c>
      <c r="G698" s="80">
        <v>1.4999999999999999E-2</v>
      </c>
    </row>
    <row r="699" spans="1:14">
      <c r="A699" s="15">
        <v>7</v>
      </c>
      <c r="B699" s="77">
        <v>43313</v>
      </c>
      <c r="E699" s="12">
        <v>8</v>
      </c>
      <c r="F699" s="80">
        <v>14.576000000000001</v>
      </c>
      <c r="G699" s="80">
        <v>0.436</v>
      </c>
    </row>
    <row r="700" spans="1:14">
      <c r="A700" s="15">
        <v>14</v>
      </c>
      <c r="B700" s="77">
        <v>43313</v>
      </c>
      <c r="E700" s="12">
        <v>8</v>
      </c>
      <c r="F700" s="80">
        <v>3.74</v>
      </c>
      <c r="G700" s="80">
        <v>0.30499999999999999</v>
      </c>
      <c r="I700">
        <v>8.7200000000000006</v>
      </c>
      <c r="J700">
        <v>0.252</v>
      </c>
      <c r="L700">
        <v>2.8899082568807338E-2</v>
      </c>
      <c r="M700">
        <f>+(L700-$L$931)/$L$932</f>
        <v>-0.38957628033811809</v>
      </c>
      <c r="N700">
        <f>+N697+M700</f>
        <v>-1.9180264631261879</v>
      </c>
    </row>
    <row r="701" spans="1:14">
      <c r="A701" s="15">
        <v>5</v>
      </c>
      <c r="B701" s="77">
        <v>43344</v>
      </c>
      <c r="E701" s="12">
        <v>9</v>
      </c>
      <c r="F701" s="80">
        <v>11.523999999999999</v>
      </c>
      <c r="G701" s="80">
        <v>0.106</v>
      </c>
    </row>
    <row r="702" spans="1:14">
      <c r="A702" s="15">
        <v>7</v>
      </c>
      <c r="B702" s="77">
        <v>43344</v>
      </c>
      <c r="E702" s="12">
        <v>9</v>
      </c>
      <c r="F702" s="80">
        <v>15.547000000000001</v>
      </c>
      <c r="G702" s="80">
        <v>0.28999999999999998</v>
      </c>
    </row>
    <row r="703" spans="1:14">
      <c r="A703" s="15">
        <v>14</v>
      </c>
      <c r="B703" s="77">
        <v>43344</v>
      </c>
      <c r="E703" s="12">
        <v>9</v>
      </c>
      <c r="F703" s="80">
        <v>1.5720000000000001</v>
      </c>
      <c r="G703" s="80">
        <v>3.4000000000000002E-2</v>
      </c>
      <c r="I703">
        <v>9.5476666666666663</v>
      </c>
      <c r="J703">
        <v>0.14333333333333331</v>
      </c>
      <c r="L703">
        <v>1.5012393953147364E-2</v>
      </c>
      <c r="M703">
        <f>+(L703-$L$931)/$L$932</f>
        <v>-0.65170079301154171</v>
      </c>
      <c r="N703">
        <f>+N700+M703</f>
        <v>-2.5697272561377296</v>
      </c>
    </row>
    <row r="704" spans="1:14">
      <c r="A704" s="15">
        <v>5</v>
      </c>
      <c r="B704" s="77">
        <v>43374</v>
      </c>
      <c r="E704" s="12">
        <v>10</v>
      </c>
      <c r="F704" s="80">
        <v>0.59199999999999997</v>
      </c>
      <c r="G704" s="80">
        <v>9.9989999999999996E-4</v>
      </c>
    </row>
    <row r="705" spans="1:14">
      <c r="A705" s="15">
        <v>7</v>
      </c>
      <c r="B705" s="77">
        <v>43374</v>
      </c>
      <c r="E705" s="12">
        <v>10</v>
      </c>
      <c r="F705" s="80">
        <v>1.4810000000000001</v>
      </c>
      <c r="G705" s="80">
        <v>9.7000000000000003E-2</v>
      </c>
    </row>
    <row r="706" spans="1:14">
      <c r="A706" s="15">
        <v>14</v>
      </c>
      <c r="B706" s="77">
        <v>43374</v>
      </c>
      <c r="E706" s="12">
        <v>10</v>
      </c>
      <c r="F706" s="80">
        <v>0.39700000000000002</v>
      </c>
      <c r="G706" s="80">
        <v>4.3999999999999997E-2</v>
      </c>
      <c r="I706">
        <v>0.82333333333333325</v>
      </c>
      <c r="J706">
        <v>4.7333300000000002E-2</v>
      </c>
      <c r="L706">
        <v>5.7489838056680169E-2</v>
      </c>
      <c r="M706">
        <f>+(L706-$L$931)/$L$932</f>
        <v>0.1501015403895922</v>
      </c>
      <c r="N706">
        <f>+N703+M706</f>
        <v>-2.4196257157481376</v>
      </c>
    </row>
    <row r="707" spans="1:14">
      <c r="A707" s="15">
        <v>5</v>
      </c>
      <c r="B707" s="77">
        <v>43405</v>
      </c>
      <c r="E707" s="12">
        <v>11</v>
      </c>
      <c r="F707" s="80">
        <v>1.294</v>
      </c>
      <c r="G707" s="80">
        <v>6.7000000000000004E-2</v>
      </c>
      <c r="I707">
        <v>1.294</v>
      </c>
      <c r="J707">
        <v>6.7000000000000004E-2</v>
      </c>
      <c r="L707">
        <v>5.1777434312210199E-2</v>
      </c>
      <c r="M707">
        <f>+(L707-$L$931)/$L$932</f>
        <v>4.2274463023973016E-2</v>
      </c>
      <c r="N707">
        <f>+N706+M707</f>
        <v>-2.3773512527241647</v>
      </c>
    </row>
    <row r="708" spans="1:14">
      <c r="A708" s="15">
        <v>7</v>
      </c>
      <c r="B708" s="77">
        <v>43405</v>
      </c>
      <c r="E708" s="12">
        <v>11</v>
      </c>
    </row>
    <row r="709" spans="1:14">
      <c r="A709" s="15">
        <v>14</v>
      </c>
      <c r="B709" s="77">
        <v>43405</v>
      </c>
      <c r="E709" s="12">
        <v>11</v>
      </c>
    </row>
    <row r="710" spans="1:14">
      <c r="A710" s="15">
        <v>5</v>
      </c>
      <c r="B710" s="78">
        <v>43435</v>
      </c>
      <c r="E710" s="12">
        <v>12</v>
      </c>
    </row>
    <row r="711" spans="1:14">
      <c r="A711" s="15">
        <v>7</v>
      </c>
      <c r="B711" s="77">
        <v>43435</v>
      </c>
      <c r="E711" s="12">
        <v>12</v>
      </c>
    </row>
    <row r="712" spans="1:14">
      <c r="A712" s="15">
        <v>14</v>
      </c>
      <c r="B712" s="77">
        <v>43435</v>
      </c>
      <c r="E712" s="12">
        <v>12</v>
      </c>
    </row>
    <row r="713" spans="1:14">
      <c r="A713" s="15">
        <v>5</v>
      </c>
      <c r="B713" s="72">
        <v>43475</v>
      </c>
      <c r="E713" s="10">
        <v>1</v>
      </c>
    </row>
    <row r="714" spans="1:14">
      <c r="A714" s="15">
        <v>7</v>
      </c>
      <c r="B714" s="72">
        <v>43470</v>
      </c>
      <c r="E714" s="10">
        <v>1</v>
      </c>
    </row>
    <row r="715" spans="1:14">
      <c r="A715" s="15">
        <v>14</v>
      </c>
      <c r="B715" s="72">
        <v>43470</v>
      </c>
      <c r="E715" s="10">
        <v>1</v>
      </c>
    </row>
    <row r="716" spans="1:14">
      <c r="A716" s="15">
        <v>5</v>
      </c>
      <c r="B716" s="77">
        <v>43497</v>
      </c>
      <c r="E716" s="12">
        <v>2</v>
      </c>
    </row>
    <row r="717" spans="1:14">
      <c r="A717" s="15">
        <v>7</v>
      </c>
      <c r="B717" s="77">
        <v>43497</v>
      </c>
      <c r="E717" s="12">
        <v>2</v>
      </c>
    </row>
    <row r="718" spans="1:14">
      <c r="A718" s="15">
        <v>14</v>
      </c>
      <c r="B718" s="77">
        <v>43497</v>
      </c>
      <c r="E718" s="12">
        <v>2</v>
      </c>
    </row>
    <row r="719" spans="1:14">
      <c r="A719" s="15">
        <v>5</v>
      </c>
      <c r="B719" s="77">
        <v>43525</v>
      </c>
      <c r="E719" s="12">
        <v>3</v>
      </c>
      <c r="F719" s="85">
        <v>0.61199999999999999</v>
      </c>
      <c r="G719" s="86">
        <v>4.1000000000000002E-2</v>
      </c>
    </row>
    <row r="720" spans="1:14">
      <c r="A720" s="15">
        <v>7</v>
      </c>
      <c r="B720" s="77">
        <v>43525</v>
      </c>
      <c r="E720" s="12">
        <v>3</v>
      </c>
      <c r="F720" s="85">
        <v>1.581</v>
      </c>
      <c r="G720" s="86">
        <v>0.10100000000000001</v>
      </c>
    </row>
    <row r="721" spans="1:14">
      <c r="A721" s="15">
        <v>14</v>
      </c>
      <c r="B721" s="77">
        <v>43525</v>
      </c>
      <c r="E721" s="12">
        <v>3</v>
      </c>
      <c r="F721" s="85">
        <v>0.52500000000000002</v>
      </c>
      <c r="G721" s="86">
        <v>1.7000000000000001E-2</v>
      </c>
      <c r="I721" s="27">
        <f>AVERAGE(F719:F721)</f>
        <v>0.90600000000000003</v>
      </c>
      <c r="J721" s="27">
        <f>AVERAGE(G719:G721)</f>
        <v>5.3000000000000012E-2</v>
      </c>
      <c r="L721">
        <f>+J721/I721</f>
        <v>5.8498896247240632E-2</v>
      </c>
      <c r="M721">
        <f>+(L721-$L$931)/$L$932</f>
        <v>0.16914847762425544</v>
      </c>
      <c r="N721">
        <f>+N707+M721</f>
        <v>-2.2082027750999091</v>
      </c>
    </row>
    <row r="722" spans="1:14">
      <c r="A722" s="15">
        <v>5</v>
      </c>
      <c r="B722" s="77">
        <v>43556</v>
      </c>
      <c r="E722" s="12">
        <v>4</v>
      </c>
      <c r="F722" s="79">
        <v>1.1439999999999999</v>
      </c>
      <c r="G722" s="86">
        <v>1.0999999999999999E-2</v>
      </c>
    </row>
    <row r="723" spans="1:14">
      <c r="A723" s="15">
        <v>7</v>
      </c>
      <c r="B723" s="77">
        <v>43556</v>
      </c>
      <c r="E723" s="12">
        <v>4</v>
      </c>
      <c r="F723" s="79">
        <v>2.0779999999999998</v>
      </c>
      <c r="G723" s="86">
        <v>1.4999999999999999E-2</v>
      </c>
    </row>
    <row r="724" spans="1:14">
      <c r="A724" s="15">
        <v>14</v>
      </c>
      <c r="B724" s="77">
        <v>43556</v>
      </c>
      <c r="E724" s="12">
        <v>4</v>
      </c>
      <c r="F724" s="79">
        <v>0.91</v>
      </c>
      <c r="G724" s="86">
        <v>9.9989999999999996E-4</v>
      </c>
      <c r="I724" s="27">
        <f>AVERAGE(F722:F724)</f>
        <v>1.3773333333333333</v>
      </c>
      <c r="J724" s="27">
        <f>AVERAGE(G722:G724)</f>
        <v>8.9999666666666662E-3</v>
      </c>
      <c r="L724">
        <f>+J724/I724</f>
        <v>6.5343417231364951E-3</v>
      </c>
      <c r="M724">
        <f>+(L724-$L$931)/$L$932</f>
        <v>-0.81173212738634337</v>
      </c>
      <c r="N724">
        <f>+N721+M724</f>
        <v>-3.0199349024862525</v>
      </c>
    </row>
    <row r="725" spans="1:14">
      <c r="A725" s="15">
        <v>5</v>
      </c>
      <c r="B725" s="77">
        <v>43586</v>
      </c>
      <c r="E725" s="12">
        <v>5</v>
      </c>
      <c r="F725" s="79">
        <v>4.585</v>
      </c>
      <c r="G725" s="86">
        <v>4.3999999999999997E-2</v>
      </c>
    </row>
    <row r="726" spans="1:14">
      <c r="A726" s="15">
        <v>7</v>
      </c>
      <c r="B726" s="77">
        <v>43586</v>
      </c>
      <c r="E726" s="12">
        <v>5</v>
      </c>
      <c r="F726" s="79">
        <v>1.4370000000000001</v>
      </c>
      <c r="G726" s="86">
        <v>9.9989999999999996E-4</v>
      </c>
    </row>
    <row r="727" spans="1:14">
      <c r="A727" s="15">
        <v>14</v>
      </c>
      <c r="B727" s="77">
        <v>43586</v>
      </c>
      <c r="E727" s="12">
        <v>5</v>
      </c>
      <c r="F727" s="79">
        <v>0.255</v>
      </c>
      <c r="G727" s="86">
        <v>9.9989999999999996E-4</v>
      </c>
      <c r="I727" s="27">
        <f>AVERAGE(F725:F727)</f>
        <v>2.0923333333333334</v>
      </c>
      <c r="J727" s="27">
        <f>AVERAGE(G725:G727)</f>
        <v>1.5333266666666664E-2</v>
      </c>
      <c r="L727">
        <f>+J727/I727</f>
        <v>7.328309702086983E-3</v>
      </c>
      <c r="M727">
        <f>+(L727-$L$931)/$L$932</f>
        <v>-0.79674522335754516</v>
      </c>
      <c r="N727">
        <f>+N724+M727</f>
        <v>-3.8166801258437975</v>
      </c>
    </row>
    <row r="728" spans="1:14">
      <c r="A728" s="15">
        <v>5</v>
      </c>
      <c r="B728" s="77">
        <v>43617</v>
      </c>
      <c r="E728" s="12">
        <v>6</v>
      </c>
      <c r="F728" s="79">
        <v>10.612</v>
      </c>
      <c r="G728" s="86">
        <v>0.115</v>
      </c>
    </row>
    <row r="729" spans="1:14">
      <c r="A729" s="15">
        <v>7</v>
      </c>
      <c r="B729" s="77">
        <v>43617</v>
      </c>
      <c r="E729" s="12">
        <v>6</v>
      </c>
      <c r="F729" s="80">
        <v>6.093</v>
      </c>
      <c r="G729" s="87">
        <v>9.0999999999999998E-2</v>
      </c>
    </row>
    <row r="730" spans="1:14">
      <c r="A730" s="15">
        <v>14</v>
      </c>
      <c r="B730" s="77">
        <v>43617</v>
      </c>
      <c r="E730" s="12">
        <v>6</v>
      </c>
      <c r="F730" s="80">
        <v>2.7280000000000002</v>
      </c>
      <c r="G730" s="87">
        <v>0.49</v>
      </c>
      <c r="I730" s="27">
        <f>AVERAGE(F728:F730)</f>
        <v>6.4776666666666669</v>
      </c>
      <c r="J730" s="27">
        <f>AVERAGE(G728:G730)</f>
        <v>0.23199999999999998</v>
      </c>
      <c r="L730">
        <f>+J730/I730</f>
        <v>3.581536561519065E-2</v>
      </c>
      <c r="M730">
        <f>+(L730-$L$931)/$L$932</f>
        <v>-0.25902483116107988</v>
      </c>
      <c r="N730">
        <f>+N727+M730</f>
        <v>-4.0757049570048771</v>
      </c>
    </row>
    <row r="731" spans="1:14">
      <c r="A731" s="15">
        <v>5</v>
      </c>
      <c r="B731" s="77">
        <v>43647</v>
      </c>
      <c r="E731" s="12">
        <v>7</v>
      </c>
      <c r="F731" s="80">
        <v>8.6959999999999997</v>
      </c>
      <c r="G731" s="87">
        <v>0.64300000000000002</v>
      </c>
    </row>
    <row r="732" spans="1:14">
      <c r="A732" s="15">
        <v>7</v>
      </c>
      <c r="B732" s="77">
        <v>43647</v>
      </c>
      <c r="E732" s="12">
        <v>7</v>
      </c>
      <c r="F732" s="80">
        <v>7.12</v>
      </c>
      <c r="G732" s="87">
        <v>0.20399999999999999</v>
      </c>
    </row>
    <row r="733" spans="1:14">
      <c r="A733" s="15">
        <v>14</v>
      </c>
      <c r="B733" s="77">
        <v>43647</v>
      </c>
      <c r="E733" s="12">
        <v>7</v>
      </c>
      <c r="F733" s="80">
        <v>2.173</v>
      </c>
      <c r="G733" s="87">
        <v>7.6999999999999999E-2</v>
      </c>
      <c r="I733" s="27">
        <f>AVERAGE(F731:F733)</f>
        <v>5.9963333333333324</v>
      </c>
      <c r="J733" s="27">
        <f>AVERAGE(G731:G733)</f>
        <v>0.308</v>
      </c>
      <c r="L733">
        <f>+J733/I733</f>
        <v>5.1364722886208247E-2</v>
      </c>
      <c r="M733">
        <f>+(L733-$L$931)/$L$932</f>
        <v>3.4484140621732412E-2</v>
      </c>
      <c r="N733">
        <f>+N730+M733</f>
        <v>-4.0412208163831451</v>
      </c>
    </row>
    <row r="734" spans="1:14">
      <c r="A734" s="15">
        <v>5</v>
      </c>
      <c r="B734" s="77">
        <v>43678</v>
      </c>
      <c r="E734" s="12">
        <v>8</v>
      </c>
      <c r="F734" s="80">
        <v>3.7749999999999999</v>
      </c>
      <c r="G734" s="87">
        <v>0.71599999999999997</v>
      </c>
    </row>
    <row r="735" spans="1:14">
      <c r="A735" s="15">
        <v>7</v>
      </c>
      <c r="B735" s="77">
        <v>43678</v>
      </c>
      <c r="E735" s="12">
        <v>8</v>
      </c>
    </row>
    <row r="736" spans="1:14">
      <c r="A736" s="15">
        <v>14</v>
      </c>
      <c r="B736" s="77">
        <v>43678</v>
      </c>
      <c r="E736" s="12">
        <v>8</v>
      </c>
      <c r="I736" s="27">
        <f>AVERAGE(F734:F736)</f>
        <v>3.7749999999999999</v>
      </c>
      <c r="J736" s="27">
        <f>AVERAGE(G734:G736)</f>
        <v>0.71599999999999997</v>
      </c>
      <c r="L736">
        <f>+J736/I736</f>
        <v>0.18966887417218542</v>
      </c>
      <c r="M736">
        <f>+(L736-$L$931)/$L$932</f>
        <v>2.6451071091288489</v>
      </c>
      <c r="N736">
        <f>+N733+M736</f>
        <v>-1.3961137072542962</v>
      </c>
    </row>
    <row r="737" spans="1:14">
      <c r="A737" s="15">
        <v>5</v>
      </c>
      <c r="B737" s="77">
        <v>43709</v>
      </c>
      <c r="E737" s="12">
        <v>9</v>
      </c>
      <c r="F737" s="80">
        <v>2.1040000000000001</v>
      </c>
      <c r="G737" s="88">
        <v>1.6E-2</v>
      </c>
    </row>
    <row r="738" spans="1:14">
      <c r="A738" s="15">
        <v>7</v>
      </c>
      <c r="B738" s="77">
        <v>43709</v>
      </c>
      <c r="E738" s="12">
        <v>9</v>
      </c>
      <c r="F738" s="80">
        <v>6.9580000000000002</v>
      </c>
      <c r="G738" s="88">
        <v>0.23599999999999999</v>
      </c>
    </row>
    <row r="739" spans="1:14">
      <c r="A739" s="15">
        <v>14</v>
      </c>
      <c r="B739" s="77">
        <v>43709</v>
      </c>
      <c r="E739" s="12">
        <v>9</v>
      </c>
      <c r="F739" s="80">
        <v>0.69899999999999995</v>
      </c>
      <c r="G739" s="88">
        <v>1E-3</v>
      </c>
      <c r="I739" s="27">
        <f>AVERAGE(F737:F739)</f>
        <v>3.2536666666666672</v>
      </c>
      <c r="J739" s="27">
        <f>AVERAGE(G737:G739)</f>
        <v>8.433333333333333E-2</v>
      </c>
      <c r="L739">
        <f>+J739/I739</f>
        <v>2.5919475463579547E-2</v>
      </c>
      <c r="M739">
        <f>+(L739-$L$931)/$L$932</f>
        <v>-0.445819210674681</v>
      </c>
      <c r="N739">
        <f>+N736+M739</f>
        <v>-1.8419329179289772</v>
      </c>
    </row>
    <row r="740" spans="1:14">
      <c r="A740" s="15">
        <v>5</v>
      </c>
      <c r="B740" s="77">
        <v>43739</v>
      </c>
      <c r="E740" s="12">
        <v>10</v>
      </c>
      <c r="F740" s="80">
        <v>2.677</v>
      </c>
      <c r="G740" s="88">
        <v>3.6999999999999998E-2</v>
      </c>
    </row>
    <row r="741" spans="1:14">
      <c r="A741" s="15">
        <v>7</v>
      </c>
      <c r="B741" s="77">
        <v>43739</v>
      </c>
      <c r="E741" s="12">
        <v>10</v>
      </c>
      <c r="F741" s="80">
        <v>2.3660000000000001</v>
      </c>
      <c r="G741" s="88">
        <v>7.6999999999999999E-2</v>
      </c>
    </row>
    <row r="742" spans="1:14">
      <c r="A742" s="15">
        <v>14</v>
      </c>
      <c r="B742" s="77">
        <v>43739</v>
      </c>
      <c r="E742" s="12">
        <v>10</v>
      </c>
      <c r="F742" s="80">
        <v>2.4550000000000001</v>
      </c>
      <c r="G742" s="88">
        <v>2.4E-2</v>
      </c>
      <c r="I742" s="27">
        <f>AVERAGE(F740:F742)</f>
        <v>2.4993333333333334</v>
      </c>
      <c r="J742" s="27">
        <f>AVERAGE(G740:G742)</f>
        <v>4.5999999999999992E-2</v>
      </c>
      <c r="L742">
        <f>+J742/I742</f>
        <v>1.8404907975460121E-2</v>
      </c>
      <c r="M742">
        <f>+(L742-$L$931)/$L$932</f>
        <v>-0.58766385019180634</v>
      </c>
      <c r="N742">
        <f>+N739+M742</f>
        <v>-2.4295967681207835</v>
      </c>
    </row>
    <row r="743" spans="1:14">
      <c r="A743" s="15">
        <v>5</v>
      </c>
      <c r="B743" s="77">
        <v>43770</v>
      </c>
      <c r="E743" s="12">
        <v>11</v>
      </c>
    </row>
    <row r="744" spans="1:14">
      <c r="A744" s="15">
        <v>7</v>
      </c>
      <c r="B744" s="77">
        <v>43770</v>
      </c>
      <c r="E744" s="12">
        <v>11</v>
      </c>
    </row>
    <row r="745" spans="1:14">
      <c r="A745" s="15">
        <v>14</v>
      </c>
      <c r="B745" s="77">
        <v>43770</v>
      </c>
      <c r="E745" s="12">
        <v>11</v>
      </c>
    </row>
    <row r="746" spans="1:14">
      <c r="A746" s="15">
        <v>5</v>
      </c>
      <c r="B746" s="78">
        <v>43800</v>
      </c>
      <c r="E746" s="12">
        <v>12</v>
      </c>
      <c r="F746" s="80">
        <v>0.69099999999999995</v>
      </c>
      <c r="G746" s="88">
        <v>2.1000000000000001E-2</v>
      </c>
    </row>
    <row r="747" spans="1:14">
      <c r="A747" s="15">
        <v>7</v>
      </c>
      <c r="B747" s="77">
        <v>43800</v>
      </c>
      <c r="E747" s="12">
        <v>12</v>
      </c>
      <c r="F747" s="80">
        <v>1.2250000000000001</v>
      </c>
      <c r="G747" s="88">
        <v>2.1000000000000001E-2</v>
      </c>
    </row>
    <row r="748" spans="1:14">
      <c r="A748" s="15">
        <v>14</v>
      </c>
      <c r="B748" s="77">
        <v>43800</v>
      </c>
      <c r="E748" s="12">
        <v>12</v>
      </c>
      <c r="F748" s="80">
        <v>1.129</v>
      </c>
      <c r="G748" s="88">
        <v>1E-3</v>
      </c>
      <c r="I748" s="27">
        <f>AVERAGE(F746:F748)</f>
        <v>1.0149999999999999</v>
      </c>
      <c r="J748" s="27">
        <f>AVERAGE(G746:G748)</f>
        <v>1.4333333333333335E-2</v>
      </c>
      <c r="L748">
        <f>+J748/I748</f>
        <v>1.4121510673234814E-2</v>
      </c>
      <c r="M748">
        <f>+(L748-$L$931)/$L$932</f>
        <v>-0.66851706592289917</v>
      </c>
      <c r="N748">
        <f>+N742+M748</f>
        <v>-3.0981138340436827</v>
      </c>
    </row>
    <row r="749" spans="1:14">
      <c r="A749" s="93">
        <v>5</v>
      </c>
      <c r="B749" s="90">
        <v>43840</v>
      </c>
      <c r="C749" s="91">
        <v>2020</v>
      </c>
      <c r="D749" s="92" t="s">
        <v>40</v>
      </c>
      <c r="E749" s="93">
        <v>1</v>
      </c>
    </row>
    <row r="750" spans="1:14">
      <c r="A750" s="15">
        <v>7</v>
      </c>
      <c r="B750" s="73">
        <v>43835</v>
      </c>
      <c r="C750">
        <v>2020</v>
      </c>
      <c r="D750" s="11" t="s">
        <v>40</v>
      </c>
      <c r="E750" s="15">
        <v>1</v>
      </c>
    </row>
    <row r="751" spans="1:14">
      <c r="A751" s="15">
        <v>14</v>
      </c>
      <c r="B751" s="73">
        <v>43835</v>
      </c>
      <c r="C751">
        <v>2020</v>
      </c>
      <c r="D751" s="11" t="s">
        <v>40</v>
      </c>
      <c r="E751" s="15">
        <v>1</v>
      </c>
    </row>
    <row r="752" spans="1:14">
      <c r="A752" s="15">
        <v>5</v>
      </c>
      <c r="B752" s="77">
        <v>43862</v>
      </c>
      <c r="C752">
        <v>2020</v>
      </c>
      <c r="D752" s="11" t="s">
        <v>29</v>
      </c>
      <c r="E752" s="15">
        <v>2</v>
      </c>
      <c r="F752" s="95">
        <v>0.373</v>
      </c>
      <c r="G752" s="95">
        <v>9.9989999999999996E-4</v>
      </c>
    </row>
    <row r="753" spans="1:14">
      <c r="A753" s="15">
        <v>7</v>
      </c>
      <c r="B753" s="77">
        <v>43862</v>
      </c>
      <c r="C753">
        <v>2020</v>
      </c>
      <c r="D753" s="11" t="s">
        <v>29</v>
      </c>
      <c r="E753" s="15">
        <v>2</v>
      </c>
      <c r="F753" s="95">
        <v>0.80500000000000005</v>
      </c>
      <c r="G753" s="95">
        <v>9.9989999999999996E-4</v>
      </c>
    </row>
    <row r="754" spans="1:14">
      <c r="A754" s="15">
        <v>14</v>
      </c>
      <c r="B754" s="77">
        <v>43862</v>
      </c>
      <c r="C754">
        <v>2020</v>
      </c>
      <c r="D754" s="11" t="s">
        <v>29</v>
      </c>
      <c r="E754" s="15">
        <v>2</v>
      </c>
      <c r="I754" s="27">
        <f>AVERAGE(F752:F754)</f>
        <v>0.58899999999999997</v>
      </c>
      <c r="J754" s="27">
        <f>AVERAGE(G752:G754)</f>
        <v>9.9989999999999996E-4</v>
      </c>
      <c r="L754">
        <f>+J754/I754</f>
        <v>1.697623089983022E-3</v>
      </c>
      <c r="M754">
        <f>+(L754-$L$931)/$L$932</f>
        <v>-0.9030298117906802</v>
      </c>
      <c r="N754">
        <f>+N748+M754</f>
        <v>-4.0011436458343628</v>
      </c>
    </row>
    <row r="755" spans="1:14">
      <c r="A755" s="15">
        <v>5</v>
      </c>
      <c r="B755" s="77">
        <v>43891</v>
      </c>
      <c r="C755">
        <v>2020</v>
      </c>
      <c r="D755" s="11" t="s">
        <v>30</v>
      </c>
      <c r="E755" s="15">
        <v>3</v>
      </c>
    </row>
    <row r="756" spans="1:14">
      <c r="A756" s="15">
        <v>7</v>
      </c>
      <c r="B756" s="77">
        <v>43891</v>
      </c>
      <c r="C756">
        <v>2020</v>
      </c>
      <c r="D756" s="11" t="s">
        <v>30</v>
      </c>
      <c r="E756" s="15">
        <v>3</v>
      </c>
    </row>
    <row r="757" spans="1:14">
      <c r="A757" s="15">
        <v>14</v>
      </c>
      <c r="B757" s="77">
        <v>43891</v>
      </c>
      <c r="C757">
        <v>2020</v>
      </c>
      <c r="D757" s="11" t="s">
        <v>30</v>
      </c>
      <c r="E757" s="15">
        <v>3</v>
      </c>
    </row>
    <row r="758" spans="1:14">
      <c r="A758" s="15">
        <v>5</v>
      </c>
      <c r="B758" s="77">
        <v>43922</v>
      </c>
      <c r="C758">
        <v>2020</v>
      </c>
      <c r="D758" s="11" t="s">
        <v>31</v>
      </c>
      <c r="E758" s="15">
        <v>4</v>
      </c>
    </row>
    <row r="759" spans="1:14">
      <c r="A759" s="15">
        <v>7</v>
      </c>
      <c r="B759" s="77">
        <v>43922</v>
      </c>
      <c r="C759">
        <v>2020</v>
      </c>
      <c r="D759" s="11" t="s">
        <v>31</v>
      </c>
      <c r="E759" s="15">
        <v>4</v>
      </c>
    </row>
    <row r="760" spans="1:14">
      <c r="A760" s="15">
        <v>14</v>
      </c>
      <c r="B760" s="77">
        <v>43922</v>
      </c>
      <c r="C760">
        <v>2020</v>
      </c>
      <c r="D760" s="11" t="s">
        <v>31</v>
      </c>
      <c r="E760" s="15">
        <v>4</v>
      </c>
    </row>
    <row r="761" spans="1:14">
      <c r="A761" s="15">
        <v>5</v>
      </c>
      <c r="B761" s="77">
        <v>43952</v>
      </c>
      <c r="C761">
        <v>2020</v>
      </c>
      <c r="D761" s="11" t="s">
        <v>32</v>
      </c>
      <c r="E761" s="15">
        <v>5</v>
      </c>
    </row>
    <row r="762" spans="1:14">
      <c r="A762" s="15">
        <v>7</v>
      </c>
      <c r="B762" s="77">
        <v>43952</v>
      </c>
      <c r="C762">
        <v>2020</v>
      </c>
      <c r="D762" s="11" t="s">
        <v>32</v>
      </c>
      <c r="E762" s="15">
        <v>5</v>
      </c>
    </row>
    <row r="763" spans="1:14">
      <c r="A763" s="15">
        <v>14</v>
      </c>
      <c r="B763" s="77">
        <v>43952</v>
      </c>
      <c r="C763">
        <v>2020</v>
      </c>
      <c r="D763" s="11" t="s">
        <v>32</v>
      </c>
      <c r="E763" s="15">
        <v>5</v>
      </c>
    </row>
    <row r="764" spans="1:14">
      <c r="A764" s="15">
        <v>5</v>
      </c>
      <c r="B764" s="77">
        <v>43983</v>
      </c>
      <c r="C764">
        <v>2020</v>
      </c>
      <c r="D764" s="11" t="s">
        <v>33</v>
      </c>
      <c r="E764" s="15">
        <v>6</v>
      </c>
      <c r="F764" s="95">
        <v>1.6439999999999999</v>
      </c>
      <c r="G764" s="95">
        <v>1.2E-2</v>
      </c>
    </row>
    <row r="765" spans="1:14">
      <c r="A765" s="15">
        <v>7</v>
      </c>
      <c r="B765" s="77">
        <v>43983</v>
      </c>
      <c r="C765">
        <v>2020</v>
      </c>
      <c r="D765" s="11" t="s">
        <v>33</v>
      </c>
      <c r="E765" s="15">
        <v>6</v>
      </c>
      <c r="F765" s="95">
        <v>6.1440000000000001</v>
      </c>
      <c r="G765" s="95">
        <v>0.14499999999999999</v>
      </c>
    </row>
    <row r="766" spans="1:14">
      <c r="A766" s="15">
        <v>14</v>
      </c>
      <c r="B766" s="77">
        <v>43983</v>
      </c>
      <c r="C766">
        <v>2020</v>
      </c>
      <c r="D766" s="11" t="s">
        <v>33</v>
      </c>
      <c r="E766" s="15">
        <v>6</v>
      </c>
      <c r="F766" s="95">
        <v>2.0430000000000001</v>
      </c>
      <c r="G766" s="95">
        <v>0.13</v>
      </c>
      <c r="I766" s="27">
        <f>AVERAGE(F764:F766)</f>
        <v>3.2769999999999997</v>
      </c>
      <c r="J766" s="27">
        <f>AVERAGE(G764:G766)</f>
        <v>9.5666666666666678E-2</v>
      </c>
      <c r="L766">
        <f>+J766/I766</f>
        <v>2.9193367917811013E-2</v>
      </c>
      <c r="M766">
        <f>+(L766-$L$931)/$L$932</f>
        <v>-0.38402136326396935</v>
      </c>
      <c r="N766">
        <f>+N754+M766</f>
        <v>-4.3851650090983325</v>
      </c>
    </row>
    <row r="767" spans="1:14">
      <c r="A767" s="15">
        <v>5</v>
      </c>
      <c r="B767" s="77">
        <v>44013</v>
      </c>
      <c r="C767">
        <v>2020</v>
      </c>
      <c r="D767" s="11" t="s">
        <v>34</v>
      </c>
      <c r="E767" s="15">
        <v>7</v>
      </c>
      <c r="F767" s="99">
        <v>15.592000000000001</v>
      </c>
      <c r="G767" s="100">
        <v>1.7600000000000001E-2</v>
      </c>
      <c r="H767" s="98" t="s">
        <v>102</v>
      </c>
    </row>
    <row r="768" spans="1:14">
      <c r="A768" s="15">
        <v>7</v>
      </c>
      <c r="B768" s="77">
        <v>44013</v>
      </c>
      <c r="C768">
        <v>2020</v>
      </c>
      <c r="D768" s="11" t="s">
        <v>34</v>
      </c>
      <c r="E768" s="15">
        <v>7</v>
      </c>
      <c r="F768" s="95">
        <v>10.538</v>
      </c>
      <c r="G768" s="95">
        <v>1.1539999999999999</v>
      </c>
    </row>
    <row r="769" spans="1:14">
      <c r="A769" s="15">
        <v>14</v>
      </c>
      <c r="B769" s="77">
        <v>44013</v>
      </c>
      <c r="C769">
        <v>2020</v>
      </c>
      <c r="D769" s="11" t="s">
        <v>34</v>
      </c>
      <c r="E769" s="15">
        <v>7</v>
      </c>
      <c r="F769" s="95">
        <v>5.3460000000000001</v>
      </c>
      <c r="G769" s="95">
        <v>1.4</v>
      </c>
      <c r="I769" s="27">
        <f t="shared" ref="I769:J769" si="0">AVERAGE(F767:F769)</f>
        <v>10.492000000000001</v>
      </c>
      <c r="J769" s="27">
        <f t="shared" si="0"/>
        <v>0.85720000000000007</v>
      </c>
      <c r="L769">
        <f t="shared" ref="L769" si="1">+J769/I769</f>
        <v>8.1700343118566526E-2</v>
      </c>
      <c r="M769">
        <f t="shared" ref="M769" si="2">+(L769-$L$931)/$L$932</f>
        <v>0.60709795015771117</v>
      </c>
      <c r="N769">
        <f>+N766+M769</f>
        <v>-3.7780670589406213</v>
      </c>
    </row>
    <row r="770" spans="1:14">
      <c r="A770" s="15">
        <v>5</v>
      </c>
      <c r="B770" s="77">
        <v>44044</v>
      </c>
      <c r="C770">
        <v>2020</v>
      </c>
      <c r="D770" s="11" t="s">
        <v>35</v>
      </c>
      <c r="E770" s="15">
        <v>8</v>
      </c>
      <c r="F770" s="95">
        <v>3.669</v>
      </c>
      <c r="G770" s="95">
        <v>0.38100000000000001</v>
      </c>
    </row>
    <row r="771" spans="1:14">
      <c r="A771" s="15">
        <v>7</v>
      </c>
      <c r="B771" s="77">
        <v>44044</v>
      </c>
      <c r="C771">
        <v>2020</v>
      </c>
      <c r="D771" s="11" t="s">
        <v>35</v>
      </c>
      <c r="E771" s="15">
        <v>8</v>
      </c>
      <c r="F771" s="95">
        <v>17.402999999999999</v>
      </c>
      <c r="G771" s="95">
        <v>2.94</v>
      </c>
    </row>
    <row r="772" spans="1:14">
      <c r="A772" s="15">
        <v>14</v>
      </c>
      <c r="B772" s="77">
        <v>44044</v>
      </c>
      <c r="C772">
        <v>2020</v>
      </c>
      <c r="D772" s="11" t="s">
        <v>35</v>
      </c>
      <c r="E772" s="15">
        <v>8</v>
      </c>
      <c r="F772" s="95">
        <v>5.0720000000000001</v>
      </c>
      <c r="G772" s="95">
        <v>0.878</v>
      </c>
      <c r="I772" s="27">
        <f t="shared" ref="I772:J772" si="3">AVERAGE(F770:F772)</f>
        <v>8.7146666666666661</v>
      </c>
      <c r="J772" s="27">
        <f t="shared" si="3"/>
        <v>1.3996666666666666</v>
      </c>
      <c r="L772">
        <f t="shared" ref="L772" si="4">+J772/I772</f>
        <v>0.16061046511627908</v>
      </c>
      <c r="M772">
        <f t="shared" ref="M772" si="5">+(L772-$L$931)/$L$932</f>
        <v>2.0966018805853883</v>
      </c>
      <c r="N772">
        <f t="shared" ref="N772" si="6">+N769+M772</f>
        <v>-1.681465178355233</v>
      </c>
    </row>
    <row r="773" spans="1:14">
      <c r="A773" s="15">
        <v>5</v>
      </c>
      <c r="B773" s="77">
        <v>44075</v>
      </c>
      <c r="C773">
        <v>2020</v>
      </c>
      <c r="D773" s="11" t="s">
        <v>41</v>
      </c>
      <c r="E773" s="15">
        <v>9</v>
      </c>
      <c r="F773" s="95">
        <v>1.829</v>
      </c>
      <c r="G773" s="95">
        <v>9.6000000000000002E-2</v>
      </c>
    </row>
    <row r="774" spans="1:14">
      <c r="A774" s="15">
        <v>7</v>
      </c>
      <c r="B774" s="77">
        <v>44075</v>
      </c>
      <c r="C774">
        <v>2020</v>
      </c>
      <c r="D774" s="11" t="s">
        <v>41</v>
      </c>
      <c r="E774" s="15">
        <v>9</v>
      </c>
      <c r="F774" s="95">
        <v>2.294</v>
      </c>
      <c r="G774" s="95">
        <v>0.14399999999999999</v>
      </c>
    </row>
    <row r="775" spans="1:14">
      <c r="A775" s="15">
        <v>14</v>
      </c>
      <c r="B775" s="77">
        <v>44075</v>
      </c>
      <c r="C775">
        <v>2020</v>
      </c>
      <c r="D775" s="11" t="s">
        <v>41</v>
      </c>
      <c r="E775" s="15">
        <v>9</v>
      </c>
      <c r="F775" s="95">
        <v>0.78200000000000003</v>
      </c>
      <c r="G775" s="95">
        <v>2.9000000000000001E-2</v>
      </c>
      <c r="I775" s="27">
        <f t="shared" ref="I775:J775" si="7">AVERAGE(F773:F775)</f>
        <v>1.635</v>
      </c>
      <c r="J775" s="27">
        <f t="shared" si="7"/>
        <v>8.9666666666666672E-2</v>
      </c>
      <c r="L775">
        <f t="shared" ref="L775" si="8">+J775/I775</f>
        <v>5.4841997961264016E-2</v>
      </c>
      <c r="M775">
        <f t="shared" ref="M775" si="9">+(L775-$L$931)/$L$932</f>
        <v>0.10012102927872758</v>
      </c>
      <c r="N775">
        <f t="shared" ref="N775" si="10">+N772+M775</f>
        <v>-1.5813441490765054</v>
      </c>
    </row>
    <row r="776" spans="1:14">
      <c r="A776" s="15">
        <v>5</v>
      </c>
      <c r="B776" s="77">
        <v>44105</v>
      </c>
      <c r="C776">
        <v>2020</v>
      </c>
      <c r="D776" s="11" t="s">
        <v>37</v>
      </c>
      <c r="E776" s="15">
        <v>10</v>
      </c>
      <c r="F776" s="95">
        <v>1.798</v>
      </c>
      <c r="G776" s="95">
        <v>8.2000000000000003E-2</v>
      </c>
    </row>
    <row r="777" spans="1:14">
      <c r="A777" s="15">
        <v>7</v>
      </c>
      <c r="B777" s="77">
        <v>44105</v>
      </c>
      <c r="C777">
        <v>2020</v>
      </c>
      <c r="D777" s="11" t="s">
        <v>37</v>
      </c>
      <c r="E777" s="15">
        <v>10</v>
      </c>
      <c r="F777" s="95">
        <v>4.4989999999999997</v>
      </c>
      <c r="G777" s="95">
        <v>0.56899999999999995</v>
      </c>
    </row>
    <row r="778" spans="1:14">
      <c r="A778" s="15">
        <v>14</v>
      </c>
      <c r="B778" s="77">
        <v>44105</v>
      </c>
      <c r="C778">
        <v>2020</v>
      </c>
      <c r="D778" s="11" t="s">
        <v>37</v>
      </c>
      <c r="E778" s="15">
        <v>10</v>
      </c>
      <c r="F778" s="95">
        <v>1.04</v>
      </c>
      <c r="G778" s="95">
        <v>2.4E-2</v>
      </c>
      <c r="I778" s="27">
        <f t="shared" ref="I778:J778" si="11">AVERAGE(F776:F778)</f>
        <v>2.4456666666666664</v>
      </c>
      <c r="J778" s="27">
        <f t="shared" si="11"/>
        <v>0.22499999999999998</v>
      </c>
      <c r="L778">
        <f t="shared" ref="L778" si="12">+J778/I778</f>
        <v>9.1999454818045528E-2</v>
      </c>
      <c r="M778">
        <f t="shared" ref="M778" si="13">+(L778-$L$931)/$L$932</f>
        <v>0.80150352155870763</v>
      </c>
      <c r="N778">
        <f t="shared" ref="N778" si="14">+N775+M778</f>
        <v>-0.77984062751779781</v>
      </c>
    </row>
    <row r="779" spans="1:14">
      <c r="A779" s="15">
        <v>5</v>
      </c>
      <c r="B779" s="77">
        <v>44136</v>
      </c>
      <c r="C779">
        <v>2020</v>
      </c>
      <c r="D779" s="11" t="s">
        <v>38</v>
      </c>
      <c r="E779" s="15">
        <v>11</v>
      </c>
      <c r="F779" s="95">
        <v>0.88</v>
      </c>
      <c r="G779" s="95">
        <v>9.9989999999999996E-4</v>
      </c>
    </row>
    <row r="780" spans="1:14">
      <c r="A780" s="15">
        <v>7</v>
      </c>
      <c r="B780" s="77">
        <v>44136</v>
      </c>
      <c r="C780">
        <v>2020</v>
      </c>
      <c r="D780" s="11" t="s">
        <v>38</v>
      </c>
      <c r="E780" s="15">
        <v>11</v>
      </c>
      <c r="F780" s="95">
        <v>2.1760000000000002</v>
      </c>
      <c r="G780" s="95">
        <v>0.121</v>
      </c>
    </row>
    <row r="781" spans="1:14">
      <c r="A781" s="15">
        <v>14</v>
      </c>
      <c r="B781" s="77">
        <v>44136</v>
      </c>
      <c r="C781">
        <v>2020</v>
      </c>
      <c r="D781" s="11" t="s">
        <v>38</v>
      </c>
      <c r="E781" s="15">
        <v>11</v>
      </c>
      <c r="F781" s="95">
        <v>0.85499999999999998</v>
      </c>
      <c r="G781" s="95">
        <v>9.9989999999999996E-4</v>
      </c>
      <c r="I781" s="27">
        <f t="shared" ref="I781:J781" si="15">AVERAGE(F779:F781)</f>
        <v>1.3036666666666668</v>
      </c>
      <c r="J781" s="27">
        <f t="shared" si="15"/>
        <v>4.0999933333333329E-2</v>
      </c>
      <c r="L781">
        <f t="shared" ref="L781" si="16">+J781/I781</f>
        <v>3.1449705957555606E-2</v>
      </c>
      <c r="M781">
        <f t="shared" ref="M781" si="17">+(L781-$L$931)/$L$932</f>
        <v>-0.34143082743042347</v>
      </c>
      <c r="N781">
        <f t="shared" ref="N781" si="18">+N778+M781</f>
        <v>-1.1212714549482212</v>
      </c>
    </row>
    <row r="782" spans="1:14">
      <c r="A782" s="15">
        <v>5</v>
      </c>
      <c r="B782" s="78">
        <v>44166</v>
      </c>
      <c r="C782">
        <v>2020</v>
      </c>
      <c r="D782" s="11" t="s">
        <v>39</v>
      </c>
      <c r="E782" s="15">
        <v>12</v>
      </c>
    </row>
    <row r="783" spans="1:14">
      <c r="A783" s="15">
        <v>7</v>
      </c>
      <c r="B783" s="77">
        <v>44166</v>
      </c>
      <c r="C783">
        <v>2020</v>
      </c>
      <c r="D783" s="11" t="s">
        <v>39</v>
      </c>
      <c r="E783" s="15">
        <v>12</v>
      </c>
    </row>
    <row r="784" spans="1:14">
      <c r="A784" s="15">
        <v>14</v>
      </c>
      <c r="B784" s="77">
        <v>44166</v>
      </c>
      <c r="C784">
        <v>2020</v>
      </c>
      <c r="D784" s="11" t="s">
        <v>39</v>
      </c>
      <c r="E784" s="15">
        <v>12</v>
      </c>
      <c r="I784" s="27"/>
      <c r="J784" s="27"/>
    </row>
    <row r="785" spans="1:14">
      <c r="A785" s="93">
        <v>5</v>
      </c>
      <c r="B785" s="90">
        <v>44206</v>
      </c>
      <c r="C785" s="91">
        <v>2021</v>
      </c>
      <c r="D785" s="92" t="s">
        <v>40</v>
      </c>
      <c r="E785" s="93">
        <v>1</v>
      </c>
    </row>
    <row r="786" spans="1:14">
      <c r="A786" s="15">
        <v>7</v>
      </c>
      <c r="B786" s="73">
        <v>44201</v>
      </c>
      <c r="C786">
        <v>2021</v>
      </c>
      <c r="D786" s="11" t="s">
        <v>40</v>
      </c>
      <c r="E786" s="15">
        <v>1</v>
      </c>
    </row>
    <row r="787" spans="1:14">
      <c r="A787" s="15">
        <v>14</v>
      </c>
      <c r="B787" s="73">
        <v>44201</v>
      </c>
      <c r="C787">
        <v>2021</v>
      </c>
      <c r="D787" s="11" t="s">
        <v>40</v>
      </c>
      <c r="E787" s="15">
        <v>1</v>
      </c>
      <c r="I787" s="27"/>
      <c r="J787" s="27"/>
    </row>
    <row r="788" spans="1:14">
      <c r="A788" s="15">
        <v>5</v>
      </c>
      <c r="B788" s="77">
        <v>44228</v>
      </c>
      <c r="C788">
        <v>2021</v>
      </c>
      <c r="D788" s="11" t="s">
        <v>29</v>
      </c>
      <c r="E788" s="15">
        <v>2</v>
      </c>
      <c r="F788" s="95">
        <v>4.7380000000000004</v>
      </c>
      <c r="G788" s="95">
        <v>6.2E-2</v>
      </c>
    </row>
    <row r="789" spans="1:14">
      <c r="A789" s="15">
        <v>7</v>
      </c>
      <c r="B789" s="77">
        <v>44228</v>
      </c>
      <c r="C789">
        <v>2021</v>
      </c>
      <c r="D789" s="11" t="s">
        <v>29</v>
      </c>
      <c r="E789" s="15">
        <v>2</v>
      </c>
      <c r="F789" s="95">
        <v>2.7160000000000002</v>
      </c>
      <c r="G789" s="95">
        <v>0.17</v>
      </c>
    </row>
    <row r="790" spans="1:14">
      <c r="A790" s="15">
        <v>14</v>
      </c>
      <c r="B790" s="77">
        <v>44228</v>
      </c>
      <c r="C790">
        <v>2021</v>
      </c>
      <c r="D790" s="11" t="s">
        <v>29</v>
      </c>
      <c r="E790" s="15">
        <v>2</v>
      </c>
      <c r="F790" s="95">
        <v>2.9409999999999998</v>
      </c>
      <c r="G790" s="95">
        <v>5.3999999999999999E-2</v>
      </c>
      <c r="I790" s="27">
        <f t="shared" ref="I790:J790" si="19">AVERAGE(F788:F790)</f>
        <v>3.4649999999999999</v>
      </c>
      <c r="J790" s="27">
        <f t="shared" si="19"/>
        <v>9.5333333333333339E-2</v>
      </c>
      <c r="L790">
        <f t="shared" ref="L790" si="20">+J790/I790</f>
        <v>2.7513227513227517E-2</v>
      </c>
      <c r="M790">
        <f t="shared" ref="M790" si="21">+(L790-$L$931)/$L$932</f>
        <v>-0.41573561832962502</v>
      </c>
      <c r="N790">
        <f>+N781+M790</f>
        <v>-1.5370070732778462</v>
      </c>
    </row>
    <row r="791" spans="1:14">
      <c r="A791" s="15">
        <v>5</v>
      </c>
      <c r="B791" s="77">
        <v>44256</v>
      </c>
      <c r="C791">
        <v>2021</v>
      </c>
      <c r="D791" s="11" t="s">
        <v>30</v>
      </c>
      <c r="E791" s="15">
        <v>3</v>
      </c>
      <c r="F791" s="95">
        <v>2.9289999999999998</v>
      </c>
      <c r="G791" s="95">
        <v>3.6999999999999998E-2</v>
      </c>
    </row>
    <row r="792" spans="1:14">
      <c r="A792" s="15">
        <v>7</v>
      </c>
      <c r="B792" s="77">
        <v>44256</v>
      </c>
      <c r="C792">
        <v>2021</v>
      </c>
      <c r="D792" s="11" t="s">
        <v>30</v>
      </c>
      <c r="E792" s="15">
        <v>3</v>
      </c>
      <c r="F792" s="95">
        <v>1.3540000000000001</v>
      </c>
      <c r="G792" s="95">
        <v>0.04</v>
      </c>
    </row>
    <row r="793" spans="1:14">
      <c r="A793" s="15">
        <v>14</v>
      </c>
      <c r="B793" s="77">
        <v>44256</v>
      </c>
      <c r="C793">
        <v>2021</v>
      </c>
      <c r="D793" s="11" t="s">
        <v>30</v>
      </c>
      <c r="E793" s="15">
        <v>3</v>
      </c>
      <c r="F793" s="95">
        <v>1.39</v>
      </c>
      <c r="G793" s="95">
        <v>9.9989999999999996E-4</v>
      </c>
      <c r="I793" s="27">
        <f t="shared" ref="I793:J793" si="22">AVERAGE(F791:F793)</f>
        <v>1.8909999999999998</v>
      </c>
      <c r="J793" s="27">
        <f t="shared" si="22"/>
        <v>2.5999966666666666E-2</v>
      </c>
      <c r="L793">
        <f t="shared" ref="L793" si="23">+J793/I793</f>
        <v>1.3749321346730126E-2</v>
      </c>
      <c r="M793">
        <f t="shared" ref="M793" si="24">+(L793-$L$931)/$L$932</f>
        <v>-0.67554249498899588</v>
      </c>
      <c r="N793">
        <f t="shared" ref="N793" si="25">+N790+M793</f>
        <v>-2.2125495682668421</v>
      </c>
    </row>
    <row r="794" spans="1:14">
      <c r="A794" s="15">
        <v>5</v>
      </c>
      <c r="B794" s="77">
        <v>44287</v>
      </c>
      <c r="C794">
        <v>2021</v>
      </c>
      <c r="D794" s="11" t="s">
        <v>31</v>
      </c>
      <c r="E794" s="15">
        <v>4</v>
      </c>
      <c r="F794" s="95">
        <v>1.0609999999999999</v>
      </c>
      <c r="G794" s="95">
        <v>0.05</v>
      </c>
    </row>
    <row r="795" spans="1:14">
      <c r="A795" s="15">
        <v>7</v>
      </c>
      <c r="B795" s="77">
        <v>44287</v>
      </c>
      <c r="C795">
        <v>2021</v>
      </c>
      <c r="D795" s="11" t="s">
        <v>31</v>
      </c>
      <c r="E795" s="15">
        <v>4</v>
      </c>
      <c r="F795" s="95">
        <v>1.3049999999999999</v>
      </c>
      <c r="G795" s="95">
        <v>2.1000000000000001E-2</v>
      </c>
    </row>
    <row r="796" spans="1:14">
      <c r="A796" s="15">
        <v>14</v>
      </c>
      <c r="B796" s="77">
        <v>44287</v>
      </c>
      <c r="C796">
        <v>2021</v>
      </c>
      <c r="D796" s="11" t="s">
        <v>31</v>
      </c>
      <c r="E796" s="15">
        <v>4</v>
      </c>
      <c r="F796" s="95">
        <v>0.66200000000000003</v>
      </c>
      <c r="G796" s="95">
        <v>4.2999999999999997E-2</v>
      </c>
      <c r="I796" s="27">
        <f t="shared" ref="I796:J796" si="26">AVERAGE(F794:F796)</f>
        <v>1.0093333333333332</v>
      </c>
      <c r="J796" s="27">
        <f t="shared" si="26"/>
        <v>3.7999999999999999E-2</v>
      </c>
      <c r="L796">
        <f t="shared" ref="L796" si="27">+J796/I796</f>
        <v>3.7648612945838843E-2</v>
      </c>
      <c r="M796">
        <f t="shared" ref="M796" si="28">+(L796-$L$931)/$L$932</f>
        <v>-0.22442053661283823</v>
      </c>
      <c r="N796">
        <f t="shared" ref="N796" si="29">+N793+M796</f>
        <v>-2.4369701048796806</v>
      </c>
    </row>
    <row r="797" spans="1:14">
      <c r="A797" s="15">
        <v>5</v>
      </c>
      <c r="B797" s="77">
        <v>44317</v>
      </c>
      <c r="C797">
        <v>2021</v>
      </c>
      <c r="D797" s="11" t="s">
        <v>32</v>
      </c>
      <c r="E797" s="15">
        <v>5</v>
      </c>
      <c r="F797" s="95">
        <v>1.105</v>
      </c>
      <c r="G797" s="95">
        <v>1.9E-2</v>
      </c>
    </row>
    <row r="798" spans="1:14">
      <c r="A798" s="15">
        <v>7</v>
      </c>
      <c r="B798" s="77">
        <v>44317</v>
      </c>
      <c r="C798">
        <v>2021</v>
      </c>
      <c r="D798" s="11" t="s">
        <v>32</v>
      </c>
      <c r="E798" s="15">
        <v>5</v>
      </c>
      <c r="F798" s="95">
        <v>3.7360000000000002</v>
      </c>
      <c r="G798" s="95">
        <v>0.46800000000000003</v>
      </c>
    </row>
    <row r="799" spans="1:14">
      <c r="A799" s="15">
        <v>14</v>
      </c>
      <c r="B799" s="77">
        <v>44317</v>
      </c>
      <c r="C799">
        <v>2021</v>
      </c>
      <c r="D799" s="11" t="s">
        <v>32</v>
      </c>
      <c r="E799" s="15">
        <v>5</v>
      </c>
      <c r="F799" s="95">
        <v>0.89200000000000002</v>
      </c>
      <c r="G799" s="95">
        <v>7.0000000000000007E-2</v>
      </c>
      <c r="I799" s="27">
        <f t="shared" ref="I799:J799" si="30">AVERAGE(F797:F799)</f>
        <v>1.9110000000000003</v>
      </c>
      <c r="J799" s="27">
        <f t="shared" si="30"/>
        <v>0.18566666666666667</v>
      </c>
      <c r="L799">
        <f t="shared" ref="L799" si="31">+J799/I799</f>
        <v>9.715681144252572E-2</v>
      </c>
      <c r="M799">
        <f t="shared" ref="M799" si="32">+(L799-$L$931)/$L$932</f>
        <v>0.89885355433401048</v>
      </c>
      <c r="N799">
        <f t="shared" ref="N799" si="33">+N796+M799</f>
        <v>-1.53811655054567</v>
      </c>
    </row>
    <row r="800" spans="1:14">
      <c r="A800" s="15">
        <v>5</v>
      </c>
      <c r="B800" s="77">
        <v>44348</v>
      </c>
      <c r="C800">
        <v>2021</v>
      </c>
      <c r="D800" s="11" t="s">
        <v>33</v>
      </c>
      <c r="E800" s="15">
        <v>6</v>
      </c>
      <c r="F800" s="95">
        <v>5.8959999999999999</v>
      </c>
      <c r="G800" s="95">
        <v>0.13700000000000001</v>
      </c>
    </row>
    <row r="801" spans="1:14">
      <c r="A801" s="15">
        <v>7</v>
      </c>
      <c r="B801" s="77">
        <v>44348</v>
      </c>
      <c r="C801">
        <v>2021</v>
      </c>
      <c r="D801" s="11" t="s">
        <v>33</v>
      </c>
      <c r="E801" s="15">
        <v>6</v>
      </c>
      <c r="F801" s="95">
        <v>11.476000000000001</v>
      </c>
      <c r="G801" s="95">
        <v>1.0389999999999999</v>
      </c>
    </row>
    <row r="802" spans="1:14">
      <c r="A802" s="15">
        <v>14</v>
      </c>
      <c r="B802" s="77">
        <v>44348</v>
      </c>
      <c r="C802">
        <v>2021</v>
      </c>
      <c r="D802" s="11" t="s">
        <v>33</v>
      </c>
      <c r="E802" s="15">
        <v>6</v>
      </c>
      <c r="F802" s="95">
        <v>3.0630000000000002</v>
      </c>
      <c r="G802" s="95">
        <v>0.127</v>
      </c>
      <c r="I802" s="27">
        <f t="shared" ref="I802:J802" si="34">AVERAGE(F800:F802)</f>
        <v>6.8116666666666665</v>
      </c>
      <c r="J802" s="27">
        <f t="shared" si="34"/>
        <v>0.43433333333333329</v>
      </c>
      <c r="L802">
        <f t="shared" ref="L802" si="35">+J802/I802</f>
        <v>6.3763151455835568E-2</v>
      </c>
      <c r="M802">
        <f t="shared" ref="M802" si="36">+(L802-$L$931)/$L$932</f>
        <v>0.26851632328800729</v>
      </c>
      <c r="N802">
        <f t="shared" ref="N802" si="37">+N799+M802</f>
        <v>-1.2696002272576628</v>
      </c>
    </row>
    <row r="803" spans="1:14">
      <c r="A803" s="15">
        <v>5</v>
      </c>
      <c r="B803" s="77">
        <v>44378</v>
      </c>
      <c r="C803">
        <v>2021</v>
      </c>
      <c r="D803" s="11" t="s">
        <v>34</v>
      </c>
      <c r="E803" s="15">
        <v>7</v>
      </c>
      <c r="H803" s="98" t="s">
        <v>100</v>
      </c>
    </row>
    <row r="804" spans="1:14">
      <c r="A804" s="15">
        <v>7</v>
      </c>
      <c r="B804" s="77">
        <v>44378</v>
      </c>
      <c r="C804">
        <v>2021</v>
      </c>
      <c r="D804" s="11" t="s">
        <v>34</v>
      </c>
      <c r="E804" s="15">
        <v>7</v>
      </c>
      <c r="H804" s="98" t="s">
        <v>101</v>
      </c>
    </row>
    <row r="805" spans="1:14">
      <c r="A805" s="15">
        <v>14</v>
      </c>
      <c r="B805" s="77">
        <v>44378</v>
      </c>
      <c r="C805">
        <v>2021</v>
      </c>
      <c r="D805" s="11" t="s">
        <v>34</v>
      </c>
      <c r="E805" s="15">
        <v>7</v>
      </c>
      <c r="I805" s="27"/>
      <c r="J805" s="27"/>
    </row>
    <row r="806" spans="1:14">
      <c r="A806" s="15">
        <v>5</v>
      </c>
      <c r="B806" s="77">
        <v>44409</v>
      </c>
      <c r="C806">
        <v>2021</v>
      </c>
      <c r="D806" s="11" t="s">
        <v>35</v>
      </c>
      <c r="E806" s="15">
        <v>8</v>
      </c>
      <c r="F806" s="95">
        <v>4.2329999999999997</v>
      </c>
      <c r="G806" s="95">
        <v>9.0999999999999998E-2</v>
      </c>
    </row>
    <row r="807" spans="1:14">
      <c r="A807" s="15">
        <v>7</v>
      </c>
      <c r="B807" s="77">
        <v>44409</v>
      </c>
      <c r="C807">
        <v>2021</v>
      </c>
      <c r="D807" s="11" t="s">
        <v>35</v>
      </c>
      <c r="E807" s="15">
        <v>8</v>
      </c>
      <c r="F807" s="95">
        <v>10.93</v>
      </c>
      <c r="G807" s="95">
        <v>1.6559999999999999</v>
      </c>
    </row>
    <row r="808" spans="1:14">
      <c r="A808" s="15">
        <v>14</v>
      </c>
      <c r="B808" s="77">
        <v>44409</v>
      </c>
      <c r="C808">
        <v>2021</v>
      </c>
      <c r="D808" s="11" t="s">
        <v>35</v>
      </c>
      <c r="E808" s="15">
        <v>8</v>
      </c>
      <c r="F808" s="95">
        <v>2.1480000000000001</v>
      </c>
      <c r="G808" s="95">
        <v>0.17899999999999999</v>
      </c>
      <c r="I808" s="27">
        <f t="shared" ref="I808:J808" si="38">AVERAGE(F806:F808)</f>
        <v>5.7703333333333333</v>
      </c>
      <c r="J808" s="27">
        <f t="shared" si="38"/>
        <v>0.64200000000000002</v>
      </c>
      <c r="L808">
        <f t="shared" ref="L808" si="39">+J808/I808</f>
        <v>0.11125873721910924</v>
      </c>
      <c r="M808">
        <f t="shared" ref="M808" si="40">+(L808-$L$931)/$L$932</f>
        <v>1.165040874021964</v>
      </c>
      <c r="N808">
        <f>+N802+M808</f>
        <v>-0.10455935323569876</v>
      </c>
    </row>
    <row r="809" spans="1:14">
      <c r="A809" s="15">
        <v>5</v>
      </c>
      <c r="B809" s="77">
        <v>44440</v>
      </c>
      <c r="C809">
        <v>2021</v>
      </c>
      <c r="D809" s="11" t="s">
        <v>41</v>
      </c>
      <c r="E809" s="15">
        <v>9</v>
      </c>
      <c r="F809" s="95">
        <v>1.4059999999999999</v>
      </c>
      <c r="G809" s="95">
        <v>0.16600000000000001</v>
      </c>
    </row>
    <row r="810" spans="1:14">
      <c r="A810" s="15">
        <v>7</v>
      </c>
      <c r="B810" s="77">
        <v>44440</v>
      </c>
      <c r="C810">
        <v>2021</v>
      </c>
      <c r="D810" s="11" t="s">
        <v>41</v>
      </c>
      <c r="E810" s="15">
        <v>9</v>
      </c>
      <c r="F810" s="95">
        <v>3.7690000000000001</v>
      </c>
      <c r="G810" s="95">
        <v>0.55900000000000005</v>
      </c>
    </row>
    <row r="811" spans="1:14">
      <c r="A811" s="15">
        <v>14</v>
      </c>
      <c r="B811" s="77">
        <v>44440</v>
      </c>
      <c r="C811">
        <v>2021</v>
      </c>
      <c r="D811" s="11" t="s">
        <v>41</v>
      </c>
      <c r="E811" s="15">
        <v>9</v>
      </c>
      <c r="F811" s="95">
        <v>1.5569999999999999</v>
      </c>
      <c r="G811" s="95">
        <v>9.4E-2</v>
      </c>
      <c r="I811" s="27">
        <f t="shared" ref="I811:J811" si="41">AVERAGE(F809:F811)</f>
        <v>2.2439999999999998</v>
      </c>
      <c r="J811" s="27">
        <f t="shared" si="41"/>
        <v>0.27300000000000002</v>
      </c>
      <c r="L811">
        <f t="shared" ref="L811" si="42">+J811/I811</f>
        <v>0.12165775401069522</v>
      </c>
      <c r="M811">
        <f t="shared" ref="M811" si="43">+(L811-$L$931)/$L$932</f>
        <v>1.3613322494693336</v>
      </c>
      <c r="N811">
        <f t="shared" ref="N811" si="44">+N808+M811</f>
        <v>1.2567728962336349</v>
      </c>
    </row>
    <row r="812" spans="1:14">
      <c r="A812" s="15">
        <v>5</v>
      </c>
      <c r="B812" s="77">
        <v>44470</v>
      </c>
      <c r="C812">
        <v>2021</v>
      </c>
      <c r="D812" s="11" t="s">
        <v>37</v>
      </c>
      <c r="E812" s="15">
        <v>10</v>
      </c>
      <c r="F812" s="95">
        <v>2.2650000000000001</v>
      </c>
      <c r="G812" s="95">
        <v>4.8000000000000001E-2</v>
      </c>
    </row>
    <row r="813" spans="1:14">
      <c r="A813" s="15">
        <v>7</v>
      </c>
      <c r="B813" s="77">
        <v>44470</v>
      </c>
      <c r="C813">
        <v>2021</v>
      </c>
      <c r="D813" s="11" t="s">
        <v>37</v>
      </c>
      <c r="E813" s="15">
        <v>10</v>
      </c>
      <c r="F813" s="95">
        <v>2.258</v>
      </c>
      <c r="G813" s="95">
        <v>5.1999999999999998E-2</v>
      </c>
    </row>
    <row r="814" spans="1:14">
      <c r="A814" s="15">
        <v>14</v>
      </c>
      <c r="B814" s="77">
        <v>44470</v>
      </c>
      <c r="C814">
        <v>2021</v>
      </c>
      <c r="D814" s="11" t="s">
        <v>37</v>
      </c>
      <c r="E814" s="15">
        <v>10</v>
      </c>
      <c r="F814" s="95">
        <v>2.2509999999999999</v>
      </c>
      <c r="G814" s="95">
        <v>5.2999999999999999E-2</v>
      </c>
      <c r="I814" s="27">
        <f t="shared" ref="I814:J814" si="45">AVERAGE(F812:F814)</f>
        <v>2.2579999999999996</v>
      </c>
      <c r="J814" s="27">
        <f t="shared" si="45"/>
        <v>5.0999999999999997E-2</v>
      </c>
      <c r="L814">
        <f t="shared" ref="L814" si="46">+J814/I814</f>
        <v>2.2586359610274581E-2</v>
      </c>
      <c r="M814">
        <f t="shared" ref="M814" si="47">+(L814-$L$931)/$L$932</f>
        <v>-0.5087349563151764</v>
      </c>
      <c r="N814">
        <f t="shared" ref="N814" si="48">+N811+M814</f>
        <v>0.74803793991845846</v>
      </c>
    </row>
    <row r="815" spans="1:14">
      <c r="A815" s="15">
        <v>5</v>
      </c>
      <c r="B815" s="77">
        <v>44501</v>
      </c>
      <c r="C815">
        <v>2021</v>
      </c>
      <c r="D815" s="11" t="s">
        <v>38</v>
      </c>
      <c r="E815" s="15">
        <v>11</v>
      </c>
      <c r="F815" s="95">
        <v>0.85899999999999999</v>
      </c>
      <c r="G815" s="95">
        <v>2.8000000000000001E-2</v>
      </c>
    </row>
    <row r="816" spans="1:14">
      <c r="A816" s="15">
        <v>7</v>
      </c>
      <c r="B816" s="77">
        <v>44501</v>
      </c>
      <c r="C816">
        <v>2021</v>
      </c>
      <c r="D816" s="11" t="s">
        <v>38</v>
      </c>
      <c r="E816" s="15">
        <v>11</v>
      </c>
      <c r="F816" s="95">
        <v>0.83199999999999996</v>
      </c>
      <c r="G816" s="95">
        <v>2.4E-2</v>
      </c>
    </row>
    <row r="817" spans="1:14">
      <c r="A817" s="15">
        <v>14</v>
      </c>
      <c r="B817" s="77">
        <v>44501</v>
      </c>
      <c r="C817">
        <v>2021</v>
      </c>
      <c r="D817" s="11" t="s">
        <v>38</v>
      </c>
      <c r="E817" s="15">
        <v>11</v>
      </c>
      <c r="F817" s="95">
        <v>0.39700000000000002</v>
      </c>
      <c r="G817" s="95">
        <v>1.0999999999999999E-2</v>
      </c>
      <c r="I817" s="27">
        <f t="shared" ref="I817:J817" si="49">AVERAGE(F815:F817)</f>
        <v>0.69600000000000006</v>
      </c>
      <c r="J817" s="27">
        <f t="shared" si="49"/>
        <v>2.1000000000000001E-2</v>
      </c>
      <c r="L817">
        <f t="shared" ref="L817" si="50">+J817/I817</f>
        <v>3.0172413793103446E-2</v>
      </c>
      <c r="M817">
        <f t="shared" ref="M817" si="51">+(L817-$L$931)/$L$932</f>
        <v>-0.36554093714880809</v>
      </c>
      <c r="N817">
        <f t="shared" ref="N817" si="52">+N814+M817</f>
        <v>0.38249700276965037</v>
      </c>
    </row>
    <row r="818" spans="1:14">
      <c r="A818" s="15">
        <v>5</v>
      </c>
      <c r="B818" s="78">
        <v>44531</v>
      </c>
      <c r="C818">
        <v>2021</v>
      </c>
      <c r="D818" s="11" t="s">
        <v>39</v>
      </c>
      <c r="E818" s="15">
        <v>12</v>
      </c>
      <c r="F818" s="95">
        <v>0.73899999999999999</v>
      </c>
      <c r="G818" s="95">
        <v>0.1</v>
      </c>
    </row>
    <row r="819" spans="1:14">
      <c r="A819" s="15">
        <v>7</v>
      </c>
      <c r="B819" s="77">
        <v>44531</v>
      </c>
      <c r="C819">
        <v>2021</v>
      </c>
      <c r="D819" s="11" t="s">
        <v>39</v>
      </c>
      <c r="E819" s="15">
        <v>12</v>
      </c>
      <c r="F819" s="95">
        <v>0.71899999999999997</v>
      </c>
      <c r="G819" s="95">
        <v>9.7000000000000003E-2</v>
      </c>
    </row>
    <row r="820" spans="1:14">
      <c r="A820" s="15">
        <v>14</v>
      </c>
      <c r="B820" s="77">
        <v>44531</v>
      </c>
      <c r="C820">
        <v>2021</v>
      </c>
      <c r="D820" s="11" t="s">
        <v>39</v>
      </c>
      <c r="E820" s="15">
        <v>12</v>
      </c>
      <c r="F820" s="95">
        <v>0.72899999999999998</v>
      </c>
      <c r="G820" s="95">
        <v>9.5000000000000001E-2</v>
      </c>
      <c r="I820" s="27">
        <f t="shared" ref="I820:J820" si="53">AVERAGE(F818:F820)</f>
        <v>0.72899999999999998</v>
      </c>
      <c r="J820" s="27">
        <f t="shared" si="53"/>
        <v>9.7333333333333341E-2</v>
      </c>
      <c r="L820">
        <f t="shared" ref="L820" si="54">+J820/I820</f>
        <v>0.1335162322816644</v>
      </c>
      <c r="M820">
        <f t="shared" ref="M820" si="55">+(L820-$L$931)/$L$932</f>
        <v>1.5851723544689407</v>
      </c>
      <c r="N820">
        <f t="shared" ref="N820" si="56">+N817+M820</f>
        <v>1.967669357238591</v>
      </c>
    </row>
    <row r="821" spans="1:14">
      <c r="A821" s="93">
        <v>5</v>
      </c>
      <c r="B821" s="90">
        <v>44571</v>
      </c>
      <c r="C821" s="91">
        <v>2022</v>
      </c>
      <c r="D821" s="92" t="s">
        <v>40</v>
      </c>
      <c r="E821" s="93">
        <v>1</v>
      </c>
      <c r="H821" s="98" t="s">
        <v>97</v>
      </c>
    </row>
    <row r="822" spans="1:14">
      <c r="A822" s="15">
        <v>7</v>
      </c>
      <c r="B822" s="73">
        <v>44566</v>
      </c>
      <c r="C822">
        <v>2022</v>
      </c>
      <c r="D822" s="11" t="s">
        <v>40</v>
      </c>
      <c r="E822" s="15">
        <v>1</v>
      </c>
      <c r="H822" s="98" t="s">
        <v>98</v>
      </c>
    </row>
    <row r="823" spans="1:14">
      <c r="A823" s="15">
        <v>14</v>
      </c>
      <c r="B823" s="73">
        <v>44566</v>
      </c>
      <c r="C823">
        <v>2022</v>
      </c>
      <c r="D823" s="11" t="s">
        <v>40</v>
      </c>
      <c r="E823" s="15">
        <v>1</v>
      </c>
      <c r="H823" s="98" t="s">
        <v>99</v>
      </c>
    </row>
    <row r="824" spans="1:14">
      <c r="A824" s="15">
        <v>5</v>
      </c>
      <c r="B824" s="77">
        <v>44593</v>
      </c>
      <c r="C824">
        <v>2022</v>
      </c>
      <c r="D824" s="11" t="s">
        <v>29</v>
      </c>
      <c r="E824" s="15">
        <v>2</v>
      </c>
    </row>
    <row r="825" spans="1:14">
      <c r="A825" s="15">
        <v>7</v>
      </c>
      <c r="B825" s="77">
        <v>44593</v>
      </c>
      <c r="C825">
        <v>2022</v>
      </c>
      <c r="D825" s="11" t="s">
        <v>29</v>
      </c>
      <c r="E825" s="15">
        <v>2</v>
      </c>
    </row>
    <row r="826" spans="1:14">
      <c r="A826" s="15">
        <v>14</v>
      </c>
      <c r="B826" s="77">
        <v>44593</v>
      </c>
      <c r="C826">
        <v>2022</v>
      </c>
      <c r="D826" s="11" t="s">
        <v>29</v>
      </c>
      <c r="E826" s="15">
        <v>2</v>
      </c>
    </row>
    <row r="827" spans="1:14">
      <c r="A827" s="15">
        <v>5</v>
      </c>
      <c r="B827" s="77">
        <v>44621</v>
      </c>
      <c r="C827">
        <v>2022</v>
      </c>
      <c r="D827" s="11" t="s">
        <v>30</v>
      </c>
      <c r="E827" s="15">
        <v>3</v>
      </c>
    </row>
    <row r="828" spans="1:14">
      <c r="A828" s="15">
        <v>7</v>
      </c>
      <c r="B828" s="77">
        <v>44621</v>
      </c>
      <c r="C828">
        <v>2022</v>
      </c>
      <c r="D828" s="11" t="s">
        <v>30</v>
      </c>
      <c r="E828" s="15">
        <v>3</v>
      </c>
    </row>
    <row r="829" spans="1:14">
      <c r="A829" s="15">
        <v>14</v>
      </c>
      <c r="B829" s="77">
        <v>44621</v>
      </c>
      <c r="C829">
        <v>2022</v>
      </c>
      <c r="D829" s="11" t="s">
        <v>30</v>
      </c>
      <c r="E829" s="15">
        <v>3</v>
      </c>
    </row>
    <row r="830" spans="1:14">
      <c r="A830" s="15">
        <v>5</v>
      </c>
      <c r="B830" s="77">
        <v>44652</v>
      </c>
      <c r="C830">
        <v>2022</v>
      </c>
      <c r="D830" s="11" t="s">
        <v>31</v>
      </c>
      <c r="E830" s="15">
        <v>4</v>
      </c>
    </row>
    <row r="831" spans="1:14">
      <c r="A831" s="15">
        <v>7</v>
      </c>
      <c r="B831" s="77">
        <v>44652</v>
      </c>
      <c r="C831">
        <v>2022</v>
      </c>
      <c r="D831" s="11" t="s">
        <v>31</v>
      </c>
      <c r="E831" s="15">
        <v>4</v>
      </c>
    </row>
    <row r="832" spans="1:14">
      <c r="A832" s="15">
        <v>14</v>
      </c>
      <c r="B832" s="77">
        <v>44652</v>
      </c>
      <c r="C832">
        <v>2022</v>
      </c>
      <c r="D832" s="11" t="s">
        <v>31</v>
      </c>
      <c r="E832" s="15">
        <v>4</v>
      </c>
    </row>
    <row r="833" spans="1:5">
      <c r="A833" s="15">
        <v>5</v>
      </c>
      <c r="B833" s="77">
        <v>44682</v>
      </c>
      <c r="C833">
        <v>2022</v>
      </c>
      <c r="D833" s="11" t="s">
        <v>32</v>
      </c>
      <c r="E833" s="15">
        <v>5</v>
      </c>
    </row>
    <row r="834" spans="1:5">
      <c r="A834" s="15">
        <v>7</v>
      </c>
      <c r="B834" s="77">
        <v>44682</v>
      </c>
      <c r="C834">
        <v>2022</v>
      </c>
      <c r="D834" s="11" t="s">
        <v>32</v>
      </c>
      <c r="E834" s="15">
        <v>5</v>
      </c>
    </row>
    <row r="835" spans="1:5">
      <c r="A835" s="15">
        <v>14</v>
      </c>
      <c r="B835" s="77">
        <v>44682</v>
      </c>
      <c r="C835">
        <v>2022</v>
      </c>
      <c r="D835" s="11" t="s">
        <v>32</v>
      </c>
      <c r="E835" s="15">
        <v>5</v>
      </c>
    </row>
    <row r="836" spans="1:5">
      <c r="A836" s="15">
        <v>5</v>
      </c>
      <c r="B836" s="77">
        <v>44713</v>
      </c>
      <c r="C836">
        <v>2022</v>
      </c>
      <c r="D836" s="11" t="s">
        <v>33</v>
      </c>
      <c r="E836" s="15">
        <v>6</v>
      </c>
    </row>
    <row r="837" spans="1:5">
      <c r="A837" s="15">
        <v>7</v>
      </c>
      <c r="B837" s="77">
        <v>44713</v>
      </c>
      <c r="C837">
        <v>2022</v>
      </c>
      <c r="D837" s="11" t="s">
        <v>33</v>
      </c>
      <c r="E837" s="15">
        <v>6</v>
      </c>
    </row>
    <row r="838" spans="1:5">
      <c r="A838" s="15">
        <v>14</v>
      </c>
      <c r="B838" s="77">
        <v>44713</v>
      </c>
      <c r="C838">
        <v>2022</v>
      </c>
      <c r="D838" s="11" t="s">
        <v>33</v>
      </c>
      <c r="E838" s="15">
        <v>6</v>
      </c>
    </row>
    <row r="839" spans="1:5">
      <c r="A839" s="15">
        <v>5</v>
      </c>
      <c r="B839" s="77">
        <v>44743</v>
      </c>
      <c r="C839">
        <v>2022</v>
      </c>
      <c r="D839" s="11" t="s">
        <v>34</v>
      </c>
      <c r="E839" s="15">
        <v>7</v>
      </c>
    </row>
    <row r="840" spans="1:5">
      <c r="A840" s="15">
        <v>7</v>
      </c>
      <c r="B840" s="77">
        <v>44743</v>
      </c>
      <c r="C840">
        <v>2022</v>
      </c>
      <c r="D840" s="11" t="s">
        <v>34</v>
      </c>
      <c r="E840" s="15">
        <v>7</v>
      </c>
    </row>
    <row r="841" spans="1:5">
      <c r="A841" s="15">
        <v>14</v>
      </c>
      <c r="B841" s="77">
        <v>44743</v>
      </c>
      <c r="C841">
        <v>2022</v>
      </c>
      <c r="D841" s="11" t="s">
        <v>34</v>
      </c>
      <c r="E841" s="15">
        <v>7</v>
      </c>
    </row>
    <row r="842" spans="1:5">
      <c r="A842" s="15">
        <v>5</v>
      </c>
      <c r="B842" s="77">
        <v>44774</v>
      </c>
      <c r="C842">
        <v>2022</v>
      </c>
      <c r="D842" s="11" t="s">
        <v>35</v>
      </c>
      <c r="E842" s="15">
        <v>8</v>
      </c>
    </row>
    <row r="843" spans="1:5">
      <c r="A843" s="15">
        <v>7</v>
      </c>
      <c r="B843" s="77">
        <v>44774</v>
      </c>
      <c r="C843">
        <v>2022</v>
      </c>
      <c r="D843" s="11" t="s">
        <v>35</v>
      </c>
      <c r="E843" s="15">
        <v>8</v>
      </c>
    </row>
    <row r="844" spans="1:5">
      <c r="A844" s="15">
        <v>14</v>
      </c>
      <c r="B844" s="77">
        <v>44774</v>
      </c>
      <c r="C844">
        <v>2022</v>
      </c>
      <c r="D844" s="11" t="s">
        <v>35</v>
      </c>
      <c r="E844" s="15">
        <v>8</v>
      </c>
    </row>
    <row r="845" spans="1:5">
      <c r="A845" s="15">
        <v>5</v>
      </c>
      <c r="B845" s="77">
        <v>44805</v>
      </c>
      <c r="C845">
        <v>2022</v>
      </c>
      <c r="D845" s="11" t="s">
        <v>41</v>
      </c>
      <c r="E845" s="15">
        <v>9</v>
      </c>
    </row>
    <row r="846" spans="1:5">
      <c r="A846" s="15">
        <v>7</v>
      </c>
      <c r="B846" s="77">
        <v>44805</v>
      </c>
      <c r="C846">
        <v>2022</v>
      </c>
      <c r="D846" s="11" t="s">
        <v>41</v>
      </c>
      <c r="E846" s="15">
        <v>9</v>
      </c>
    </row>
    <row r="847" spans="1:5">
      <c r="A847" s="15">
        <v>14</v>
      </c>
      <c r="B847" s="77">
        <v>44805</v>
      </c>
      <c r="C847">
        <v>2022</v>
      </c>
      <c r="D847" s="11" t="s">
        <v>41</v>
      </c>
      <c r="E847" s="15">
        <v>9</v>
      </c>
    </row>
    <row r="848" spans="1:5">
      <c r="A848" s="15">
        <v>5</v>
      </c>
      <c r="B848" s="77">
        <v>44835</v>
      </c>
      <c r="C848">
        <v>2022</v>
      </c>
      <c r="D848" s="11" t="s">
        <v>37</v>
      </c>
      <c r="E848" s="15">
        <v>10</v>
      </c>
    </row>
    <row r="849" spans="1:14">
      <c r="A849" s="15">
        <v>7</v>
      </c>
      <c r="B849" s="77">
        <v>44835</v>
      </c>
      <c r="C849">
        <v>2022</v>
      </c>
      <c r="D849" s="11" t="s">
        <v>37</v>
      </c>
      <c r="E849" s="15">
        <v>10</v>
      </c>
    </row>
    <row r="850" spans="1:14">
      <c r="A850" s="15">
        <v>14</v>
      </c>
      <c r="B850" s="77">
        <v>44835</v>
      </c>
      <c r="C850">
        <v>2022</v>
      </c>
      <c r="D850" s="11" t="s">
        <v>37</v>
      </c>
      <c r="E850" s="15">
        <v>10</v>
      </c>
    </row>
    <row r="851" spans="1:14">
      <c r="A851" s="15">
        <v>5</v>
      </c>
      <c r="B851" s="77">
        <v>44866</v>
      </c>
      <c r="C851">
        <v>2022</v>
      </c>
      <c r="D851" s="11" t="s">
        <v>38</v>
      </c>
      <c r="E851" s="15">
        <v>11</v>
      </c>
    </row>
    <row r="852" spans="1:14">
      <c r="A852" s="15">
        <v>7</v>
      </c>
      <c r="B852" s="77">
        <v>44866</v>
      </c>
      <c r="C852">
        <v>2022</v>
      </c>
      <c r="D852" s="11" t="s">
        <v>38</v>
      </c>
      <c r="E852" s="15">
        <v>11</v>
      </c>
    </row>
    <row r="853" spans="1:14">
      <c r="A853" s="15">
        <v>14</v>
      </c>
      <c r="B853" s="77">
        <v>44866</v>
      </c>
      <c r="C853">
        <v>2022</v>
      </c>
      <c r="D853" s="11" t="s">
        <v>38</v>
      </c>
      <c r="E853" s="15">
        <v>11</v>
      </c>
    </row>
    <row r="854" spans="1:14">
      <c r="A854" s="15">
        <v>5</v>
      </c>
      <c r="B854" s="78">
        <v>44896</v>
      </c>
      <c r="C854">
        <v>2022</v>
      </c>
      <c r="D854" s="11" t="s">
        <v>39</v>
      </c>
      <c r="E854" s="15">
        <v>12</v>
      </c>
    </row>
    <row r="855" spans="1:14">
      <c r="A855" s="15">
        <v>7</v>
      </c>
      <c r="B855" s="77">
        <v>44896</v>
      </c>
      <c r="C855">
        <v>2022</v>
      </c>
      <c r="D855" s="11" t="s">
        <v>39</v>
      </c>
      <c r="E855" s="15">
        <v>12</v>
      </c>
    </row>
    <row r="856" spans="1:14">
      <c r="A856" s="15">
        <v>14</v>
      </c>
      <c r="B856" s="77">
        <v>44896</v>
      </c>
      <c r="C856">
        <v>2022</v>
      </c>
      <c r="D856" s="11" t="s">
        <v>39</v>
      </c>
      <c r="E856" s="15">
        <v>12</v>
      </c>
    </row>
    <row r="857" spans="1:14">
      <c r="A857" s="93">
        <v>5</v>
      </c>
      <c r="B857" s="90">
        <v>44936</v>
      </c>
      <c r="C857" s="91">
        <v>2023</v>
      </c>
      <c r="D857" s="92" t="s">
        <v>40</v>
      </c>
      <c r="E857" s="93">
        <v>1</v>
      </c>
      <c r="F857" s="96">
        <v>6.3940000000000001</v>
      </c>
      <c r="G857" s="95">
        <v>2.4E-2</v>
      </c>
    </row>
    <row r="858" spans="1:14">
      <c r="A858" s="15">
        <v>7</v>
      </c>
      <c r="B858" s="73">
        <v>44931</v>
      </c>
      <c r="C858">
        <v>2023</v>
      </c>
      <c r="D858" s="11" t="s">
        <v>40</v>
      </c>
      <c r="E858" s="15">
        <v>1</v>
      </c>
      <c r="F858" s="96">
        <v>7.2549999999999999</v>
      </c>
      <c r="G858" s="95">
        <v>0.14499999999999999</v>
      </c>
    </row>
    <row r="859" spans="1:14">
      <c r="A859" s="15">
        <v>14</v>
      </c>
      <c r="B859" s="73">
        <v>44931</v>
      </c>
      <c r="C859">
        <v>2023</v>
      </c>
      <c r="D859" s="11" t="s">
        <v>40</v>
      </c>
      <c r="E859" s="15">
        <v>1</v>
      </c>
      <c r="F859" s="96">
        <v>5.67</v>
      </c>
      <c r="G859" s="95">
        <v>0.126</v>
      </c>
      <c r="I859" s="27">
        <f>AVERAGE(F857:F859)</f>
        <v>6.4396666666666675</v>
      </c>
      <c r="J859" s="27">
        <f>AVERAGE(G857:G859)</f>
        <v>9.8333333333333328E-2</v>
      </c>
      <c r="L859">
        <f>+J859/I859</f>
        <v>1.5269941508359643E-2</v>
      </c>
      <c r="M859">
        <f>+(L859-$L$931)/$L$932</f>
        <v>-0.64683933688843698</v>
      </c>
      <c r="N859">
        <f>+N820+M859</f>
        <v>1.320830020350154</v>
      </c>
    </row>
    <row r="860" spans="1:14">
      <c r="A860" s="15">
        <v>5</v>
      </c>
      <c r="B860" s="77">
        <v>44958</v>
      </c>
      <c r="C860">
        <v>2023</v>
      </c>
      <c r="D860" s="11" t="s">
        <v>29</v>
      </c>
      <c r="E860" s="15">
        <v>2</v>
      </c>
      <c r="F860" s="80">
        <v>0.93</v>
      </c>
      <c r="G860" s="80">
        <v>0.01</v>
      </c>
    </row>
    <row r="861" spans="1:14">
      <c r="A861" s="15">
        <v>7</v>
      </c>
      <c r="B861" s="77">
        <v>44958</v>
      </c>
      <c r="C861">
        <v>2023</v>
      </c>
      <c r="D861" s="11" t="s">
        <v>29</v>
      </c>
      <c r="E861" s="15">
        <v>2</v>
      </c>
      <c r="F861" s="80">
        <v>1.798</v>
      </c>
      <c r="G861" s="80">
        <v>0.315</v>
      </c>
    </row>
    <row r="862" spans="1:14">
      <c r="A862" s="15">
        <v>14</v>
      </c>
      <c r="B862" s="77">
        <v>44958</v>
      </c>
      <c r="C862">
        <v>2023</v>
      </c>
      <c r="D862" s="11" t="s">
        <v>29</v>
      </c>
      <c r="E862" s="15">
        <v>2</v>
      </c>
      <c r="F862" s="80">
        <v>1.34</v>
      </c>
      <c r="G862" s="80">
        <v>0.16300000000000001</v>
      </c>
      <c r="I862" s="27">
        <f t="shared" ref="I862:J862" si="57">AVERAGE(F860:F862)</f>
        <v>1.3560000000000001</v>
      </c>
      <c r="J862" s="27">
        <f t="shared" si="57"/>
        <v>0.16266666666666665</v>
      </c>
      <c r="L862">
        <f t="shared" ref="L862" si="58">+J862/I862</f>
        <v>0.11996066863323498</v>
      </c>
      <c r="M862">
        <f t="shared" ref="M862" si="59">+(L862-$L$931)/$L$932</f>
        <v>1.3292981418541958</v>
      </c>
      <c r="N862">
        <f>+N859+M862</f>
        <v>2.65012816220435</v>
      </c>
    </row>
    <row r="863" spans="1:14">
      <c r="A863" s="15">
        <v>5</v>
      </c>
      <c r="B863" s="77">
        <v>44986</v>
      </c>
      <c r="C863">
        <v>2023</v>
      </c>
      <c r="D863" s="11" t="s">
        <v>30</v>
      </c>
      <c r="E863" s="15">
        <v>3</v>
      </c>
      <c r="F863" s="80">
        <v>0.79900000000000004</v>
      </c>
      <c r="G863" s="80">
        <v>2.1000000000000001E-2</v>
      </c>
    </row>
    <row r="864" spans="1:14">
      <c r="A864" s="15">
        <v>7</v>
      </c>
      <c r="B864" s="77">
        <v>44986</v>
      </c>
      <c r="C864">
        <v>2023</v>
      </c>
      <c r="D864" s="11" t="s">
        <v>30</v>
      </c>
      <c r="E864" s="15">
        <v>3</v>
      </c>
      <c r="F864" s="80">
        <v>1.361</v>
      </c>
      <c r="G864" s="80">
        <v>1.4999999999999999E-2</v>
      </c>
    </row>
    <row r="865" spans="1:14">
      <c r="A865" s="15">
        <v>14</v>
      </c>
      <c r="B865" s="77">
        <v>44986</v>
      </c>
      <c r="C865">
        <v>2023</v>
      </c>
      <c r="D865" s="11" t="s">
        <v>30</v>
      </c>
      <c r="E865" s="15">
        <v>3</v>
      </c>
      <c r="F865" s="80">
        <v>2.032</v>
      </c>
      <c r="G865" s="80">
        <v>2.4E-2</v>
      </c>
      <c r="I865" s="27">
        <f t="shared" ref="I865:J865" si="60">AVERAGE(F863:F865)</f>
        <v>1.3973333333333333</v>
      </c>
      <c r="J865" s="27">
        <f t="shared" si="60"/>
        <v>0.02</v>
      </c>
      <c r="L865">
        <f t="shared" ref="L865" si="61">+J865/I865</f>
        <v>1.4312977099236643E-2</v>
      </c>
      <c r="M865">
        <f t="shared" ref="M865" si="62">+(L865-$L$931)/$L$932</f>
        <v>-0.66490295423665779</v>
      </c>
      <c r="N865">
        <f t="shared" ref="N865" si="63">+N862+M865</f>
        <v>1.9852252079676922</v>
      </c>
    </row>
    <row r="866" spans="1:14">
      <c r="A866" s="15">
        <v>5</v>
      </c>
      <c r="B866" s="77">
        <v>45017</v>
      </c>
      <c r="C866">
        <v>2023</v>
      </c>
      <c r="D866" s="11" t="s">
        <v>31</v>
      </c>
      <c r="E866" s="15">
        <v>4</v>
      </c>
      <c r="F866" s="80">
        <v>0.82499999999999996</v>
      </c>
      <c r="G866" s="80">
        <v>1.9E-2</v>
      </c>
    </row>
    <row r="867" spans="1:14">
      <c r="A867" s="15">
        <v>7</v>
      </c>
      <c r="B867" s="77">
        <v>45017</v>
      </c>
      <c r="C867">
        <v>2023</v>
      </c>
      <c r="D867" s="11" t="s">
        <v>31</v>
      </c>
      <c r="E867" s="15">
        <v>4</v>
      </c>
      <c r="F867" s="80">
        <v>1.524</v>
      </c>
      <c r="G867" s="80">
        <v>2.4E-2</v>
      </c>
    </row>
    <row r="868" spans="1:14">
      <c r="A868" s="15">
        <v>14</v>
      </c>
      <c r="B868" s="77">
        <v>45017</v>
      </c>
      <c r="C868">
        <v>2023</v>
      </c>
      <c r="D868" s="11" t="s">
        <v>31</v>
      </c>
      <c r="E868" s="15">
        <v>4</v>
      </c>
      <c r="F868" s="80">
        <v>1.94</v>
      </c>
      <c r="G868" s="80">
        <v>2.8000000000000001E-2</v>
      </c>
      <c r="I868" s="27">
        <f t="shared" ref="I868:J868" si="64">AVERAGE(F866:F868)</f>
        <v>1.4296666666666666</v>
      </c>
      <c r="J868" s="27">
        <f t="shared" si="64"/>
        <v>2.3666666666666666E-2</v>
      </c>
      <c r="L868">
        <f t="shared" ref="L868" si="65">+J868/I868</f>
        <v>1.6553975285614361E-2</v>
      </c>
      <c r="M868">
        <f t="shared" ref="M868" si="66">+(L868-$L$931)/$L$932</f>
        <v>-0.62260197278857865</v>
      </c>
      <c r="N868">
        <f t="shared" ref="N868" si="67">+N865+M868</f>
        <v>1.3626232351791137</v>
      </c>
    </row>
    <row r="869" spans="1:14">
      <c r="A869" s="15">
        <v>5</v>
      </c>
      <c r="B869" s="77">
        <v>45047</v>
      </c>
      <c r="C869">
        <v>2023</v>
      </c>
      <c r="D869" s="11" t="s">
        <v>32</v>
      </c>
      <c r="E869" s="15">
        <v>5</v>
      </c>
      <c r="F869" s="80">
        <v>3.706</v>
      </c>
      <c r="G869" s="97">
        <v>0.33900000000000002</v>
      </c>
    </row>
    <row r="870" spans="1:14">
      <c r="A870" s="15">
        <v>7</v>
      </c>
      <c r="B870" s="77">
        <v>45047</v>
      </c>
      <c r="C870">
        <v>2023</v>
      </c>
      <c r="D870" s="11" t="s">
        <v>32</v>
      </c>
      <c r="E870" s="15">
        <v>5</v>
      </c>
      <c r="F870" s="80">
        <v>2.5590000000000002</v>
      </c>
      <c r="G870" s="97">
        <v>0.11</v>
      </c>
    </row>
    <row r="871" spans="1:14">
      <c r="A871" s="15">
        <v>14</v>
      </c>
      <c r="B871" s="77">
        <v>45047</v>
      </c>
      <c r="C871">
        <v>2023</v>
      </c>
      <c r="D871" s="11" t="s">
        <v>32</v>
      </c>
      <c r="E871" s="15">
        <v>5</v>
      </c>
      <c r="F871" s="80">
        <v>3.8759999999999999</v>
      </c>
      <c r="G871" s="97">
        <v>4.2000000000000003E-2</v>
      </c>
      <c r="I871" s="27">
        <f t="shared" ref="I871:J871" si="68">AVERAGE(F869:F871)</f>
        <v>3.3803333333333332</v>
      </c>
      <c r="J871" s="27">
        <f t="shared" si="68"/>
        <v>0.16366666666666665</v>
      </c>
      <c r="L871">
        <f t="shared" ref="L871" si="69">+J871/I871</f>
        <v>4.8417315846563454E-2</v>
      </c>
      <c r="M871">
        <f t="shared" ref="M871" si="70">+(L871-$L$931)/$L$932</f>
        <v>-2.1150982718317512E-2</v>
      </c>
      <c r="N871">
        <f t="shared" ref="N871" si="71">+N868+M871</f>
        <v>1.341472252460796</v>
      </c>
    </row>
    <row r="872" spans="1:14">
      <c r="A872" s="15">
        <v>5</v>
      </c>
      <c r="B872" s="77">
        <v>45078</v>
      </c>
      <c r="C872">
        <v>2023</v>
      </c>
      <c r="D872" s="11" t="s">
        <v>33</v>
      </c>
      <c r="E872" s="15">
        <v>6</v>
      </c>
      <c r="F872" s="80">
        <v>3.6909999999999998</v>
      </c>
      <c r="G872" s="97">
        <v>8.3000000000000004E-2</v>
      </c>
    </row>
    <row r="873" spans="1:14">
      <c r="A873" s="15">
        <v>7</v>
      </c>
      <c r="B873" s="77">
        <v>45078</v>
      </c>
      <c r="C873">
        <v>2023</v>
      </c>
      <c r="D873" s="11" t="s">
        <v>33</v>
      </c>
      <c r="E873" s="15">
        <v>6</v>
      </c>
      <c r="F873" s="80">
        <v>15.792</v>
      </c>
      <c r="G873" s="97">
        <v>0.371</v>
      </c>
    </row>
    <row r="874" spans="1:14">
      <c r="A874" s="15">
        <v>14</v>
      </c>
      <c r="B874" s="77">
        <v>45078</v>
      </c>
      <c r="C874">
        <v>2023</v>
      </c>
      <c r="D874" s="11" t="s">
        <v>33</v>
      </c>
      <c r="E874" s="15">
        <v>6</v>
      </c>
      <c r="F874" s="80">
        <v>16.486999999999998</v>
      </c>
      <c r="G874" s="97">
        <v>0.33800000000000002</v>
      </c>
      <c r="I874" s="27">
        <f t="shared" ref="I874:J874" si="72">AVERAGE(F872:F874)</f>
        <v>11.99</v>
      </c>
      <c r="J874" s="27">
        <f t="shared" si="72"/>
        <v>0.26400000000000001</v>
      </c>
      <c r="L874">
        <f t="shared" ref="L874" si="73">+J874/I874</f>
        <v>2.2018348623853212E-2</v>
      </c>
      <c r="M874">
        <f t="shared" ref="M874" si="74">+(L874-$L$931)/$L$932</f>
        <v>-0.51945670626792972</v>
      </c>
      <c r="N874">
        <f t="shared" ref="N874" si="75">+N871+M874</f>
        <v>0.82201554619286632</v>
      </c>
    </row>
    <row r="875" spans="1:14">
      <c r="A875" s="15">
        <v>5</v>
      </c>
      <c r="B875" s="77">
        <v>45108</v>
      </c>
      <c r="C875">
        <v>2023</v>
      </c>
      <c r="D875" s="11" t="s">
        <v>34</v>
      </c>
      <c r="E875" s="15">
        <v>7</v>
      </c>
      <c r="F875" s="80">
        <v>5.4820000000000002</v>
      </c>
      <c r="G875" s="97">
        <v>0.27</v>
      </c>
    </row>
    <row r="876" spans="1:14">
      <c r="A876" s="15">
        <v>7</v>
      </c>
      <c r="B876" s="77">
        <v>45108</v>
      </c>
      <c r="C876">
        <v>2023</v>
      </c>
      <c r="D876" s="11" t="s">
        <v>34</v>
      </c>
      <c r="E876" s="15">
        <v>7</v>
      </c>
      <c r="F876" s="80">
        <v>14.909000000000001</v>
      </c>
      <c r="G876" s="97">
        <v>2.2850000000000001</v>
      </c>
    </row>
    <row r="877" spans="1:14">
      <c r="A877" s="15">
        <v>14</v>
      </c>
      <c r="B877" s="77">
        <v>45108</v>
      </c>
      <c r="C877">
        <v>2023</v>
      </c>
      <c r="D877" s="11" t="s">
        <v>34</v>
      </c>
      <c r="E877" s="15">
        <v>7</v>
      </c>
      <c r="F877" s="80">
        <v>4.3810000000000002</v>
      </c>
      <c r="G877" s="97">
        <v>0.34599999999999997</v>
      </c>
      <c r="I877" s="27">
        <f t="shared" ref="I877:J877" si="76">AVERAGE(F875:F877)</f>
        <v>8.2573333333333334</v>
      </c>
      <c r="J877" s="27">
        <f t="shared" si="76"/>
        <v>0.96700000000000008</v>
      </c>
      <c r="L877">
        <f t="shared" ref="L877" si="77">+J877/I877</f>
        <v>0.11710802518973035</v>
      </c>
      <c r="M877">
        <f t="shared" ref="M877" si="78">+(L877-$L$931)/$L$932</f>
        <v>1.2754517719128078</v>
      </c>
      <c r="N877">
        <f t="shared" ref="N877" si="79">+N874+M877</f>
        <v>2.0974673181056742</v>
      </c>
    </row>
    <row r="878" spans="1:14">
      <c r="A878" s="15">
        <v>5</v>
      </c>
      <c r="B878" s="77">
        <v>45139</v>
      </c>
      <c r="C878">
        <v>2023</v>
      </c>
      <c r="D878" s="11" t="s">
        <v>35</v>
      </c>
      <c r="E878" s="15">
        <v>8</v>
      </c>
      <c r="F878" s="80">
        <v>3.0329999999999999</v>
      </c>
      <c r="G878" s="97">
        <v>9.0999999999999998E-2</v>
      </c>
    </row>
    <row r="879" spans="1:14">
      <c r="A879" s="15">
        <v>7</v>
      </c>
      <c r="B879" s="77">
        <v>45139</v>
      </c>
      <c r="C879">
        <v>2023</v>
      </c>
      <c r="D879" s="11" t="s">
        <v>35</v>
      </c>
      <c r="E879" s="15">
        <v>8</v>
      </c>
      <c r="F879" s="80">
        <v>12.757</v>
      </c>
      <c r="G879" s="97">
        <v>0.29299999999999998</v>
      </c>
    </row>
    <row r="880" spans="1:14">
      <c r="A880" s="15">
        <v>14</v>
      </c>
      <c r="B880" s="77">
        <v>45139</v>
      </c>
      <c r="C880">
        <v>2023</v>
      </c>
      <c r="D880" s="11" t="s">
        <v>35</v>
      </c>
      <c r="E880" s="15">
        <v>8</v>
      </c>
      <c r="F880" s="80">
        <v>3.6960000000000002</v>
      </c>
      <c r="G880" s="97">
        <v>5.8000000000000003E-2</v>
      </c>
      <c r="I880" s="27">
        <f t="shared" ref="I880:J880" si="80">AVERAGE(F878:F880)</f>
        <v>6.4953333333333338</v>
      </c>
      <c r="J880" s="27">
        <f t="shared" si="80"/>
        <v>0.14733333333333334</v>
      </c>
      <c r="L880">
        <f t="shared" ref="L880" si="81">+J880/I880</f>
        <v>2.2682951862875909E-2</v>
      </c>
      <c r="M880">
        <f t="shared" ref="M880" si="82">+(L880-$L$931)/$L$932</f>
        <v>-0.5069116852790132</v>
      </c>
      <c r="N880">
        <f t="shared" ref="N880" si="83">+N877+M880</f>
        <v>1.590555632826661</v>
      </c>
    </row>
    <row r="881" spans="1:14">
      <c r="A881" s="15">
        <v>5</v>
      </c>
      <c r="B881" s="77">
        <v>45170</v>
      </c>
      <c r="C881">
        <v>2023</v>
      </c>
      <c r="D881" s="11" t="s">
        <v>41</v>
      </c>
      <c r="E881" s="15">
        <v>9</v>
      </c>
      <c r="F881" s="80">
        <v>4.7759999999999998</v>
      </c>
      <c r="G881" s="97">
        <v>1.44</v>
      </c>
    </row>
    <row r="882" spans="1:14">
      <c r="A882" s="15">
        <v>7</v>
      </c>
      <c r="B882" s="77">
        <v>45170</v>
      </c>
      <c r="C882">
        <v>2023</v>
      </c>
      <c r="D882" s="11" t="s">
        <v>41</v>
      </c>
      <c r="E882" s="15">
        <v>9</v>
      </c>
      <c r="F882" s="80">
        <v>4.3460000000000001</v>
      </c>
      <c r="G882" s="97">
        <v>0.308</v>
      </c>
    </row>
    <row r="883" spans="1:14">
      <c r="A883" s="15">
        <v>14</v>
      </c>
      <c r="B883" s="77">
        <v>45170</v>
      </c>
      <c r="C883">
        <v>2023</v>
      </c>
      <c r="D883" s="11" t="s">
        <v>41</v>
      </c>
      <c r="E883" s="15">
        <v>9</v>
      </c>
      <c r="F883" s="80">
        <v>2.02</v>
      </c>
      <c r="G883" s="97">
        <v>4.1000000000000002E-2</v>
      </c>
      <c r="I883" s="27">
        <f t="shared" ref="I883:J883" si="84">AVERAGE(F881:F883)</f>
        <v>3.714</v>
      </c>
      <c r="J883" s="27">
        <f t="shared" si="84"/>
        <v>0.59633333333333327</v>
      </c>
      <c r="L883">
        <f t="shared" ref="L883" si="85">+J883/I883</f>
        <v>0.16056363309998203</v>
      </c>
      <c r="M883">
        <f t="shared" ref="M883" si="86">+(L883-$L$931)/$L$932</f>
        <v>2.0957178815421944</v>
      </c>
      <c r="N883">
        <f t="shared" ref="N883" si="87">+N880+M883</f>
        <v>3.6862735143688554</v>
      </c>
    </row>
    <row r="884" spans="1:14">
      <c r="A884" s="15">
        <v>5</v>
      </c>
      <c r="B884" s="77">
        <v>45200</v>
      </c>
      <c r="C884">
        <v>2023</v>
      </c>
      <c r="D884" s="11" t="s">
        <v>37</v>
      </c>
      <c r="E884" s="15">
        <v>10</v>
      </c>
      <c r="F884" s="97">
        <v>1.401</v>
      </c>
      <c r="G884" s="97">
        <v>9.9989999999999996E-4</v>
      </c>
    </row>
    <row r="885" spans="1:14">
      <c r="A885" s="15">
        <v>7</v>
      </c>
      <c r="B885" s="77">
        <v>45200</v>
      </c>
      <c r="C885">
        <v>2023</v>
      </c>
      <c r="D885" s="11" t="s">
        <v>37</v>
      </c>
      <c r="E885" s="15">
        <v>10</v>
      </c>
      <c r="F885" s="97">
        <v>1.2589999999999999</v>
      </c>
      <c r="G885" s="80">
        <v>0.10100000000000001</v>
      </c>
    </row>
    <row r="886" spans="1:14">
      <c r="A886" s="15">
        <v>14</v>
      </c>
      <c r="B886" s="77">
        <v>45200</v>
      </c>
      <c r="C886">
        <v>2023</v>
      </c>
      <c r="D886" s="11" t="s">
        <v>37</v>
      </c>
      <c r="E886" s="15">
        <v>10</v>
      </c>
      <c r="F886" s="80">
        <v>1.1599999999999999</v>
      </c>
      <c r="G886" s="97">
        <v>2.4E-2</v>
      </c>
      <c r="I886" s="27">
        <f t="shared" ref="I886:J886" si="88">AVERAGE(F884:F886)</f>
        <v>1.2733333333333334</v>
      </c>
      <c r="J886" s="27">
        <f t="shared" si="88"/>
        <v>4.1999966666666666E-2</v>
      </c>
      <c r="L886">
        <f t="shared" ref="L886" si="89">+J886/I886</f>
        <v>3.2984267015706802E-2</v>
      </c>
      <c r="M886">
        <f t="shared" ref="M886" si="90">+(L886-$L$931)/$L$932</f>
        <v>-0.31246452159118371</v>
      </c>
      <c r="N886">
        <f t="shared" ref="N886" si="91">+N883+M886</f>
        <v>3.3738089927776715</v>
      </c>
    </row>
    <row r="887" spans="1:14">
      <c r="A887" s="15">
        <v>5</v>
      </c>
      <c r="B887" s="77">
        <v>45231</v>
      </c>
      <c r="C887">
        <v>2023</v>
      </c>
      <c r="D887" s="11" t="s">
        <v>38</v>
      </c>
      <c r="E887" s="15">
        <v>11</v>
      </c>
      <c r="F887" s="80">
        <v>2.0880000000000001</v>
      </c>
      <c r="G887" s="97">
        <v>2.4E-2</v>
      </c>
    </row>
    <row r="888" spans="1:14">
      <c r="A888" s="15">
        <v>7</v>
      </c>
      <c r="B888" s="77">
        <v>45231</v>
      </c>
      <c r="C888">
        <v>2023</v>
      </c>
      <c r="D888" s="11" t="s">
        <v>38</v>
      </c>
      <c r="E888" s="15">
        <v>11</v>
      </c>
      <c r="F888" s="80">
        <v>0.88</v>
      </c>
      <c r="G888" s="97">
        <v>9.9989999999999996E-4</v>
      </c>
    </row>
    <row r="889" spans="1:14">
      <c r="A889" s="15">
        <v>14</v>
      </c>
      <c r="B889" s="77">
        <v>45231</v>
      </c>
      <c r="C889">
        <v>2023</v>
      </c>
      <c r="D889" s="11" t="s">
        <v>38</v>
      </c>
      <c r="E889" s="15">
        <v>11</v>
      </c>
      <c r="F889" s="80">
        <v>0.66400000000000003</v>
      </c>
      <c r="G889" s="97">
        <v>9.9989999999999996E-4</v>
      </c>
      <c r="I889" s="27">
        <f t="shared" ref="I889:J889" si="92">AVERAGE(F887:F889)</f>
        <v>1.2106666666666668</v>
      </c>
      <c r="J889" s="27">
        <f t="shared" si="92"/>
        <v>8.6666000000000017E-3</v>
      </c>
      <c r="L889">
        <f t="shared" ref="L889" si="93">+J889/I889</f>
        <v>7.1585352422907497E-3</v>
      </c>
      <c r="M889">
        <f t="shared" ref="M889" si="94">+(L889-$L$931)/$L$932</f>
        <v>-0.79994987846072774</v>
      </c>
      <c r="N889">
        <f t="shared" ref="N889" si="95">+N886+M889</f>
        <v>2.573859114316944</v>
      </c>
    </row>
    <row r="890" spans="1:14">
      <c r="A890" s="15">
        <v>5</v>
      </c>
      <c r="B890" s="78">
        <v>45261</v>
      </c>
      <c r="C890">
        <v>2023</v>
      </c>
      <c r="D890" s="11" t="s">
        <v>39</v>
      </c>
      <c r="E890" s="15">
        <v>12</v>
      </c>
      <c r="F890" s="80">
        <v>0.63800000000000001</v>
      </c>
      <c r="G890" s="97">
        <v>3.6999999999999998E-2</v>
      </c>
    </row>
    <row r="891" spans="1:14">
      <c r="A891" s="15">
        <v>7</v>
      </c>
      <c r="B891" s="77">
        <v>45261</v>
      </c>
      <c r="C891">
        <v>2023</v>
      </c>
      <c r="D891" s="11" t="s">
        <v>39</v>
      </c>
      <c r="E891" s="15">
        <v>12</v>
      </c>
      <c r="F891" s="80">
        <v>1.714</v>
      </c>
      <c r="G891" s="97">
        <v>1.0999999999999999E-2</v>
      </c>
    </row>
    <row r="892" spans="1:14">
      <c r="A892" s="15">
        <v>14</v>
      </c>
      <c r="B892" s="77">
        <v>45261</v>
      </c>
      <c r="C892">
        <v>2023</v>
      </c>
      <c r="D892" s="11" t="s">
        <v>39</v>
      </c>
      <c r="E892" s="15">
        <v>12</v>
      </c>
      <c r="F892" s="80">
        <v>1.41</v>
      </c>
      <c r="G892" s="97">
        <v>1E-3</v>
      </c>
      <c r="I892" s="27">
        <f t="shared" ref="I892:J892" si="96">AVERAGE(F890:F892)</f>
        <v>1.2539999999999998</v>
      </c>
      <c r="J892" s="27">
        <f t="shared" si="96"/>
        <v>1.6333333333333335E-2</v>
      </c>
      <c r="L892">
        <f t="shared" ref="L892" si="97">+J892/I892</f>
        <v>1.302498670919724E-2</v>
      </c>
      <c r="M892">
        <f t="shared" ref="M892" si="98">+(L892-$L$931)/$L$932</f>
        <v>-0.68921500318232265</v>
      </c>
      <c r="N892">
        <f t="shared" ref="N892" si="99">+N889+M892</f>
        <v>1.8846441111346213</v>
      </c>
    </row>
    <row r="893" spans="1:14">
      <c r="A893" s="93">
        <v>5</v>
      </c>
      <c r="B893" s="90">
        <v>45292</v>
      </c>
      <c r="C893" s="91">
        <v>2024</v>
      </c>
      <c r="D893" s="92" t="s">
        <v>40</v>
      </c>
      <c r="E893" s="93">
        <v>1</v>
      </c>
      <c r="F893" s="80">
        <v>0.82399999999999995</v>
      </c>
      <c r="G893" s="97">
        <v>1.2999999999999999E-2</v>
      </c>
    </row>
    <row r="894" spans="1:14">
      <c r="A894" s="15">
        <v>7</v>
      </c>
      <c r="B894" s="73">
        <v>45292</v>
      </c>
      <c r="C894">
        <v>2024</v>
      </c>
      <c r="D894" s="11" t="s">
        <v>40</v>
      </c>
      <c r="E894" s="15">
        <v>1</v>
      </c>
      <c r="F894" s="80">
        <v>0.79500000000000004</v>
      </c>
      <c r="G894" s="97">
        <v>1.9E-2</v>
      </c>
    </row>
    <row r="895" spans="1:14">
      <c r="A895" s="15">
        <v>14</v>
      </c>
      <c r="B895" s="73">
        <v>45292</v>
      </c>
      <c r="C895">
        <v>2024</v>
      </c>
      <c r="D895" s="11" t="s">
        <v>40</v>
      </c>
      <c r="E895" s="15">
        <v>1</v>
      </c>
      <c r="F895" s="80">
        <v>0.4</v>
      </c>
      <c r="G895" s="97">
        <v>8.9999999999999993E-3</v>
      </c>
      <c r="I895" s="27">
        <f t="shared" ref="I895:J895" si="100">AVERAGE(F893:F895)</f>
        <v>0.67300000000000004</v>
      </c>
      <c r="J895" s="27">
        <f t="shared" si="100"/>
        <v>1.3666666666666667E-2</v>
      </c>
      <c r="L895">
        <f t="shared" ref="L895" si="101">+J895/I895</f>
        <v>2.0307082714214959E-2</v>
      </c>
      <c r="M895">
        <f t="shared" ref="M895" si="102">+(L895-$L$931)/$L$932</f>
        <v>-0.55175848497366997</v>
      </c>
      <c r="N895">
        <f t="shared" ref="N895" si="103">+N892+M895</f>
        <v>1.3328856261609512</v>
      </c>
    </row>
    <row r="896" spans="1:14">
      <c r="A896" s="15">
        <v>5</v>
      </c>
      <c r="B896" s="77">
        <v>45323</v>
      </c>
      <c r="C896">
        <v>2024</v>
      </c>
      <c r="D896" s="11" t="s">
        <v>29</v>
      </c>
      <c r="E896" s="15">
        <v>2</v>
      </c>
    </row>
    <row r="897" spans="1:14">
      <c r="A897" s="15">
        <v>7</v>
      </c>
      <c r="B897" s="77">
        <v>45323</v>
      </c>
      <c r="C897">
        <v>2024</v>
      </c>
      <c r="D897" s="11" t="s">
        <v>29</v>
      </c>
      <c r="E897" s="15">
        <v>2</v>
      </c>
    </row>
    <row r="898" spans="1:14">
      <c r="A898" s="15">
        <v>14</v>
      </c>
      <c r="B898" s="77">
        <v>45323</v>
      </c>
      <c r="C898">
        <v>2024</v>
      </c>
      <c r="D898" s="11" t="s">
        <v>29</v>
      </c>
      <c r="E898" s="15">
        <v>2</v>
      </c>
      <c r="I898" s="27"/>
      <c r="J898" s="27"/>
    </row>
    <row r="899" spans="1:14">
      <c r="A899" s="15">
        <v>5</v>
      </c>
      <c r="B899" s="77">
        <v>45352</v>
      </c>
      <c r="C899">
        <v>2024</v>
      </c>
      <c r="D899" s="11" t="s">
        <v>30</v>
      </c>
      <c r="E899" s="15">
        <v>3</v>
      </c>
      <c r="F899" s="80">
        <v>0.36799999999999999</v>
      </c>
      <c r="G899" s="97">
        <v>9.9989999999999996E-4</v>
      </c>
    </row>
    <row r="900" spans="1:14">
      <c r="A900" s="15">
        <v>7</v>
      </c>
      <c r="B900" s="77">
        <v>45352</v>
      </c>
      <c r="C900">
        <v>2024</v>
      </c>
      <c r="D900" s="11" t="s">
        <v>30</v>
      </c>
      <c r="E900" s="15">
        <v>3</v>
      </c>
      <c r="F900" s="80">
        <v>0.78500000000000003</v>
      </c>
      <c r="G900" s="97">
        <v>1.7000000000000001E-2</v>
      </c>
    </row>
    <row r="901" spans="1:14">
      <c r="A901" s="15">
        <v>14</v>
      </c>
      <c r="B901" s="77">
        <v>45352</v>
      </c>
      <c r="C901">
        <v>2024</v>
      </c>
      <c r="D901" s="11" t="s">
        <v>30</v>
      </c>
      <c r="E901" s="15">
        <v>3</v>
      </c>
      <c r="F901" s="80">
        <v>0.66900000000000004</v>
      </c>
      <c r="G901" s="97">
        <v>3.1E-2</v>
      </c>
      <c r="I901" s="27">
        <f t="shared" ref="I901:J901" si="104">AVERAGE(F899:F901)</f>
        <v>0.60733333333333339</v>
      </c>
      <c r="J901" s="27">
        <f t="shared" si="104"/>
        <v>1.6333299999999999E-2</v>
      </c>
      <c r="L901">
        <f t="shared" ref="L901" si="105">+J901/I901</f>
        <v>2.689346871569703E-2</v>
      </c>
      <c r="M901">
        <f t="shared" ref="M901" si="106">+(L901-$L$931)/$L$932</f>
        <v>-0.42743415764839016</v>
      </c>
      <c r="N901">
        <f>+N895+M901</f>
        <v>0.90545146851256098</v>
      </c>
    </row>
    <row r="902" spans="1:14">
      <c r="A902" s="15">
        <v>5</v>
      </c>
      <c r="B902" s="77">
        <v>45383</v>
      </c>
      <c r="C902">
        <v>2024</v>
      </c>
      <c r="D902" s="11" t="s">
        <v>31</v>
      </c>
      <c r="E902" s="15">
        <v>4</v>
      </c>
      <c r="F902" s="80">
        <v>0.58799999999999997</v>
      </c>
      <c r="G902" s="97">
        <v>2.5000000000000001E-2</v>
      </c>
    </row>
    <row r="903" spans="1:14">
      <c r="A903" s="15">
        <v>7</v>
      </c>
      <c r="B903" s="77">
        <v>45383</v>
      </c>
      <c r="C903">
        <v>2024</v>
      </c>
      <c r="D903" s="11" t="s">
        <v>31</v>
      </c>
      <c r="E903" s="15">
        <v>4</v>
      </c>
      <c r="F903" s="80">
        <v>2.5880000000000001</v>
      </c>
      <c r="G903" s="97">
        <v>1.9E-2</v>
      </c>
    </row>
    <row r="904" spans="1:14">
      <c r="A904" s="15">
        <v>14</v>
      </c>
      <c r="B904" s="77">
        <v>45383</v>
      </c>
      <c r="C904">
        <v>2024</v>
      </c>
      <c r="D904" s="11" t="s">
        <v>31</v>
      </c>
      <c r="E904" s="15">
        <v>4</v>
      </c>
      <c r="I904" s="27">
        <f t="shared" ref="I904:J904" si="107">AVERAGE(F902:F904)</f>
        <v>1.5880000000000001</v>
      </c>
      <c r="J904" s="27">
        <f t="shared" si="107"/>
        <v>2.1999999999999999E-2</v>
      </c>
      <c r="L904">
        <f t="shared" ref="L904" si="108">+J904/I904</f>
        <v>1.3853904282115867E-2</v>
      </c>
      <c r="M904">
        <f t="shared" ref="M904" si="109">+(L904-$L$931)/$L$932</f>
        <v>-0.67356839218229581</v>
      </c>
      <c r="N904">
        <f t="shared" ref="N904" si="110">+N901+M904</f>
        <v>0.23188307633026517</v>
      </c>
    </row>
    <row r="905" spans="1:14">
      <c r="A905" s="15">
        <v>5</v>
      </c>
      <c r="B905" s="77">
        <v>45413</v>
      </c>
      <c r="C905">
        <v>2024</v>
      </c>
      <c r="D905" s="11" t="s">
        <v>32</v>
      </c>
      <c r="E905" s="15">
        <v>5</v>
      </c>
      <c r="F905" s="80">
        <v>0.57699999999999996</v>
      </c>
      <c r="G905" s="97">
        <v>1.4999999999999999E-2</v>
      </c>
    </row>
    <row r="906" spans="1:14">
      <c r="A906" s="15">
        <v>7</v>
      </c>
      <c r="B906" s="77">
        <v>45413</v>
      </c>
      <c r="C906">
        <v>2024</v>
      </c>
      <c r="D906" s="11" t="s">
        <v>32</v>
      </c>
      <c r="E906" s="15">
        <v>5</v>
      </c>
      <c r="F906" s="80">
        <v>1.8759999999999999</v>
      </c>
      <c r="G906" s="97">
        <v>5.7000000000000002E-2</v>
      </c>
    </row>
    <row r="907" spans="1:14">
      <c r="A907" s="15">
        <v>14</v>
      </c>
      <c r="B907" s="77">
        <v>45413</v>
      </c>
      <c r="C907">
        <v>2024</v>
      </c>
      <c r="D907" s="11" t="s">
        <v>32</v>
      </c>
      <c r="E907" s="15">
        <v>5</v>
      </c>
      <c r="F907" s="80">
        <v>1.1439999999999999</v>
      </c>
      <c r="G907" s="97">
        <v>6.2E-2</v>
      </c>
      <c r="I907" s="27">
        <f t="shared" ref="I907:J907" si="111">AVERAGE(F905:F907)</f>
        <v>1.1989999999999998</v>
      </c>
      <c r="J907" s="27">
        <f t="shared" si="111"/>
        <v>4.4666666666666667E-2</v>
      </c>
      <c r="L907">
        <f t="shared" ref="L907" si="112">+J907/I907</f>
        <v>3.7253266611064782E-2</v>
      </c>
      <c r="M907">
        <f t="shared" ref="M907" si="113">+(L907-$L$931)/$L$932</f>
        <v>-0.23188307633040717</v>
      </c>
      <c r="N907">
        <f t="shared" ref="N907" si="114">+N904+M907</f>
        <v>-1.4199752484955752E-13</v>
      </c>
    </row>
    <row r="908" spans="1:14">
      <c r="A908" s="15">
        <v>5</v>
      </c>
      <c r="B908" s="77">
        <v>45444</v>
      </c>
      <c r="C908">
        <v>2024</v>
      </c>
      <c r="D908" s="11" t="s">
        <v>33</v>
      </c>
      <c r="E908" s="15">
        <v>6</v>
      </c>
      <c r="H908" s="98" t="s">
        <v>95</v>
      </c>
    </row>
    <row r="909" spans="1:14">
      <c r="A909" s="15">
        <v>7</v>
      </c>
      <c r="B909" s="77">
        <v>45444</v>
      </c>
      <c r="C909">
        <v>2024</v>
      </c>
      <c r="D909" s="11" t="s">
        <v>33</v>
      </c>
      <c r="E909" s="15">
        <v>6</v>
      </c>
      <c r="H909" s="98" t="s">
        <v>96</v>
      </c>
    </row>
    <row r="910" spans="1:14">
      <c r="A910" s="15">
        <v>14</v>
      </c>
      <c r="B910" s="77">
        <v>45444</v>
      </c>
      <c r="C910">
        <v>2024</v>
      </c>
      <c r="D910" s="11" t="s">
        <v>33</v>
      </c>
      <c r="E910" s="15">
        <v>6</v>
      </c>
    </row>
    <row r="911" spans="1:14">
      <c r="A911" s="15">
        <v>5</v>
      </c>
      <c r="B911" s="77">
        <v>45474</v>
      </c>
      <c r="C911">
        <v>2024</v>
      </c>
      <c r="D911" s="11" t="s">
        <v>34</v>
      </c>
      <c r="E911" s="15">
        <v>7</v>
      </c>
    </row>
    <row r="912" spans="1:14">
      <c r="A912" s="15">
        <v>7</v>
      </c>
      <c r="B912" s="77">
        <v>45474</v>
      </c>
      <c r="C912">
        <v>2024</v>
      </c>
      <c r="D912" s="11" t="s">
        <v>34</v>
      </c>
      <c r="E912" s="15">
        <v>7</v>
      </c>
    </row>
    <row r="913" spans="1:5">
      <c r="A913" s="15">
        <v>14</v>
      </c>
      <c r="B913" s="77">
        <v>45474</v>
      </c>
      <c r="C913">
        <v>2024</v>
      </c>
      <c r="D913" s="11" t="s">
        <v>34</v>
      </c>
      <c r="E913" s="15">
        <v>7</v>
      </c>
    </row>
    <row r="914" spans="1:5">
      <c r="A914" s="15">
        <v>5</v>
      </c>
      <c r="B914" s="77">
        <v>45505</v>
      </c>
      <c r="C914">
        <v>2024</v>
      </c>
      <c r="D914" s="11" t="s">
        <v>35</v>
      </c>
      <c r="E914" s="15">
        <v>8</v>
      </c>
    </row>
    <row r="915" spans="1:5">
      <c r="A915" s="15">
        <v>7</v>
      </c>
      <c r="B915" s="77">
        <v>45505</v>
      </c>
      <c r="C915">
        <v>2024</v>
      </c>
      <c r="D915" s="11" t="s">
        <v>35</v>
      </c>
      <c r="E915" s="15">
        <v>8</v>
      </c>
    </row>
    <row r="916" spans="1:5">
      <c r="A916" s="15">
        <v>14</v>
      </c>
      <c r="B916" s="77">
        <v>45505</v>
      </c>
      <c r="C916">
        <v>2024</v>
      </c>
      <c r="D916" s="11" t="s">
        <v>35</v>
      </c>
      <c r="E916" s="15">
        <v>8</v>
      </c>
    </row>
    <row r="917" spans="1:5">
      <c r="A917" s="15">
        <v>5</v>
      </c>
      <c r="B917" s="77">
        <v>45536</v>
      </c>
      <c r="C917">
        <v>2024</v>
      </c>
      <c r="D917" s="11" t="s">
        <v>41</v>
      </c>
      <c r="E917" s="15">
        <v>9</v>
      </c>
    </row>
    <row r="918" spans="1:5">
      <c r="A918" s="15">
        <v>7</v>
      </c>
      <c r="B918" s="77">
        <v>45536</v>
      </c>
      <c r="C918">
        <v>2024</v>
      </c>
      <c r="D918" s="11" t="s">
        <v>41</v>
      </c>
      <c r="E918" s="15">
        <v>9</v>
      </c>
    </row>
    <row r="919" spans="1:5">
      <c r="A919" s="15">
        <v>14</v>
      </c>
      <c r="B919" s="77">
        <v>45536</v>
      </c>
      <c r="C919">
        <v>2024</v>
      </c>
      <c r="D919" s="11" t="s">
        <v>41</v>
      </c>
      <c r="E919" s="15">
        <v>9</v>
      </c>
    </row>
    <row r="920" spans="1:5">
      <c r="A920" s="15">
        <v>5</v>
      </c>
      <c r="B920" s="77">
        <v>45566</v>
      </c>
      <c r="C920">
        <v>2024</v>
      </c>
      <c r="D920" s="11" t="s">
        <v>37</v>
      </c>
      <c r="E920" s="15">
        <v>10</v>
      </c>
    </row>
    <row r="921" spans="1:5">
      <c r="A921" s="15">
        <v>7</v>
      </c>
      <c r="B921" s="77">
        <v>45566</v>
      </c>
      <c r="C921">
        <v>2024</v>
      </c>
      <c r="D921" s="11" t="s">
        <v>37</v>
      </c>
      <c r="E921" s="15">
        <v>10</v>
      </c>
    </row>
    <row r="922" spans="1:5">
      <c r="A922" s="15">
        <v>14</v>
      </c>
      <c r="B922" s="77">
        <v>45566</v>
      </c>
      <c r="C922">
        <v>2024</v>
      </c>
      <c r="D922" s="11" t="s">
        <v>37</v>
      </c>
      <c r="E922" s="15">
        <v>10</v>
      </c>
    </row>
    <row r="923" spans="1:5">
      <c r="A923" s="15">
        <v>5</v>
      </c>
      <c r="B923" s="77">
        <v>45597</v>
      </c>
      <c r="C923">
        <v>2024</v>
      </c>
      <c r="D923" s="11" t="s">
        <v>38</v>
      </c>
      <c r="E923" s="15">
        <v>11</v>
      </c>
    </row>
    <row r="924" spans="1:5">
      <c r="A924" s="15">
        <v>7</v>
      </c>
      <c r="B924" s="77">
        <v>45597</v>
      </c>
      <c r="C924">
        <v>2024</v>
      </c>
      <c r="D924" s="11" t="s">
        <v>38</v>
      </c>
      <c r="E924" s="15">
        <v>11</v>
      </c>
    </row>
    <row r="925" spans="1:5">
      <c r="A925" s="15">
        <v>14</v>
      </c>
      <c r="B925" s="77">
        <v>45597</v>
      </c>
      <c r="C925">
        <v>2024</v>
      </c>
      <c r="D925" s="11" t="s">
        <v>38</v>
      </c>
      <c r="E925" s="15">
        <v>11</v>
      </c>
    </row>
    <row r="926" spans="1:5">
      <c r="A926" s="15">
        <v>5</v>
      </c>
      <c r="B926" s="78">
        <v>45627</v>
      </c>
      <c r="C926">
        <v>2024</v>
      </c>
      <c r="D926" s="11" t="s">
        <v>39</v>
      </c>
      <c r="E926" s="15">
        <v>12</v>
      </c>
    </row>
    <row r="927" spans="1:5">
      <c r="A927" s="15">
        <v>7</v>
      </c>
      <c r="B927" s="77">
        <v>45627</v>
      </c>
      <c r="C927">
        <v>2024</v>
      </c>
      <c r="D927" s="11" t="s">
        <v>39</v>
      </c>
      <c r="E927" s="15">
        <v>12</v>
      </c>
    </row>
    <row r="928" spans="1:5">
      <c r="A928" s="15">
        <v>14</v>
      </c>
      <c r="B928" s="77">
        <v>45627</v>
      </c>
      <c r="C928">
        <v>2024</v>
      </c>
      <c r="D928" s="11" t="s">
        <v>39</v>
      </c>
      <c r="E928" s="15">
        <v>12</v>
      </c>
    </row>
    <row r="931" spans="11:12">
      <c r="K931" s="89" t="s">
        <v>91</v>
      </c>
      <c r="L931" s="89">
        <f>AVERAGE(L4:L928)</f>
        <v>4.9537841004355231E-2</v>
      </c>
    </row>
    <row r="932" spans="11:12">
      <c r="K932" s="89" t="s">
        <v>92</v>
      </c>
      <c r="L932" s="89">
        <f>STDEV(L4:L928)</f>
        <v>5.2977451341840572E-2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7"/>
  <sheetViews>
    <sheetView workbookViewId="0">
      <selection activeCell="M43" sqref="M43"/>
    </sheetView>
  </sheetViews>
  <sheetFormatPr defaultColWidth="8.85546875" defaultRowHeight="15"/>
  <cols>
    <col min="2" max="2" width="21.85546875" customWidth="1"/>
    <col min="13" max="17" width="10.140625" customWidth="1"/>
  </cols>
  <sheetData>
    <row r="1" spans="1:18" ht="25.5">
      <c r="A1" s="2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35" t="s">
        <v>43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</row>
    <row r="2" spans="1:18">
      <c r="A2" s="37">
        <v>5</v>
      </c>
      <c r="B2" s="42">
        <v>36445</v>
      </c>
      <c r="C2" s="39">
        <v>1999</v>
      </c>
      <c r="D2" s="43" t="s">
        <v>14</v>
      </c>
      <c r="E2" s="41">
        <v>10</v>
      </c>
      <c r="F2" s="45">
        <v>6.1861168039235626</v>
      </c>
      <c r="G2" s="45">
        <v>0.14854642216666666</v>
      </c>
      <c r="H2" s="40">
        <v>0</v>
      </c>
      <c r="I2" s="45">
        <v>0.61767045200000004</v>
      </c>
      <c r="J2" s="40">
        <v>3.2527267333333332E-2</v>
      </c>
      <c r="K2" s="40" t="s">
        <v>15</v>
      </c>
      <c r="L2" s="35" t="s">
        <v>45</v>
      </c>
      <c r="M2" s="27">
        <f>AVERAGE(F2:F10)</f>
        <v>2.0514008957875074</v>
      </c>
      <c r="N2" s="27">
        <f>AVERAGE(G2:G10)</f>
        <v>7.5133066240740745E-2</v>
      </c>
      <c r="O2" s="27">
        <f>AVERAGE(H2:H10)</f>
        <v>2.0921362222222225E-3</v>
      </c>
      <c r="P2" s="27">
        <f>AVERAGE(I2:I10)</f>
        <v>0.20352711749999999</v>
      </c>
      <c r="Q2" s="27">
        <f>AVERAGE(J2:J10)</f>
        <v>7.3637277222222226E-3</v>
      </c>
    </row>
    <row r="3" spans="1:18">
      <c r="A3" s="8">
        <v>7</v>
      </c>
      <c r="B3" s="9">
        <v>36446</v>
      </c>
      <c r="C3" s="10">
        <v>1999</v>
      </c>
      <c r="D3" s="11" t="s">
        <v>14</v>
      </c>
      <c r="E3" s="12">
        <v>10</v>
      </c>
      <c r="F3" s="44">
        <v>3.5618297825676479</v>
      </c>
      <c r="G3" s="44">
        <v>0.16553434933333333</v>
      </c>
      <c r="H3" s="38">
        <v>0</v>
      </c>
      <c r="I3" s="44">
        <v>0.38768184366666669</v>
      </c>
      <c r="J3" s="44">
        <v>1.4024393666666666E-2</v>
      </c>
      <c r="K3" s="44" t="s">
        <v>15</v>
      </c>
    </row>
    <row r="4" spans="1:18">
      <c r="A4" s="8">
        <v>14</v>
      </c>
      <c r="B4" s="9">
        <v>36445</v>
      </c>
      <c r="C4" s="10">
        <v>1999</v>
      </c>
      <c r="D4" s="11" t="s">
        <v>14</v>
      </c>
      <c r="E4" s="12">
        <v>10</v>
      </c>
      <c r="F4" s="44">
        <v>1.7570548739512071</v>
      </c>
      <c r="G4" s="44">
        <v>7.1061170166666673E-2</v>
      </c>
      <c r="H4" s="38">
        <v>0</v>
      </c>
      <c r="I4" s="44">
        <v>0.20175154033333331</v>
      </c>
      <c r="J4" s="44">
        <v>0</v>
      </c>
      <c r="K4" s="44" t="s">
        <v>15</v>
      </c>
    </row>
    <row r="5" spans="1:18">
      <c r="A5" s="8">
        <v>5</v>
      </c>
      <c r="B5" s="9">
        <v>36472</v>
      </c>
      <c r="C5" s="10">
        <v>1999</v>
      </c>
      <c r="D5" s="11" t="s">
        <v>16</v>
      </c>
      <c r="E5" s="10">
        <v>11</v>
      </c>
      <c r="F5" s="44">
        <v>1.0695950602526303</v>
      </c>
      <c r="G5" s="44">
        <v>8.8613520000000012E-3</v>
      </c>
      <c r="H5" s="38">
        <v>0</v>
      </c>
      <c r="I5" s="44">
        <v>4.0543138500000006E-2</v>
      </c>
      <c r="J5" s="44">
        <v>6.6823911666666668E-3</v>
      </c>
      <c r="K5" s="44" t="s">
        <v>15</v>
      </c>
    </row>
    <row r="6" spans="1:18">
      <c r="A6" s="8">
        <v>7</v>
      </c>
      <c r="B6" s="9">
        <v>36472</v>
      </c>
      <c r="C6" s="10">
        <v>1999</v>
      </c>
      <c r="D6" s="11" t="s">
        <v>16</v>
      </c>
      <c r="E6" s="10">
        <v>11</v>
      </c>
      <c r="F6" s="44">
        <v>0.4851754089868166</v>
      </c>
      <c r="G6" s="44">
        <v>0</v>
      </c>
      <c r="H6" s="38">
        <v>0</v>
      </c>
      <c r="I6" s="44">
        <v>3.5184477833333332E-2</v>
      </c>
      <c r="J6" s="44">
        <v>0</v>
      </c>
      <c r="K6" s="44" t="s">
        <v>15</v>
      </c>
    </row>
    <row r="7" spans="1:18">
      <c r="A7" s="8">
        <v>14</v>
      </c>
      <c r="B7" s="9">
        <v>36472</v>
      </c>
      <c r="C7" s="10">
        <v>1999</v>
      </c>
      <c r="D7" s="11" t="s">
        <v>16</v>
      </c>
      <c r="E7" s="10">
        <v>11</v>
      </c>
      <c r="F7" s="44">
        <v>0.75565076873544512</v>
      </c>
      <c r="G7" s="44">
        <v>0</v>
      </c>
      <c r="H7" s="38">
        <v>0</v>
      </c>
      <c r="I7" s="44">
        <v>4.4647677999999996E-2</v>
      </c>
      <c r="J7" s="44">
        <v>0</v>
      </c>
      <c r="K7" s="44" t="s">
        <v>15</v>
      </c>
    </row>
    <row r="8" spans="1:18">
      <c r="A8" s="8">
        <v>5</v>
      </c>
      <c r="B8" s="9">
        <v>36501</v>
      </c>
      <c r="C8" s="10">
        <v>1999</v>
      </c>
      <c r="D8" s="11" t="s">
        <v>17</v>
      </c>
      <c r="E8" s="10">
        <v>12</v>
      </c>
      <c r="F8" s="44">
        <v>1.2963978786910486</v>
      </c>
      <c r="G8" s="44">
        <v>6.8806938999999998E-2</v>
      </c>
      <c r="H8" s="38">
        <v>0</v>
      </c>
      <c r="I8" s="44">
        <v>7.4320228833333349E-2</v>
      </c>
      <c r="J8" s="44">
        <v>0</v>
      </c>
      <c r="K8" s="44" t="s">
        <v>15</v>
      </c>
    </row>
    <row r="9" spans="1:18">
      <c r="A9" s="8">
        <v>7</v>
      </c>
      <c r="B9" s="9">
        <v>36501</v>
      </c>
      <c r="C9" s="10">
        <v>1999</v>
      </c>
      <c r="D9" s="11" t="s">
        <v>17</v>
      </c>
      <c r="E9" s="10">
        <v>12</v>
      </c>
      <c r="F9" s="44">
        <v>1.4891287446440764</v>
      </c>
      <c r="G9" s="44">
        <v>9.6929424166666667E-2</v>
      </c>
      <c r="H9" s="38">
        <v>0</v>
      </c>
      <c r="I9" s="44">
        <v>0.11124053699999999</v>
      </c>
      <c r="J9" s="44">
        <v>0</v>
      </c>
      <c r="K9" s="44" t="s">
        <v>15</v>
      </c>
    </row>
    <row r="10" spans="1:18" ht="25.5">
      <c r="A10" s="8">
        <v>14</v>
      </c>
      <c r="B10" s="9">
        <v>36501</v>
      </c>
      <c r="C10" s="10">
        <v>1999</v>
      </c>
      <c r="D10" s="11" t="s">
        <v>17</v>
      </c>
      <c r="E10" s="10">
        <v>12</v>
      </c>
      <c r="F10" s="44">
        <v>1.8616587403351297</v>
      </c>
      <c r="G10" s="44">
        <v>0.11645793933333333</v>
      </c>
      <c r="H10" s="38">
        <v>1.8829226000000001E-2</v>
      </c>
      <c r="I10" s="44">
        <v>0.31870416133333335</v>
      </c>
      <c r="J10" s="44">
        <v>1.3039497333333334E-2</v>
      </c>
      <c r="K10" s="44" t="s">
        <v>15</v>
      </c>
      <c r="L10" s="35" t="s">
        <v>43</v>
      </c>
      <c r="M10" s="6" t="s">
        <v>7</v>
      </c>
      <c r="N10" s="6" t="s">
        <v>8</v>
      </c>
      <c r="O10" s="6" t="s">
        <v>9</v>
      </c>
      <c r="P10" s="6" t="s">
        <v>10</v>
      </c>
      <c r="Q10" s="6" t="s">
        <v>11</v>
      </c>
      <c r="R10" s="6" t="s">
        <v>12</v>
      </c>
    </row>
    <row r="11" spans="1:18">
      <c r="A11" s="37">
        <v>5</v>
      </c>
      <c r="B11" s="42">
        <v>36530</v>
      </c>
      <c r="C11" s="41">
        <v>2000</v>
      </c>
      <c r="D11" s="43" t="s">
        <v>18</v>
      </c>
      <c r="E11" s="39">
        <v>1</v>
      </c>
      <c r="F11" s="45">
        <v>3.2148323476012717</v>
      </c>
      <c r="G11" s="45">
        <v>5.2456503333333335E-2</v>
      </c>
      <c r="H11" s="40">
        <v>0</v>
      </c>
      <c r="I11" s="45">
        <v>0.65526588683333331</v>
      </c>
      <c r="J11" s="45">
        <v>1.3203758333333336E-2</v>
      </c>
      <c r="K11" s="45" t="s">
        <v>15</v>
      </c>
      <c r="L11" s="35" t="s">
        <v>46</v>
      </c>
      <c r="M11" s="27">
        <f>AVERAGE(F11:F46)</f>
        <v>6.9938851001999316</v>
      </c>
      <c r="N11" s="27">
        <f>AVERAGE(G11:G46)</f>
        <v>0.34061195667129629</v>
      </c>
      <c r="O11" s="27">
        <f>AVERAGE(H11:H46)</f>
        <v>0.12681750300231484</v>
      </c>
      <c r="P11" s="27">
        <f>AVERAGE(I11:I46)</f>
        <v>1.881584285337963</v>
      </c>
      <c r="Q11" s="27">
        <f>AVERAGE(J11:J46)</f>
        <v>0.12051127921759261</v>
      </c>
    </row>
    <row r="12" spans="1:18">
      <c r="A12" s="8">
        <v>7</v>
      </c>
      <c r="B12" s="9">
        <v>36530</v>
      </c>
      <c r="C12" s="12">
        <v>2000</v>
      </c>
      <c r="D12" s="11" t="s">
        <v>18</v>
      </c>
      <c r="E12" s="10">
        <v>1</v>
      </c>
      <c r="F12" s="44">
        <v>3.4598228030424072</v>
      </c>
      <c r="G12" s="44">
        <v>0.23095831666666666</v>
      </c>
      <c r="H12" s="38">
        <v>0</v>
      </c>
      <c r="I12" s="44">
        <v>0.40100553133333328</v>
      </c>
      <c r="J12" s="44">
        <v>1.5057106833333334E-2</v>
      </c>
      <c r="K12" s="44" t="s">
        <v>15</v>
      </c>
    </row>
    <row r="13" spans="1:18">
      <c r="A13" s="8">
        <v>14</v>
      </c>
      <c r="B13" s="9">
        <v>36530</v>
      </c>
      <c r="C13" s="12">
        <v>2000</v>
      </c>
      <c r="D13" s="11" t="s">
        <v>18</v>
      </c>
      <c r="E13" s="10">
        <v>1</v>
      </c>
      <c r="F13" s="44">
        <v>3.1795569669373069</v>
      </c>
      <c r="G13" s="44">
        <v>0.12680470966666665</v>
      </c>
      <c r="H13" s="38">
        <v>0</v>
      </c>
      <c r="I13" s="44">
        <v>0.60627986616666674</v>
      </c>
      <c r="J13" s="44">
        <v>3.1546008166666667E-2</v>
      </c>
      <c r="K13" s="44" t="s">
        <v>15</v>
      </c>
    </row>
    <row r="14" spans="1:18">
      <c r="A14" s="8">
        <v>5</v>
      </c>
      <c r="B14" s="9">
        <v>36579</v>
      </c>
      <c r="C14" s="12">
        <v>2000</v>
      </c>
      <c r="D14" s="11" t="s">
        <v>19</v>
      </c>
      <c r="E14" s="12">
        <v>2</v>
      </c>
      <c r="F14" s="44">
        <v>4.8556115862249278</v>
      </c>
      <c r="G14" s="44">
        <v>0.27614882166666666</v>
      </c>
      <c r="H14" s="38">
        <v>0</v>
      </c>
      <c r="I14" s="44">
        <v>1.4868349175</v>
      </c>
      <c r="J14" s="44">
        <v>2.9241056833333331E-2</v>
      </c>
      <c r="K14" s="44" t="s">
        <v>15</v>
      </c>
    </row>
    <row r="15" spans="1:18">
      <c r="A15" s="8">
        <v>7</v>
      </c>
      <c r="B15" s="9">
        <v>36579</v>
      </c>
      <c r="C15" s="12">
        <v>2000</v>
      </c>
      <c r="D15" s="11" t="s">
        <v>19</v>
      </c>
      <c r="E15" s="12">
        <v>2</v>
      </c>
      <c r="F15" s="44">
        <v>2.3127199610742348</v>
      </c>
      <c r="G15" s="44">
        <v>0.10133514983333333</v>
      </c>
      <c r="H15" s="38">
        <v>0</v>
      </c>
      <c r="I15" s="44">
        <v>0.63362377900000011</v>
      </c>
      <c r="J15" s="44">
        <v>3.8387870000000004E-2</v>
      </c>
      <c r="K15" s="44" t="s">
        <v>15</v>
      </c>
    </row>
    <row r="16" spans="1:18">
      <c r="A16" s="8">
        <v>14</v>
      </c>
      <c r="B16" s="9">
        <v>36579</v>
      </c>
      <c r="C16" s="12">
        <v>2000</v>
      </c>
      <c r="D16" s="11" t="s">
        <v>19</v>
      </c>
      <c r="E16" s="12">
        <v>2</v>
      </c>
      <c r="F16" s="44">
        <v>3.2411450589938369</v>
      </c>
      <c r="G16" s="44">
        <v>4.4017524833333335E-2</v>
      </c>
      <c r="H16" s="38">
        <v>0</v>
      </c>
      <c r="I16" s="44">
        <v>1.2114384846666666</v>
      </c>
      <c r="J16" s="44">
        <v>1.9160073833333336E-2</v>
      </c>
      <c r="K16" s="44" t="s">
        <v>15</v>
      </c>
    </row>
    <row r="17" spans="1:11">
      <c r="A17" s="8">
        <v>5</v>
      </c>
      <c r="B17" s="9">
        <v>36598</v>
      </c>
      <c r="C17" s="12">
        <v>2000</v>
      </c>
      <c r="D17" s="11" t="s">
        <v>20</v>
      </c>
      <c r="E17" s="12">
        <v>3</v>
      </c>
      <c r="F17" s="44">
        <v>3.6719942385994471</v>
      </c>
      <c r="G17" s="44">
        <v>4.6444311666666661E-2</v>
      </c>
      <c r="H17" s="38">
        <v>4.7302477333333329E-2</v>
      </c>
      <c r="I17" s="44">
        <v>1.3414158833333334</v>
      </c>
      <c r="J17" s="44">
        <v>5.4305448833333332E-2</v>
      </c>
      <c r="K17" s="44" t="s">
        <v>15</v>
      </c>
    </row>
    <row r="18" spans="1:11">
      <c r="A18" s="8">
        <v>7</v>
      </c>
      <c r="B18" s="9">
        <v>36598</v>
      </c>
      <c r="C18" s="12">
        <v>2000</v>
      </c>
      <c r="D18" s="11" t="s">
        <v>20</v>
      </c>
      <c r="E18" s="12">
        <v>3</v>
      </c>
      <c r="F18" s="44">
        <v>2.6823038640115811</v>
      </c>
      <c r="G18" s="44">
        <v>0</v>
      </c>
      <c r="H18" s="38">
        <v>0</v>
      </c>
      <c r="I18" s="44">
        <v>0.46975512650000006</v>
      </c>
      <c r="J18" s="44">
        <v>3.6092858666666665E-2</v>
      </c>
      <c r="K18" s="44" t="s">
        <v>15</v>
      </c>
    </row>
    <row r="19" spans="1:11">
      <c r="A19" s="8">
        <v>14</v>
      </c>
      <c r="B19" s="9">
        <v>36598</v>
      </c>
      <c r="C19" s="12">
        <v>2000</v>
      </c>
      <c r="D19" s="11" t="s">
        <v>20</v>
      </c>
      <c r="E19" s="12">
        <v>3</v>
      </c>
      <c r="F19" s="44">
        <v>3.1011022883411523</v>
      </c>
      <c r="G19" s="44">
        <v>4.30515905E-2</v>
      </c>
      <c r="H19" s="38">
        <v>0</v>
      </c>
      <c r="I19" s="44">
        <v>0.60951599116666666</v>
      </c>
      <c r="J19" s="44">
        <v>3.2971865499999996E-2</v>
      </c>
      <c r="K19" s="44" t="s">
        <v>15</v>
      </c>
    </row>
    <row r="20" spans="1:11">
      <c r="A20" s="8">
        <v>5</v>
      </c>
      <c r="B20" s="9">
        <v>36627</v>
      </c>
      <c r="C20" s="12">
        <v>2000</v>
      </c>
      <c r="D20" s="15" t="s">
        <v>21</v>
      </c>
      <c r="E20" s="12">
        <v>4</v>
      </c>
      <c r="F20" s="44">
        <v>3.9029052399695949</v>
      </c>
      <c r="G20" s="44">
        <v>7.3832205999999997E-2</v>
      </c>
      <c r="H20" s="38">
        <v>1.7670699666666664E-2</v>
      </c>
      <c r="I20" s="44">
        <v>1.0981972843333332</v>
      </c>
      <c r="J20" s="44">
        <v>1.9788472666666664E-2</v>
      </c>
      <c r="K20" s="44" t="s">
        <v>15</v>
      </c>
    </row>
    <row r="21" spans="1:11">
      <c r="A21" s="8">
        <v>7</v>
      </c>
      <c r="B21" s="9">
        <v>36627</v>
      </c>
      <c r="C21" s="12">
        <v>2000</v>
      </c>
      <c r="D21" s="15" t="s">
        <v>21</v>
      </c>
      <c r="E21" s="12">
        <v>4</v>
      </c>
      <c r="F21" s="44">
        <v>8.5895355885101203</v>
      </c>
      <c r="G21" s="44">
        <v>0.10348161233333335</v>
      </c>
      <c r="H21" s="38">
        <v>0</v>
      </c>
      <c r="I21" s="44">
        <v>1.6612509565000002</v>
      </c>
      <c r="J21" s="44">
        <v>2.5330354166666669E-2</v>
      </c>
      <c r="K21" s="44" t="s">
        <v>15</v>
      </c>
    </row>
    <row r="22" spans="1:11">
      <c r="A22" s="8">
        <v>14</v>
      </c>
      <c r="B22" s="9">
        <v>36627</v>
      </c>
      <c r="C22" s="12">
        <v>2000</v>
      </c>
      <c r="D22" s="15" t="s">
        <v>21</v>
      </c>
      <c r="E22" s="12">
        <v>4</v>
      </c>
      <c r="F22" s="44">
        <v>1.3836903992311675</v>
      </c>
      <c r="G22" s="44">
        <v>3.052107183333333E-2</v>
      </c>
      <c r="H22" s="38">
        <v>0</v>
      </c>
      <c r="I22" s="44">
        <v>0.19911519166666669</v>
      </c>
      <c r="J22" s="44">
        <v>0</v>
      </c>
      <c r="K22" s="44" t="s">
        <v>15</v>
      </c>
    </row>
    <row r="23" spans="1:11">
      <c r="A23" s="8">
        <v>5</v>
      </c>
      <c r="B23" s="9">
        <v>36662</v>
      </c>
      <c r="C23" s="12">
        <v>2000</v>
      </c>
      <c r="D23" s="15" t="s">
        <v>22</v>
      </c>
      <c r="E23" s="12">
        <v>5</v>
      </c>
      <c r="F23" s="44">
        <v>7.3769975245343691</v>
      </c>
      <c r="G23" s="44">
        <v>0</v>
      </c>
      <c r="H23" s="38">
        <v>0.89007840099999991</v>
      </c>
      <c r="I23" s="44">
        <v>3.680431951833333</v>
      </c>
      <c r="J23" s="44">
        <v>7.2124284999999996E-2</v>
      </c>
      <c r="K23" s="44" t="s">
        <v>15</v>
      </c>
    </row>
    <row r="24" spans="1:11">
      <c r="A24" s="8">
        <v>7</v>
      </c>
      <c r="B24" s="9">
        <v>36662</v>
      </c>
      <c r="C24" s="12">
        <v>2000</v>
      </c>
      <c r="D24" s="15" t="s">
        <v>22</v>
      </c>
      <c r="E24" s="12">
        <v>5</v>
      </c>
      <c r="F24" s="44">
        <v>2.9850717701540082</v>
      </c>
      <c r="G24" s="44">
        <v>3.3572770166666668E-2</v>
      </c>
      <c r="H24" s="38">
        <v>0</v>
      </c>
      <c r="I24" s="44">
        <v>0.18482494066666669</v>
      </c>
      <c r="J24" s="44">
        <v>3.4789885166666673E-2</v>
      </c>
      <c r="K24" s="44" t="s">
        <v>15</v>
      </c>
    </row>
    <row r="25" spans="1:11">
      <c r="A25" s="8">
        <v>14</v>
      </c>
      <c r="B25" s="9">
        <v>36662</v>
      </c>
      <c r="C25" s="12">
        <v>2000</v>
      </c>
      <c r="D25" s="15" t="s">
        <v>22</v>
      </c>
      <c r="E25" s="12">
        <v>5</v>
      </c>
      <c r="F25" s="44">
        <v>0.56149883852101445</v>
      </c>
      <c r="G25" s="44">
        <v>0</v>
      </c>
      <c r="H25" s="38">
        <v>0</v>
      </c>
      <c r="I25" s="44">
        <v>8.1282315333333327E-2</v>
      </c>
      <c r="J25" s="44">
        <v>0</v>
      </c>
      <c r="K25" s="44" t="s">
        <v>15</v>
      </c>
    </row>
    <row r="26" spans="1:11">
      <c r="A26" s="8">
        <v>5</v>
      </c>
      <c r="B26" s="9">
        <v>36690</v>
      </c>
      <c r="C26" s="12">
        <v>2000</v>
      </c>
      <c r="D26" s="15" t="s">
        <v>23</v>
      </c>
      <c r="E26" s="12">
        <v>6</v>
      </c>
      <c r="F26" s="44">
        <v>23.289635618043349</v>
      </c>
      <c r="G26" s="44">
        <v>0.23083937733333332</v>
      </c>
      <c r="H26" s="38">
        <v>3.1005776213333331</v>
      </c>
      <c r="I26" s="44">
        <v>10.088649282666667</v>
      </c>
      <c r="J26" s="44">
        <v>0.40641289033333339</v>
      </c>
      <c r="K26" s="44" t="s">
        <v>15</v>
      </c>
    </row>
    <row r="27" spans="1:11">
      <c r="A27" s="8">
        <v>7</v>
      </c>
      <c r="B27" s="9">
        <v>36690</v>
      </c>
      <c r="C27" s="12">
        <v>2000</v>
      </c>
      <c r="D27" s="15" t="s">
        <v>23</v>
      </c>
      <c r="E27" s="12">
        <v>6</v>
      </c>
      <c r="F27" s="44">
        <v>21.742745951284697</v>
      </c>
      <c r="G27" s="44">
        <v>0.14338315766666668</v>
      </c>
      <c r="H27" s="38">
        <v>5.9331934666666662E-2</v>
      </c>
      <c r="I27" s="44">
        <v>9.0537022210000018</v>
      </c>
      <c r="J27" s="44">
        <v>0.21376748933333331</v>
      </c>
      <c r="K27" s="44" t="s">
        <v>15</v>
      </c>
    </row>
    <row r="28" spans="1:11">
      <c r="A28" s="8">
        <v>14</v>
      </c>
      <c r="B28" s="9">
        <v>36690</v>
      </c>
      <c r="C28" s="12">
        <v>2000</v>
      </c>
      <c r="D28" s="15" t="s">
        <v>23</v>
      </c>
      <c r="E28" s="12">
        <v>6</v>
      </c>
      <c r="F28" s="44">
        <v>11.069309697066526</v>
      </c>
      <c r="G28" s="44">
        <v>4.7996699000000004E-2</v>
      </c>
      <c r="H28" s="38">
        <v>0.25668190899999999</v>
      </c>
      <c r="I28" s="44">
        <v>4.5481529706666661</v>
      </c>
      <c r="J28" s="44">
        <v>0.13775459766666667</v>
      </c>
      <c r="K28" s="44" t="s">
        <v>15</v>
      </c>
    </row>
    <row r="29" spans="1:11">
      <c r="A29" s="8">
        <v>5</v>
      </c>
      <c r="B29" s="9">
        <v>36718</v>
      </c>
      <c r="C29" s="12">
        <v>2000</v>
      </c>
      <c r="D29" s="15" t="s">
        <v>24</v>
      </c>
      <c r="E29" s="12">
        <v>7</v>
      </c>
      <c r="F29" s="44">
        <v>10.902403216943357</v>
      </c>
      <c r="G29" s="44">
        <v>0.46264665416666662</v>
      </c>
      <c r="H29" s="38">
        <v>9.5690609583333336E-2</v>
      </c>
      <c r="I29" s="44">
        <v>2.8404941541666662</v>
      </c>
      <c r="J29" s="44">
        <v>0.33123802250000006</v>
      </c>
      <c r="K29" s="44" t="s">
        <v>15</v>
      </c>
    </row>
    <row r="30" spans="1:11">
      <c r="A30" s="8">
        <v>7</v>
      </c>
      <c r="B30" s="9">
        <v>36718</v>
      </c>
      <c r="C30" s="12">
        <v>2000</v>
      </c>
      <c r="D30" s="15" t="s">
        <v>24</v>
      </c>
      <c r="E30" s="12">
        <v>7</v>
      </c>
      <c r="F30" s="44">
        <v>20.148786565769534</v>
      </c>
      <c r="G30" s="44">
        <v>5.0669256003333336</v>
      </c>
      <c r="H30" s="38">
        <v>2.1917322000000003E-2</v>
      </c>
      <c r="I30" s="44">
        <v>1.7385050899999999</v>
      </c>
      <c r="J30" s="44">
        <v>0.29868528200000005</v>
      </c>
      <c r="K30" s="44" t="s">
        <v>15</v>
      </c>
    </row>
    <row r="31" spans="1:11">
      <c r="A31" s="8">
        <v>14</v>
      </c>
      <c r="B31" s="9">
        <v>36718</v>
      </c>
      <c r="C31" s="12">
        <v>2000</v>
      </c>
      <c r="D31" s="15" t="s">
        <v>24</v>
      </c>
      <c r="E31" s="12">
        <v>7</v>
      </c>
      <c r="F31" s="44">
        <v>7.8162246612151201</v>
      </c>
      <c r="G31" s="44">
        <v>0.27285642600000004</v>
      </c>
      <c r="H31" s="38">
        <v>1.41024945E-2</v>
      </c>
      <c r="I31" s="44">
        <v>1.172564188</v>
      </c>
      <c r="J31" s="44">
        <v>7.7646905000000002E-2</v>
      </c>
      <c r="K31" s="44" t="s">
        <v>15</v>
      </c>
    </row>
    <row r="32" spans="1:11">
      <c r="A32" s="8">
        <v>5</v>
      </c>
      <c r="B32" s="9">
        <v>36753</v>
      </c>
      <c r="C32" s="12">
        <v>2000</v>
      </c>
      <c r="D32" s="15" t="s">
        <v>25</v>
      </c>
      <c r="E32" s="12">
        <v>8</v>
      </c>
      <c r="F32" s="44">
        <v>9.9486212394273466</v>
      </c>
      <c r="G32" s="44">
        <v>0.23991622016666667</v>
      </c>
      <c r="H32" s="38">
        <v>1.3696055666666668E-2</v>
      </c>
      <c r="I32" s="44">
        <v>2.8204126221666668</v>
      </c>
      <c r="J32" s="44">
        <v>0.62871653066666677</v>
      </c>
      <c r="K32" s="44" t="s">
        <v>15</v>
      </c>
    </row>
    <row r="33" spans="1:18">
      <c r="A33" s="8">
        <v>7</v>
      </c>
      <c r="B33" s="9">
        <v>36753</v>
      </c>
      <c r="C33" s="12">
        <v>2000</v>
      </c>
      <c r="D33" s="15" t="s">
        <v>25</v>
      </c>
      <c r="E33" s="12">
        <v>8</v>
      </c>
      <c r="F33" s="44">
        <v>22.319131627184127</v>
      </c>
      <c r="G33" s="44">
        <v>1.7155985483333336</v>
      </c>
      <c r="H33" s="38">
        <v>0</v>
      </c>
      <c r="I33" s="44">
        <v>5.390792817166667</v>
      </c>
      <c r="J33" s="44">
        <v>0.60630316400000006</v>
      </c>
      <c r="K33" s="44" t="s">
        <v>15</v>
      </c>
    </row>
    <row r="34" spans="1:18">
      <c r="A34" s="8">
        <v>14</v>
      </c>
      <c r="B34" s="9">
        <v>36753</v>
      </c>
      <c r="C34" s="12">
        <v>2000</v>
      </c>
      <c r="D34" s="15" t="s">
        <v>25</v>
      </c>
      <c r="E34" s="12">
        <v>8</v>
      </c>
      <c r="F34" s="44">
        <v>3.9703120611773604</v>
      </c>
      <c r="G34" s="44">
        <v>4.7262535833333334E-2</v>
      </c>
      <c r="H34" s="38">
        <v>0</v>
      </c>
      <c r="I34" s="44">
        <v>1.1982441613333334</v>
      </c>
      <c r="J34" s="44">
        <v>0.16750626433333335</v>
      </c>
      <c r="K34" s="44" t="s">
        <v>15</v>
      </c>
    </row>
    <row r="35" spans="1:18">
      <c r="A35" s="8">
        <v>5</v>
      </c>
      <c r="B35" s="9">
        <v>36781</v>
      </c>
      <c r="C35" s="12">
        <v>2000</v>
      </c>
      <c r="D35" s="15" t="s">
        <v>26</v>
      </c>
      <c r="E35" s="12">
        <v>9</v>
      </c>
      <c r="F35" s="44">
        <v>8.58360609251163</v>
      </c>
      <c r="G35" s="44">
        <v>0.23122868183333334</v>
      </c>
      <c r="H35" s="38">
        <v>2.190324766666667E-2</v>
      </c>
      <c r="I35" s="44">
        <v>2.4231018368333337</v>
      </c>
      <c r="J35" s="44">
        <v>0.2036702</v>
      </c>
      <c r="K35" s="44" t="s">
        <v>15</v>
      </c>
    </row>
    <row r="36" spans="1:18">
      <c r="A36" s="8">
        <v>7</v>
      </c>
      <c r="B36" s="9">
        <v>36781</v>
      </c>
      <c r="C36" s="12">
        <v>2000</v>
      </c>
      <c r="D36" s="15" t="s">
        <v>26</v>
      </c>
      <c r="E36" s="12">
        <v>9</v>
      </c>
      <c r="F36" s="44">
        <v>21.080325065578293</v>
      </c>
      <c r="G36" s="44">
        <v>0.67242036399999994</v>
      </c>
      <c r="H36" s="38">
        <v>0</v>
      </c>
      <c r="I36" s="44">
        <v>5.3998350356666673</v>
      </c>
      <c r="J36" s="44">
        <v>0.50746458633333336</v>
      </c>
      <c r="K36" s="44" t="s">
        <v>15</v>
      </c>
    </row>
    <row r="37" spans="1:18">
      <c r="A37" s="8">
        <v>14</v>
      </c>
      <c r="B37" s="9">
        <v>36781</v>
      </c>
      <c r="C37" s="12">
        <v>2000</v>
      </c>
      <c r="D37" s="15" t="s">
        <v>26</v>
      </c>
      <c r="E37" s="12">
        <v>9</v>
      </c>
      <c r="F37" s="44">
        <v>4.8136051654102934</v>
      </c>
      <c r="G37" s="44">
        <v>0.25598947650000003</v>
      </c>
      <c r="H37" s="38">
        <v>0</v>
      </c>
      <c r="I37" s="44">
        <v>0.63070951716666668</v>
      </c>
      <c r="J37" s="44">
        <v>4.997321133333333E-2</v>
      </c>
      <c r="K37" s="44" t="s">
        <v>15</v>
      </c>
    </row>
    <row r="38" spans="1:18">
      <c r="A38" s="8">
        <v>5</v>
      </c>
      <c r="B38" s="9">
        <v>36817</v>
      </c>
      <c r="C38" s="12">
        <v>2000</v>
      </c>
      <c r="D38" s="15" t="s">
        <v>14</v>
      </c>
      <c r="E38" s="12">
        <v>10</v>
      </c>
      <c r="F38" s="20">
        <v>4.428124884704741</v>
      </c>
      <c r="G38" s="20">
        <v>0.39871628583333335</v>
      </c>
      <c r="H38" s="20">
        <v>0</v>
      </c>
      <c r="I38" s="20">
        <v>0.48715599216666661</v>
      </c>
      <c r="J38" s="20">
        <v>1.5461344166666668E-2</v>
      </c>
      <c r="K38" s="20" t="s">
        <v>15</v>
      </c>
    </row>
    <row r="39" spans="1:18">
      <c r="A39" s="8">
        <v>7</v>
      </c>
      <c r="B39" s="9">
        <v>36817</v>
      </c>
      <c r="C39" s="12">
        <v>2000</v>
      </c>
      <c r="D39" s="15" t="s">
        <v>14</v>
      </c>
      <c r="E39" s="12">
        <v>10</v>
      </c>
      <c r="F39" s="20">
        <v>14.989400775487558</v>
      </c>
      <c r="G39" s="20">
        <v>0.16287483249999998</v>
      </c>
      <c r="H39" s="20">
        <v>2.6477335666666667E-2</v>
      </c>
      <c r="I39" s="20">
        <v>4.5633285356666669</v>
      </c>
      <c r="J39" s="20">
        <v>0.24104705733333331</v>
      </c>
      <c r="K39" s="20" t="s">
        <v>15</v>
      </c>
    </row>
    <row r="40" spans="1:18">
      <c r="A40" s="8">
        <v>14</v>
      </c>
      <c r="B40" s="9">
        <v>36817</v>
      </c>
      <c r="C40" s="12">
        <v>2000</v>
      </c>
      <c r="D40" s="15" t="s">
        <v>14</v>
      </c>
      <c r="E40" s="12">
        <v>10</v>
      </c>
      <c r="F40" s="20">
        <v>1.1296373935593171</v>
      </c>
      <c r="G40" s="20">
        <v>1.7730776166666667E-2</v>
      </c>
      <c r="H40" s="20">
        <v>0</v>
      </c>
      <c r="I40" s="20">
        <v>0.22293898599999998</v>
      </c>
      <c r="J40" s="20">
        <v>0</v>
      </c>
      <c r="K40" s="20" t="s">
        <v>15</v>
      </c>
    </row>
    <row r="41" spans="1:18">
      <c r="A41" s="8">
        <v>5</v>
      </c>
      <c r="B41" s="9">
        <v>36848</v>
      </c>
      <c r="C41" s="12">
        <v>2000</v>
      </c>
      <c r="D41" s="15" t="s">
        <v>16</v>
      </c>
      <c r="E41" s="12">
        <v>11</v>
      </c>
      <c r="F41" s="20">
        <v>0.93310577912846204</v>
      </c>
      <c r="G41" s="20">
        <v>8.8048258666666671E-2</v>
      </c>
      <c r="H41" s="20">
        <v>0</v>
      </c>
      <c r="I41" s="20">
        <v>0</v>
      </c>
      <c r="J41" s="20">
        <v>0</v>
      </c>
      <c r="K41" s="20" t="s">
        <v>15</v>
      </c>
    </row>
    <row r="42" spans="1:18">
      <c r="A42" s="8">
        <v>7</v>
      </c>
      <c r="B42" s="9">
        <v>36845</v>
      </c>
      <c r="C42" s="12">
        <v>2000</v>
      </c>
      <c r="D42" s="15" t="s">
        <v>16</v>
      </c>
      <c r="E42" s="12">
        <v>11</v>
      </c>
      <c r="F42" s="20">
        <v>1.8834222592917329</v>
      </c>
      <c r="G42" s="20">
        <v>5.1936530000000002E-2</v>
      </c>
      <c r="H42" s="20">
        <v>0</v>
      </c>
      <c r="I42" s="20">
        <v>0.32511793933333338</v>
      </c>
      <c r="J42" s="20">
        <v>1.0636494833333333E-2</v>
      </c>
      <c r="K42" s="20" t="s">
        <v>15</v>
      </c>
    </row>
    <row r="43" spans="1:18">
      <c r="A43" s="8">
        <v>14</v>
      </c>
      <c r="B43" s="9">
        <v>36845</v>
      </c>
      <c r="C43" s="12">
        <v>2000</v>
      </c>
      <c r="D43" s="15" t="s">
        <v>16</v>
      </c>
      <c r="E43" s="12">
        <v>11</v>
      </c>
      <c r="F43" s="20">
        <v>1.2404397039227635</v>
      </c>
      <c r="G43" s="20">
        <v>0.1665853035</v>
      </c>
      <c r="H43" s="20">
        <v>0</v>
      </c>
      <c r="I43" s="20">
        <v>7.6417000333333332E-2</v>
      </c>
      <c r="J43" s="20">
        <v>0</v>
      </c>
      <c r="K43" s="20" t="s">
        <v>15</v>
      </c>
    </row>
    <row r="44" spans="1:18">
      <c r="A44" s="8">
        <v>5</v>
      </c>
      <c r="B44" s="9">
        <v>36871</v>
      </c>
      <c r="C44" s="12">
        <v>2000</v>
      </c>
      <c r="D44" s="15" t="s">
        <v>17</v>
      </c>
      <c r="E44" s="12">
        <v>12</v>
      </c>
      <c r="F44" s="20">
        <v>1.4124404647971747</v>
      </c>
      <c r="G44" s="20">
        <v>0.13476555633333334</v>
      </c>
      <c r="H44" s="20">
        <v>0</v>
      </c>
      <c r="I44" s="20">
        <v>0.13617158100000001</v>
      </c>
      <c r="J44" s="20">
        <v>1.1902462166666666E-2</v>
      </c>
      <c r="K44" s="20" t="s">
        <v>15</v>
      </c>
    </row>
    <row r="45" spans="1:18">
      <c r="A45" s="8">
        <v>7</v>
      </c>
      <c r="B45" s="9">
        <v>36871</v>
      </c>
      <c r="C45" s="12">
        <v>2000</v>
      </c>
      <c r="D45" s="15" t="s">
        <v>17</v>
      </c>
      <c r="E45" s="12">
        <v>12</v>
      </c>
      <c r="F45" s="20">
        <v>3.8981278950132019</v>
      </c>
      <c r="G45" s="20">
        <v>0.52885366016666668</v>
      </c>
      <c r="H45" s="20">
        <v>0</v>
      </c>
      <c r="I45" s="20">
        <v>0.147356459</v>
      </c>
      <c r="J45" s="20">
        <v>0</v>
      </c>
      <c r="K45" s="20" t="s">
        <v>15</v>
      </c>
    </row>
    <row r="46" spans="1:18" ht="25.5">
      <c r="A46" s="8">
        <v>14</v>
      </c>
      <c r="B46" s="9">
        <v>36871</v>
      </c>
      <c r="C46" s="12">
        <v>2000</v>
      </c>
      <c r="D46" s="15" t="s">
        <v>17</v>
      </c>
      <c r="E46" s="12">
        <v>12</v>
      </c>
      <c r="F46" s="20">
        <v>1.6616690139345036</v>
      </c>
      <c r="G46" s="20">
        <v>0.16283090733333336</v>
      </c>
      <c r="H46" s="20">
        <v>0</v>
      </c>
      <c r="I46" s="20">
        <v>0.15314577499999998</v>
      </c>
      <c r="J46" s="20">
        <v>8.2205058333333341E-3</v>
      </c>
      <c r="K46" s="20" t="s">
        <v>15</v>
      </c>
      <c r="L46" s="35" t="s">
        <v>43</v>
      </c>
      <c r="M46" s="6" t="s">
        <v>7</v>
      </c>
      <c r="N46" s="6" t="s">
        <v>8</v>
      </c>
      <c r="O46" s="6" t="s">
        <v>9</v>
      </c>
      <c r="P46" s="6" t="s">
        <v>10</v>
      </c>
      <c r="Q46" s="6" t="s">
        <v>11</v>
      </c>
      <c r="R46" s="6" t="s">
        <v>12</v>
      </c>
    </row>
    <row r="47" spans="1:18">
      <c r="A47" s="37">
        <v>5</v>
      </c>
      <c r="B47" s="42">
        <v>36901</v>
      </c>
      <c r="C47" s="41">
        <v>2001</v>
      </c>
      <c r="D47" s="46" t="s">
        <v>18</v>
      </c>
      <c r="E47" s="41">
        <v>1</v>
      </c>
      <c r="F47" s="47">
        <v>2.6510986984391183</v>
      </c>
      <c r="G47" s="47">
        <v>0.20628610616666665</v>
      </c>
      <c r="H47" s="47">
        <v>0</v>
      </c>
      <c r="I47" s="47">
        <v>0.36231458816666662</v>
      </c>
      <c r="J47" s="47">
        <v>3.1920177500000001E-2</v>
      </c>
      <c r="K47" s="47" t="s">
        <v>15</v>
      </c>
      <c r="L47" s="35" t="s">
        <v>47</v>
      </c>
      <c r="M47" s="27">
        <f>AVERAGE(F47:F82)</f>
        <v>6.3721467497182935</v>
      </c>
      <c r="N47" s="27">
        <f>AVERAGE(G47:G82)</f>
        <v>0.40890521266091029</v>
      </c>
      <c r="O47" s="27">
        <f>AVERAGE(H47:H82)</f>
        <v>0.2528799866929658</v>
      </c>
      <c r="P47" s="27">
        <f>AVERAGE(I47:I82)</f>
        <v>1.0825952258862506</v>
      </c>
      <c r="Q47" s="27">
        <f>AVERAGE(J47:J82)</f>
        <v>0.23076052961960258</v>
      </c>
    </row>
    <row r="48" spans="1:18">
      <c r="A48" s="8">
        <v>7</v>
      </c>
      <c r="B48" s="9">
        <v>36901</v>
      </c>
      <c r="C48" s="12">
        <v>2001</v>
      </c>
      <c r="D48" s="15" t="s">
        <v>18</v>
      </c>
      <c r="E48" s="12">
        <v>1</v>
      </c>
      <c r="F48" s="20">
        <v>7.5445138644098027</v>
      </c>
      <c r="G48" s="20">
        <v>0.83915864949999985</v>
      </c>
      <c r="H48" s="20">
        <v>0</v>
      </c>
      <c r="I48" s="20">
        <v>0.71640384816666669</v>
      </c>
      <c r="J48" s="20">
        <v>4.6131803500000006E-2</v>
      </c>
      <c r="K48" s="20" t="s">
        <v>15</v>
      </c>
    </row>
    <row r="49" spans="1:11">
      <c r="A49" s="8">
        <v>14</v>
      </c>
      <c r="B49" s="9">
        <v>36901</v>
      </c>
      <c r="C49" s="12">
        <v>2001</v>
      </c>
      <c r="D49" s="15" t="s">
        <v>18</v>
      </c>
      <c r="E49" s="12">
        <v>1</v>
      </c>
      <c r="F49" s="20">
        <v>5.2861622948586486</v>
      </c>
      <c r="G49" s="20">
        <v>0.44035398916666663</v>
      </c>
      <c r="H49" s="20">
        <v>0</v>
      </c>
      <c r="I49" s="20">
        <v>0.72236299416666672</v>
      </c>
      <c r="J49" s="20">
        <v>3.8046218166666666E-2</v>
      </c>
      <c r="K49" s="20" t="s">
        <v>15</v>
      </c>
    </row>
    <row r="50" spans="1:11">
      <c r="A50" s="12">
        <v>5</v>
      </c>
      <c r="B50" s="9">
        <v>36928</v>
      </c>
      <c r="C50" s="12">
        <v>2001</v>
      </c>
      <c r="D50" s="11" t="s">
        <v>19</v>
      </c>
      <c r="E50" s="12">
        <v>2</v>
      </c>
      <c r="F50" s="20">
        <v>1.8821120568377148</v>
      </c>
      <c r="G50" s="20">
        <v>0.22659578233333336</v>
      </c>
      <c r="H50" s="20">
        <v>0</v>
      </c>
      <c r="I50" s="20">
        <v>0.26857566166666663</v>
      </c>
      <c r="J50" s="20">
        <v>2.1796317666666665E-2</v>
      </c>
      <c r="K50" s="20" t="s">
        <v>15</v>
      </c>
    </row>
    <row r="51" spans="1:11">
      <c r="A51" s="12">
        <v>7</v>
      </c>
      <c r="B51" s="9">
        <v>36928</v>
      </c>
      <c r="C51" s="12">
        <v>2001</v>
      </c>
      <c r="D51" s="11" t="s">
        <v>19</v>
      </c>
      <c r="E51" s="12">
        <v>2</v>
      </c>
      <c r="F51" s="20">
        <v>4.47392370475497</v>
      </c>
      <c r="G51" s="20">
        <v>0.32032852366666664</v>
      </c>
      <c r="H51" s="20">
        <v>1.2141691833333334E-2</v>
      </c>
      <c r="I51" s="20">
        <v>0.57551288016666668</v>
      </c>
      <c r="J51" s="20">
        <v>3.0454607500000001E-2</v>
      </c>
      <c r="K51" s="20" t="s">
        <v>15</v>
      </c>
    </row>
    <row r="52" spans="1:11">
      <c r="A52" s="12">
        <v>14</v>
      </c>
      <c r="B52" s="9">
        <v>36928</v>
      </c>
      <c r="C52" s="12">
        <v>2001</v>
      </c>
      <c r="D52" s="11" t="s">
        <v>19</v>
      </c>
      <c r="E52" s="12">
        <v>2</v>
      </c>
      <c r="F52" s="20">
        <v>5.8749024686312694</v>
      </c>
      <c r="G52" s="20">
        <v>0.50737739866666665</v>
      </c>
      <c r="H52" s="20">
        <v>3.1155103833333329E-2</v>
      </c>
      <c r="I52" s="20">
        <v>1.2267358694999999</v>
      </c>
      <c r="J52" s="20">
        <v>3.8289221833333331E-2</v>
      </c>
      <c r="K52" s="20" t="s">
        <v>15</v>
      </c>
    </row>
    <row r="53" spans="1:11">
      <c r="A53" s="8">
        <v>5</v>
      </c>
      <c r="B53" s="9">
        <v>36965</v>
      </c>
      <c r="C53" s="12">
        <v>2001</v>
      </c>
      <c r="D53" s="11" t="s">
        <v>20</v>
      </c>
      <c r="E53" s="12">
        <v>3</v>
      </c>
      <c r="F53" s="20">
        <v>5.0144970962932138</v>
      </c>
      <c r="G53" s="20">
        <v>0</v>
      </c>
      <c r="H53" s="20">
        <v>0.10580183786666668</v>
      </c>
      <c r="I53" s="20">
        <v>1.5262234549333331</v>
      </c>
      <c r="J53" s="20">
        <v>5.5605562133333335E-2</v>
      </c>
      <c r="K53" s="20" t="s">
        <v>15</v>
      </c>
    </row>
    <row r="54" spans="1:11">
      <c r="A54" s="8">
        <v>7</v>
      </c>
      <c r="B54" s="9">
        <v>36964</v>
      </c>
      <c r="C54" s="12">
        <v>2001</v>
      </c>
      <c r="D54" s="11" t="s">
        <v>20</v>
      </c>
      <c r="E54" s="12">
        <v>3</v>
      </c>
      <c r="F54" s="20">
        <v>5.4559536275281983</v>
      </c>
      <c r="G54" s="20">
        <v>0</v>
      </c>
      <c r="H54" s="20">
        <v>5.7272651499999994E-2</v>
      </c>
      <c r="I54" s="20">
        <v>1.4004971194999998</v>
      </c>
      <c r="J54" s="20">
        <v>7.1937996166666671E-2</v>
      </c>
      <c r="K54" s="20" t="s">
        <v>15</v>
      </c>
    </row>
    <row r="55" spans="1:11">
      <c r="A55" s="8">
        <v>14</v>
      </c>
      <c r="B55" s="9">
        <v>36964</v>
      </c>
      <c r="C55" s="12">
        <v>2001</v>
      </c>
      <c r="D55" s="11" t="s">
        <v>20</v>
      </c>
      <c r="E55" s="12">
        <v>3</v>
      </c>
      <c r="F55" s="20">
        <v>6.9978104594472761</v>
      </c>
      <c r="G55" s="20">
        <v>0</v>
      </c>
      <c r="H55" s="20">
        <v>8.4992017599999997E-2</v>
      </c>
      <c r="I55" s="20">
        <v>2.3649093776000001</v>
      </c>
      <c r="J55" s="20">
        <v>4.9220154666666668E-2</v>
      </c>
      <c r="K55" s="20" t="s">
        <v>15</v>
      </c>
    </row>
    <row r="56" spans="1:11">
      <c r="A56" s="8">
        <v>5</v>
      </c>
      <c r="B56" s="9">
        <v>37000</v>
      </c>
      <c r="C56" s="12">
        <v>2001</v>
      </c>
      <c r="D56" s="15" t="s">
        <v>21</v>
      </c>
      <c r="E56" s="12">
        <v>4</v>
      </c>
      <c r="F56" s="20">
        <v>1.5188435484190554</v>
      </c>
      <c r="G56" s="20">
        <v>0</v>
      </c>
      <c r="H56" s="20">
        <v>0</v>
      </c>
      <c r="I56" s="20">
        <v>0.42401707700000002</v>
      </c>
      <c r="J56" s="20">
        <v>1.8483269833333333E-2</v>
      </c>
      <c r="K56" s="20" t="s">
        <v>15</v>
      </c>
    </row>
    <row r="57" spans="1:11">
      <c r="A57" s="8">
        <v>7</v>
      </c>
      <c r="B57" s="9">
        <v>36997</v>
      </c>
      <c r="C57" s="12">
        <v>2001</v>
      </c>
      <c r="D57" s="15" t="s">
        <v>21</v>
      </c>
      <c r="E57" s="12">
        <v>4</v>
      </c>
      <c r="F57" s="20">
        <v>2.3669604981845023</v>
      </c>
      <c r="G57" s="20">
        <v>3.4440894999999999E-2</v>
      </c>
      <c r="H57" s="20">
        <v>0</v>
      </c>
      <c r="I57" s="20">
        <v>0.45002423516666668</v>
      </c>
      <c r="J57" s="20">
        <v>2.5415688499999999E-2</v>
      </c>
      <c r="K57" s="20" t="s">
        <v>15</v>
      </c>
    </row>
    <row r="58" spans="1:11">
      <c r="A58" s="8">
        <v>14</v>
      </c>
      <c r="B58" s="9">
        <v>36997</v>
      </c>
      <c r="C58" s="12">
        <v>2001</v>
      </c>
      <c r="D58" s="15" t="s">
        <v>21</v>
      </c>
      <c r="E58" s="12">
        <v>4</v>
      </c>
      <c r="F58" s="20">
        <v>1.6275124565939976</v>
      </c>
      <c r="G58" s="20">
        <v>0</v>
      </c>
      <c r="H58" s="20">
        <v>0</v>
      </c>
      <c r="I58" s="20">
        <v>0.7245479305000001</v>
      </c>
      <c r="J58" s="20">
        <v>1.5806769999999998E-2</v>
      </c>
      <c r="K58" s="20" t="s">
        <v>15</v>
      </c>
    </row>
    <row r="59" spans="1:11">
      <c r="A59" s="8">
        <v>5</v>
      </c>
      <c r="B59" s="9">
        <v>37026</v>
      </c>
      <c r="C59" s="12">
        <v>2001</v>
      </c>
      <c r="D59" s="15" t="s">
        <v>22</v>
      </c>
      <c r="E59" s="12">
        <v>5</v>
      </c>
      <c r="F59" s="20">
        <v>4.5061721337177332</v>
      </c>
      <c r="G59" s="20">
        <v>3.961955683333334E-2</v>
      </c>
      <c r="H59" s="20">
        <v>0.7577818793333333</v>
      </c>
      <c r="I59" s="20">
        <v>1.7679434041666666</v>
      </c>
      <c r="J59" s="20">
        <v>8.1913411999999977E-2</v>
      </c>
      <c r="K59" s="20" t="s">
        <v>15</v>
      </c>
    </row>
    <row r="60" spans="1:11">
      <c r="A60" s="8">
        <v>7</v>
      </c>
      <c r="B60" s="9">
        <v>37026</v>
      </c>
      <c r="C60" s="12">
        <v>2001</v>
      </c>
      <c r="D60" s="15" t="s">
        <v>22</v>
      </c>
      <c r="E60" s="12">
        <v>5</v>
      </c>
      <c r="F60" s="20">
        <v>2.5313860766422454</v>
      </c>
      <c r="G60" s="20">
        <v>1.4955208833333336E-2</v>
      </c>
      <c r="H60" s="20">
        <v>0.40954535949999998</v>
      </c>
      <c r="I60" s="20">
        <v>0.86186607366666679</v>
      </c>
      <c r="J60" s="20">
        <v>8.2971285166666672E-2</v>
      </c>
      <c r="K60" s="20" t="s">
        <v>15</v>
      </c>
    </row>
    <row r="61" spans="1:11">
      <c r="A61" s="8">
        <v>14</v>
      </c>
      <c r="B61" s="9">
        <v>37026</v>
      </c>
      <c r="C61" s="12">
        <v>2001</v>
      </c>
      <c r="D61" s="15" t="s">
        <v>22</v>
      </c>
      <c r="E61" s="12">
        <v>5</v>
      </c>
      <c r="F61" s="20">
        <v>2.1602217678936753</v>
      </c>
      <c r="G61" s="20">
        <v>3.1943031166666663E-2</v>
      </c>
      <c r="H61" s="20">
        <v>0.40239321016666663</v>
      </c>
      <c r="I61" s="20">
        <v>0.76788833683333335</v>
      </c>
      <c r="J61" s="20">
        <v>4.32597895E-2</v>
      </c>
      <c r="K61" s="20" t="s">
        <v>15</v>
      </c>
    </row>
    <row r="62" spans="1:11">
      <c r="A62" s="8">
        <v>5</v>
      </c>
      <c r="B62" s="9">
        <v>37055</v>
      </c>
      <c r="C62" s="12">
        <v>2001</v>
      </c>
      <c r="D62" s="15" t="s">
        <v>23</v>
      </c>
      <c r="E62" s="12">
        <v>6</v>
      </c>
      <c r="F62" s="20">
        <v>24.072883583490611</v>
      </c>
      <c r="G62" s="20">
        <v>9.9762754666666675E-2</v>
      </c>
      <c r="H62" s="20">
        <v>6.7075853423333331</v>
      </c>
      <c r="I62" s="20">
        <v>9.0941062165000002</v>
      </c>
      <c r="J62" s="20">
        <v>1.0425682338333333</v>
      </c>
      <c r="K62" s="20" t="s">
        <v>15</v>
      </c>
    </row>
    <row r="63" spans="1:11">
      <c r="A63" s="8">
        <v>7</v>
      </c>
      <c r="B63" s="9">
        <v>37055</v>
      </c>
      <c r="C63" s="12">
        <v>2001</v>
      </c>
      <c r="D63" s="15" t="s">
        <v>23</v>
      </c>
      <c r="E63" s="12">
        <v>6</v>
      </c>
      <c r="F63" s="20">
        <v>6.3424066960415697</v>
      </c>
      <c r="G63" s="20">
        <v>7.4304818333333328E-2</v>
      </c>
      <c r="H63" s="20">
        <v>0</v>
      </c>
      <c r="I63" s="20">
        <v>0.71319112583333333</v>
      </c>
      <c r="J63" s="20">
        <v>0.21493066283333331</v>
      </c>
      <c r="K63" s="20" t="s">
        <v>15</v>
      </c>
    </row>
    <row r="64" spans="1:11">
      <c r="A64" s="8">
        <v>14</v>
      </c>
      <c r="B64" s="9">
        <v>37055</v>
      </c>
      <c r="C64" s="12">
        <v>2001</v>
      </c>
      <c r="D64" s="15" t="s">
        <v>23</v>
      </c>
      <c r="E64" s="12">
        <v>6</v>
      </c>
      <c r="F64" s="20">
        <v>2.2811221404051065</v>
      </c>
      <c r="G64" s="20">
        <v>2.1496599166666668E-2</v>
      </c>
      <c r="H64" s="20">
        <v>0</v>
      </c>
      <c r="I64" s="20">
        <v>0.35925188233333338</v>
      </c>
      <c r="J64" s="20">
        <v>0.10611743683333331</v>
      </c>
      <c r="K64" s="20" t="s">
        <v>15</v>
      </c>
    </row>
    <row r="65" spans="1:11">
      <c r="A65" s="8">
        <v>5</v>
      </c>
      <c r="B65" s="9">
        <v>37092</v>
      </c>
      <c r="C65" s="12">
        <v>2001</v>
      </c>
      <c r="D65" s="15" t="s">
        <v>24</v>
      </c>
      <c r="E65" s="12">
        <v>7</v>
      </c>
      <c r="F65" s="20">
        <v>11.877769247662307</v>
      </c>
      <c r="G65" s="20">
        <v>0.14748163422222221</v>
      </c>
      <c r="H65" s="20">
        <v>9.1410968444444449E-2</v>
      </c>
      <c r="I65" s="20">
        <v>1.9048858733333334</v>
      </c>
      <c r="J65" s="20">
        <v>1.2921786453333333</v>
      </c>
      <c r="K65" s="20" t="s">
        <v>15</v>
      </c>
    </row>
    <row r="66" spans="1:11">
      <c r="A66" s="8">
        <v>7</v>
      </c>
      <c r="B66" s="9">
        <v>37092</v>
      </c>
      <c r="C66" s="12">
        <v>2001</v>
      </c>
      <c r="D66" s="15" t="s">
        <v>24</v>
      </c>
      <c r="E66" s="12">
        <v>7</v>
      </c>
      <c r="F66" s="20">
        <v>13.194572972859174</v>
      </c>
      <c r="G66" s="20">
        <v>2.4434892993333328</v>
      </c>
      <c r="H66" s="20">
        <v>4.0755845333333332E-2</v>
      </c>
      <c r="I66" s="20">
        <v>1.4145519148333332</v>
      </c>
      <c r="J66" s="20">
        <v>0.33025005516666667</v>
      </c>
      <c r="K66" s="20" t="s">
        <v>15</v>
      </c>
    </row>
    <row r="67" spans="1:11">
      <c r="A67" s="8">
        <v>14</v>
      </c>
      <c r="B67" s="9">
        <v>37092</v>
      </c>
      <c r="C67" s="12">
        <v>2001</v>
      </c>
      <c r="D67" s="15" t="s">
        <v>24</v>
      </c>
      <c r="E67" s="12">
        <v>7</v>
      </c>
      <c r="F67" s="20">
        <v>6.7113648288775618</v>
      </c>
      <c r="G67" s="20">
        <v>1.6068359999999999</v>
      </c>
      <c r="H67" s="20">
        <v>2.8033541666666665E-2</v>
      </c>
      <c r="I67" s="20">
        <v>0.67115034933333328</v>
      </c>
      <c r="J67" s="20">
        <v>0.22513239699999998</v>
      </c>
      <c r="K67" s="20" t="s">
        <v>15</v>
      </c>
    </row>
    <row r="68" spans="1:11">
      <c r="A68" s="8">
        <v>5</v>
      </c>
      <c r="B68" s="9">
        <v>37118</v>
      </c>
      <c r="C68" s="12">
        <v>2001</v>
      </c>
      <c r="D68" s="15" t="s">
        <v>25</v>
      </c>
      <c r="E68" s="12">
        <v>8</v>
      </c>
      <c r="F68" s="20">
        <v>24.299481261486179</v>
      </c>
      <c r="G68" s="20">
        <v>0.13342814333333333</v>
      </c>
      <c r="H68" s="20">
        <v>0.12124571199999998</v>
      </c>
      <c r="I68" s="20">
        <v>2.9183182816666662</v>
      </c>
      <c r="J68" s="20">
        <v>2.5594050533333332</v>
      </c>
      <c r="K68" s="20" t="s">
        <v>15</v>
      </c>
    </row>
    <row r="69" spans="1:11">
      <c r="A69" s="8">
        <v>7</v>
      </c>
      <c r="B69" s="9">
        <v>37118</v>
      </c>
      <c r="C69" s="12">
        <v>2001</v>
      </c>
      <c r="D69" s="15" t="s">
        <v>25</v>
      </c>
      <c r="E69" s="12">
        <v>8</v>
      </c>
      <c r="F69" s="20">
        <v>19.393464839280142</v>
      </c>
      <c r="G69" s="20">
        <v>0.50199796033333333</v>
      </c>
      <c r="H69" s="20">
        <v>0</v>
      </c>
      <c r="I69" s="20">
        <v>0.88912326766666672</v>
      </c>
      <c r="J69" s="20">
        <v>0.79101360333333337</v>
      </c>
      <c r="K69" s="20" t="s">
        <v>15</v>
      </c>
    </row>
    <row r="70" spans="1:11">
      <c r="A70" s="8">
        <v>14</v>
      </c>
      <c r="B70" s="9">
        <v>37118</v>
      </c>
      <c r="C70" s="12">
        <v>2001</v>
      </c>
      <c r="D70" s="15" t="s">
        <v>25</v>
      </c>
      <c r="E70" s="12">
        <v>8</v>
      </c>
      <c r="F70" s="20">
        <v>2.7546243219747071</v>
      </c>
      <c r="G70" s="20">
        <v>0.22136931649999997</v>
      </c>
      <c r="H70" s="20">
        <v>0</v>
      </c>
      <c r="I70" s="20">
        <v>0.24185720933333335</v>
      </c>
      <c r="J70" s="20">
        <v>7.7533789833333339E-2</v>
      </c>
      <c r="K70" s="20" t="s">
        <v>15</v>
      </c>
    </row>
    <row r="71" spans="1:11">
      <c r="A71" s="8">
        <v>5</v>
      </c>
      <c r="B71" s="9">
        <v>37152</v>
      </c>
      <c r="C71" s="12">
        <v>2001</v>
      </c>
      <c r="D71" s="15" t="s">
        <v>26</v>
      </c>
      <c r="E71" s="12">
        <v>9</v>
      </c>
      <c r="F71" s="20">
        <v>3.6413537637524587</v>
      </c>
      <c r="G71" s="20">
        <v>3.7298442000000001E-2</v>
      </c>
      <c r="H71" s="20">
        <v>0</v>
      </c>
      <c r="I71" s="20">
        <v>0.61712406066666659</v>
      </c>
      <c r="J71" s="20">
        <v>4.123577233333333E-2</v>
      </c>
      <c r="K71" s="20" t="s">
        <v>15</v>
      </c>
    </row>
    <row r="72" spans="1:11">
      <c r="A72" s="8">
        <v>7</v>
      </c>
      <c r="B72" s="9">
        <v>37145</v>
      </c>
      <c r="C72" s="12">
        <v>2001</v>
      </c>
      <c r="D72" s="15" t="s">
        <v>26</v>
      </c>
      <c r="E72" s="12">
        <v>9</v>
      </c>
      <c r="F72" s="20">
        <v>29.587456852823312</v>
      </c>
      <c r="G72" s="20">
        <v>4.7005784323333337</v>
      </c>
      <c r="H72" s="20">
        <v>0.15914653983333335</v>
      </c>
      <c r="I72" s="20">
        <v>3.0990747181666665</v>
      </c>
      <c r="J72" s="20">
        <v>0.69888798033333333</v>
      </c>
      <c r="K72" s="20" t="s">
        <v>15</v>
      </c>
    </row>
    <row r="73" spans="1:11">
      <c r="A73" s="8">
        <v>14</v>
      </c>
      <c r="B73" s="9">
        <v>37145</v>
      </c>
      <c r="C73" s="12">
        <v>2001</v>
      </c>
      <c r="D73" s="15" t="s">
        <v>26</v>
      </c>
      <c r="E73" s="12">
        <v>9</v>
      </c>
      <c r="F73" s="20">
        <v>7.5217141606356481</v>
      </c>
      <c r="G73" s="20">
        <v>1.4301082379999999</v>
      </c>
      <c r="H73" s="20">
        <v>0</v>
      </c>
      <c r="I73" s="20">
        <v>0.59229197933333333</v>
      </c>
      <c r="J73" s="20">
        <v>0.12627604816666668</v>
      </c>
      <c r="K73" s="20" t="s">
        <v>15</v>
      </c>
    </row>
    <row r="74" spans="1:11">
      <c r="A74" s="8">
        <v>5</v>
      </c>
      <c r="B74" s="9">
        <v>37180</v>
      </c>
      <c r="C74" s="12">
        <v>2001</v>
      </c>
      <c r="D74" s="15" t="s">
        <v>14</v>
      </c>
      <c r="E74" s="12">
        <v>10</v>
      </c>
      <c r="F74" s="27">
        <v>2.998085996406898</v>
      </c>
      <c r="G74" s="27">
        <v>0</v>
      </c>
      <c r="H74" s="27">
        <v>5.2162035954882384E-2</v>
      </c>
      <c r="I74" s="27">
        <v>0.61972519240877189</v>
      </c>
      <c r="J74" s="27">
        <v>3.9418072647319828E-2</v>
      </c>
      <c r="K74" s="27" t="s">
        <v>27</v>
      </c>
    </row>
    <row r="75" spans="1:11">
      <c r="A75" s="8">
        <v>7</v>
      </c>
      <c r="B75" s="9">
        <v>37180</v>
      </c>
      <c r="C75" s="12">
        <v>2001</v>
      </c>
      <c r="D75" s="15" t="s">
        <v>14</v>
      </c>
      <c r="E75" s="12">
        <v>10</v>
      </c>
      <c r="F75" s="27">
        <v>5.1351998815226754</v>
      </c>
      <c r="G75" s="27">
        <v>0.37687994907169559</v>
      </c>
      <c r="H75" s="27">
        <v>1.0841694102448514E-2</v>
      </c>
      <c r="I75" s="27">
        <v>0.57252673817096078</v>
      </c>
      <c r="J75" s="27">
        <v>3.3983901968444696E-2</v>
      </c>
      <c r="K75" s="27" t="s">
        <v>27</v>
      </c>
    </row>
    <row r="76" spans="1:11">
      <c r="A76" s="8">
        <v>14</v>
      </c>
      <c r="B76" s="9">
        <v>37180</v>
      </c>
      <c r="C76" s="12">
        <v>2001</v>
      </c>
      <c r="D76" s="15" t="s">
        <v>14</v>
      </c>
      <c r="E76" s="12">
        <v>10</v>
      </c>
      <c r="F76" s="27">
        <v>1.5955186504831684</v>
      </c>
      <c r="G76" s="27">
        <v>3.0222566683733857E-2</v>
      </c>
      <c r="H76" s="27">
        <v>0</v>
      </c>
      <c r="I76" s="27">
        <v>0.17073806332285021</v>
      </c>
      <c r="J76" s="27">
        <v>1.3626716086538104E-2</v>
      </c>
      <c r="K76" s="27" t="s">
        <v>27</v>
      </c>
    </row>
    <row r="77" spans="1:11">
      <c r="A77" s="8">
        <v>5</v>
      </c>
      <c r="B77" s="9">
        <v>37201</v>
      </c>
      <c r="C77" s="12">
        <v>2001</v>
      </c>
      <c r="D77" s="15" t="s">
        <v>16</v>
      </c>
      <c r="E77" s="12">
        <v>11</v>
      </c>
      <c r="F77" s="27">
        <v>0.76783486617007013</v>
      </c>
      <c r="G77" s="27">
        <v>0</v>
      </c>
      <c r="H77" s="27">
        <v>0</v>
      </c>
      <c r="I77" s="27">
        <v>4.2579197981704245E-2</v>
      </c>
      <c r="J77" s="27">
        <v>0</v>
      </c>
      <c r="K77" s="27" t="s">
        <v>27</v>
      </c>
    </row>
    <row r="78" spans="1:11">
      <c r="A78" s="8">
        <v>7</v>
      </c>
      <c r="B78" s="9">
        <v>37201</v>
      </c>
      <c r="C78" s="12">
        <v>2001</v>
      </c>
      <c r="D78" s="15" t="s">
        <v>16</v>
      </c>
      <c r="E78" s="12">
        <v>11</v>
      </c>
      <c r="F78" s="27">
        <v>1.406645029527225</v>
      </c>
      <c r="G78" s="27">
        <v>2.8979049214946366E-2</v>
      </c>
      <c r="H78" s="27">
        <v>0</v>
      </c>
      <c r="I78" s="27">
        <v>0.1244959305012765</v>
      </c>
      <c r="J78" s="27">
        <v>1.6376767386090889E-2</v>
      </c>
      <c r="K78" s="27" t="s">
        <v>27</v>
      </c>
    </row>
    <row r="79" spans="1:11">
      <c r="A79" s="8">
        <v>14</v>
      </c>
      <c r="B79" s="9">
        <v>37201</v>
      </c>
      <c r="C79" s="12">
        <v>2001</v>
      </c>
      <c r="D79" s="15" t="s">
        <v>16</v>
      </c>
      <c r="E79" s="12">
        <v>11</v>
      </c>
      <c r="F79" s="27">
        <v>2.1011605648905727</v>
      </c>
      <c r="G79" s="27">
        <v>2.2773747592106656E-2</v>
      </c>
      <c r="H79" s="27">
        <v>3.1414089644994023E-2</v>
      </c>
      <c r="I79" s="27">
        <v>0.44699137236604936</v>
      </c>
      <c r="J79" s="27">
        <v>2.0516983256928203E-2</v>
      </c>
      <c r="K79" s="27" t="s">
        <v>27</v>
      </c>
    </row>
    <row r="80" spans="1:11">
      <c r="A80" s="8">
        <v>5</v>
      </c>
      <c r="B80" s="9">
        <v>37229</v>
      </c>
      <c r="C80" s="12">
        <v>2001</v>
      </c>
      <c r="D80" s="15" t="s">
        <v>17</v>
      </c>
      <c r="E80" s="12">
        <v>12</v>
      </c>
      <c r="F80" s="27">
        <v>1.1329340623276043</v>
      </c>
      <c r="G80" s="27">
        <v>9.1410905291424843E-2</v>
      </c>
      <c r="H80" s="27">
        <v>0</v>
      </c>
      <c r="I80" s="27">
        <v>0.15805740557678352</v>
      </c>
      <c r="J80" s="27">
        <v>6.7843087320572128E-3</v>
      </c>
      <c r="K80" s="27" t="s">
        <v>27</v>
      </c>
    </row>
    <row r="81" spans="1:18">
      <c r="A81" s="8">
        <v>7</v>
      </c>
      <c r="B81" s="9">
        <v>37229</v>
      </c>
      <c r="C81" s="12">
        <v>2001</v>
      </c>
      <c r="D81" s="15" t="s">
        <v>17</v>
      </c>
      <c r="E81" s="12">
        <v>12</v>
      </c>
      <c r="F81" s="27">
        <v>1.5298015635710343</v>
      </c>
      <c r="G81" s="27">
        <v>9.1110658383313489E-2</v>
      </c>
      <c r="H81" s="27">
        <v>0</v>
      </c>
      <c r="I81" s="27">
        <v>9.2872536438773565E-2</v>
      </c>
      <c r="J81" s="27">
        <v>1.042666029523823E-2</v>
      </c>
      <c r="K81" s="27" t="s">
        <v>27</v>
      </c>
    </row>
    <row r="82" spans="1:18" ht="25.5">
      <c r="A82" s="8">
        <v>14</v>
      </c>
      <c r="B82" s="9">
        <v>37229</v>
      </c>
      <c r="C82" s="12">
        <v>2001</v>
      </c>
      <c r="D82" s="15" t="s">
        <v>17</v>
      </c>
      <c r="E82" s="12">
        <v>12</v>
      </c>
      <c r="F82" s="27">
        <v>1.159816953019184</v>
      </c>
      <c r="G82" s="27">
        <v>0</v>
      </c>
      <c r="H82" s="27">
        <v>0</v>
      </c>
      <c r="I82" s="27">
        <v>7.0691964937843174E-2</v>
      </c>
      <c r="J82" s="27">
        <v>9.4637034664093195E-3</v>
      </c>
      <c r="K82" s="27" t="s">
        <v>27</v>
      </c>
      <c r="L82" s="35" t="s">
        <v>43</v>
      </c>
      <c r="M82" s="6" t="s">
        <v>7</v>
      </c>
      <c r="N82" s="6" t="s">
        <v>8</v>
      </c>
      <c r="O82" s="6" t="s">
        <v>9</v>
      </c>
      <c r="P82" s="6" t="s">
        <v>10</v>
      </c>
      <c r="Q82" s="6" t="s">
        <v>11</v>
      </c>
      <c r="R82" s="6" t="s">
        <v>12</v>
      </c>
    </row>
    <row r="83" spans="1:18">
      <c r="A83" s="37">
        <v>5</v>
      </c>
      <c r="B83" s="42">
        <v>37271</v>
      </c>
      <c r="C83" s="41">
        <v>2002</v>
      </c>
      <c r="D83" s="46" t="s">
        <v>18</v>
      </c>
      <c r="E83" s="41">
        <v>1</v>
      </c>
      <c r="F83" s="48">
        <v>2.5492834482718494</v>
      </c>
      <c r="G83" s="48">
        <v>7.0339293261909339E-2</v>
      </c>
      <c r="H83" s="48">
        <v>0</v>
      </c>
      <c r="I83" s="48">
        <v>0.68024399821271286</v>
      </c>
      <c r="J83" s="48">
        <v>1.2396181825899586E-2</v>
      </c>
      <c r="K83" s="48" t="s">
        <v>27</v>
      </c>
      <c r="L83" s="35" t="s">
        <v>48</v>
      </c>
      <c r="M83" s="27">
        <f>AVERAGE(F83:F118)</f>
        <v>6.4445257527841129</v>
      </c>
      <c r="N83" s="27">
        <f>AVERAGE(G83:G118)</f>
        <v>0.19416975534605083</v>
      </c>
      <c r="O83" s="27">
        <f>AVERAGE(H83:H118)</f>
        <v>0.20981701129250566</v>
      </c>
      <c r="P83" s="27">
        <f>AVERAGE(I83:I118)</f>
        <v>0.69900890599436361</v>
      </c>
      <c r="Q83" s="27">
        <f>AVERAGE(J83:J118)</f>
        <v>2.1981646354772164E-2</v>
      </c>
    </row>
    <row r="84" spans="1:18">
      <c r="A84" s="8">
        <v>7</v>
      </c>
      <c r="B84" s="9">
        <v>37271</v>
      </c>
      <c r="C84" s="12">
        <v>2002</v>
      </c>
      <c r="D84" s="15" t="s">
        <v>18</v>
      </c>
      <c r="E84" s="12">
        <v>1</v>
      </c>
      <c r="F84" s="27">
        <v>6.006413616748155</v>
      </c>
      <c r="G84" s="27">
        <v>0.3080815283178005</v>
      </c>
      <c r="H84" s="27">
        <v>0</v>
      </c>
      <c r="I84" s="27">
        <v>1.0162337947508526</v>
      </c>
      <c r="J84" s="27">
        <v>1.5866461111538305E-2</v>
      </c>
      <c r="K84" s="27" t="s">
        <v>27</v>
      </c>
    </row>
    <row r="85" spans="1:18">
      <c r="A85" s="8">
        <v>14</v>
      </c>
      <c r="B85" s="9">
        <v>37271</v>
      </c>
      <c r="C85" s="12">
        <v>2002</v>
      </c>
      <c r="D85" s="15" t="s">
        <v>18</v>
      </c>
      <c r="E85" s="12">
        <v>1</v>
      </c>
      <c r="F85" s="27">
        <v>4.3999340380891985</v>
      </c>
      <c r="G85" s="27">
        <v>7.4344902168521992E-2</v>
      </c>
      <c r="H85" s="27">
        <v>0</v>
      </c>
      <c r="I85" s="27">
        <v>1.1766496882336346</v>
      </c>
      <c r="J85" s="27">
        <v>7.668391813987591E-3</v>
      </c>
      <c r="K85" s="27" t="s">
        <v>27</v>
      </c>
    </row>
    <row r="86" spans="1:18">
      <c r="A86" s="8">
        <v>5</v>
      </c>
      <c r="B86" s="9">
        <v>37306</v>
      </c>
      <c r="C86" s="12">
        <v>2002</v>
      </c>
      <c r="D86" s="11" t="s">
        <v>19</v>
      </c>
      <c r="E86" s="12">
        <v>2</v>
      </c>
      <c r="F86" s="27">
        <v>1.8545334300930461</v>
      </c>
      <c r="G86" s="27">
        <v>4.1286874698036199E-2</v>
      </c>
      <c r="H86" s="27">
        <v>7.0347981373627327E-2</v>
      </c>
      <c r="I86" s="27">
        <v>0.74431597907869329</v>
      </c>
      <c r="J86" s="27">
        <v>4.4380691315709681E-2</v>
      </c>
      <c r="K86" s="27" t="s">
        <v>27</v>
      </c>
    </row>
    <row r="87" spans="1:18">
      <c r="A87" s="8">
        <v>7</v>
      </c>
      <c r="B87" s="9">
        <v>37306</v>
      </c>
      <c r="C87" s="12">
        <v>2002</v>
      </c>
      <c r="D87" s="11" t="s">
        <v>19</v>
      </c>
      <c r="E87" s="12">
        <v>2</v>
      </c>
      <c r="F87" s="27">
        <v>0.85025511842399948</v>
      </c>
      <c r="G87" s="27">
        <v>4.6888190323033659E-2</v>
      </c>
      <c r="H87" s="27">
        <v>0</v>
      </c>
      <c r="I87" s="27">
        <v>0.15683745027956378</v>
      </c>
      <c r="J87" s="27">
        <v>2.9985026943748591E-2</v>
      </c>
      <c r="K87" s="27" t="s">
        <v>27</v>
      </c>
    </row>
    <row r="88" spans="1:18">
      <c r="A88" s="8">
        <v>14</v>
      </c>
      <c r="B88" s="9">
        <v>37306</v>
      </c>
      <c r="C88" s="12">
        <v>2002</v>
      </c>
      <c r="D88" s="11" t="s">
        <v>19</v>
      </c>
      <c r="E88" s="12">
        <v>2</v>
      </c>
      <c r="F88" s="27">
        <v>1.6078379934090927</v>
      </c>
      <c r="G88" s="27">
        <v>6.8178833612144205E-2</v>
      </c>
      <c r="H88" s="27">
        <v>3.1080649864447717E-2</v>
      </c>
      <c r="I88" s="27">
        <v>0.44539199815995645</v>
      </c>
      <c r="J88" s="27">
        <v>5.3875469748401301E-2</v>
      </c>
      <c r="K88" s="27" t="s">
        <v>27</v>
      </c>
    </row>
    <row r="89" spans="1:18">
      <c r="A89" s="8">
        <v>5</v>
      </c>
      <c r="B89" s="18">
        <v>37334</v>
      </c>
      <c r="C89" s="12">
        <v>2002</v>
      </c>
      <c r="D89" s="11" t="s">
        <v>20</v>
      </c>
      <c r="E89" s="12">
        <v>3</v>
      </c>
      <c r="F89" s="20">
        <v>3.6100535183984039</v>
      </c>
      <c r="G89" s="20">
        <v>4.5499180051188554E-2</v>
      </c>
      <c r="H89" s="20">
        <v>6.833126298152771E-2</v>
      </c>
      <c r="I89" s="20">
        <v>1.2087634448791753</v>
      </c>
      <c r="J89" s="20">
        <v>3.0292525366181686E-2</v>
      </c>
      <c r="K89" s="20" t="s">
        <v>27</v>
      </c>
    </row>
    <row r="90" spans="1:18">
      <c r="A90" s="8">
        <v>7</v>
      </c>
      <c r="B90" s="18">
        <v>37336</v>
      </c>
      <c r="C90" s="12">
        <v>2002</v>
      </c>
      <c r="D90" s="11" t="s">
        <v>20</v>
      </c>
      <c r="E90" s="12">
        <v>3</v>
      </c>
      <c r="F90" s="20">
        <v>2.591618421090903</v>
      </c>
      <c r="G90" s="20">
        <v>0.29483343226158615</v>
      </c>
      <c r="H90" s="20">
        <v>0</v>
      </c>
      <c r="I90" s="20">
        <v>0.24972283257507472</v>
      </c>
      <c r="J90" s="20">
        <v>1.7217965085621359E-2</v>
      </c>
      <c r="K90" s="20" t="s">
        <v>27</v>
      </c>
    </row>
    <row r="91" spans="1:18">
      <c r="A91" s="8">
        <v>14</v>
      </c>
      <c r="B91" s="18">
        <v>37336</v>
      </c>
      <c r="C91" s="12">
        <v>2002</v>
      </c>
      <c r="D91" s="11" t="s">
        <v>20</v>
      </c>
      <c r="E91" s="12">
        <v>3</v>
      </c>
      <c r="F91" s="20">
        <v>2.1194047915448686</v>
      </c>
      <c r="G91" s="20">
        <v>2.6767546310393818E-2</v>
      </c>
      <c r="H91" s="20">
        <v>1.6903266309695301E-2</v>
      </c>
      <c r="I91" s="20">
        <v>0.5307479311759381</v>
      </c>
      <c r="J91" s="20">
        <v>8.0065399745271951E-3</v>
      </c>
      <c r="K91" s="20" t="s">
        <v>27</v>
      </c>
    </row>
    <row r="92" spans="1:18">
      <c r="A92" s="8">
        <v>5</v>
      </c>
      <c r="B92" s="18">
        <v>37362</v>
      </c>
      <c r="C92" s="12">
        <v>2002</v>
      </c>
      <c r="D92" s="15" t="s">
        <v>21</v>
      </c>
      <c r="E92" s="12">
        <v>4</v>
      </c>
      <c r="F92" s="20">
        <v>1.9761967751286815</v>
      </c>
      <c r="G92" s="20">
        <v>3.4789774552445731E-2</v>
      </c>
      <c r="H92" s="20">
        <v>0</v>
      </c>
      <c r="I92" s="20">
        <v>0.28658022184470872</v>
      </c>
      <c r="J92" s="20">
        <v>0</v>
      </c>
      <c r="K92" s="20" t="s">
        <v>27</v>
      </c>
    </row>
    <row r="93" spans="1:18">
      <c r="A93" s="8">
        <v>7</v>
      </c>
      <c r="B93" s="18">
        <v>37362</v>
      </c>
      <c r="C93" s="12">
        <v>2002</v>
      </c>
      <c r="D93" s="15" t="s">
        <v>21</v>
      </c>
      <c r="E93" s="12">
        <v>4</v>
      </c>
      <c r="F93" s="20">
        <v>2.9363923174920807</v>
      </c>
      <c r="G93" s="20">
        <v>0.2730604614842333</v>
      </c>
      <c r="H93" s="20">
        <v>0</v>
      </c>
      <c r="I93" s="20">
        <v>0.23749267560524343</v>
      </c>
      <c r="J93" s="20">
        <v>0</v>
      </c>
      <c r="K93" s="20" t="s">
        <v>27</v>
      </c>
    </row>
    <row r="94" spans="1:18">
      <c r="A94" s="8">
        <v>14</v>
      </c>
      <c r="B94" s="18">
        <v>37362</v>
      </c>
      <c r="C94" s="12">
        <v>2002</v>
      </c>
      <c r="D94" s="15" t="s">
        <v>21</v>
      </c>
      <c r="E94" s="12">
        <v>4</v>
      </c>
      <c r="F94" s="20">
        <v>1.1530343317617153</v>
      </c>
      <c r="G94" s="20">
        <v>0</v>
      </c>
      <c r="H94" s="20">
        <v>0</v>
      </c>
      <c r="I94" s="20">
        <v>0.28270287748387207</v>
      </c>
      <c r="J94" s="20">
        <v>1.0771338373559036E-2</v>
      </c>
      <c r="K94" s="20" t="s">
        <v>27</v>
      </c>
    </row>
    <row r="95" spans="1:18">
      <c r="A95" s="8">
        <v>5</v>
      </c>
      <c r="B95" s="18">
        <v>37391</v>
      </c>
      <c r="C95" s="12">
        <v>2002</v>
      </c>
      <c r="D95" s="15" t="s">
        <v>22</v>
      </c>
      <c r="E95" s="12">
        <v>5</v>
      </c>
      <c r="F95" s="20">
        <v>2.8598260985117325</v>
      </c>
      <c r="G95" s="20"/>
      <c r="H95" s="20">
        <v>0</v>
      </c>
      <c r="I95" s="20"/>
      <c r="J95" s="20"/>
      <c r="K95" s="20" t="s">
        <v>27</v>
      </c>
    </row>
    <row r="96" spans="1:18">
      <c r="A96" s="8">
        <v>7</v>
      </c>
      <c r="B96" s="18">
        <v>37391</v>
      </c>
      <c r="C96" s="12">
        <v>2002</v>
      </c>
      <c r="D96" s="15" t="s">
        <v>22</v>
      </c>
      <c r="E96" s="12">
        <v>5</v>
      </c>
      <c r="F96" s="20">
        <v>2.9985745473254992</v>
      </c>
      <c r="G96" s="20"/>
      <c r="H96" s="20">
        <v>2.7956321528156181E-2</v>
      </c>
      <c r="I96" s="20"/>
      <c r="J96" s="20"/>
      <c r="K96" s="20" t="s">
        <v>27</v>
      </c>
    </row>
    <row r="97" spans="1:11">
      <c r="A97" s="8">
        <v>14</v>
      </c>
      <c r="B97" s="18">
        <v>37392</v>
      </c>
      <c r="C97" s="12">
        <v>2002</v>
      </c>
      <c r="D97" s="15" t="s">
        <v>22</v>
      </c>
      <c r="E97" s="12">
        <v>5</v>
      </c>
      <c r="F97" s="20" t="s">
        <v>28</v>
      </c>
      <c r="G97" s="20"/>
      <c r="H97" s="20"/>
      <c r="I97" s="20"/>
      <c r="J97" s="20"/>
      <c r="K97" s="20"/>
    </row>
    <row r="98" spans="1:11">
      <c r="A98" s="8">
        <v>5</v>
      </c>
      <c r="B98" s="18">
        <v>37419</v>
      </c>
      <c r="C98" s="12">
        <v>2002</v>
      </c>
      <c r="D98" s="15" t="s">
        <v>23</v>
      </c>
      <c r="E98" s="12">
        <v>6</v>
      </c>
      <c r="F98" s="20">
        <v>25.528629066072575</v>
      </c>
      <c r="G98" s="20"/>
      <c r="H98" s="20">
        <v>6.845844967785621</v>
      </c>
      <c r="I98" s="20"/>
      <c r="J98" s="20"/>
      <c r="K98" s="20" t="s">
        <v>27</v>
      </c>
    </row>
    <row r="99" spans="1:11">
      <c r="A99" s="8">
        <v>7</v>
      </c>
      <c r="B99" s="18">
        <v>37419</v>
      </c>
      <c r="C99" s="12">
        <v>2002</v>
      </c>
      <c r="D99" s="15" t="s">
        <v>23</v>
      </c>
      <c r="E99" s="12">
        <v>6</v>
      </c>
      <c r="F99" s="20">
        <v>10.036838230880262</v>
      </c>
      <c r="G99" s="20"/>
      <c r="H99" s="20">
        <v>4.5095003723220443E-2</v>
      </c>
      <c r="I99" s="20"/>
      <c r="J99" s="20"/>
      <c r="K99" s="20" t="s">
        <v>27</v>
      </c>
    </row>
    <row r="100" spans="1:11">
      <c r="A100" s="8">
        <v>14</v>
      </c>
      <c r="B100" s="18">
        <v>37419</v>
      </c>
      <c r="C100" s="12">
        <v>2002</v>
      </c>
      <c r="D100" s="15" t="s">
        <v>23</v>
      </c>
      <c r="E100" s="12">
        <v>6</v>
      </c>
      <c r="F100" s="20">
        <v>7.9767875599068452</v>
      </c>
      <c r="G100" s="20"/>
      <c r="H100" s="20">
        <v>4.0361815528345807E-2</v>
      </c>
      <c r="I100" s="20"/>
      <c r="J100" s="20"/>
      <c r="K100" s="20" t="s">
        <v>27</v>
      </c>
    </row>
    <row r="101" spans="1:11">
      <c r="A101" s="8">
        <v>5</v>
      </c>
      <c r="B101" s="18">
        <v>37454</v>
      </c>
      <c r="C101" s="12">
        <v>2002</v>
      </c>
      <c r="D101" s="15" t="s">
        <v>24</v>
      </c>
      <c r="E101" s="12">
        <v>7</v>
      </c>
      <c r="F101" s="20">
        <v>16.788386568415582</v>
      </c>
      <c r="G101" s="20"/>
      <c r="H101" s="20">
        <v>5.8342901489878862E-2</v>
      </c>
      <c r="I101" s="20"/>
      <c r="J101" s="20"/>
      <c r="K101" s="20" t="s">
        <v>27</v>
      </c>
    </row>
    <row r="102" spans="1:11">
      <c r="A102" s="8">
        <v>7</v>
      </c>
      <c r="B102" s="18">
        <v>37454</v>
      </c>
      <c r="C102" s="12">
        <v>2002</v>
      </c>
      <c r="D102" s="15" t="s">
        <v>24</v>
      </c>
      <c r="E102" s="12">
        <v>7</v>
      </c>
      <c r="F102" s="20">
        <v>10.100291342997316</v>
      </c>
      <c r="G102" s="20"/>
      <c r="H102" s="20">
        <v>3.7194636779788973E-2</v>
      </c>
      <c r="I102" s="20"/>
      <c r="J102" s="20"/>
      <c r="K102" s="20" t="s">
        <v>27</v>
      </c>
    </row>
    <row r="103" spans="1:11">
      <c r="A103" s="8">
        <v>14</v>
      </c>
      <c r="B103" s="18">
        <v>37454</v>
      </c>
      <c r="C103" s="12">
        <v>2002</v>
      </c>
      <c r="D103" s="15" t="s">
        <v>24</v>
      </c>
      <c r="E103" s="12">
        <v>7</v>
      </c>
      <c r="F103" s="20">
        <v>4.8002010904603711</v>
      </c>
      <c r="G103" s="20"/>
      <c r="H103" s="20">
        <v>0</v>
      </c>
      <c r="I103" s="20"/>
      <c r="J103" s="20"/>
      <c r="K103" s="20" t="s">
        <v>27</v>
      </c>
    </row>
    <row r="104" spans="1:11">
      <c r="A104" s="8">
        <v>5</v>
      </c>
      <c r="B104" s="18">
        <v>37482</v>
      </c>
      <c r="C104" s="12">
        <v>2002</v>
      </c>
      <c r="D104" s="15" t="s">
        <v>25</v>
      </c>
      <c r="E104" s="12">
        <v>8</v>
      </c>
      <c r="F104" s="20">
        <v>13.33498940005825</v>
      </c>
      <c r="G104" s="20"/>
      <c r="H104" s="20">
        <v>0</v>
      </c>
      <c r="I104" s="20"/>
      <c r="J104" s="20"/>
      <c r="K104" s="20" t="s">
        <v>27</v>
      </c>
    </row>
    <row r="105" spans="1:11">
      <c r="A105" s="8">
        <v>7</v>
      </c>
      <c r="B105" s="18">
        <v>37482</v>
      </c>
      <c r="C105" s="12">
        <v>2002</v>
      </c>
      <c r="D105" s="15" t="s">
        <v>25</v>
      </c>
      <c r="E105" s="12">
        <v>8</v>
      </c>
      <c r="F105" s="20">
        <v>23.279273949963855</v>
      </c>
      <c r="G105" s="20"/>
      <c r="H105" s="20">
        <v>7.39608194679576E-2</v>
      </c>
      <c r="I105" s="20"/>
      <c r="J105" s="20"/>
      <c r="K105" s="20" t="s">
        <v>27</v>
      </c>
    </row>
    <row r="106" spans="1:11">
      <c r="A106" s="8">
        <v>14</v>
      </c>
      <c r="B106" s="18">
        <v>37482</v>
      </c>
      <c r="C106" s="12">
        <v>2002</v>
      </c>
      <c r="D106" s="15" t="s">
        <v>25</v>
      </c>
      <c r="E106" s="12">
        <v>8</v>
      </c>
      <c r="F106" s="20">
        <v>9.4585822253073655</v>
      </c>
      <c r="G106" s="20"/>
      <c r="H106" s="20">
        <v>0</v>
      </c>
      <c r="I106" s="20"/>
      <c r="J106" s="20"/>
      <c r="K106" s="20" t="s">
        <v>27</v>
      </c>
    </row>
    <row r="107" spans="1:11">
      <c r="A107" s="8">
        <v>5</v>
      </c>
      <c r="B107" s="18">
        <v>37517</v>
      </c>
      <c r="C107" s="12">
        <v>2002</v>
      </c>
      <c r="D107" s="15" t="s">
        <v>26</v>
      </c>
      <c r="E107" s="12">
        <v>9</v>
      </c>
      <c r="F107" s="20">
        <v>3.7304174000763646</v>
      </c>
      <c r="G107" s="20"/>
      <c r="H107" s="20">
        <v>0</v>
      </c>
      <c r="I107" s="20"/>
      <c r="J107" s="20"/>
      <c r="K107" s="20" t="s">
        <v>27</v>
      </c>
    </row>
    <row r="108" spans="1:11">
      <c r="A108" s="8">
        <v>7</v>
      </c>
      <c r="B108" s="18">
        <v>37517</v>
      </c>
      <c r="C108" s="12">
        <v>2002</v>
      </c>
      <c r="D108" s="15" t="s">
        <v>26</v>
      </c>
      <c r="E108" s="12">
        <v>9</v>
      </c>
      <c r="F108" s="20">
        <v>15.586534639669308</v>
      </c>
      <c r="G108" s="20"/>
      <c r="H108" s="20">
        <v>2.8175768405430145E-2</v>
      </c>
      <c r="I108" s="20"/>
      <c r="J108" s="20"/>
      <c r="K108" s="20" t="s">
        <v>27</v>
      </c>
    </row>
    <row r="109" spans="1:11">
      <c r="A109" s="8">
        <v>14</v>
      </c>
      <c r="B109" s="18">
        <v>37517</v>
      </c>
      <c r="C109" s="12">
        <v>2002</v>
      </c>
      <c r="D109" s="15" t="s">
        <v>26</v>
      </c>
      <c r="E109" s="12">
        <v>9</v>
      </c>
      <c r="F109" s="20">
        <v>3.0761010545911831</v>
      </c>
      <c r="G109" s="20"/>
      <c r="H109" s="20">
        <v>0</v>
      </c>
      <c r="I109" s="20"/>
      <c r="J109" s="20"/>
      <c r="K109" s="20" t="s">
        <v>27</v>
      </c>
    </row>
    <row r="110" spans="1:11">
      <c r="A110" s="8">
        <v>5</v>
      </c>
      <c r="B110" s="18">
        <v>37544</v>
      </c>
      <c r="C110" s="12">
        <v>2002</v>
      </c>
      <c r="D110" s="15" t="s">
        <v>14</v>
      </c>
      <c r="E110" s="12">
        <v>10</v>
      </c>
      <c r="F110" s="49">
        <v>7.9787746224652141</v>
      </c>
      <c r="G110" s="49">
        <v>0.81386460427356899</v>
      </c>
      <c r="H110" s="49">
        <v>0</v>
      </c>
      <c r="I110" s="49">
        <v>2.1205076497610729</v>
      </c>
      <c r="J110" s="49">
        <v>5.6820706518696369E-2</v>
      </c>
      <c r="K110" s="49">
        <v>0</v>
      </c>
    </row>
    <row r="111" spans="1:11">
      <c r="A111" s="8">
        <v>7</v>
      </c>
      <c r="B111" s="18">
        <v>37546</v>
      </c>
      <c r="C111" s="12">
        <v>2002</v>
      </c>
      <c r="D111" s="15" t="s">
        <v>14</v>
      </c>
      <c r="E111" s="12">
        <v>10</v>
      </c>
      <c r="F111" s="49">
        <v>6.5256874825493458</v>
      </c>
      <c r="G111" s="49">
        <v>0.4749209723276156</v>
      </c>
      <c r="H111" s="49">
        <v>0</v>
      </c>
      <c r="I111" s="49">
        <v>1.3211793263764937</v>
      </c>
      <c r="J111" s="49">
        <v>4.5214084782749513E-2</v>
      </c>
      <c r="K111" s="49">
        <v>0</v>
      </c>
    </row>
    <row r="112" spans="1:11">
      <c r="A112" s="8">
        <v>14</v>
      </c>
      <c r="B112" s="18">
        <v>37546</v>
      </c>
      <c r="C112" s="12">
        <v>2002</v>
      </c>
      <c r="D112" s="15" t="s">
        <v>14</v>
      </c>
      <c r="E112" s="12">
        <v>10</v>
      </c>
      <c r="F112" s="49">
        <v>2.6883282671030262</v>
      </c>
      <c r="G112" s="49">
        <v>0.138376226468822</v>
      </c>
      <c r="H112" s="49">
        <v>0</v>
      </c>
      <c r="I112" s="49">
        <v>0.30396266664470595</v>
      </c>
      <c r="J112" s="49">
        <v>1.4094094911628077E-2</v>
      </c>
      <c r="K112" s="49">
        <v>0</v>
      </c>
    </row>
    <row r="113" spans="1:18">
      <c r="A113" s="8">
        <v>5</v>
      </c>
      <c r="B113" s="18">
        <v>37575</v>
      </c>
      <c r="C113" s="12">
        <v>2002</v>
      </c>
      <c r="D113" s="15" t="s">
        <v>16</v>
      </c>
      <c r="E113" s="12">
        <v>11</v>
      </c>
      <c r="F113" s="49">
        <v>1.7910795730377769</v>
      </c>
      <c r="G113" s="49">
        <v>0.15692429022909976</v>
      </c>
      <c r="H113" s="49">
        <v>0</v>
      </c>
      <c r="I113" s="49">
        <v>0.10999846014412767</v>
      </c>
      <c r="J113" s="49">
        <v>0</v>
      </c>
      <c r="K113" s="49">
        <v>0</v>
      </c>
    </row>
    <row r="114" spans="1:18">
      <c r="A114" s="8">
        <v>7</v>
      </c>
      <c r="B114" s="18">
        <v>37574</v>
      </c>
      <c r="C114" s="12">
        <v>2002</v>
      </c>
      <c r="D114" s="15" t="s">
        <v>16</v>
      </c>
      <c r="E114" s="12">
        <v>11</v>
      </c>
      <c r="F114" s="49">
        <v>6.5521068230829149</v>
      </c>
      <c r="G114" s="49">
        <v>0.11454447940775923</v>
      </c>
      <c r="H114" s="49">
        <v>0</v>
      </c>
      <c r="I114" s="49">
        <v>0.33593046702716356</v>
      </c>
      <c r="J114" s="49">
        <v>1.4972813518314459E-2</v>
      </c>
      <c r="K114" s="49">
        <v>0</v>
      </c>
    </row>
    <row r="115" spans="1:18">
      <c r="A115" s="8">
        <v>14</v>
      </c>
      <c r="B115" s="18">
        <v>37574</v>
      </c>
      <c r="C115" s="12">
        <v>2002</v>
      </c>
      <c r="D115" s="15" t="s">
        <v>16</v>
      </c>
      <c r="E115" s="12">
        <v>11</v>
      </c>
      <c r="F115" s="49">
        <v>1.810094999529563</v>
      </c>
      <c r="G115" s="49">
        <v>2.5436066721756235E-2</v>
      </c>
      <c r="H115" s="49">
        <v>0</v>
      </c>
      <c r="I115" s="49">
        <v>9.4533786525651517E-2</v>
      </c>
      <c r="J115" s="49">
        <v>1.0136576891791054E-2</v>
      </c>
      <c r="K115" s="49">
        <v>0</v>
      </c>
    </row>
    <row r="116" spans="1:18">
      <c r="A116" s="8">
        <v>5</v>
      </c>
      <c r="B116" s="18">
        <v>37609</v>
      </c>
      <c r="C116" s="12">
        <v>2002</v>
      </c>
      <c r="D116" s="15" t="s">
        <v>17</v>
      </c>
      <c r="E116" s="12">
        <v>12</v>
      </c>
      <c r="F116" s="49">
        <v>4.6153388245531248</v>
      </c>
      <c r="G116" s="49">
        <v>0.2347381230894397</v>
      </c>
      <c r="H116" s="49">
        <v>0</v>
      </c>
      <c r="I116" s="49">
        <v>0.77568623448413576</v>
      </c>
      <c r="J116" s="49">
        <v>2.0649246861529458E-2</v>
      </c>
      <c r="K116" s="49">
        <v>0</v>
      </c>
    </row>
    <row r="117" spans="1:18">
      <c r="A117" s="8">
        <v>7</v>
      </c>
      <c r="B117" s="18">
        <v>37608</v>
      </c>
      <c r="C117" s="12">
        <v>2002</v>
      </c>
      <c r="D117" s="15" t="s">
        <v>17</v>
      </c>
      <c r="E117" s="12">
        <v>12</v>
      </c>
      <c r="F117" s="49">
        <v>6.3835430769031491</v>
      </c>
      <c r="G117" s="49">
        <v>0.51887761888216932</v>
      </c>
      <c r="H117" s="49">
        <v>0</v>
      </c>
      <c r="I117" s="49">
        <v>1.3366032360412157</v>
      </c>
      <c r="J117" s="49">
        <v>2.9856877287001735E-2</v>
      </c>
      <c r="K117" s="49">
        <v>0</v>
      </c>
    </row>
    <row r="118" spans="1:18" ht="25.5">
      <c r="A118" s="8">
        <v>14</v>
      </c>
      <c r="B118" s="18">
        <v>37608</v>
      </c>
      <c r="C118" s="12">
        <v>2002</v>
      </c>
      <c r="D118" s="15" t="s">
        <v>17</v>
      </c>
      <c r="E118" s="12">
        <v>12</v>
      </c>
      <c r="F118" s="49">
        <v>6.0030567035313371</v>
      </c>
      <c r="G118" s="49">
        <v>0.31581246382554284</v>
      </c>
      <c r="H118" s="49">
        <v>0</v>
      </c>
      <c r="I118" s="49">
        <v>1.2651023065976412</v>
      </c>
      <c r="J118" s="49">
        <v>3.9409581119330392E-2</v>
      </c>
      <c r="K118" s="49">
        <v>0</v>
      </c>
      <c r="L118" s="35" t="s">
        <v>43</v>
      </c>
      <c r="M118" s="6" t="s">
        <v>7</v>
      </c>
      <c r="N118" s="6" t="s">
        <v>8</v>
      </c>
      <c r="O118" s="6" t="s">
        <v>9</v>
      </c>
      <c r="P118" s="6" t="s">
        <v>10</v>
      </c>
      <c r="Q118" s="6" t="s">
        <v>11</v>
      </c>
      <c r="R118" s="6" t="s">
        <v>12</v>
      </c>
    </row>
    <row r="119" spans="1:18">
      <c r="A119" s="37">
        <v>5</v>
      </c>
      <c r="B119" s="50">
        <v>37635</v>
      </c>
      <c r="C119" s="41">
        <v>2003</v>
      </c>
      <c r="D119" s="46" t="s">
        <v>18</v>
      </c>
      <c r="E119" s="41">
        <v>1</v>
      </c>
      <c r="F119" s="51">
        <v>4.526147687175591</v>
      </c>
      <c r="G119" s="51">
        <v>0.18910446813080115</v>
      </c>
      <c r="H119" s="51">
        <v>0</v>
      </c>
      <c r="I119" s="51">
        <v>1.5919580401604667</v>
      </c>
      <c r="J119" s="51">
        <v>4.0800297448330039E-2</v>
      </c>
      <c r="K119" s="51">
        <v>0</v>
      </c>
      <c r="L119" s="35" t="s">
        <v>49</v>
      </c>
      <c r="M119" s="27">
        <f t="shared" ref="M119:R119" si="0">AVERAGE(F119:F154)</f>
        <v>7.8833196998053472</v>
      </c>
      <c r="N119" s="27">
        <f t="shared" si="0"/>
        <v>0.21554267420873022</v>
      </c>
      <c r="O119" s="27">
        <f t="shared" si="0"/>
        <v>0.20887429282996572</v>
      </c>
      <c r="P119" s="27">
        <f t="shared" si="0"/>
        <v>1.9402830014971515</v>
      </c>
      <c r="Q119" s="27">
        <f t="shared" si="0"/>
        <v>0.31490985184149439</v>
      </c>
      <c r="R119" s="27">
        <f t="shared" si="0"/>
        <v>1.810473734103341E-3</v>
      </c>
    </row>
    <row r="120" spans="1:18">
      <c r="A120" s="8">
        <v>7</v>
      </c>
      <c r="B120" s="18">
        <v>37636</v>
      </c>
      <c r="C120" s="12">
        <v>2003</v>
      </c>
      <c r="D120" s="15" t="s">
        <v>18</v>
      </c>
      <c r="E120" s="12">
        <v>1</v>
      </c>
      <c r="F120" s="49">
        <v>2.9696606090284443</v>
      </c>
      <c r="G120" s="49">
        <v>0.58343263704463633</v>
      </c>
      <c r="H120" s="49">
        <v>0</v>
      </c>
      <c r="I120" s="49">
        <v>0.2621794808062205</v>
      </c>
      <c r="J120" s="49">
        <v>3.643716346720919E-2</v>
      </c>
      <c r="K120" s="49">
        <v>0</v>
      </c>
    </row>
    <row r="121" spans="1:18">
      <c r="A121" s="8">
        <v>14</v>
      </c>
      <c r="B121" s="18">
        <v>37636</v>
      </c>
      <c r="C121" s="12">
        <v>2003</v>
      </c>
      <c r="D121" s="15" t="s">
        <v>18</v>
      </c>
      <c r="E121" s="12">
        <v>1</v>
      </c>
      <c r="F121" s="49">
        <v>4.4103329035560979</v>
      </c>
      <c r="G121" s="49">
        <v>0.44982011531414368</v>
      </c>
      <c r="H121" s="49">
        <v>0</v>
      </c>
      <c r="I121" s="49">
        <v>0.86955959114978154</v>
      </c>
      <c r="J121" s="49">
        <v>2.4964701153593061E-2</v>
      </c>
      <c r="K121" s="49">
        <v>0</v>
      </c>
    </row>
    <row r="122" spans="1:18">
      <c r="A122" s="8">
        <v>5</v>
      </c>
      <c r="B122" s="18">
        <v>37665</v>
      </c>
      <c r="C122" s="12">
        <v>2003</v>
      </c>
      <c r="D122" s="11" t="s">
        <v>19</v>
      </c>
      <c r="E122" s="12">
        <v>2</v>
      </c>
      <c r="F122" s="49">
        <v>7.0548547058053188</v>
      </c>
      <c r="G122" s="49">
        <v>0.38746510896053499</v>
      </c>
      <c r="H122" s="49">
        <v>0</v>
      </c>
      <c r="I122" s="49">
        <v>2.3901324552714924</v>
      </c>
      <c r="J122" s="49">
        <v>8.3701168997901337E-2</v>
      </c>
      <c r="K122" s="49">
        <v>0</v>
      </c>
    </row>
    <row r="123" spans="1:18">
      <c r="A123" s="8">
        <v>7</v>
      </c>
      <c r="B123" s="18">
        <v>37663</v>
      </c>
      <c r="C123" s="12">
        <v>2003</v>
      </c>
      <c r="D123" s="11" t="s">
        <v>19</v>
      </c>
      <c r="E123" s="12">
        <v>2</v>
      </c>
      <c r="F123" s="49">
        <v>3.973030156542082</v>
      </c>
      <c r="G123" s="49">
        <v>0.36162083263853767</v>
      </c>
      <c r="H123" s="49">
        <v>0</v>
      </c>
      <c r="I123" s="49">
        <v>1.0646347717009059</v>
      </c>
      <c r="J123" s="49">
        <v>3.905504992496206E-2</v>
      </c>
      <c r="K123" s="49">
        <v>0</v>
      </c>
    </row>
    <row r="124" spans="1:18">
      <c r="A124" s="8">
        <v>14</v>
      </c>
      <c r="B124" s="18">
        <v>37663</v>
      </c>
      <c r="C124" s="12">
        <v>2003</v>
      </c>
      <c r="D124" s="11" t="s">
        <v>19</v>
      </c>
      <c r="E124" s="12">
        <v>2</v>
      </c>
      <c r="F124" s="49">
        <v>5.2644690270069807</v>
      </c>
      <c r="G124" s="49">
        <v>0.18842406011308657</v>
      </c>
      <c r="H124" s="49">
        <v>0</v>
      </c>
      <c r="I124" s="49">
        <v>1.350751076935558</v>
      </c>
      <c r="J124" s="49">
        <v>3.0673327792956465E-2</v>
      </c>
      <c r="K124" s="49">
        <v>0</v>
      </c>
    </row>
    <row r="125" spans="1:18">
      <c r="A125" s="8">
        <v>5</v>
      </c>
      <c r="B125" s="18">
        <v>37692</v>
      </c>
      <c r="C125" s="12">
        <v>2003</v>
      </c>
      <c r="D125" s="11" t="s">
        <v>20</v>
      </c>
      <c r="E125" s="12">
        <v>3</v>
      </c>
      <c r="F125" s="49">
        <v>5.1416918388761674</v>
      </c>
      <c r="G125" s="49">
        <v>0.50242739416757332</v>
      </c>
      <c r="H125" s="49">
        <v>0</v>
      </c>
      <c r="I125" s="49">
        <v>1.419883836219521</v>
      </c>
      <c r="J125" s="49">
        <v>4.9667759099901003E-2</v>
      </c>
      <c r="K125" s="49">
        <v>0</v>
      </c>
    </row>
    <row r="126" spans="1:18">
      <c r="A126" s="8">
        <v>7</v>
      </c>
      <c r="B126" s="18">
        <v>37692</v>
      </c>
      <c r="C126" s="12">
        <v>2003</v>
      </c>
      <c r="D126" s="11" t="s">
        <v>20</v>
      </c>
      <c r="E126" s="12">
        <v>3</v>
      </c>
      <c r="F126" s="49">
        <v>7.9565274473069882</v>
      </c>
      <c r="G126" s="49">
        <v>0.31991342106696763</v>
      </c>
      <c r="H126" s="49">
        <v>0</v>
      </c>
      <c r="I126" s="49">
        <v>1.061458173975222</v>
      </c>
      <c r="J126" s="49">
        <v>0.11080498172082603</v>
      </c>
      <c r="K126" s="49">
        <v>0</v>
      </c>
    </row>
    <row r="127" spans="1:18">
      <c r="A127" s="8">
        <v>14</v>
      </c>
      <c r="B127" s="18">
        <v>37692</v>
      </c>
      <c r="C127" s="12">
        <v>2003</v>
      </c>
      <c r="D127" s="11" t="s">
        <v>20</v>
      </c>
      <c r="E127" s="12">
        <v>3</v>
      </c>
      <c r="F127" s="49">
        <v>6.9986494365913217</v>
      </c>
      <c r="G127" s="49">
        <v>0.14165809842099822</v>
      </c>
      <c r="H127" s="49">
        <v>2.9170831444885352E-2</v>
      </c>
      <c r="I127" s="49">
        <v>1.6594301425910389</v>
      </c>
      <c r="J127" s="49">
        <v>8.2938511801734144E-2</v>
      </c>
      <c r="K127" s="49">
        <v>0</v>
      </c>
    </row>
    <row r="128" spans="1:18">
      <c r="A128" s="8">
        <v>5</v>
      </c>
      <c r="B128" s="18">
        <v>37726</v>
      </c>
      <c r="C128" s="12">
        <v>2003</v>
      </c>
      <c r="D128" s="11" t="s">
        <v>21</v>
      </c>
      <c r="E128" s="12">
        <v>4</v>
      </c>
      <c r="F128" s="49">
        <v>5.4273483479192857</v>
      </c>
      <c r="G128" s="49">
        <v>8.3353541371396944E-2</v>
      </c>
      <c r="H128" s="49">
        <v>7.6099118214118744E-2</v>
      </c>
      <c r="I128" s="49">
        <v>2.0748581176166025</v>
      </c>
      <c r="J128" s="49">
        <v>4.3532548450121361E-2</v>
      </c>
      <c r="K128" s="49">
        <v>0</v>
      </c>
    </row>
    <row r="129" spans="1:11">
      <c r="A129" s="8">
        <v>7</v>
      </c>
      <c r="B129" s="18">
        <v>37726</v>
      </c>
      <c r="C129" s="12">
        <v>2003</v>
      </c>
      <c r="D129" s="11" t="s">
        <v>21</v>
      </c>
      <c r="E129" s="12">
        <v>4</v>
      </c>
      <c r="F129" s="49">
        <v>7.5864515967881783</v>
      </c>
      <c r="G129" s="49">
        <v>0.16568656701431028</v>
      </c>
      <c r="H129" s="49">
        <v>0</v>
      </c>
      <c r="I129" s="49">
        <v>3.0581521738201052</v>
      </c>
      <c r="J129" s="49">
        <v>3.9453256648297706E-2</v>
      </c>
      <c r="K129" s="49">
        <v>0</v>
      </c>
    </row>
    <row r="130" spans="1:11">
      <c r="A130" s="8">
        <v>14</v>
      </c>
      <c r="B130" s="18">
        <v>37726</v>
      </c>
      <c r="C130" s="12">
        <v>2003</v>
      </c>
      <c r="D130" s="11" t="s">
        <v>21</v>
      </c>
      <c r="E130" s="12">
        <v>4</v>
      </c>
      <c r="F130" s="49">
        <v>6.3995846942038561</v>
      </c>
      <c r="G130" s="49">
        <v>5.126245297303593E-2</v>
      </c>
      <c r="H130" s="49">
        <v>5.5433323391815413E-2</v>
      </c>
      <c r="I130" s="49">
        <v>2.6284061667991234</v>
      </c>
      <c r="J130" s="49">
        <v>3.902659372390798E-2</v>
      </c>
      <c r="K130" s="49">
        <v>0</v>
      </c>
    </row>
    <row r="131" spans="1:11">
      <c r="A131" s="8">
        <v>5</v>
      </c>
      <c r="B131" s="18">
        <v>37753</v>
      </c>
      <c r="C131" s="12">
        <v>2003</v>
      </c>
      <c r="D131" s="11" t="s">
        <v>22</v>
      </c>
      <c r="E131" s="12">
        <v>5</v>
      </c>
      <c r="F131" s="49">
        <v>5.7062917028103861</v>
      </c>
      <c r="G131" s="49">
        <v>9.6980753592142616E-2</v>
      </c>
      <c r="H131" s="49">
        <v>0.74880994819766411</v>
      </c>
      <c r="I131" s="49">
        <v>2.4392850292795303</v>
      </c>
      <c r="J131" s="49">
        <v>9.7211215370956908E-2</v>
      </c>
      <c r="K131" s="49">
        <v>3.6589595436697327E-2</v>
      </c>
    </row>
    <row r="132" spans="1:11">
      <c r="A132" s="8">
        <v>7</v>
      </c>
      <c r="B132" s="18">
        <v>37755</v>
      </c>
      <c r="C132" s="12">
        <v>2003</v>
      </c>
      <c r="D132" s="11" t="s">
        <v>22</v>
      </c>
      <c r="E132" s="12">
        <v>5</v>
      </c>
      <c r="F132" s="49">
        <v>6.6382630002999914</v>
      </c>
      <c r="G132" s="49">
        <v>0.24395651643368768</v>
      </c>
      <c r="H132" s="49">
        <v>0.81767243750311125</v>
      </c>
      <c r="I132" s="49">
        <v>2.3250030916225226</v>
      </c>
      <c r="J132" s="49">
        <v>0.17992236342963885</v>
      </c>
      <c r="K132" s="49">
        <v>2.8587458991022944E-2</v>
      </c>
    </row>
    <row r="133" spans="1:11">
      <c r="A133" s="8">
        <v>14</v>
      </c>
      <c r="B133" s="18">
        <v>37755</v>
      </c>
      <c r="C133" s="12">
        <v>2003</v>
      </c>
      <c r="D133" s="11" t="s">
        <v>22</v>
      </c>
      <c r="E133" s="12">
        <v>5</v>
      </c>
      <c r="F133" s="49">
        <v>3.0104952183256559</v>
      </c>
      <c r="G133" s="49">
        <v>4.8137830692275958E-2</v>
      </c>
      <c r="H133" s="49">
        <v>0.25623796758308287</v>
      </c>
      <c r="I133" s="49">
        <v>1.1097388475232872</v>
      </c>
      <c r="J133" s="49">
        <v>6.6261799857848927E-2</v>
      </c>
      <c r="K133" s="49">
        <v>0</v>
      </c>
    </row>
    <row r="134" spans="1:11">
      <c r="A134" s="8">
        <v>5</v>
      </c>
      <c r="B134" s="18">
        <v>37792</v>
      </c>
      <c r="C134" s="12">
        <v>2003</v>
      </c>
      <c r="D134" s="11" t="s">
        <v>23</v>
      </c>
      <c r="E134" s="12">
        <v>6</v>
      </c>
      <c r="F134" s="49">
        <v>25.721313922890161</v>
      </c>
      <c r="G134" s="49">
        <v>0</v>
      </c>
      <c r="H134" s="49">
        <v>5.1255917759256571</v>
      </c>
      <c r="I134" s="49">
        <v>10.425029136393857</v>
      </c>
      <c r="J134" s="49">
        <v>0.7014873581621538</v>
      </c>
      <c r="K134" s="49">
        <v>0</v>
      </c>
    </row>
    <row r="135" spans="1:11">
      <c r="A135" s="8">
        <v>7</v>
      </c>
      <c r="B135" s="18">
        <v>37790</v>
      </c>
      <c r="C135" s="12">
        <v>2003</v>
      </c>
      <c r="D135" s="11" t="s">
        <v>23</v>
      </c>
      <c r="E135" s="12">
        <v>6</v>
      </c>
      <c r="F135" s="49">
        <v>24.046866905257403</v>
      </c>
      <c r="G135" s="49">
        <v>0.19224508467445214</v>
      </c>
      <c r="H135" s="49">
        <v>0</v>
      </c>
      <c r="I135" s="49">
        <v>7.8741695382141579</v>
      </c>
      <c r="J135" s="49">
        <v>0.38392031772426227</v>
      </c>
      <c r="K135" s="49">
        <v>0</v>
      </c>
    </row>
    <row r="136" spans="1:11">
      <c r="A136" s="8">
        <v>14</v>
      </c>
      <c r="B136" s="18">
        <v>37790</v>
      </c>
      <c r="C136" s="12">
        <v>2003</v>
      </c>
      <c r="D136" s="11" t="s">
        <v>23</v>
      </c>
      <c r="E136" s="12">
        <v>6</v>
      </c>
      <c r="F136" s="49">
        <v>19.344712416949509</v>
      </c>
      <c r="G136" s="49">
        <v>8.390508991628598E-2</v>
      </c>
      <c r="H136" s="49">
        <v>0.30314748652062457</v>
      </c>
      <c r="I136" s="49">
        <v>6.4291447772063668</v>
      </c>
      <c r="J136" s="49">
        <v>0.49104942153484876</v>
      </c>
      <c r="K136" s="49">
        <v>0</v>
      </c>
    </row>
    <row r="137" spans="1:11">
      <c r="A137" s="8">
        <v>5</v>
      </c>
      <c r="B137" s="18">
        <v>37819</v>
      </c>
      <c r="C137" s="12">
        <v>2003</v>
      </c>
      <c r="D137" s="15" t="s">
        <v>24</v>
      </c>
      <c r="E137" s="12">
        <v>7</v>
      </c>
      <c r="F137" s="49">
        <v>23.604890275664197</v>
      </c>
      <c r="G137" s="49">
        <v>0.12764234397128355</v>
      </c>
      <c r="H137" s="49">
        <v>0</v>
      </c>
      <c r="I137" s="49">
        <v>3.9107748162162999</v>
      </c>
      <c r="J137" s="49">
        <v>2.2281129503129486</v>
      </c>
      <c r="K137" s="49">
        <v>0</v>
      </c>
    </row>
    <row r="138" spans="1:11">
      <c r="A138" s="8">
        <v>7</v>
      </c>
      <c r="B138" s="18">
        <v>37819</v>
      </c>
      <c r="C138" s="12">
        <v>2003</v>
      </c>
      <c r="D138" s="15" t="s">
        <v>24</v>
      </c>
      <c r="E138" s="12">
        <v>7</v>
      </c>
      <c r="F138" s="49">
        <v>12.457397107199027</v>
      </c>
      <c r="G138" s="49">
        <v>7.7431054756380749E-2</v>
      </c>
      <c r="H138" s="49">
        <v>0</v>
      </c>
      <c r="I138" s="49">
        <v>1.5943647326937167</v>
      </c>
      <c r="J138" s="49">
        <v>2.0987210695673082</v>
      </c>
      <c r="K138" s="49">
        <v>0</v>
      </c>
    </row>
    <row r="139" spans="1:11">
      <c r="A139" s="8">
        <v>14</v>
      </c>
      <c r="B139" s="18">
        <v>37819</v>
      </c>
      <c r="C139" s="12">
        <v>2003</v>
      </c>
      <c r="D139" s="15" t="s">
        <v>24</v>
      </c>
      <c r="E139" s="12">
        <v>7</v>
      </c>
      <c r="F139" s="49">
        <v>9.2505405597753807</v>
      </c>
      <c r="G139" s="49">
        <v>3.6914981481075734E-2</v>
      </c>
      <c r="H139" s="49">
        <v>0</v>
      </c>
      <c r="I139" s="49">
        <v>1.180784397029939</v>
      </c>
      <c r="J139" s="49">
        <v>1.5686011616822841</v>
      </c>
      <c r="K139" s="49">
        <v>0</v>
      </c>
    </row>
    <row r="140" spans="1:11">
      <c r="A140" s="8">
        <v>5</v>
      </c>
      <c r="B140" s="18">
        <v>37847</v>
      </c>
      <c r="C140" s="12">
        <v>2003</v>
      </c>
      <c r="D140" s="15" t="s">
        <v>25</v>
      </c>
      <c r="E140" s="12">
        <v>8</v>
      </c>
      <c r="F140" s="49">
        <v>7.2400193285806429</v>
      </c>
      <c r="G140" s="49">
        <v>0.16096967440786819</v>
      </c>
      <c r="H140" s="49">
        <v>0</v>
      </c>
      <c r="I140" s="49">
        <v>1.3629153846783544</v>
      </c>
      <c r="J140" s="49">
        <v>0.70455768831393362</v>
      </c>
      <c r="K140" s="49">
        <v>0</v>
      </c>
    </row>
    <row r="141" spans="1:11">
      <c r="A141" s="8">
        <v>7</v>
      </c>
      <c r="B141" s="18">
        <v>37847</v>
      </c>
      <c r="C141" s="12">
        <v>2003</v>
      </c>
      <c r="D141" s="15" t="s">
        <v>25</v>
      </c>
      <c r="E141" s="12">
        <v>8</v>
      </c>
      <c r="F141" s="49">
        <v>9.7313972400102831</v>
      </c>
      <c r="G141" s="49">
        <v>0.4492464585014419</v>
      </c>
      <c r="H141" s="49">
        <v>6.4802535626351701E-2</v>
      </c>
      <c r="I141" s="49">
        <v>1.7710922272034046</v>
      </c>
      <c r="J141" s="49">
        <v>0.7200836040316666</v>
      </c>
      <c r="K141" s="49">
        <v>0</v>
      </c>
    </row>
    <row r="142" spans="1:11">
      <c r="A142" s="8">
        <v>14</v>
      </c>
      <c r="B142" s="18">
        <v>37847</v>
      </c>
      <c r="C142" s="12">
        <v>2003</v>
      </c>
      <c r="D142" s="15" t="s">
        <v>25</v>
      </c>
      <c r="E142" s="12">
        <v>8</v>
      </c>
      <c r="F142" s="49">
        <v>7.7509229540473807</v>
      </c>
      <c r="G142" s="49">
        <v>0.24486810498493716</v>
      </c>
      <c r="H142" s="49">
        <v>0</v>
      </c>
      <c r="I142" s="49">
        <v>1.5589303186110968</v>
      </c>
      <c r="J142" s="49">
        <v>0.55663848368145408</v>
      </c>
      <c r="K142" s="49">
        <v>0</v>
      </c>
    </row>
    <row r="143" spans="1:11">
      <c r="A143" s="8">
        <v>5</v>
      </c>
      <c r="B143" s="18">
        <v>37888</v>
      </c>
      <c r="C143" s="12">
        <v>2003</v>
      </c>
      <c r="D143" s="15" t="s">
        <v>26</v>
      </c>
      <c r="E143" s="12">
        <v>9</v>
      </c>
      <c r="F143" s="49">
        <v>5.3259843794054316</v>
      </c>
      <c r="G143" s="49">
        <v>7.0766722838774665E-2</v>
      </c>
      <c r="H143" s="49">
        <v>0</v>
      </c>
      <c r="I143" s="49">
        <v>1.070424645138123</v>
      </c>
      <c r="J143" s="49">
        <v>0.26305301147311388</v>
      </c>
      <c r="K143" s="49">
        <v>0</v>
      </c>
    </row>
    <row r="144" spans="1:11">
      <c r="A144" s="8">
        <v>7</v>
      </c>
      <c r="B144" s="18">
        <v>37886</v>
      </c>
      <c r="C144" s="12">
        <v>2003</v>
      </c>
      <c r="D144" s="15" t="s">
        <v>26</v>
      </c>
      <c r="E144" s="12">
        <v>9</v>
      </c>
      <c r="F144" s="49">
        <v>16.280058665966621</v>
      </c>
      <c r="G144" s="49">
        <v>0.64005526774287957</v>
      </c>
      <c r="H144" s="49">
        <v>4.2509117471454798E-2</v>
      </c>
      <c r="I144" s="49">
        <v>2.0253642072984785</v>
      </c>
      <c r="J144" s="49">
        <v>0.2771719625502323</v>
      </c>
      <c r="K144" s="49">
        <v>0</v>
      </c>
    </row>
    <row r="145" spans="1:18">
      <c r="A145" s="8">
        <v>14</v>
      </c>
      <c r="B145" s="18">
        <v>37886</v>
      </c>
      <c r="C145" s="12">
        <v>2003</v>
      </c>
      <c r="D145" s="15" t="s">
        <v>26</v>
      </c>
      <c r="E145" s="12">
        <v>9</v>
      </c>
      <c r="F145" s="49">
        <v>12.118507065010169</v>
      </c>
      <c r="G145" s="49">
        <v>0.47327993114083333</v>
      </c>
      <c r="H145" s="49">
        <v>0</v>
      </c>
      <c r="I145" s="49">
        <v>1.2953165644904567</v>
      </c>
      <c r="J145" s="49">
        <v>0.15907149092940784</v>
      </c>
      <c r="K145" s="49">
        <v>0</v>
      </c>
    </row>
    <row r="146" spans="1:18">
      <c r="A146" s="8">
        <v>5</v>
      </c>
      <c r="B146" s="18">
        <v>37910</v>
      </c>
      <c r="C146" s="12">
        <v>2003</v>
      </c>
      <c r="D146" s="15" t="s">
        <v>14</v>
      </c>
      <c r="E146" s="12">
        <v>10</v>
      </c>
      <c r="F146" s="13">
        <v>5.1002000000000001</v>
      </c>
      <c r="G146" s="13">
        <v>0.43098040197329623</v>
      </c>
      <c r="H146" s="13">
        <v>0</v>
      </c>
      <c r="I146" s="13">
        <v>0.41682497158360265</v>
      </c>
      <c r="J146" s="13">
        <v>6.4666599969464306E-2</v>
      </c>
      <c r="K146" s="13">
        <v>0</v>
      </c>
    </row>
    <row r="147" spans="1:18">
      <c r="A147" s="8">
        <v>7</v>
      </c>
      <c r="B147" s="18">
        <v>37910</v>
      </c>
      <c r="C147" s="12">
        <v>2003</v>
      </c>
      <c r="D147" s="15" t="s">
        <v>14</v>
      </c>
      <c r="E147" s="12">
        <v>10</v>
      </c>
      <c r="F147" s="13">
        <v>3.2086000000000001</v>
      </c>
      <c r="G147" s="13">
        <v>0.23212981808065178</v>
      </c>
      <c r="H147" s="13">
        <v>0</v>
      </c>
      <c r="I147" s="13">
        <v>0.26436273851805059</v>
      </c>
      <c r="J147" s="13">
        <v>2.915463137862746E-2</v>
      </c>
      <c r="K147" s="13">
        <v>0</v>
      </c>
    </row>
    <row r="148" spans="1:18">
      <c r="A148" s="8">
        <v>14</v>
      </c>
      <c r="B148" s="18">
        <v>37910</v>
      </c>
      <c r="C148" s="12">
        <v>2003</v>
      </c>
      <c r="D148" s="15" t="s">
        <v>14</v>
      </c>
      <c r="E148" s="12">
        <v>10</v>
      </c>
      <c r="F148" s="13">
        <v>2.1722999999999999</v>
      </c>
      <c r="G148" s="13">
        <v>0.15820013113672279</v>
      </c>
      <c r="H148" s="13">
        <v>0</v>
      </c>
      <c r="I148" s="13">
        <v>0.22068723733849907</v>
      </c>
      <c r="J148" s="13">
        <v>1.7228432691433065E-2</v>
      </c>
      <c r="K148" s="13">
        <v>0</v>
      </c>
    </row>
    <row r="149" spans="1:18">
      <c r="A149" s="8">
        <v>5</v>
      </c>
      <c r="B149" s="18">
        <v>37943</v>
      </c>
      <c r="C149" s="12">
        <v>2003</v>
      </c>
      <c r="D149" s="15" t="s">
        <v>16</v>
      </c>
      <c r="E149" s="12">
        <v>11</v>
      </c>
      <c r="F149" s="13">
        <v>2.3708</v>
      </c>
      <c r="G149" s="13">
        <v>6.1145193281555661E-2</v>
      </c>
      <c r="H149" s="13">
        <v>0</v>
      </c>
      <c r="I149" s="13">
        <v>0.28369180483431444</v>
      </c>
      <c r="J149" s="13">
        <v>1.5812193719507043E-2</v>
      </c>
      <c r="K149" s="13">
        <v>0</v>
      </c>
    </row>
    <row r="150" spans="1:18">
      <c r="A150" s="8">
        <v>7</v>
      </c>
      <c r="B150" s="18">
        <v>37942</v>
      </c>
      <c r="C150" s="12">
        <v>2003</v>
      </c>
      <c r="D150" s="15" t="s">
        <v>16</v>
      </c>
      <c r="E150" s="12">
        <v>11</v>
      </c>
      <c r="F150" s="13">
        <v>3.5731999999999999</v>
      </c>
      <c r="G150" s="13">
        <v>0.10215653787338916</v>
      </c>
      <c r="H150" s="13">
        <v>0</v>
      </c>
      <c r="I150" s="13">
        <v>0.15915644078325575</v>
      </c>
      <c r="J150" s="13">
        <v>1.6316834025480724E-2</v>
      </c>
      <c r="K150" s="13">
        <v>0</v>
      </c>
    </row>
    <row r="151" spans="1:18">
      <c r="A151" s="8">
        <v>14</v>
      </c>
      <c r="B151" s="18">
        <v>37942</v>
      </c>
      <c r="C151" s="12">
        <v>2003</v>
      </c>
      <c r="D151" s="15" t="s">
        <v>16</v>
      </c>
      <c r="E151" s="12">
        <v>11</v>
      </c>
      <c r="F151" s="13">
        <v>1.2110000000000001</v>
      </c>
      <c r="G151" s="13">
        <v>2.0607427823498895E-2</v>
      </c>
      <c r="H151" s="13">
        <v>0</v>
      </c>
      <c r="I151" s="13">
        <v>0.15177113587273633</v>
      </c>
      <c r="J151" s="13">
        <v>1.5137262014766404E-2</v>
      </c>
      <c r="K151" s="13">
        <v>0</v>
      </c>
    </row>
    <row r="152" spans="1:18">
      <c r="A152" s="8">
        <v>5</v>
      </c>
      <c r="B152" s="18">
        <v>37973</v>
      </c>
      <c r="C152" s="12">
        <v>2003</v>
      </c>
      <c r="D152" s="15" t="s">
        <v>17</v>
      </c>
      <c r="E152" s="12">
        <v>12</v>
      </c>
      <c r="F152" s="13">
        <v>7.5720000000000001</v>
      </c>
      <c r="G152" s="13">
        <v>0.16318884324111949</v>
      </c>
      <c r="H152" s="13">
        <v>0</v>
      </c>
      <c r="I152" s="13">
        <v>2.2440966922895869</v>
      </c>
      <c r="J152" s="13">
        <v>3.1168839450886766E-2</v>
      </c>
      <c r="K152" s="13">
        <v>0</v>
      </c>
    </row>
    <row r="153" spans="1:18">
      <c r="A153" s="8">
        <v>7</v>
      </c>
      <c r="B153" s="18">
        <v>37971</v>
      </c>
      <c r="C153" s="12">
        <v>2003</v>
      </c>
      <c r="D153" s="15" t="s">
        <v>17</v>
      </c>
      <c r="E153" s="12">
        <v>12</v>
      </c>
      <c r="F153" s="13">
        <v>1.4450000000000001</v>
      </c>
      <c r="G153" s="13">
        <v>0.14400769077223163</v>
      </c>
      <c r="H153" s="13">
        <v>0</v>
      </c>
      <c r="I153" s="13">
        <v>0.19727980393471042</v>
      </c>
      <c r="J153" s="13">
        <v>1.2492783887103964E-2</v>
      </c>
      <c r="K153" s="13">
        <v>0</v>
      </c>
    </row>
    <row r="154" spans="1:18" ht="25.5">
      <c r="A154" s="8">
        <v>14</v>
      </c>
      <c r="B154" s="18">
        <v>37971</v>
      </c>
      <c r="C154" s="12">
        <v>2003</v>
      </c>
      <c r="D154" s="15" t="s">
        <v>17</v>
      </c>
      <c r="E154" s="12">
        <v>12</v>
      </c>
      <c r="F154" s="13">
        <v>1.21</v>
      </c>
      <c r="G154" s="13">
        <v>7.6551714981481611E-2</v>
      </c>
      <c r="H154" s="13">
        <v>0</v>
      </c>
      <c r="I154" s="13">
        <v>0.10857548809705277</v>
      </c>
      <c r="J154" s="13">
        <v>1.7857830304729226E-2</v>
      </c>
      <c r="K154" s="13">
        <v>0</v>
      </c>
      <c r="L154" s="35" t="s">
        <v>43</v>
      </c>
      <c r="M154" s="6" t="s">
        <v>7</v>
      </c>
      <c r="N154" s="6" t="s">
        <v>8</v>
      </c>
      <c r="O154" s="6" t="s">
        <v>9</v>
      </c>
      <c r="P154" s="6" t="s">
        <v>10</v>
      </c>
      <c r="Q154" s="6" t="s">
        <v>11</v>
      </c>
      <c r="R154" s="6" t="s">
        <v>12</v>
      </c>
    </row>
    <row r="155" spans="1:18">
      <c r="A155" s="37">
        <v>5</v>
      </c>
      <c r="B155" s="50">
        <v>37999</v>
      </c>
      <c r="C155" s="41">
        <v>2004</v>
      </c>
      <c r="D155" s="46" t="s">
        <v>18</v>
      </c>
      <c r="E155" s="41">
        <v>1</v>
      </c>
      <c r="F155" s="52">
        <v>8.5737000000000005</v>
      </c>
      <c r="G155" s="52">
        <v>2.6948203281060339E-2</v>
      </c>
      <c r="H155" s="52">
        <v>0</v>
      </c>
      <c r="I155" s="52">
        <v>2.4219660466238513</v>
      </c>
      <c r="J155" s="52">
        <v>4.5769118861683174E-2</v>
      </c>
      <c r="K155" s="52">
        <v>0</v>
      </c>
      <c r="L155" s="35" t="s">
        <v>50</v>
      </c>
      <c r="M155" s="27">
        <f t="shared" ref="M155:R155" si="1">AVERAGE(F155:F190)</f>
        <v>8.9410941176470597</v>
      </c>
      <c r="N155" s="27">
        <f t="shared" si="1"/>
        <v>0.49131310448072646</v>
      </c>
      <c r="O155" s="27">
        <f t="shared" si="1"/>
        <v>0.10265750118172623</v>
      </c>
      <c r="P155" s="27">
        <f t="shared" si="1"/>
        <v>1.5618255856824115</v>
      </c>
      <c r="Q155" s="27">
        <f t="shared" si="1"/>
        <v>0.25987881370625576</v>
      </c>
      <c r="R155" s="27">
        <f t="shared" si="1"/>
        <v>0</v>
      </c>
    </row>
    <row r="156" spans="1:18">
      <c r="A156" s="8">
        <v>7</v>
      </c>
      <c r="C156" s="12">
        <v>2004</v>
      </c>
      <c r="D156" s="15" t="s">
        <v>18</v>
      </c>
      <c r="E156" s="12">
        <v>1</v>
      </c>
      <c r="F156" s="13"/>
      <c r="G156" s="13"/>
      <c r="H156" s="13"/>
      <c r="I156" s="13"/>
      <c r="J156" s="13"/>
      <c r="K156" s="13"/>
    </row>
    <row r="157" spans="1:18">
      <c r="A157" s="8">
        <v>14</v>
      </c>
      <c r="C157" s="12">
        <v>2004</v>
      </c>
      <c r="D157" s="15" t="s">
        <v>18</v>
      </c>
      <c r="E157" s="12">
        <v>1</v>
      </c>
      <c r="F157" s="13"/>
      <c r="G157" s="13"/>
      <c r="H157" s="13"/>
      <c r="I157" s="13"/>
      <c r="J157" s="13"/>
      <c r="K157" s="13"/>
    </row>
    <row r="158" spans="1:18">
      <c r="A158" s="8">
        <v>5</v>
      </c>
      <c r="B158" s="18">
        <v>38027</v>
      </c>
      <c r="C158" s="12">
        <v>2004</v>
      </c>
      <c r="D158" s="11" t="s">
        <v>19</v>
      </c>
      <c r="E158" s="12">
        <v>2</v>
      </c>
      <c r="F158" s="13">
        <v>7.1506999999999996</v>
      </c>
      <c r="G158" s="13">
        <v>3.2898402393573403E-2</v>
      </c>
      <c r="H158" s="13">
        <v>0</v>
      </c>
      <c r="I158" s="13">
        <v>1.990850915483422</v>
      </c>
      <c r="J158" s="13">
        <v>3.2515221899410814E-2</v>
      </c>
      <c r="K158" s="13">
        <v>0</v>
      </c>
    </row>
    <row r="159" spans="1:18">
      <c r="A159" s="8">
        <v>7</v>
      </c>
      <c r="B159" s="18">
        <v>38026</v>
      </c>
      <c r="C159" s="12">
        <v>2004</v>
      </c>
      <c r="D159" s="11" t="s">
        <v>19</v>
      </c>
      <c r="E159" s="12">
        <v>2</v>
      </c>
      <c r="F159" s="13">
        <v>4.0072999999999999</v>
      </c>
      <c r="G159" s="13">
        <v>0.10370252087540481</v>
      </c>
      <c r="H159" s="13">
        <v>0</v>
      </c>
      <c r="I159" s="13">
        <v>0.97129687047492141</v>
      </c>
      <c r="J159" s="13">
        <v>3.4474804990044634E-2</v>
      </c>
      <c r="K159" s="13">
        <v>0</v>
      </c>
    </row>
    <row r="160" spans="1:18">
      <c r="A160" s="8">
        <v>14</v>
      </c>
      <c r="B160" s="18">
        <v>38026</v>
      </c>
      <c r="C160" s="12">
        <v>2004</v>
      </c>
      <c r="D160" s="11" t="s">
        <v>19</v>
      </c>
      <c r="E160" s="12">
        <v>2</v>
      </c>
      <c r="F160" s="13">
        <v>7.3216000000000001</v>
      </c>
      <c r="G160" s="13">
        <v>2.0592488294386015E-2</v>
      </c>
      <c r="H160" s="13">
        <v>0</v>
      </c>
      <c r="I160" s="13">
        <v>1.7856782358934884</v>
      </c>
      <c r="J160" s="13">
        <v>2.8236364744651313E-2</v>
      </c>
      <c r="K160" s="13">
        <v>0</v>
      </c>
    </row>
    <row r="161" spans="1:11">
      <c r="A161" s="8">
        <v>5</v>
      </c>
      <c r="B161" s="18">
        <v>38063</v>
      </c>
      <c r="C161" s="12">
        <v>2004</v>
      </c>
      <c r="D161" s="11" t="s">
        <v>20</v>
      </c>
      <c r="E161" s="12">
        <v>3</v>
      </c>
      <c r="F161" s="13">
        <v>5.0831999999999997</v>
      </c>
      <c r="G161" s="13">
        <v>2.9831276747966675E-2</v>
      </c>
      <c r="H161" s="13">
        <v>0</v>
      </c>
      <c r="I161" s="13">
        <v>2.1586805030066798</v>
      </c>
      <c r="J161" s="13">
        <v>2.814604044964656E-2</v>
      </c>
      <c r="K161" s="13">
        <v>0</v>
      </c>
    </row>
    <row r="162" spans="1:11">
      <c r="A162" s="8">
        <v>7</v>
      </c>
      <c r="B162" s="18">
        <v>38061</v>
      </c>
      <c r="C162" s="12">
        <v>2004</v>
      </c>
      <c r="D162" s="11" t="s">
        <v>20</v>
      </c>
      <c r="E162" s="12">
        <v>3</v>
      </c>
      <c r="F162" s="13">
        <v>8.2256999999999998</v>
      </c>
      <c r="G162" s="13">
        <v>0.18748573693384049</v>
      </c>
      <c r="H162" s="13">
        <v>0</v>
      </c>
      <c r="I162" s="13">
        <v>2.606115055091796</v>
      </c>
      <c r="J162" s="13">
        <v>3.3596063426458794E-2</v>
      </c>
      <c r="K162" s="13">
        <v>0</v>
      </c>
    </row>
    <row r="163" spans="1:11">
      <c r="A163" s="8">
        <v>14</v>
      </c>
      <c r="B163" s="18">
        <v>38063</v>
      </c>
      <c r="C163" s="12">
        <v>2004</v>
      </c>
      <c r="D163" s="11" t="s">
        <v>20</v>
      </c>
      <c r="E163" s="12">
        <v>3</v>
      </c>
      <c r="F163" s="13">
        <v>9.5517000000000003</v>
      </c>
      <c r="G163" s="13">
        <v>0</v>
      </c>
      <c r="H163" s="13">
        <v>0</v>
      </c>
      <c r="I163" s="13">
        <v>4.1413452689056758</v>
      </c>
      <c r="J163" s="13">
        <v>4.9539471399876966E-2</v>
      </c>
      <c r="K163" s="13">
        <v>0</v>
      </c>
    </row>
    <row r="164" spans="1:11">
      <c r="A164" s="8">
        <v>5</v>
      </c>
      <c r="B164" s="18">
        <v>38094</v>
      </c>
      <c r="C164" s="12">
        <v>2004</v>
      </c>
      <c r="D164" s="11" t="s">
        <v>21</v>
      </c>
      <c r="E164" s="12">
        <v>4</v>
      </c>
      <c r="F164" s="13">
        <v>1.9147000000000001</v>
      </c>
      <c r="G164" s="13">
        <v>0.11065685100059267</v>
      </c>
      <c r="H164" s="13">
        <v>0</v>
      </c>
      <c r="I164" s="13">
        <v>0.34700953053040712</v>
      </c>
      <c r="J164" s="13">
        <v>3.1357739004796513E-2</v>
      </c>
      <c r="K164" s="13">
        <v>0</v>
      </c>
    </row>
    <row r="165" spans="1:11">
      <c r="A165" s="8">
        <v>7</v>
      </c>
      <c r="B165" s="18">
        <v>38093</v>
      </c>
      <c r="C165" s="12">
        <v>2004</v>
      </c>
      <c r="D165" s="11" t="s">
        <v>21</v>
      </c>
      <c r="E165" s="12">
        <v>4</v>
      </c>
      <c r="F165" s="13">
        <v>2.0545</v>
      </c>
      <c r="G165" s="13">
        <v>0.1306045059398783</v>
      </c>
      <c r="H165" s="13">
        <v>0</v>
      </c>
      <c r="I165" s="13">
        <v>0.3458912719363979</v>
      </c>
      <c r="J165" s="13">
        <v>2.0807551118455517E-2</v>
      </c>
      <c r="K165" s="13">
        <v>0</v>
      </c>
    </row>
    <row r="166" spans="1:11">
      <c r="A166" s="8">
        <v>14</v>
      </c>
      <c r="B166" s="18">
        <v>38094</v>
      </c>
      <c r="C166" s="12">
        <v>2004</v>
      </c>
      <c r="D166" s="11" t="s">
        <v>21</v>
      </c>
      <c r="E166" s="12">
        <v>4</v>
      </c>
      <c r="F166" s="13">
        <v>1.3051999999999999</v>
      </c>
      <c r="G166" s="13">
        <v>3.3045428991815069E-2</v>
      </c>
      <c r="H166" s="13">
        <v>0</v>
      </c>
      <c r="I166" s="13">
        <v>0.30505609445635995</v>
      </c>
      <c r="J166" s="13">
        <v>2.1049410185069551E-2</v>
      </c>
      <c r="K166" s="13">
        <v>0</v>
      </c>
    </row>
    <row r="167" spans="1:11">
      <c r="A167" s="8">
        <v>5</v>
      </c>
      <c r="B167" s="18">
        <v>38118</v>
      </c>
      <c r="C167" s="12">
        <v>2004</v>
      </c>
      <c r="D167" s="11" t="s">
        <v>22</v>
      </c>
      <c r="E167" s="12">
        <v>5</v>
      </c>
      <c r="F167" s="13">
        <v>5.8826999999999998</v>
      </c>
      <c r="G167" s="13">
        <v>2.4402370941568288E-2</v>
      </c>
      <c r="H167" s="13">
        <v>0.21968112606794668</v>
      </c>
      <c r="I167" s="13">
        <v>1.6900995027836445</v>
      </c>
      <c r="J167" s="13">
        <v>0.20401613129406826</v>
      </c>
      <c r="K167" s="13">
        <v>0</v>
      </c>
    </row>
    <row r="168" spans="1:11">
      <c r="A168" s="8">
        <v>7</v>
      </c>
      <c r="B168" s="18">
        <v>38117</v>
      </c>
      <c r="C168" s="12">
        <v>2004</v>
      </c>
      <c r="D168" s="11" t="s">
        <v>22</v>
      </c>
      <c r="E168" s="12">
        <v>5</v>
      </c>
      <c r="F168" s="13">
        <v>4.5316999999999998</v>
      </c>
      <c r="G168" s="13">
        <v>3.7148756642373944E-2</v>
      </c>
      <c r="H168" s="13">
        <v>0</v>
      </c>
      <c r="I168" s="13">
        <v>0.76328861812246429</v>
      </c>
      <c r="J168" s="13">
        <v>7.4471320565865279E-2</v>
      </c>
      <c r="K168" s="13">
        <v>0</v>
      </c>
    </row>
    <row r="169" spans="1:11">
      <c r="A169" s="8">
        <v>14</v>
      </c>
      <c r="B169" s="18">
        <v>38117</v>
      </c>
      <c r="C169" s="12">
        <v>2004</v>
      </c>
      <c r="D169" s="11" t="s">
        <v>22</v>
      </c>
      <c r="E169" s="12">
        <v>5</v>
      </c>
      <c r="F169" s="13">
        <v>3.9127000000000001</v>
      </c>
      <c r="G169" s="13">
        <v>1.9722886659094614E-2</v>
      </c>
      <c r="H169" s="13">
        <v>0.15013009494741217</v>
      </c>
      <c r="I169" s="13">
        <v>0.84923021687159372</v>
      </c>
      <c r="J169" s="13">
        <v>0.11667869779577877</v>
      </c>
      <c r="K169" s="13">
        <v>0</v>
      </c>
    </row>
    <row r="170" spans="1:11">
      <c r="A170" s="8">
        <v>5</v>
      </c>
      <c r="B170" s="18">
        <v>38153</v>
      </c>
      <c r="C170" s="12">
        <v>2004</v>
      </c>
      <c r="D170" s="11" t="s">
        <v>23</v>
      </c>
      <c r="E170" s="12">
        <v>6</v>
      </c>
      <c r="F170" s="13">
        <v>20.198</v>
      </c>
      <c r="G170" s="13">
        <v>4.854605886253003E-2</v>
      </c>
      <c r="H170" s="13">
        <v>2.215528999315771</v>
      </c>
      <c r="I170" s="13">
        <v>6.1757416221212171</v>
      </c>
      <c r="J170" s="13">
        <v>1.1286450230940246</v>
      </c>
      <c r="K170" s="13">
        <v>0</v>
      </c>
    </row>
    <row r="171" spans="1:11">
      <c r="A171" s="8">
        <v>7</v>
      </c>
      <c r="B171" s="18">
        <v>38155</v>
      </c>
      <c r="C171" s="12">
        <v>2004</v>
      </c>
      <c r="D171" s="11" t="s">
        <v>23</v>
      </c>
      <c r="E171" s="12">
        <v>6</v>
      </c>
      <c r="F171" s="13">
        <v>12.244300000000001</v>
      </c>
      <c r="G171" s="13">
        <v>0.61073890429733335</v>
      </c>
      <c r="H171" s="13">
        <v>5.3197136681675382E-2</v>
      </c>
      <c r="I171" s="13">
        <v>1.012879395721791</v>
      </c>
      <c r="J171" s="13">
        <v>0.17697194453293308</v>
      </c>
      <c r="K171" s="13">
        <v>0</v>
      </c>
    </row>
    <row r="172" spans="1:11">
      <c r="A172" s="8">
        <v>14</v>
      </c>
      <c r="B172" s="18">
        <v>38155</v>
      </c>
      <c r="C172" s="12">
        <v>2004</v>
      </c>
      <c r="D172" s="11" t="s">
        <v>23</v>
      </c>
      <c r="E172" s="12">
        <v>6</v>
      </c>
      <c r="F172" s="13">
        <v>14.904</v>
      </c>
      <c r="G172" s="13">
        <v>0.11370167570737787</v>
      </c>
      <c r="H172" s="13">
        <v>0.74916018198416046</v>
      </c>
      <c r="I172" s="13">
        <v>3.9673254506366731</v>
      </c>
      <c r="J172" s="13">
        <v>0.48128625872051833</v>
      </c>
      <c r="K172" s="13">
        <v>0</v>
      </c>
    </row>
    <row r="173" spans="1:11">
      <c r="A173" s="8">
        <v>5</v>
      </c>
      <c r="B173" s="18">
        <v>38181</v>
      </c>
      <c r="C173" s="12">
        <v>2004</v>
      </c>
      <c r="D173" s="15" t="s">
        <v>24</v>
      </c>
      <c r="E173" s="12">
        <v>7</v>
      </c>
      <c r="F173" s="13">
        <v>19.3645</v>
      </c>
      <c r="G173" s="13">
        <v>0.14457254129556907</v>
      </c>
      <c r="H173" s="13">
        <v>0</v>
      </c>
      <c r="I173" s="13">
        <v>1.7817920024558263</v>
      </c>
      <c r="J173" s="13">
        <v>1.9003463699171124</v>
      </c>
      <c r="K173" s="13">
        <v>0</v>
      </c>
    </row>
    <row r="174" spans="1:11">
      <c r="A174" s="8">
        <v>7</v>
      </c>
      <c r="B174" s="18">
        <v>38182</v>
      </c>
      <c r="C174" s="12">
        <v>2004</v>
      </c>
      <c r="D174" s="15" t="s">
        <v>24</v>
      </c>
      <c r="E174" s="12">
        <v>7</v>
      </c>
      <c r="F174" s="13">
        <v>19.139500000000002</v>
      </c>
      <c r="G174" s="13">
        <v>2.5743626604460128</v>
      </c>
      <c r="H174" s="13">
        <v>0</v>
      </c>
      <c r="I174" s="13">
        <v>1.7138864520593682</v>
      </c>
      <c r="J174" s="13">
        <v>0.27207381660998498</v>
      </c>
      <c r="K174" s="13">
        <v>0</v>
      </c>
    </row>
    <row r="175" spans="1:11">
      <c r="A175" s="8">
        <v>14</v>
      </c>
      <c r="B175" s="18">
        <v>38182</v>
      </c>
      <c r="C175" s="12">
        <v>2004</v>
      </c>
      <c r="D175" s="15" t="s">
        <v>24</v>
      </c>
      <c r="E175" s="12">
        <v>7</v>
      </c>
      <c r="F175" s="13">
        <v>9.0954999999999995</v>
      </c>
      <c r="G175" s="13">
        <v>0.49656408712725081</v>
      </c>
      <c r="H175" s="13">
        <v>0</v>
      </c>
      <c r="I175" s="13">
        <v>1.217794569725491</v>
      </c>
      <c r="J175" s="13">
        <v>0.39353989700111774</v>
      </c>
      <c r="K175" s="13">
        <v>0</v>
      </c>
    </row>
    <row r="176" spans="1:11">
      <c r="A176" s="8">
        <v>5</v>
      </c>
      <c r="B176" s="18">
        <v>38217</v>
      </c>
      <c r="C176" s="12">
        <v>2004</v>
      </c>
      <c r="D176" s="15" t="s">
        <v>25</v>
      </c>
      <c r="E176" s="12">
        <v>8</v>
      </c>
      <c r="F176" s="13">
        <v>21.066400000000002</v>
      </c>
      <c r="G176" s="13">
        <v>0.25269298809472029</v>
      </c>
      <c r="H176" s="13">
        <v>0</v>
      </c>
      <c r="I176" s="13">
        <v>5.2095464941243783</v>
      </c>
      <c r="J176" s="13">
        <v>1.6050875586926512</v>
      </c>
      <c r="K176" s="13">
        <v>0</v>
      </c>
    </row>
    <row r="177" spans="1:18">
      <c r="A177" s="8">
        <v>7</v>
      </c>
      <c r="B177" s="18">
        <v>38218</v>
      </c>
      <c r="C177" s="12">
        <v>2004</v>
      </c>
      <c r="D177" s="15" t="s">
        <v>25</v>
      </c>
      <c r="E177" s="12">
        <v>8</v>
      </c>
      <c r="F177" s="13">
        <v>30.9527</v>
      </c>
      <c r="G177" s="13">
        <v>7.556193880782109</v>
      </c>
      <c r="H177" s="13">
        <v>0</v>
      </c>
      <c r="I177" s="13">
        <v>1.1706346801969989</v>
      </c>
      <c r="J177" s="13">
        <v>0.45629057758087932</v>
      </c>
      <c r="K177" s="13">
        <v>0</v>
      </c>
    </row>
    <row r="178" spans="1:18">
      <c r="A178" s="8">
        <v>14</v>
      </c>
      <c r="B178" s="18">
        <v>38218</v>
      </c>
      <c r="C178" s="12">
        <v>2004</v>
      </c>
      <c r="D178" s="15" t="s">
        <v>25</v>
      </c>
      <c r="E178" s="12">
        <v>8</v>
      </c>
      <c r="F178" s="13">
        <v>25.721599999999999</v>
      </c>
      <c r="G178" s="13"/>
      <c r="H178" s="13"/>
      <c r="I178" s="13"/>
      <c r="J178" s="13"/>
      <c r="K178" s="13"/>
    </row>
    <row r="179" spans="1:18">
      <c r="A179" s="8">
        <v>5</v>
      </c>
      <c r="B179" s="18">
        <v>38244</v>
      </c>
      <c r="C179" s="12">
        <v>2004</v>
      </c>
      <c r="D179" s="15" t="s">
        <v>26</v>
      </c>
      <c r="E179" s="12">
        <v>9</v>
      </c>
      <c r="F179" s="13">
        <v>17.081199999999999</v>
      </c>
      <c r="G179" s="13">
        <v>0.71963685005129674</v>
      </c>
      <c r="H179" s="13">
        <v>0</v>
      </c>
      <c r="I179" s="13">
        <v>2.9098726568057787</v>
      </c>
      <c r="J179" s="13">
        <v>0.80519103030104178</v>
      </c>
      <c r="K179" s="13">
        <v>0</v>
      </c>
    </row>
    <row r="180" spans="1:18">
      <c r="A180" s="8">
        <v>7</v>
      </c>
      <c r="B180" s="18">
        <v>38246</v>
      </c>
      <c r="C180" s="12">
        <v>2004</v>
      </c>
      <c r="D180" s="15" t="s">
        <v>26</v>
      </c>
      <c r="E180" s="12">
        <v>9</v>
      </c>
      <c r="F180" s="13">
        <v>18.3614</v>
      </c>
      <c r="G180" s="13">
        <v>1.8060648103095729</v>
      </c>
      <c r="H180" s="13">
        <v>0</v>
      </c>
      <c r="I180" s="13">
        <v>2.8664190037934656</v>
      </c>
      <c r="J180" s="13">
        <v>0.24403145630055448</v>
      </c>
      <c r="K180" s="13">
        <v>0</v>
      </c>
    </row>
    <row r="181" spans="1:18">
      <c r="A181" s="8">
        <v>14</v>
      </c>
      <c r="B181" s="18">
        <v>38246</v>
      </c>
      <c r="C181" s="12">
        <v>2004</v>
      </c>
      <c r="D181" s="15" t="s">
        <v>26</v>
      </c>
      <c r="E181" s="12">
        <v>9</v>
      </c>
      <c r="F181" s="13">
        <v>4.8436000000000003</v>
      </c>
      <c r="G181" s="13">
        <v>0.19941095527298944</v>
      </c>
      <c r="H181" s="13">
        <v>0</v>
      </c>
      <c r="I181" s="13">
        <v>0.91076026551730793</v>
      </c>
      <c r="J181" s="13">
        <v>5.8674132644699145E-2</v>
      </c>
      <c r="K181" s="13">
        <v>0</v>
      </c>
    </row>
    <row r="182" spans="1:18">
      <c r="A182" s="8">
        <v>5</v>
      </c>
      <c r="B182" s="18">
        <v>38273</v>
      </c>
      <c r="C182" s="12">
        <v>2004</v>
      </c>
      <c r="D182" s="15" t="s">
        <v>14</v>
      </c>
      <c r="E182" s="12">
        <v>10</v>
      </c>
      <c r="F182" s="25">
        <v>2.69007</v>
      </c>
      <c r="G182" s="15">
        <v>5.6407532358487993E-2</v>
      </c>
      <c r="H182" s="15">
        <v>0</v>
      </c>
      <c r="I182" s="15">
        <v>0.50217534036755429</v>
      </c>
      <c r="J182" s="15">
        <v>0.15122303325000877</v>
      </c>
      <c r="K182" s="15">
        <v>0</v>
      </c>
    </row>
    <row r="183" spans="1:18">
      <c r="A183" s="8">
        <v>7</v>
      </c>
      <c r="B183" s="18">
        <v>38273</v>
      </c>
      <c r="C183" s="12">
        <v>2004</v>
      </c>
      <c r="D183" s="15" t="s">
        <v>14</v>
      </c>
      <c r="E183" s="12">
        <v>10</v>
      </c>
      <c r="F183" s="25">
        <v>3.7547999999999999</v>
      </c>
      <c r="G183" s="15">
        <v>8.145702907354678E-2</v>
      </c>
      <c r="H183" s="15">
        <v>0</v>
      </c>
      <c r="I183" s="15">
        <v>0.22615791524446571</v>
      </c>
      <c r="J183" s="15">
        <v>4.3158223274665147E-2</v>
      </c>
      <c r="K183" s="15">
        <v>0</v>
      </c>
    </row>
    <row r="184" spans="1:18">
      <c r="A184" s="8">
        <v>14</v>
      </c>
      <c r="B184" s="18">
        <v>38273</v>
      </c>
      <c r="C184" s="12">
        <v>2004</v>
      </c>
      <c r="D184" s="15" t="s">
        <v>14</v>
      </c>
      <c r="E184" s="12">
        <v>10</v>
      </c>
      <c r="F184" s="25">
        <v>2.8638300000000001</v>
      </c>
      <c r="G184" s="15">
        <v>5.5174317885318958E-2</v>
      </c>
      <c r="H184" s="15">
        <v>0</v>
      </c>
      <c r="I184" s="15">
        <v>4.6299102037104946E-2</v>
      </c>
      <c r="J184" s="15">
        <v>1.5791058248858399E-2</v>
      </c>
      <c r="K184" s="15">
        <v>0</v>
      </c>
    </row>
    <row r="185" spans="1:18">
      <c r="A185" s="8">
        <v>5</v>
      </c>
      <c r="B185" s="18">
        <v>38307</v>
      </c>
      <c r="C185" s="12">
        <v>2004</v>
      </c>
      <c r="D185" s="15" t="s">
        <v>16</v>
      </c>
      <c r="E185" s="12">
        <v>11</v>
      </c>
      <c r="F185" s="25">
        <v>2.5941100000000001</v>
      </c>
      <c r="G185" s="15">
        <v>5.9141238929310266E-2</v>
      </c>
      <c r="H185" s="15">
        <v>0</v>
      </c>
      <c r="I185" s="15">
        <v>0.55371327263595449</v>
      </c>
      <c r="J185" s="15">
        <v>2.6944359399203463E-2</v>
      </c>
      <c r="K185" s="15">
        <v>0</v>
      </c>
    </row>
    <row r="186" spans="1:18">
      <c r="A186" s="8">
        <v>7</v>
      </c>
      <c r="B186" s="18">
        <v>38307</v>
      </c>
      <c r="C186" s="12">
        <v>2004</v>
      </c>
      <c r="D186" s="15" t="s">
        <v>16</v>
      </c>
      <c r="E186" s="12">
        <v>11</v>
      </c>
      <c r="F186" s="25">
        <v>2.2926099999999998</v>
      </c>
      <c r="G186" s="15">
        <v>0.24189712968405927</v>
      </c>
      <c r="H186" s="15">
        <v>0</v>
      </c>
      <c r="I186" s="15">
        <v>0.23219365111833226</v>
      </c>
      <c r="J186" s="15">
        <v>1.9439833937961219E-2</v>
      </c>
      <c r="K186" s="15">
        <v>0</v>
      </c>
    </row>
    <row r="187" spans="1:18">
      <c r="A187" s="8">
        <v>14</v>
      </c>
      <c r="B187" s="18">
        <v>38307</v>
      </c>
      <c r="C187" s="12">
        <v>2004</v>
      </c>
      <c r="D187" s="15" t="s">
        <v>16</v>
      </c>
      <c r="E187" s="12">
        <v>11</v>
      </c>
      <c r="F187" s="25">
        <v>1.3500300000000001</v>
      </c>
      <c r="G187" s="15">
        <v>0.11418679693608853</v>
      </c>
      <c r="H187" s="15">
        <v>0</v>
      </c>
      <c r="I187" s="15">
        <v>6.2881266380053952E-2</v>
      </c>
      <c r="J187" s="15">
        <v>7.9291488509604102E-3</v>
      </c>
      <c r="K187" s="15">
        <v>0</v>
      </c>
    </row>
    <row r="188" spans="1:18">
      <c r="A188" s="8">
        <v>5</v>
      </c>
      <c r="B188" s="18">
        <v>38336</v>
      </c>
      <c r="C188" s="12">
        <v>2004</v>
      </c>
      <c r="D188" s="15" t="s">
        <v>17</v>
      </c>
      <c r="E188" s="12">
        <v>12</v>
      </c>
      <c r="F188" s="25">
        <v>2.5420099999999999</v>
      </c>
      <c r="G188" s="15">
        <v>0.19131963328544649</v>
      </c>
      <c r="H188" s="15">
        <v>0</v>
      </c>
      <c r="I188" s="15">
        <v>0.26127791626290892</v>
      </c>
      <c r="J188" s="15">
        <v>2.8504932103971946E-2</v>
      </c>
      <c r="K188" s="15">
        <v>0</v>
      </c>
    </row>
    <row r="189" spans="1:18">
      <c r="A189" s="8">
        <v>7</v>
      </c>
      <c r="B189" s="18">
        <v>38336</v>
      </c>
      <c r="C189" s="12">
        <v>2004</v>
      </c>
      <c r="D189" s="15" t="s">
        <v>17</v>
      </c>
      <c r="E189" s="12">
        <v>12</v>
      </c>
      <c r="F189" s="25">
        <v>1.8256600000000001</v>
      </c>
      <c r="G189" s="15">
        <v>5.9220030163794644E-2</v>
      </c>
      <c r="H189" s="15">
        <v>0</v>
      </c>
      <c r="I189" s="15">
        <v>0.18064272248943589</v>
      </c>
      <c r="J189" s="15">
        <v>2.0655659114853942E-2</v>
      </c>
      <c r="K189" s="15">
        <v>0</v>
      </c>
    </row>
    <row r="190" spans="1:18" ht="25.5">
      <c r="A190" s="8">
        <v>14</v>
      </c>
      <c r="B190" s="18">
        <v>38336</v>
      </c>
      <c r="C190" s="12">
        <v>2004</v>
      </c>
      <c r="D190" s="15" t="s">
        <v>17</v>
      </c>
      <c r="E190" s="12">
        <v>12</v>
      </c>
      <c r="F190" s="25">
        <v>1.59598</v>
      </c>
      <c r="G190" s="15">
        <v>7.5003898599602631E-2</v>
      </c>
      <c r="H190" s="15">
        <v>0</v>
      </c>
      <c r="I190" s="15">
        <v>0.16174241764476968</v>
      </c>
      <c r="J190" s="15">
        <v>1.9558602994633332E-2</v>
      </c>
      <c r="K190" s="15">
        <v>0</v>
      </c>
      <c r="L190" s="35" t="s">
        <v>43</v>
      </c>
      <c r="M190" s="6" t="s">
        <v>7</v>
      </c>
      <c r="N190" s="6" t="s">
        <v>8</v>
      </c>
      <c r="O190" s="6" t="s">
        <v>9</v>
      </c>
      <c r="P190" s="6" t="s">
        <v>10</v>
      </c>
      <c r="Q190" s="6" t="s">
        <v>11</v>
      </c>
      <c r="R190" s="6" t="s">
        <v>12</v>
      </c>
    </row>
    <row r="191" spans="1:18">
      <c r="A191" s="37">
        <v>5</v>
      </c>
      <c r="B191" s="53">
        <v>38363</v>
      </c>
      <c r="C191" s="41">
        <v>2005</v>
      </c>
      <c r="D191" s="46" t="s">
        <v>18</v>
      </c>
      <c r="E191" s="41">
        <v>1</v>
      </c>
      <c r="F191" s="54">
        <v>4.5729699999999998</v>
      </c>
      <c r="G191" s="46">
        <v>0.34683565562114793</v>
      </c>
      <c r="H191" s="46">
        <v>3.5255080617288201E-2</v>
      </c>
      <c r="I191" s="46">
        <v>0.95853728703125129</v>
      </c>
      <c r="J191" s="46">
        <v>1.732023487912325E-2</v>
      </c>
      <c r="K191" s="46">
        <v>0</v>
      </c>
      <c r="L191" s="35" t="s">
        <v>51</v>
      </c>
      <c r="M191" s="27">
        <f t="shared" ref="M191:R191" si="2">AVERAGE(F191:F226)</f>
        <v>8.803555277777777</v>
      </c>
      <c r="N191" s="27">
        <f t="shared" si="2"/>
        <v>0.190454221936218</v>
      </c>
      <c r="O191" s="27">
        <f t="shared" si="2"/>
        <v>5.3686342064438834E-2</v>
      </c>
      <c r="P191" s="27">
        <f t="shared" si="2"/>
        <v>2.3621484360777827</v>
      </c>
      <c r="Q191" s="27">
        <f t="shared" si="2"/>
        <v>0.29855814827167065</v>
      </c>
      <c r="R191" s="27">
        <f t="shared" si="2"/>
        <v>2.9424419954271379E-3</v>
      </c>
    </row>
    <row r="192" spans="1:18">
      <c r="A192" s="8">
        <v>7</v>
      </c>
      <c r="B192" s="22">
        <v>38363</v>
      </c>
      <c r="C192" s="12">
        <v>2005</v>
      </c>
      <c r="D192" s="15" t="s">
        <v>18</v>
      </c>
      <c r="E192" s="12">
        <v>1</v>
      </c>
      <c r="F192" s="25">
        <v>4.6342400000000001</v>
      </c>
      <c r="G192" s="15">
        <v>0.81447461663789</v>
      </c>
      <c r="H192" s="15">
        <v>0</v>
      </c>
      <c r="I192" s="15">
        <v>0.25165551347636206</v>
      </c>
      <c r="J192" s="15">
        <v>2.272946348919504E-2</v>
      </c>
      <c r="K192" s="15">
        <v>0</v>
      </c>
    </row>
    <row r="193" spans="1:11">
      <c r="A193" s="8">
        <v>14</v>
      </c>
      <c r="B193" s="22">
        <v>38363</v>
      </c>
      <c r="C193" s="12">
        <v>2005</v>
      </c>
      <c r="D193" s="15" t="s">
        <v>18</v>
      </c>
      <c r="E193" s="12">
        <v>1</v>
      </c>
      <c r="F193" s="25">
        <v>3.4511500000000002</v>
      </c>
      <c r="G193" s="15">
        <v>0.39977458058524146</v>
      </c>
      <c r="H193" s="15">
        <v>0</v>
      </c>
      <c r="I193" s="15">
        <v>0.41636809005780429</v>
      </c>
      <c r="J193" s="15">
        <v>2.376842466816597E-2</v>
      </c>
      <c r="K193" s="15">
        <v>0</v>
      </c>
    </row>
    <row r="194" spans="1:11">
      <c r="A194" s="8">
        <v>5</v>
      </c>
      <c r="B194" s="22">
        <v>38399</v>
      </c>
      <c r="C194" s="12">
        <v>2005</v>
      </c>
      <c r="D194" s="11" t="s">
        <v>19</v>
      </c>
      <c r="E194" s="12">
        <v>2</v>
      </c>
      <c r="F194" s="25">
        <v>4.7669499999999996</v>
      </c>
      <c r="G194" s="15">
        <v>0.19302482752036837</v>
      </c>
      <c r="H194" s="15">
        <v>0</v>
      </c>
      <c r="I194" s="15">
        <v>1.3464223608490331</v>
      </c>
      <c r="J194" s="15">
        <v>4.176471778499944E-2</v>
      </c>
      <c r="K194" s="15">
        <v>0</v>
      </c>
    </row>
    <row r="195" spans="1:11">
      <c r="A195" s="8">
        <v>7</v>
      </c>
      <c r="B195" s="22">
        <v>38398</v>
      </c>
      <c r="C195" s="12">
        <v>2005</v>
      </c>
      <c r="D195" s="11" t="s">
        <v>19</v>
      </c>
      <c r="E195" s="12">
        <v>2</v>
      </c>
      <c r="F195" s="25">
        <v>3.8970199999999999</v>
      </c>
      <c r="G195" s="15">
        <v>0.1106997199477031</v>
      </c>
      <c r="H195" s="15">
        <v>0</v>
      </c>
      <c r="I195" s="15">
        <v>0.7398090928702582</v>
      </c>
      <c r="J195" s="15">
        <v>2.5375718700862322E-2</v>
      </c>
      <c r="K195" s="15">
        <v>0</v>
      </c>
    </row>
    <row r="196" spans="1:11">
      <c r="A196" s="8">
        <v>14</v>
      </c>
      <c r="B196" s="22">
        <v>38398</v>
      </c>
      <c r="C196" s="12">
        <v>2005</v>
      </c>
      <c r="D196" s="11" t="s">
        <v>19</v>
      </c>
      <c r="E196" s="12">
        <v>2</v>
      </c>
      <c r="F196" s="25">
        <v>5.80016</v>
      </c>
      <c r="G196" s="15">
        <v>6.0416775309104415E-2</v>
      </c>
      <c r="H196" s="15">
        <v>0</v>
      </c>
      <c r="I196" s="15">
        <v>1.2138287095049045</v>
      </c>
      <c r="J196" s="15">
        <v>2.7357361886098244E-2</v>
      </c>
      <c r="K196" s="15">
        <v>0</v>
      </c>
    </row>
    <row r="197" spans="1:11">
      <c r="A197" s="8">
        <v>5</v>
      </c>
      <c r="B197" s="22">
        <v>38428</v>
      </c>
      <c r="C197" s="12">
        <v>2005</v>
      </c>
      <c r="D197" s="11" t="s">
        <v>20</v>
      </c>
      <c r="E197" s="12">
        <v>3</v>
      </c>
      <c r="F197" s="25">
        <v>1.0083599999999999</v>
      </c>
      <c r="G197" s="15">
        <v>4.1085828891658356E-2</v>
      </c>
      <c r="H197" s="15">
        <v>0</v>
      </c>
      <c r="I197" s="15">
        <v>0.23499923182253316</v>
      </c>
      <c r="J197" s="15">
        <v>4.455117542085686E-3</v>
      </c>
      <c r="K197" s="15">
        <v>0</v>
      </c>
    </row>
    <row r="198" spans="1:11">
      <c r="A198" s="8">
        <v>7</v>
      </c>
      <c r="B198" s="22">
        <v>38427</v>
      </c>
      <c r="C198" s="12">
        <v>2005</v>
      </c>
      <c r="D198" s="11" t="s">
        <v>20</v>
      </c>
      <c r="E198" s="12">
        <v>3</v>
      </c>
      <c r="F198" s="25">
        <v>2.6187200000000002</v>
      </c>
      <c r="G198" s="15">
        <v>3.9982792670052961E-2</v>
      </c>
      <c r="H198" s="15">
        <v>0</v>
      </c>
      <c r="I198" s="15">
        <v>0.36003393329932831</v>
      </c>
      <c r="J198" s="15">
        <v>2.5504104997462425E-2</v>
      </c>
      <c r="K198" s="15">
        <v>0</v>
      </c>
    </row>
    <row r="199" spans="1:11">
      <c r="A199" s="8">
        <v>14</v>
      </c>
      <c r="B199" s="22">
        <v>38427</v>
      </c>
      <c r="C199" s="12">
        <v>2005</v>
      </c>
      <c r="D199" s="11" t="s">
        <v>20</v>
      </c>
      <c r="E199" s="12">
        <v>3</v>
      </c>
      <c r="F199" s="25">
        <v>2.3130199999999999</v>
      </c>
      <c r="G199" s="15">
        <v>4.7697256197194643E-2</v>
      </c>
      <c r="H199" s="15">
        <v>0</v>
      </c>
      <c r="I199" s="15">
        <v>0.37731668029580129</v>
      </c>
      <c r="J199" s="15">
        <v>2.6596063560465861E-2</v>
      </c>
      <c r="K199" s="15">
        <v>0</v>
      </c>
    </row>
    <row r="200" spans="1:11">
      <c r="A200" s="8">
        <v>5</v>
      </c>
      <c r="B200" s="22">
        <v>38469</v>
      </c>
      <c r="C200" s="12">
        <v>2005</v>
      </c>
      <c r="D200" s="11" t="s">
        <v>21</v>
      </c>
      <c r="E200" s="12">
        <v>4</v>
      </c>
      <c r="F200" s="25">
        <v>3.3924400000000001</v>
      </c>
      <c r="G200" s="15">
        <v>2.6000531378009714E-2</v>
      </c>
      <c r="H200" s="15">
        <v>3.5810545584977753E-2</v>
      </c>
      <c r="I200" s="15">
        <v>1.4977720311607163</v>
      </c>
      <c r="J200" s="15">
        <v>4.4170336751129427E-2</v>
      </c>
      <c r="K200" s="15">
        <v>0</v>
      </c>
    </row>
    <row r="201" spans="1:11">
      <c r="A201" s="8">
        <v>7</v>
      </c>
      <c r="B201" s="22">
        <v>38469</v>
      </c>
      <c r="C201" s="12">
        <v>2005</v>
      </c>
      <c r="D201" s="11" t="s">
        <v>21</v>
      </c>
      <c r="E201" s="12">
        <v>4</v>
      </c>
      <c r="F201" s="25">
        <v>3.8165</v>
      </c>
      <c r="G201" s="15">
        <v>5.9795082982249524E-2</v>
      </c>
      <c r="H201" s="15">
        <v>8.0829281226623223E-2</v>
      </c>
      <c r="I201" s="15">
        <v>1.1737163940683397</v>
      </c>
      <c r="J201" s="15">
        <v>4.1414714200311932E-2</v>
      </c>
      <c r="K201" s="15">
        <v>0</v>
      </c>
    </row>
    <row r="202" spans="1:11">
      <c r="A202" s="8">
        <v>14</v>
      </c>
      <c r="B202" s="22">
        <v>38469</v>
      </c>
      <c r="C202" s="12">
        <v>2005</v>
      </c>
      <c r="D202" s="11" t="s">
        <v>21</v>
      </c>
      <c r="E202" s="12">
        <v>4</v>
      </c>
      <c r="F202" s="25">
        <v>2.1716899999999999</v>
      </c>
      <c r="G202" s="15">
        <v>0</v>
      </c>
      <c r="H202" s="15">
        <v>0.13277586248071774</v>
      </c>
      <c r="I202" s="15">
        <v>0.87348498350281301</v>
      </c>
      <c r="J202" s="15">
        <v>3.1729330768308993E-2</v>
      </c>
      <c r="K202" s="15">
        <v>0</v>
      </c>
    </row>
    <row r="203" spans="1:11">
      <c r="A203" s="8">
        <v>5</v>
      </c>
      <c r="B203" s="22">
        <v>38490</v>
      </c>
      <c r="C203" s="12">
        <v>2005</v>
      </c>
      <c r="D203" s="11" t="s">
        <v>22</v>
      </c>
      <c r="E203" s="12">
        <v>5</v>
      </c>
      <c r="F203" s="25">
        <v>5.4820099999999998</v>
      </c>
      <c r="G203" s="15">
        <v>0</v>
      </c>
      <c r="H203" s="15">
        <v>0.99381743638759046</v>
      </c>
      <c r="I203" s="15">
        <v>2.2413377293907617</v>
      </c>
      <c r="J203" s="15">
        <v>9.9102377985554518E-2</v>
      </c>
      <c r="K203" s="15">
        <v>0</v>
      </c>
    </row>
    <row r="204" spans="1:11">
      <c r="A204" s="8">
        <v>7</v>
      </c>
      <c r="B204" s="22">
        <v>38490</v>
      </c>
      <c r="C204" s="12">
        <v>2005</v>
      </c>
      <c r="D204" s="11" t="s">
        <v>22</v>
      </c>
      <c r="E204" s="12">
        <v>5</v>
      </c>
      <c r="F204" s="25">
        <v>3.9710299999999998</v>
      </c>
      <c r="G204" s="15">
        <v>2.8531986237078834E-2</v>
      </c>
      <c r="H204" s="15">
        <v>0</v>
      </c>
      <c r="I204" s="15">
        <v>0.50450894830217952</v>
      </c>
      <c r="J204" s="15">
        <v>4.5799852519879558E-2</v>
      </c>
      <c r="K204" s="15">
        <v>0</v>
      </c>
    </row>
    <row r="205" spans="1:11">
      <c r="A205" s="8">
        <v>14</v>
      </c>
      <c r="B205" s="22">
        <v>38490</v>
      </c>
      <c r="C205" s="12">
        <v>2005</v>
      </c>
      <c r="D205" s="11" t="s">
        <v>22</v>
      </c>
      <c r="E205" s="12">
        <v>5</v>
      </c>
      <c r="F205" s="25">
        <v>1.7203999999999999</v>
      </c>
      <c r="G205" s="15">
        <v>0</v>
      </c>
      <c r="H205" s="15">
        <v>0</v>
      </c>
      <c r="I205" s="15">
        <v>0.60707082343794161</v>
      </c>
      <c r="J205" s="15">
        <v>3.7982783300614831E-2</v>
      </c>
      <c r="K205" s="15">
        <v>0</v>
      </c>
    </row>
    <row r="206" spans="1:11">
      <c r="A206" s="8">
        <v>5</v>
      </c>
      <c r="B206" s="22">
        <v>38518</v>
      </c>
      <c r="C206" s="12">
        <v>2005</v>
      </c>
      <c r="D206" s="11" t="s">
        <v>23</v>
      </c>
      <c r="E206" s="12">
        <v>6</v>
      </c>
      <c r="F206" s="25">
        <v>11.36533</v>
      </c>
      <c r="G206" s="15">
        <v>5.3382738687281141E-2</v>
      </c>
      <c r="H206" s="15">
        <v>0.27179668834843757</v>
      </c>
      <c r="I206" s="15">
        <v>2.7379352550633707</v>
      </c>
      <c r="J206" s="15">
        <v>0.86112874585185251</v>
      </c>
      <c r="K206" s="15">
        <v>1.9172130988976955E-2</v>
      </c>
    </row>
    <row r="207" spans="1:11">
      <c r="A207" s="8">
        <v>7</v>
      </c>
      <c r="B207" s="22">
        <v>38525</v>
      </c>
      <c r="C207" s="12">
        <v>2005</v>
      </c>
      <c r="D207" s="11" t="s">
        <v>23</v>
      </c>
      <c r="E207" s="12">
        <v>6</v>
      </c>
      <c r="F207" s="25">
        <v>8.9473299999999991</v>
      </c>
      <c r="G207" s="15">
        <v>0.83193879668365167</v>
      </c>
      <c r="H207" s="15">
        <v>0</v>
      </c>
      <c r="I207" s="15">
        <v>0.57144315685540836</v>
      </c>
      <c r="J207" s="15">
        <v>0.16553316588919934</v>
      </c>
      <c r="K207" s="15">
        <v>0</v>
      </c>
    </row>
    <row r="208" spans="1:11">
      <c r="A208" s="8">
        <v>14</v>
      </c>
      <c r="B208" s="22">
        <v>38525</v>
      </c>
      <c r="C208" s="12">
        <v>2005</v>
      </c>
      <c r="D208" s="11" t="s">
        <v>23</v>
      </c>
      <c r="E208" s="12">
        <v>6</v>
      </c>
      <c r="F208" s="25">
        <v>5.7562100000000003</v>
      </c>
      <c r="G208" s="15">
        <v>3.6622694297359731E-2</v>
      </c>
      <c r="H208" s="15">
        <v>0</v>
      </c>
      <c r="I208" s="15">
        <v>1.1391693630284243</v>
      </c>
      <c r="J208" s="15">
        <v>0.39900221117560425</v>
      </c>
      <c r="K208" s="15">
        <v>0</v>
      </c>
    </row>
    <row r="209" spans="1:11">
      <c r="A209" s="8">
        <v>5</v>
      </c>
      <c r="B209" s="22">
        <v>38547</v>
      </c>
      <c r="C209" s="12">
        <v>2005</v>
      </c>
      <c r="D209" s="15" t="s">
        <v>24</v>
      </c>
      <c r="E209" s="12">
        <v>7</v>
      </c>
      <c r="F209" s="25">
        <v>12.59543</v>
      </c>
      <c r="G209" s="15">
        <v>0.43128081454489275</v>
      </c>
      <c r="H209" s="15">
        <v>5.0667282399810928E-2</v>
      </c>
      <c r="I209" s="15">
        <v>2.2289488713578653</v>
      </c>
      <c r="J209" s="15">
        <v>0.97074257004985587</v>
      </c>
      <c r="K209" s="15">
        <v>3.1650047178928012E-2</v>
      </c>
    </row>
    <row r="210" spans="1:11">
      <c r="A210" s="8">
        <v>7</v>
      </c>
      <c r="B210" s="22">
        <v>38546</v>
      </c>
      <c r="C210" s="12">
        <v>2005</v>
      </c>
      <c r="D210" s="15" t="s">
        <v>24</v>
      </c>
      <c r="E210" s="12">
        <v>7</v>
      </c>
      <c r="F210" s="25">
        <v>14.10863</v>
      </c>
      <c r="G210" s="15">
        <v>1.1610817897947143</v>
      </c>
      <c r="H210" s="15">
        <v>0.13855613727435218</v>
      </c>
      <c r="I210" s="15">
        <v>1.3376534098750503</v>
      </c>
      <c r="J210" s="15">
        <v>0.45707860418875446</v>
      </c>
      <c r="K210" s="15">
        <v>5.4205733667471979E-2</v>
      </c>
    </row>
    <row r="211" spans="1:11">
      <c r="A211" s="8">
        <v>14</v>
      </c>
      <c r="B211" s="22">
        <v>38546</v>
      </c>
      <c r="C211" s="12">
        <v>2005</v>
      </c>
      <c r="D211" s="15" t="s">
        <v>24</v>
      </c>
      <c r="E211" s="12">
        <v>7</v>
      </c>
      <c r="F211" s="25">
        <v>11.15682</v>
      </c>
      <c r="G211" s="15">
        <v>0.31996345424832123</v>
      </c>
      <c r="H211" s="15">
        <v>0</v>
      </c>
      <c r="I211" s="15">
        <v>1.9620124346237617</v>
      </c>
      <c r="J211" s="15">
        <v>0.80573887272125522</v>
      </c>
      <c r="K211" s="15">
        <v>0</v>
      </c>
    </row>
    <row r="212" spans="1:11">
      <c r="A212" s="8">
        <v>5</v>
      </c>
      <c r="B212" s="22">
        <v>38587</v>
      </c>
      <c r="C212" s="12">
        <v>2005</v>
      </c>
      <c r="D212" s="15" t="s">
        <v>25</v>
      </c>
      <c r="E212" s="12">
        <v>8</v>
      </c>
      <c r="F212" s="25">
        <v>19.658480000000001</v>
      </c>
      <c r="G212" s="15">
        <v>0.39416663697571563</v>
      </c>
      <c r="H212" s="15">
        <v>0</v>
      </c>
      <c r="I212" s="15">
        <v>5.9958265335985219</v>
      </c>
      <c r="J212" s="15">
        <v>0.83758518565383255</v>
      </c>
      <c r="K212" s="15">
        <v>0</v>
      </c>
    </row>
    <row r="213" spans="1:11">
      <c r="A213" s="8">
        <v>7</v>
      </c>
      <c r="B213" s="22">
        <v>38594</v>
      </c>
      <c r="C213" s="12">
        <v>2005</v>
      </c>
      <c r="D213" s="15" t="s">
        <v>25</v>
      </c>
      <c r="E213" s="12">
        <v>8</v>
      </c>
      <c r="F213" s="25">
        <v>56.408990000000003</v>
      </c>
      <c r="G213" s="15">
        <v>0.39582628004041231</v>
      </c>
      <c r="H213" s="15">
        <v>0</v>
      </c>
      <c r="I213" s="15">
        <v>17.763611464333312</v>
      </c>
      <c r="J213" s="15">
        <v>1.5759792659198266</v>
      </c>
      <c r="K213" s="15">
        <v>0</v>
      </c>
    </row>
    <row r="214" spans="1:11">
      <c r="A214" s="8">
        <v>14</v>
      </c>
      <c r="B214" s="22">
        <v>38594</v>
      </c>
      <c r="C214" s="12">
        <v>2005</v>
      </c>
      <c r="D214" s="15" t="s">
        <v>25</v>
      </c>
      <c r="E214" s="12">
        <v>8</v>
      </c>
      <c r="F214" s="25">
        <v>18.49522</v>
      </c>
      <c r="G214" s="15">
        <v>0.25287871968568376</v>
      </c>
      <c r="H214" s="15">
        <v>0</v>
      </c>
      <c r="I214" s="15">
        <v>5.4260015367507517</v>
      </c>
      <c r="J214" s="15">
        <v>1.1919818628276686</v>
      </c>
      <c r="K214" s="15">
        <v>0</v>
      </c>
    </row>
    <row r="215" spans="1:11">
      <c r="A215" s="8">
        <v>5</v>
      </c>
      <c r="B215" s="22">
        <v>38608</v>
      </c>
      <c r="C215" s="12">
        <v>2005</v>
      </c>
      <c r="D215" s="15" t="s">
        <v>26</v>
      </c>
      <c r="E215" s="12">
        <v>9</v>
      </c>
      <c r="F215" s="25">
        <v>13.08318</v>
      </c>
      <c r="G215" s="15">
        <v>4.9811086518616883E-2</v>
      </c>
      <c r="H215" s="15">
        <v>0</v>
      </c>
      <c r="I215" s="15">
        <v>3.7330446164094919</v>
      </c>
      <c r="J215" s="15">
        <v>0.75331771409506121</v>
      </c>
      <c r="K215" s="15">
        <v>0</v>
      </c>
    </row>
    <row r="216" spans="1:11">
      <c r="A216" s="8">
        <v>7</v>
      </c>
      <c r="B216" s="22">
        <v>38609</v>
      </c>
      <c r="C216" s="12">
        <v>2005</v>
      </c>
      <c r="D216" s="15" t="s">
        <v>26</v>
      </c>
      <c r="E216" s="12">
        <v>9</v>
      </c>
      <c r="F216" s="25">
        <v>31.277259999999998</v>
      </c>
      <c r="G216" s="15">
        <v>0.29915893694467621</v>
      </c>
      <c r="H216" s="15">
        <v>0</v>
      </c>
      <c r="I216" s="15">
        <v>9.3517733074708556</v>
      </c>
      <c r="J216" s="15">
        <v>1.2298603281792595</v>
      </c>
      <c r="K216" s="15">
        <v>0</v>
      </c>
    </row>
    <row r="217" spans="1:11">
      <c r="A217" s="8">
        <v>14</v>
      </c>
      <c r="B217" s="22">
        <v>38609</v>
      </c>
      <c r="C217" s="12">
        <v>2005</v>
      </c>
      <c r="D217" s="15" t="s">
        <v>26</v>
      </c>
      <c r="E217" s="12">
        <v>9</v>
      </c>
      <c r="F217" s="25">
        <v>20.56345</v>
      </c>
      <c r="G217" s="15">
        <v>0.12172038730482386</v>
      </c>
      <c r="H217" s="15">
        <v>0</v>
      </c>
      <c r="I217" s="15">
        <v>7.5228619403633301</v>
      </c>
      <c r="J217" s="15">
        <v>0.63507420819371441</v>
      </c>
      <c r="K217" s="15">
        <v>0</v>
      </c>
    </row>
    <row r="218" spans="1:11">
      <c r="A218" s="8">
        <v>5</v>
      </c>
      <c r="B218" s="22">
        <v>38636</v>
      </c>
      <c r="C218" s="12">
        <v>2005</v>
      </c>
      <c r="D218" s="15" t="s">
        <v>14</v>
      </c>
      <c r="E218" s="12">
        <v>10</v>
      </c>
      <c r="F218" s="55">
        <v>5.4423000000000004</v>
      </c>
      <c r="G218" s="55">
        <v>3.6499999999999998E-2</v>
      </c>
      <c r="H218" s="55">
        <v>1E-4</v>
      </c>
      <c r="I218" s="55">
        <v>1.6903999999999999</v>
      </c>
      <c r="J218" s="55">
        <v>4.4499999999999998E-2</v>
      </c>
      <c r="K218" s="55">
        <v>1E-4</v>
      </c>
    </row>
    <row r="219" spans="1:11">
      <c r="A219" s="8">
        <v>7</v>
      </c>
      <c r="B219" s="22">
        <v>38637</v>
      </c>
      <c r="C219" s="12">
        <v>2005</v>
      </c>
      <c r="D219" s="15" t="s">
        <v>14</v>
      </c>
      <c r="E219" s="12">
        <v>10</v>
      </c>
      <c r="F219" s="56">
        <v>9.2856000000000005</v>
      </c>
      <c r="G219" s="56">
        <v>0.10059999999999999</v>
      </c>
      <c r="H219" s="56">
        <v>1E-4</v>
      </c>
      <c r="I219" s="56">
        <v>2.3917999999999999</v>
      </c>
      <c r="J219" s="56">
        <v>0.15029999999999999</v>
      </c>
      <c r="K219" s="56">
        <v>1E-4</v>
      </c>
    </row>
    <row r="220" spans="1:11">
      <c r="A220" s="8">
        <v>14</v>
      </c>
      <c r="B220" s="22">
        <v>38637</v>
      </c>
      <c r="C220" s="12">
        <v>2005</v>
      </c>
      <c r="D220" s="15" t="s">
        <v>14</v>
      </c>
      <c r="E220" s="12">
        <v>10</v>
      </c>
      <c r="F220" s="56">
        <v>6.9737999999999998</v>
      </c>
      <c r="G220" s="56">
        <v>2.7E-2</v>
      </c>
      <c r="H220" s="56">
        <v>1E-4</v>
      </c>
      <c r="I220" s="56">
        <v>2.2774000000000001</v>
      </c>
      <c r="J220" s="56">
        <v>9.2200000000000004E-2</v>
      </c>
      <c r="K220" s="56">
        <v>1E-4</v>
      </c>
    </row>
    <row r="221" spans="1:11">
      <c r="A221" s="8">
        <v>5</v>
      </c>
      <c r="B221" s="22">
        <v>38671</v>
      </c>
      <c r="C221" s="12">
        <v>2005</v>
      </c>
      <c r="D221" s="15" t="s">
        <v>16</v>
      </c>
      <c r="E221" s="12">
        <v>11</v>
      </c>
      <c r="F221" s="56">
        <v>3.4459</v>
      </c>
      <c r="G221" s="56">
        <v>1E-4</v>
      </c>
      <c r="H221" s="56">
        <v>1E-4</v>
      </c>
      <c r="I221" s="56">
        <v>1.0018</v>
      </c>
      <c r="J221" s="56">
        <v>5.3E-3</v>
      </c>
      <c r="K221" s="56">
        <v>1E-4</v>
      </c>
    </row>
    <row r="222" spans="1:11">
      <c r="A222" s="8">
        <v>7</v>
      </c>
      <c r="B222" s="22">
        <v>38670</v>
      </c>
      <c r="C222" s="12">
        <v>2005</v>
      </c>
      <c r="D222" s="15" t="s">
        <v>16</v>
      </c>
      <c r="E222" s="12">
        <v>11</v>
      </c>
      <c r="F222" s="56">
        <v>4.0153999999999996</v>
      </c>
      <c r="G222" s="56">
        <v>1E-4</v>
      </c>
      <c r="H222" s="56">
        <v>0.11409999999999999</v>
      </c>
      <c r="I222" s="56">
        <v>1.9603999999999999</v>
      </c>
      <c r="J222" s="56">
        <v>2.4799999999999999E-2</v>
      </c>
      <c r="K222" s="56">
        <v>1E-4</v>
      </c>
    </row>
    <row r="223" spans="1:11">
      <c r="A223" s="8">
        <v>14</v>
      </c>
      <c r="B223" s="22">
        <v>38670</v>
      </c>
      <c r="C223" s="12">
        <v>2005</v>
      </c>
      <c r="D223" s="15" t="s">
        <v>16</v>
      </c>
      <c r="E223" s="12">
        <v>11</v>
      </c>
      <c r="F223" s="56">
        <v>2.7275999999999998</v>
      </c>
      <c r="G223" s="56">
        <v>1E-4</v>
      </c>
      <c r="H223" s="56">
        <v>7.8399999999999997E-2</v>
      </c>
      <c r="I223" s="56">
        <v>1.1626000000000001</v>
      </c>
      <c r="J223" s="56">
        <v>1.29E-2</v>
      </c>
      <c r="K223" s="56">
        <v>1E-4</v>
      </c>
    </row>
    <row r="224" spans="1:11">
      <c r="A224" s="8">
        <v>5</v>
      </c>
      <c r="B224" s="22">
        <v>38707</v>
      </c>
      <c r="C224" s="12">
        <v>2005</v>
      </c>
      <c r="D224" s="15" t="s">
        <v>17</v>
      </c>
      <c r="E224" s="12">
        <v>12</v>
      </c>
      <c r="F224" s="56">
        <v>4.1544999999999996</v>
      </c>
      <c r="G224" s="56">
        <v>3.5700000000000003E-2</v>
      </c>
      <c r="H224" s="56">
        <v>1E-4</v>
      </c>
      <c r="I224" s="56">
        <v>1.1926000000000001</v>
      </c>
      <c r="J224" s="56">
        <v>1.04E-2</v>
      </c>
      <c r="K224" s="56">
        <v>1E-4</v>
      </c>
    </row>
    <row r="225" spans="1:18">
      <c r="A225" s="8">
        <v>7</v>
      </c>
      <c r="B225" s="22">
        <v>38706</v>
      </c>
      <c r="C225" s="12">
        <v>2005</v>
      </c>
      <c r="D225" s="15" t="s">
        <v>17</v>
      </c>
      <c r="E225" s="12">
        <v>12</v>
      </c>
      <c r="F225" s="56">
        <v>2.1522999999999999</v>
      </c>
      <c r="G225" s="56">
        <v>0.1183</v>
      </c>
      <c r="H225" s="56">
        <v>1E-4</v>
      </c>
      <c r="I225" s="56">
        <v>0.41320000000000001</v>
      </c>
      <c r="J225" s="56">
        <v>5.3E-3</v>
      </c>
      <c r="K225" s="56">
        <v>1E-4</v>
      </c>
    </row>
    <row r="226" spans="1:18" ht="25.5">
      <c r="A226" s="8">
        <v>14</v>
      </c>
      <c r="B226" s="22">
        <v>38706</v>
      </c>
      <c r="C226" s="12">
        <v>2005</v>
      </c>
      <c r="D226" s="15" t="s">
        <v>17</v>
      </c>
      <c r="E226" s="12">
        <v>12</v>
      </c>
      <c r="F226" s="56">
        <v>1.6976</v>
      </c>
      <c r="G226" s="56">
        <v>2.18E-2</v>
      </c>
      <c r="H226" s="56">
        <v>1E-4</v>
      </c>
      <c r="I226" s="56">
        <v>0.38</v>
      </c>
      <c r="J226" s="56">
        <v>4.3E-3</v>
      </c>
      <c r="K226" s="56">
        <v>1E-4</v>
      </c>
      <c r="L226" s="35" t="s">
        <v>44</v>
      </c>
      <c r="M226" s="6" t="s">
        <v>7</v>
      </c>
      <c r="N226" s="6" t="s">
        <v>8</v>
      </c>
      <c r="O226" s="6" t="s">
        <v>9</v>
      </c>
      <c r="P226" s="6" t="s">
        <v>10</v>
      </c>
      <c r="Q226" s="6" t="s">
        <v>11</v>
      </c>
      <c r="R226" s="6" t="s">
        <v>12</v>
      </c>
    </row>
    <row r="227" spans="1:18">
      <c r="A227" s="41">
        <v>5</v>
      </c>
      <c r="B227" s="53">
        <v>38734</v>
      </c>
      <c r="C227" s="41">
        <v>2006</v>
      </c>
      <c r="D227" s="43" t="s">
        <v>18</v>
      </c>
      <c r="E227" s="41">
        <v>1</v>
      </c>
      <c r="F227" s="57">
        <v>5.7062999999999997</v>
      </c>
      <c r="G227" s="57">
        <v>9.4399999999999998E-2</v>
      </c>
      <c r="H227" s="57">
        <v>1E-4</v>
      </c>
      <c r="I227" s="57">
        <v>1.8855</v>
      </c>
      <c r="J227" s="57">
        <v>3.6499999999999998E-2</v>
      </c>
      <c r="K227" s="57">
        <v>1E-4</v>
      </c>
      <c r="L227" s="35" t="s">
        <v>52</v>
      </c>
      <c r="M227" s="27">
        <f t="shared" ref="M227:R227" si="3">AVERAGE(F227:F262)</f>
        <v>10.133972222222223</v>
      </c>
      <c r="N227" s="27">
        <f t="shared" si="3"/>
        <v>0.19832222222222223</v>
      </c>
      <c r="O227" s="27">
        <f t="shared" si="3"/>
        <v>0.24959998055555552</v>
      </c>
      <c r="P227" s="27">
        <f t="shared" si="3"/>
        <v>2.8869638888888889</v>
      </c>
      <c r="Q227" s="27">
        <f t="shared" si="3"/>
        <v>0.39941666666666681</v>
      </c>
      <c r="R227" s="27">
        <f t="shared" si="3"/>
        <v>1.6666416666666669E-3</v>
      </c>
    </row>
    <row r="228" spans="1:18">
      <c r="A228" s="12">
        <v>7</v>
      </c>
      <c r="B228" s="22">
        <v>38737</v>
      </c>
      <c r="C228" s="12">
        <v>2006</v>
      </c>
      <c r="D228" s="11" t="s">
        <v>18</v>
      </c>
      <c r="E228" s="12">
        <v>1</v>
      </c>
      <c r="F228" s="56">
        <v>2.7174</v>
      </c>
      <c r="G228" s="56">
        <v>0.1101</v>
      </c>
      <c r="H228" s="56">
        <v>1E-4</v>
      </c>
      <c r="I228" s="56">
        <v>0.58250000000000002</v>
      </c>
      <c r="J228" s="56">
        <v>2.06E-2</v>
      </c>
      <c r="K228" s="56">
        <v>1E-4</v>
      </c>
    </row>
    <row r="229" spans="1:18">
      <c r="A229" s="12">
        <v>14</v>
      </c>
      <c r="B229" s="22">
        <v>38737</v>
      </c>
      <c r="C229" s="12">
        <v>2006</v>
      </c>
      <c r="D229" s="11" t="s">
        <v>18</v>
      </c>
      <c r="E229" s="12">
        <v>1</v>
      </c>
      <c r="F229" s="56">
        <v>2.2968000000000002</v>
      </c>
      <c r="G229" s="56">
        <v>8.3699999999999997E-2</v>
      </c>
      <c r="H229" s="56">
        <v>1E-4</v>
      </c>
      <c r="I229" s="56">
        <v>0.57779999999999998</v>
      </c>
      <c r="J229" s="56">
        <v>1.4E-2</v>
      </c>
      <c r="K229" s="56">
        <v>1E-4</v>
      </c>
    </row>
    <row r="230" spans="1:18">
      <c r="A230" s="12">
        <v>5</v>
      </c>
      <c r="B230" s="22">
        <v>38762</v>
      </c>
      <c r="C230" s="15">
        <v>2006</v>
      </c>
      <c r="D230" s="11" t="s">
        <v>29</v>
      </c>
      <c r="E230" s="15">
        <v>2</v>
      </c>
      <c r="F230" s="56">
        <v>9.3927999999999994</v>
      </c>
      <c r="G230" s="56">
        <v>6.7000000000000004E-2</v>
      </c>
      <c r="H230" s="56">
        <v>7.0699999999999999E-2</v>
      </c>
      <c r="I230" s="56">
        <v>2.7787999999999999</v>
      </c>
      <c r="J230" s="56">
        <v>7.2099999999999997E-2</v>
      </c>
      <c r="K230" s="56">
        <v>1E-4</v>
      </c>
    </row>
    <row r="231" spans="1:18">
      <c r="A231" s="12">
        <v>7</v>
      </c>
      <c r="B231" s="22">
        <v>38763</v>
      </c>
      <c r="C231" s="15">
        <v>2006</v>
      </c>
      <c r="D231" s="11" t="s">
        <v>29</v>
      </c>
      <c r="E231" s="15">
        <v>2</v>
      </c>
      <c r="F231" s="56">
        <v>3.4839000000000002</v>
      </c>
      <c r="G231" s="56">
        <v>0.1928</v>
      </c>
      <c r="H231" s="56">
        <v>2.75E-2</v>
      </c>
      <c r="I231" s="56">
        <v>0.67820000000000003</v>
      </c>
      <c r="J231" s="56">
        <v>5.0099999999999999E-2</v>
      </c>
      <c r="K231" s="56">
        <v>1E-4</v>
      </c>
    </row>
    <row r="232" spans="1:18">
      <c r="A232" s="12">
        <v>14</v>
      </c>
      <c r="B232" s="22">
        <v>38763</v>
      </c>
      <c r="C232" s="15">
        <v>2006</v>
      </c>
      <c r="D232" s="11" t="s">
        <v>29</v>
      </c>
      <c r="E232" s="15">
        <v>2</v>
      </c>
      <c r="F232" s="56">
        <v>3.2663000000000002</v>
      </c>
      <c r="G232" s="56">
        <v>8.1699999999999995E-2</v>
      </c>
      <c r="H232" s="56">
        <v>4.2999999999999997E-2</v>
      </c>
      <c r="I232" s="56">
        <v>0.84499999999999997</v>
      </c>
      <c r="J232" s="56">
        <v>6.25E-2</v>
      </c>
      <c r="K232" s="56">
        <v>1E-4</v>
      </c>
    </row>
    <row r="233" spans="1:18">
      <c r="A233" s="12">
        <v>5</v>
      </c>
      <c r="B233" s="22">
        <v>38789</v>
      </c>
      <c r="C233" s="12">
        <v>2006</v>
      </c>
      <c r="D233" s="11" t="s">
        <v>30</v>
      </c>
      <c r="E233" s="15">
        <v>3</v>
      </c>
      <c r="F233" s="56">
        <v>4.1066000000000003</v>
      </c>
      <c r="G233" s="56">
        <v>3.4700000000000002E-2</v>
      </c>
      <c r="H233" s="56">
        <v>7.8299999999999995E-2</v>
      </c>
      <c r="I233" s="56">
        <v>1.4623999999999999</v>
      </c>
      <c r="J233" s="56">
        <v>3.4000000000000002E-2</v>
      </c>
      <c r="K233" s="56">
        <v>1E-4</v>
      </c>
    </row>
    <row r="234" spans="1:18">
      <c r="A234" s="12">
        <v>7</v>
      </c>
      <c r="B234" s="22">
        <v>38792</v>
      </c>
      <c r="C234" s="12">
        <v>2006</v>
      </c>
      <c r="D234" s="11" t="s">
        <v>30</v>
      </c>
      <c r="E234" s="15">
        <v>3</v>
      </c>
      <c r="F234" s="56">
        <v>0.91410000000000002</v>
      </c>
      <c r="G234" s="56">
        <v>3.2199999999999999E-2</v>
      </c>
      <c r="H234" s="56">
        <v>2.0199999999999999E-2</v>
      </c>
      <c r="I234" s="56">
        <v>0.24199999999999999</v>
      </c>
      <c r="J234" s="56">
        <v>1.7500000000000002E-2</v>
      </c>
      <c r="K234" s="56">
        <v>1E-4</v>
      </c>
    </row>
    <row r="235" spans="1:18">
      <c r="A235" s="12">
        <v>14</v>
      </c>
      <c r="B235" s="22">
        <v>38792</v>
      </c>
      <c r="C235" s="12">
        <v>2006</v>
      </c>
      <c r="D235" s="11" t="s">
        <v>30</v>
      </c>
      <c r="E235" s="15">
        <v>3</v>
      </c>
      <c r="F235" s="56">
        <v>1.1214999999999999</v>
      </c>
      <c r="G235" s="56">
        <v>1.6500000000000001E-2</v>
      </c>
      <c r="H235" s="56">
        <v>5.1299999999999998E-2</v>
      </c>
      <c r="I235" s="56">
        <v>0.35289999999999999</v>
      </c>
      <c r="J235" s="56">
        <v>2.01E-2</v>
      </c>
      <c r="K235" s="56">
        <v>1E-4</v>
      </c>
    </row>
    <row r="236" spans="1:18">
      <c r="A236" s="12">
        <v>5</v>
      </c>
      <c r="B236" s="9">
        <v>38825</v>
      </c>
      <c r="C236" s="12">
        <v>2006</v>
      </c>
      <c r="D236" s="11" t="s">
        <v>31</v>
      </c>
      <c r="E236" s="12">
        <v>4</v>
      </c>
      <c r="F236" s="56">
        <v>6.9089</v>
      </c>
      <c r="G236" s="56">
        <v>0.64249999999999996</v>
      </c>
      <c r="H236" s="56">
        <v>0.34320000000000001</v>
      </c>
      <c r="I236" s="56">
        <v>2.5569000000000002</v>
      </c>
      <c r="J236" s="56">
        <v>0.1028</v>
      </c>
      <c r="K236" s="56">
        <v>1E-4</v>
      </c>
    </row>
    <row r="237" spans="1:18">
      <c r="A237" s="12">
        <v>7</v>
      </c>
      <c r="B237" s="9">
        <v>38826</v>
      </c>
      <c r="C237" s="12">
        <v>2006</v>
      </c>
      <c r="D237" s="11" t="s">
        <v>31</v>
      </c>
      <c r="E237" s="12">
        <v>4</v>
      </c>
      <c r="F237" s="56">
        <v>3.5272999999999999</v>
      </c>
      <c r="G237" s="56">
        <v>1.2434000000000001</v>
      </c>
      <c r="H237" s="56">
        <v>2.81E-2</v>
      </c>
      <c r="I237" s="56">
        <v>0.1779</v>
      </c>
      <c r="J237" s="56">
        <v>1.9800000000000002E-2</v>
      </c>
      <c r="K237" s="56">
        <v>1E-4</v>
      </c>
    </row>
    <row r="238" spans="1:18">
      <c r="A238" s="12">
        <v>14</v>
      </c>
      <c r="B238" s="9">
        <v>38826</v>
      </c>
      <c r="C238" s="12">
        <v>2006</v>
      </c>
      <c r="D238" s="11" t="s">
        <v>31</v>
      </c>
      <c r="E238" s="12">
        <v>4</v>
      </c>
      <c r="F238" s="56">
        <v>1.2910999999999999</v>
      </c>
      <c r="G238" s="56">
        <v>0.17150000000000001</v>
      </c>
      <c r="H238" s="56">
        <v>1E-4</v>
      </c>
      <c r="I238" s="56">
        <v>0.1201</v>
      </c>
      <c r="J238" s="56">
        <v>1.2800000000000001E-2</v>
      </c>
      <c r="K238" s="56">
        <v>1E-4</v>
      </c>
    </row>
    <row r="239" spans="1:18">
      <c r="A239" s="12">
        <v>5</v>
      </c>
      <c r="B239" s="9">
        <v>38852</v>
      </c>
      <c r="C239" s="12">
        <v>2006</v>
      </c>
      <c r="D239" s="11" t="s">
        <v>32</v>
      </c>
      <c r="E239" s="12">
        <v>5</v>
      </c>
      <c r="F239" s="56">
        <v>9.0488999999999997</v>
      </c>
      <c r="G239" s="56">
        <v>0.1125</v>
      </c>
      <c r="H239" s="56">
        <v>0.71540000000000004</v>
      </c>
      <c r="I239" s="56">
        <v>4.0697000000000001</v>
      </c>
      <c r="J239" s="56">
        <v>0.185</v>
      </c>
      <c r="K239" s="56">
        <v>1E-4</v>
      </c>
    </row>
    <row r="240" spans="1:18">
      <c r="A240" s="12">
        <v>7</v>
      </c>
      <c r="B240" s="9">
        <v>38853</v>
      </c>
      <c r="C240" s="12">
        <v>2006</v>
      </c>
      <c r="D240" s="11" t="s">
        <v>32</v>
      </c>
      <c r="E240" s="12">
        <v>5</v>
      </c>
      <c r="F240" s="56">
        <v>11.6059</v>
      </c>
      <c r="G240" s="56">
        <v>4.2900000000000001E-2</v>
      </c>
      <c r="H240" s="56">
        <v>0.65800000000000003</v>
      </c>
      <c r="I240" s="56">
        <v>4.6253000000000002</v>
      </c>
      <c r="J240" s="56">
        <v>0.21060000000000001</v>
      </c>
      <c r="K240" s="56">
        <v>1E-4</v>
      </c>
    </row>
    <row r="241" spans="1:11">
      <c r="A241" s="12">
        <v>14</v>
      </c>
      <c r="B241" s="9">
        <v>38853</v>
      </c>
      <c r="C241" s="12">
        <v>2006</v>
      </c>
      <c r="D241" s="11" t="s">
        <v>32</v>
      </c>
      <c r="E241" s="12">
        <v>5</v>
      </c>
      <c r="F241" s="56">
        <v>6.8118999999999996</v>
      </c>
      <c r="G241" s="56">
        <v>2.6599999999999999E-2</v>
      </c>
      <c r="H241" s="56">
        <v>0.49399999999999999</v>
      </c>
      <c r="I241" s="56">
        <v>2.927</v>
      </c>
      <c r="J241" s="56">
        <v>0.17280000000000001</v>
      </c>
      <c r="K241" s="56">
        <v>1E-4</v>
      </c>
    </row>
    <row r="242" spans="1:11">
      <c r="A242" s="12">
        <v>5</v>
      </c>
      <c r="B242" s="9">
        <v>38883</v>
      </c>
      <c r="C242" s="12">
        <v>2006</v>
      </c>
      <c r="D242" s="11" t="s">
        <v>33</v>
      </c>
      <c r="E242" s="12">
        <v>6</v>
      </c>
      <c r="F242" s="56">
        <v>17.2865</v>
      </c>
      <c r="G242" s="56">
        <v>2.4500000000000001E-2</v>
      </c>
      <c r="H242" s="56">
        <v>1.7673000000000001</v>
      </c>
      <c r="I242" s="56">
        <v>6.9710999999999999</v>
      </c>
      <c r="J242" s="56">
        <v>0.29759999999999998</v>
      </c>
      <c r="K242" s="56">
        <v>1E-4</v>
      </c>
    </row>
    <row r="243" spans="1:11">
      <c r="A243" s="12">
        <v>7</v>
      </c>
      <c r="B243" s="9">
        <v>38884</v>
      </c>
      <c r="C243" s="12">
        <v>2006</v>
      </c>
      <c r="D243" s="11" t="s">
        <v>33</v>
      </c>
      <c r="E243" s="12">
        <v>6</v>
      </c>
      <c r="F243" s="56">
        <v>23.983799999999999</v>
      </c>
      <c r="G243" s="56">
        <v>5.3699999999999998E-2</v>
      </c>
      <c r="H243" s="56">
        <v>2.0459999999999998</v>
      </c>
      <c r="I243" s="56">
        <v>8.1868999999999996</v>
      </c>
      <c r="J243" s="56">
        <v>0.8488</v>
      </c>
      <c r="K243" s="56">
        <v>4.8399999999999999E-2</v>
      </c>
    </row>
    <row r="244" spans="1:11">
      <c r="A244" s="12">
        <v>14</v>
      </c>
      <c r="B244" s="9">
        <v>38884</v>
      </c>
      <c r="C244" s="12">
        <v>2006</v>
      </c>
      <c r="D244" s="11" t="s">
        <v>33</v>
      </c>
      <c r="E244" s="12">
        <v>6</v>
      </c>
      <c r="F244" s="56">
        <v>14.3201</v>
      </c>
      <c r="G244" s="56">
        <v>3.7400000000000003E-2</v>
      </c>
      <c r="H244" s="56">
        <v>1.6073</v>
      </c>
      <c r="I244" s="56">
        <v>5.0462999999999996</v>
      </c>
      <c r="J244" s="56">
        <v>0.58809999999999996</v>
      </c>
      <c r="K244" s="56">
        <v>1E-4</v>
      </c>
    </row>
    <row r="245" spans="1:11">
      <c r="A245" s="12">
        <v>5</v>
      </c>
      <c r="B245" s="9">
        <v>38916</v>
      </c>
      <c r="C245" s="12">
        <v>2006</v>
      </c>
      <c r="D245" s="11" t="s">
        <v>34</v>
      </c>
      <c r="E245" s="12">
        <v>7</v>
      </c>
      <c r="F245" s="56">
        <v>14.954599999999999</v>
      </c>
      <c r="G245" s="56">
        <v>6.7699999999999996E-2</v>
      </c>
      <c r="H245" s="56">
        <v>1E-4</v>
      </c>
      <c r="I245" s="56">
        <v>1.1283000000000001</v>
      </c>
      <c r="J245" s="56">
        <v>2.0190000000000001</v>
      </c>
      <c r="K245" s="56">
        <v>1E-4</v>
      </c>
    </row>
    <row r="246" spans="1:11">
      <c r="A246" s="12">
        <v>7</v>
      </c>
      <c r="B246" s="9">
        <v>38915</v>
      </c>
      <c r="C246" s="12">
        <v>2006</v>
      </c>
      <c r="D246" s="11" t="s">
        <v>34</v>
      </c>
      <c r="E246" s="12">
        <v>7</v>
      </c>
      <c r="F246" s="56">
        <v>26.538699999999999</v>
      </c>
      <c r="G246" s="56">
        <v>0.28820000000000001</v>
      </c>
      <c r="H246" s="56">
        <v>1E-4</v>
      </c>
      <c r="I246" s="56">
        <v>5.2392000000000003</v>
      </c>
      <c r="J246" s="56">
        <v>2.8065000000000002</v>
      </c>
      <c r="K246" s="56">
        <v>1E-4</v>
      </c>
    </row>
    <row r="247" spans="1:11">
      <c r="A247" s="12">
        <v>14</v>
      </c>
      <c r="B247" s="9">
        <v>38915</v>
      </c>
      <c r="C247" s="12">
        <v>2006</v>
      </c>
      <c r="D247" s="11" t="s">
        <v>34</v>
      </c>
      <c r="E247" s="12">
        <v>7</v>
      </c>
      <c r="F247" s="56">
        <v>13.441800000000001</v>
      </c>
      <c r="G247" s="56">
        <v>0.1016</v>
      </c>
      <c r="H247" s="56">
        <v>1E-4</v>
      </c>
      <c r="I247" s="56">
        <v>2.0116999999999998</v>
      </c>
      <c r="J247" s="56">
        <v>1.1636</v>
      </c>
      <c r="K247" s="56">
        <v>1E-4</v>
      </c>
    </row>
    <row r="248" spans="1:11">
      <c r="A248" s="12">
        <v>5</v>
      </c>
      <c r="B248" s="9">
        <v>38953</v>
      </c>
      <c r="C248" s="12">
        <v>2006</v>
      </c>
      <c r="D248" s="11" t="s">
        <v>35</v>
      </c>
      <c r="E248" s="12">
        <v>8</v>
      </c>
      <c r="F248" s="56">
        <v>18.301600000000001</v>
      </c>
      <c r="G248" s="56">
        <v>7.9799999999999996E-2</v>
      </c>
      <c r="H248" s="56">
        <v>1E-4</v>
      </c>
      <c r="I248" s="56">
        <v>7.1170999999999998</v>
      </c>
      <c r="J248" s="56">
        <v>0.60070000000000001</v>
      </c>
      <c r="K248" s="56">
        <v>1E-4</v>
      </c>
    </row>
    <row r="249" spans="1:11">
      <c r="A249" s="12">
        <v>7</v>
      </c>
      <c r="B249" s="9">
        <v>38952</v>
      </c>
      <c r="C249" s="12">
        <v>2006</v>
      </c>
      <c r="D249" s="11" t="s">
        <v>35</v>
      </c>
      <c r="E249" s="12">
        <v>8</v>
      </c>
      <c r="F249" s="56">
        <v>33.0595</v>
      </c>
      <c r="G249" s="56">
        <v>0.16400000000000001</v>
      </c>
      <c r="H249" s="56">
        <v>1E-4</v>
      </c>
      <c r="I249" s="56">
        <v>9.1367999999999991</v>
      </c>
      <c r="J249" s="56">
        <v>2.2038000000000002</v>
      </c>
      <c r="K249" s="56">
        <v>1E-4</v>
      </c>
    </row>
    <row r="250" spans="1:11">
      <c r="A250" s="12">
        <v>14</v>
      </c>
      <c r="B250" s="9">
        <v>38952</v>
      </c>
      <c r="C250" s="12">
        <v>2006</v>
      </c>
      <c r="D250" s="11" t="s">
        <v>35</v>
      </c>
      <c r="E250" s="12">
        <v>8</v>
      </c>
      <c r="F250" s="56">
        <v>16.910900000000002</v>
      </c>
      <c r="G250" s="56">
        <v>8.1100000000000005E-2</v>
      </c>
      <c r="H250" s="56">
        <v>1E-4</v>
      </c>
      <c r="I250" s="56">
        <v>5.665</v>
      </c>
      <c r="J250" s="56">
        <v>1.0821000000000001</v>
      </c>
      <c r="K250" s="56">
        <v>1E-4</v>
      </c>
    </row>
    <row r="251" spans="1:11">
      <c r="A251" s="12">
        <v>5</v>
      </c>
      <c r="B251" s="9">
        <v>38972</v>
      </c>
      <c r="C251" s="12">
        <v>2006</v>
      </c>
      <c r="D251" s="11" t="s">
        <v>36</v>
      </c>
      <c r="E251" s="12">
        <v>9</v>
      </c>
      <c r="F251" s="56">
        <v>17.918900000000001</v>
      </c>
      <c r="G251" s="56">
        <v>5.6399999999999999E-2</v>
      </c>
      <c r="H251" s="56">
        <v>1E-4</v>
      </c>
      <c r="I251" s="56">
        <v>6.3269000000000002</v>
      </c>
      <c r="J251" s="56">
        <v>0.4158</v>
      </c>
      <c r="K251" s="56">
        <v>1E-4</v>
      </c>
    </row>
    <row r="252" spans="1:11">
      <c r="A252" s="12">
        <v>7</v>
      </c>
      <c r="B252" s="9">
        <v>38975</v>
      </c>
      <c r="C252" s="12">
        <v>2006</v>
      </c>
      <c r="D252" s="11" t="s">
        <v>36</v>
      </c>
      <c r="E252" s="12">
        <v>9</v>
      </c>
      <c r="F252" s="56">
        <v>26.758400000000002</v>
      </c>
      <c r="G252" s="56">
        <v>0.82620000000000005</v>
      </c>
      <c r="H252" s="56">
        <v>1E-4</v>
      </c>
      <c r="I252" s="56">
        <v>6.7244999999999999</v>
      </c>
      <c r="J252" s="56">
        <v>0.25269999999999998</v>
      </c>
      <c r="K252" s="56">
        <v>1E-4</v>
      </c>
    </row>
    <row r="253" spans="1:11">
      <c r="A253" s="12">
        <v>14</v>
      </c>
      <c r="B253" s="9">
        <v>38975</v>
      </c>
      <c r="C253" s="12">
        <v>2006</v>
      </c>
      <c r="D253" s="11" t="s">
        <v>36</v>
      </c>
      <c r="E253" s="12">
        <v>9</v>
      </c>
      <c r="F253" s="56">
        <v>15.141500000000001</v>
      </c>
      <c r="G253" s="56">
        <v>0.14249999999999999</v>
      </c>
      <c r="H253" s="56">
        <v>1E-4</v>
      </c>
      <c r="I253" s="56">
        <v>4.8068999999999997</v>
      </c>
      <c r="J253" s="56">
        <v>0.2291</v>
      </c>
      <c r="K253" s="56">
        <v>1E-4</v>
      </c>
    </row>
    <row r="254" spans="1:11">
      <c r="A254" s="12">
        <v>5</v>
      </c>
      <c r="B254" s="9">
        <v>39008</v>
      </c>
      <c r="C254" s="12">
        <v>2006</v>
      </c>
      <c r="D254" s="11" t="s">
        <v>37</v>
      </c>
      <c r="E254" s="12">
        <v>10</v>
      </c>
      <c r="F254" s="31">
        <v>3.9820000000000002</v>
      </c>
      <c r="G254" s="31">
        <v>0.05</v>
      </c>
      <c r="H254" s="31">
        <v>9.9989999999999996E-4</v>
      </c>
      <c r="I254" s="31">
        <v>0.66</v>
      </c>
      <c r="J254" s="31">
        <v>6.4000000000000001E-2</v>
      </c>
      <c r="K254" s="31">
        <v>9.9989999999999996E-4</v>
      </c>
    </row>
    <row r="255" spans="1:11">
      <c r="A255" s="12">
        <v>7</v>
      </c>
      <c r="B255" s="9">
        <v>39006</v>
      </c>
      <c r="C255" s="12">
        <v>2006</v>
      </c>
      <c r="D255" s="11" t="s">
        <v>37</v>
      </c>
      <c r="E255" s="12">
        <v>10</v>
      </c>
      <c r="F255" s="31">
        <v>10.034000000000001</v>
      </c>
      <c r="G255" s="31">
        <v>0.24099999999999999</v>
      </c>
      <c r="H255" s="31">
        <v>9.9989999999999996E-4</v>
      </c>
      <c r="I255" s="31">
        <v>1.6879999999999999</v>
      </c>
      <c r="J255" s="31">
        <v>0.20899999999999999</v>
      </c>
      <c r="K255" s="31">
        <v>9.9989999999999996E-4</v>
      </c>
    </row>
    <row r="256" spans="1:11">
      <c r="A256" s="12">
        <v>14</v>
      </c>
      <c r="B256" s="9">
        <v>39006</v>
      </c>
      <c r="C256" s="12">
        <v>2006</v>
      </c>
      <c r="D256" s="11" t="s">
        <v>37</v>
      </c>
      <c r="E256" s="12">
        <v>10</v>
      </c>
      <c r="F256" s="31">
        <v>3.9740000000000002</v>
      </c>
      <c r="G256" s="31">
        <v>0.377</v>
      </c>
      <c r="H256" s="31">
        <v>9.9989999999999996E-4</v>
      </c>
      <c r="I256" s="31">
        <v>0.38500000000000001</v>
      </c>
      <c r="J256" s="31">
        <v>0.10199999999999999</v>
      </c>
      <c r="K256" s="31">
        <v>9.9989999999999996E-4</v>
      </c>
    </row>
    <row r="257" spans="1:18">
      <c r="A257" s="12">
        <v>5</v>
      </c>
      <c r="B257" s="9">
        <v>39035</v>
      </c>
      <c r="C257" s="12">
        <v>2006</v>
      </c>
      <c r="D257" s="11" t="s">
        <v>38</v>
      </c>
      <c r="E257" s="12">
        <v>11</v>
      </c>
      <c r="F257" s="31">
        <v>10.615</v>
      </c>
      <c r="G257" s="31">
        <v>4.2999999999999997E-2</v>
      </c>
      <c r="H257" s="31">
        <v>0.40899999999999997</v>
      </c>
      <c r="I257" s="31">
        <v>4.8460000000000001</v>
      </c>
      <c r="J257" s="31">
        <v>0.13300000000000001</v>
      </c>
      <c r="K257" s="31">
        <v>9.9989999999999996E-4</v>
      </c>
    </row>
    <row r="258" spans="1:18">
      <c r="A258" s="12">
        <v>7</v>
      </c>
      <c r="B258" s="9">
        <v>39041</v>
      </c>
      <c r="C258" s="12">
        <v>2006</v>
      </c>
      <c r="D258" s="11" t="s">
        <v>38</v>
      </c>
      <c r="E258" s="12">
        <v>11</v>
      </c>
      <c r="F258" s="31">
        <v>4.3159999999999998</v>
      </c>
      <c r="G258" s="31">
        <v>0.46600000000000003</v>
      </c>
      <c r="H258" s="31">
        <v>9.9989999999999996E-4</v>
      </c>
      <c r="I258" s="31">
        <v>0.23699999999999999</v>
      </c>
      <c r="J258" s="31">
        <v>1.6E-2</v>
      </c>
      <c r="K258" s="31">
        <v>9.9989999999999996E-4</v>
      </c>
    </row>
    <row r="259" spans="1:18">
      <c r="A259" s="12">
        <v>14</v>
      </c>
      <c r="B259" s="9">
        <v>39041</v>
      </c>
      <c r="C259" s="12">
        <v>2006</v>
      </c>
      <c r="D259" s="11" t="s">
        <v>38</v>
      </c>
      <c r="E259" s="12">
        <v>11</v>
      </c>
      <c r="F259" s="31">
        <v>1.875</v>
      </c>
      <c r="G259" s="31">
        <v>4.8000000000000001E-2</v>
      </c>
      <c r="H259" s="31">
        <v>9.9989999999999996E-4</v>
      </c>
      <c r="I259" s="31">
        <v>0.26</v>
      </c>
      <c r="J259" s="31">
        <v>2.1000000000000001E-2</v>
      </c>
      <c r="K259" s="31">
        <v>9.9989999999999996E-4</v>
      </c>
    </row>
    <row r="260" spans="1:18">
      <c r="A260" s="12">
        <v>5</v>
      </c>
      <c r="B260" s="22">
        <v>39063</v>
      </c>
      <c r="C260" s="15">
        <v>2006</v>
      </c>
      <c r="D260" s="11" t="s">
        <v>39</v>
      </c>
      <c r="E260" s="15">
        <v>12</v>
      </c>
      <c r="F260" s="31">
        <v>9.14</v>
      </c>
      <c r="G260" s="31">
        <v>0.20300000000000001</v>
      </c>
      <c r="H260" s="31">
        <v>0.61799999999999999</v>
      </c>
      <c r="I260" s="31">
        <v>2.859</v>
      </c>
      <c r="J260" s="31">
        <v>0.19900000000000001</v>
      </c>
      <c r="K260" s="31">
        <v>9.9989999999999996E-4</v>
      </c>
    </row>
    <row r="261" spans="1:18">
      <c r="A261" s="12">
        <v>7</v>
      </c>
      <c r="B261" s="22">
        <v>39062</v>
      </c>
      <c r="C261" s="15">
        <v>2006</v>
      </c>
      <c r="D261" s="11" t="s">
        <v>39</v>
      </c>
      <c r="E261" s="15">
        <v>12</v>
      </c>
      <c r="F261" s="31">
        <v>7.17</v>
      </c>
      <c r="G261" s="31">
        <v>0.60199999999999998</v>
      </c>
      <c r="H261" s="31">
        <v>9.9989999999999996E-4</v>
      </c>
      <c r="I261" s="31">
        <v>0.42499999999999999</v>
      </c>
      <c r="J261" s="31">
        <v>4.8000000000000001E-2</v>
      </c>
      <c r="K261" s="31">
        <v>9.9989999999999996E-4</v>
      </c>
    </row>
    <row r="262" spans="1:18" ht="25.5">
      <c r="A262" s="12">
        <v>14</v>
      </c>
      <c r="B262" s="22">
        <v>39062</v>
      </c>
      <c r="C262" s="15">
        <v>2006</v>
      </c>
      <c r="D262" s="11" t="s">
        <v>39</v>
      </c>
      <c r="E262" s="15">
        <v>12</v>
      </c>
      <c r="F262" s="31">
        <v>2.9009999999999998</v>
      </c>
      <c r="G262" s="31">
        <v>0.23400000000000001</v>
      </c>
      <c r="H262" s="31">
        <v>9.9989999999999996E-4</v>
      </c>
      <c r="I262" s="31">
        <v>0.32800000000000001</v>
      </c>
      <c r="J262" s="31">
        <v>4.8000000000000001E-2</v>
      </c>
      <c r="K262" s="31">
        <v>9.9989999999999996E-4</v>
      </c>
      <c r="L262" s="35" t="s">
        <v>44</v>
      </c>
      <c r="M262" s="6" t="s">
        <v>7</v>
      </c>
      <c r="N262" s="6" t="s">
        <v>8</v>
      </c>
      <c r="O262" s="6" t="s">
        <v>9</v>
      </c>
      <c r="P262" s="6" t="s">
        <v>10</v>
      </c>
      <c r="Q262" s="6" t="s">
        <v>11</v>
      </c>
      <c r="R262" s="6" t="s">
        <v>12</v>
      </c>
    </row>
    <row r="263" spans="1:18">
      <c r="A263" s="46">
        <v>5</v>
      </c>
      <c r="B263" s="53">
        <v>39100</v>
      </c>
      <c r="C263" s="46">
        <v>2007</v>
      </c>
      <c r="D263" s="43" t="s">
        <v>40</v>
      </c>
      <c r="E263" s="46">
        <v>1</v>
      </c>
      <c r="F263" s="58">
        <v>8.2520000000000007</v>
      </c>
      <c r="G263" s="58">
        <v>7.1999999999999995E-2</v>
      </c>
      <c r="H263" s="58">
        <v>8.1000000000000003E-2</v>
      </c>
      <c r="I263" s="58">
        <v>3.1070000000000002</v>
      </c>
      <c r="J263" s="58">
        <v>0.106</v>
      </c>
      <c r="K263" s="58">
        <v>9.9989999999999996E-4</v>
      </c>
      <c r="L263" s="35" t="s">
        <v>53</v>
      </c>
      <c r="M263" s="27">
        <f t="shared" ref="M263:R263" si="4">AVERAGE(F263:F298)</f>
        <v>10.84611111111111</v>
      </c>
      <c r="N263" s="27">
        <f t="shared" si="4"/>
        <v>0.14091665555555558</v>
      </c>
      <c r="O263" s="27">
        <f t="shared" si="4"/>
        <v>0.61169439166666673</v>
      </c>
      <c r="P263" s="27">
        <f t="shared" si="4"/>
        <v>2.9048611111111118</v>
      </c>
      <c r="Q263" s="27">
        <f t="shared" si="4"/>
        <v>0.4236111111111111</v>
      </c>
      <c r="R263" s="27">
        <f t="shared" si="4"/>
        <v>4.3610277777777762E-3</v>
      </c>
    </row>
    <row r="264" spans="1:18">
      <c r="A264" s="15">
        <v>7</v>
      </c>
      <c r="B264" s="22">
        <v>39100</v>
      </c>
      <c r="C264" s="15">
        <v>2007</v>
      </c>
      <c r="D264" s="11" t="s">
        <v>40</v>
      </c>
      <c r="E264" s="15">
        <v>1</v>
      </c>
      <c r="F264" s="31">
        <v>3.8980000000000001</v>
      </c>
      <c r="G264" s="31">
        <v>0.34799999999999998</v>
      </c>
      <c r="H264" s="31">
        <v>9.9989999999999996E-4</v>
      </c>
      <c r="I264" s="31">
        <v>0.26700000000000002</v>
      </c>
      <c r="J264" s="31">
        <v>1.0999999999999999E-2</v>
      </c>
      <c r="K264" s="31">
        <v>9.9989999999999996E-4</v>
      </c>
    </row>
    <row r="265" spans="1:18">
      <c r="A265" s="15">
        <v>14</v>
      </c>
      <c r="B265" s="22">
        <v>39100</v>
      </c>
      <c r="C265" s="15">
        <v>2007</v>
      </c>
      <c r="D265" s="11" t="s">
        <v>40</v>
      </c>
      <c r="E265" s="15">
        <v>1</v>
      </c>
      <c r="F265" s="31">
        <v>1.804</v>
      </c>
      <c r="G265" s="31">
        <v>8.4000000000000005E-2</v>
      </c>
      <c r="H265" s="31">
        <v>9.9989999999999996E-4</v>
      </c>
      <c r="I265" s="31">
        <v>0.374</v>
      </c>
      <c r="J265" s="31">
        <v>1.2999999999999999E-2</v>
      </c>
      <c r="K265" s="31">
        <v>9.9989999999999996E-4</v>
      </c>
    </row>
    <row r="266" spans="1:18">
      <c r="A266" s="15">
        <v>5</v>
      </c>
      <c r="B266" s="22">
        <v>39134</v>
      </c>
      <c r="C266" s="15">
        <v>2007</v>
      </c>
      <c r="D266" s="11" t="s">
        <v>29</v>
      </c>
      <c r="E266" s="15">
        <v>2</v>
      </c>
      <c r="F266" s="31">
        <v>6.8289999999999997</v>
      </c>
      <c r="G266" s="31">
        <v>9.9000000000000005E-2</v>
      </c>
      <c r="H266" s="31">
        <v>3.9E-2</v>
      </c>
      <c r="I266" s="31">
        <v>1.9039999999999999</v>
      </c>
      <c r="J266" s="31">
        <v>5.6000000000000001E-2</v>
      </c>
      <c r="K266" s="31">
        <v>9.9989999999999996E-4</v>
      </c>
    </row>
    <row r="267" spans="1:18">
      <c r="A267" s="15">
        <v>7</v>
      </c>
      <c r="B267" s="22">
        <v>39135</v>
      </c>
      <c r="C267" s="15">
        <v>2007</v>
      </c>
      <c r="D267" s="11" t="s">
        <v>29</v>
      </c>
      <c r="E267" s="15">
        <v>2</v>
      </c>
      <c r="F267" s="31">
        <v>7.5149999999999997</v>
      </c>
      <c r="G267" s="31">
        <v>0.379</v>
      </c>
      <c r="H267" s="31">
        <v>9.9989999999999996E-4</v>
      </c>
      <c r="I267" s="31">
        <v>2.3839999999999999</v>
      </c>
      <c r="J267" s="31">
        <v>3.5999999999999997E-2</v>
      </c>
      <c r="K267" s="31">
        <v>9.9989999999999996E-4</v>
      </c>
    </row>
    <row r="268" spans="1:18">
      <c r="A268" s="15">
        <v>14</v>
      </c>
      <c r="B268" s="22">
        <v>39135</v>
      </c>
      <c r="C268" s="15">
        <v>2007</v>
      </c>
      <c r="D268" s="11" t="s">
        <v>29</v>
      </c>
      <c r="E268" s="15">
        <v>2</v>
      </c>
      <c r="F268" s="31">
        <v>5.3339999999999996</v>
      </c>
      <c r="G268" s="31">
        <v>0.104</v>
      </c>
      <c r="H268" s="31">
        <v>3.5999999999999997E-2</v>
      </c>
      <c r="I268" s="31">
        <v>1.617</v>
      </c>
      <c r="J268" s="31">
        <v>2.4E-2</v>
      </c>
      <c r="K268" s="31">
        <v>9.9989999999999996E-4</v>
      </c>
    </row>
    <row r="269" spans="1:18">
      <c r="A269" s="15">
        <v>5</v>
      </c>
      <c r="B269" s="22">
        <v>39154</v>
      </c>
      <c r="C269" s="15">
        <v>2007</v>
      </c>
      <c r="D269" s="11" t="s">
        <v>30</v>
      </c>
      <c r="E269" s="15">
        <v>3</v>
      </c>
      <c r="F269" s="31">
        <v>3.7090000000000001</v>
      </c>
      <c r="G269" s="31">
        <v>6.9000000000000006E-2</v>
      </c>
      <c r="H269" s="31">
        <v>5.8999999999999997E-2</v>
      </c>
      <c r="I269" s="31">
        <v>1.2689999999999999</v>
      </c>
      <c r="J269" s="31">
        <v>2.1999999999999999E-2</v>
      </c>
      <c r="K269" s="31">
        <v>9.9989999999999996E-4</v>
      </c>
    </row>
    <row r="270" spans="1:18">
      <c r="A270" s="15">
        <v>7</v>
      </c>
      <c r="B270" s="22">
        <v>39153</v>
      </c>
      <c r="C270" s="15">
        <v>2007</v>
      </c>
      <c r="D270" s="11" t="s">
        <v>30</v>
      </c>
      <c r="E270" s="15">
        <v>3</v>
      </c>
      <c r="F270" s="31">
        <v>2.5489999999999999</v>
      </c>
      <c r="G270" s="31">
        <v>0.186</v>
      </c>
      <c r="H270" s="31">
        <v>3.7999999999999999E-2</v>
      </c>
      <c r="I270" s="31">
        <v>0.749</v>
      </c>
      <c r="J270" s="31">
        <v>4.7E-2</v>
      </c>
      <c r="K270" s="31">
        <v>9.9989999999999996E-4</v>
      </c>
    </row>
    <row r="271" spans="1:18">
      <c r="A271" s="15">
        <v>14</v>
      </c>
      <c r="B271" s="22">
        <v>39153</v>
      </c>
      <c r="C271" s="15">
        <v>2007</v>
      </c>
      <c r="D271" s="11" t="s">
        <v>30</v>
      </c>
      <c r="E271" s="15">
        <v>3</v>
      </c>
      <c r="F271" s="31">
        <v>1.8140000000000001</v>
      </c>
      <c r="G271" s="15">
        <v>5.1999999999999998E-2</v>
      </c>
      <c r="H271" s="15">
        <v>6.9000000000000006E-2</v>
      </c>
      <c r="I271" s="31">
        <v>0.73399999999999999</v>
      </c>
      <c r="J271" s="31">
        <v>0.03</v>
      </c>
      <c r="K271" s="31">
        <v>9.9989999999999996E-4</v>
      </c>
    </row>
    <row r="272" spans="1:18">
      <c r="A272" s="15">
        <v>5</v>
      </c>
      <c r="B272" s="22">
        <v>39190</v>
      </c>
      <c r="C272" s="15">
        <v>2007</v>
      </c>
      <c r="D272" s="11" t="s">
        <v>31</v>
      </c>
      <c r="E272" s="15">
        <v>4</v>
      </c>
      <c r="F272" s="31">
        <v>5.0140000000000002</v>
      </c>
      <c r="G272" s="15">
        <v>9.9000000000000005E-2</v>
      </c>
      <c r="H272" s="15">
        <v>3.7999999999999999E-2</v>
      </c>
      <c r="I272" s="31">
        <v>2.0339999999999998</v>
      </c>
      <c r="J272" s="31">
        <v>1.2999999999999999E-2</v>
      </c>
      <c r="K272" s="31">
        <v>9.9989999999999996E-4</v>
      </c>
    </row>
    <row r="273" spans="1:11">
      <c r="A273" s="15">
        <v>7</v>
      </c>
      <c r="B273" s="22">
        <v>39191</v>
      </c>
      <c r="C273" s="15">
        <v>2007</v>
      </c>
      <c r="D273" s="11" t="s">
        <v>31</v>
      </c>
      <c r="E273" s="15">
        <v>4</v>
      </c>
      <c r="F273" s="31">
        <v>3.1589999999999998</v>
      </c>
      <c r="G273" s="15">
        <v>7.9000000000000001E-2</v>
      </c>
      <c r="H273" s="15">
        <v>9.9989999999999996E-4</v>
      </c>
      <c r="I273" s="31">
        <v>0.77500000000000002</v>
      </c>
      <c r="J273" s="31">
        <v>7.0000000000000001E-3</v>
      </c>
      <c r="K273" s="31">
        <v>9.9989999999999996E-4</v>
      </c>
    </row>
    <row r="274" spans="1:11">
      <c r="A274" s="15">
        <v>14</v>
      </c>
      <c r="B274" s="22">
        <v>39191</v>
      </c>
      <c r="C274" s="15">
        <v>2007</v>
      </c>
      <c r="D274" s="11" t="s">
        <v>31</v>
      </c>
      <c r="E274" s="15">
        <v>4</v>
      </c>
      <c r="F274" s="31">
        <v>2.4449999999999998</v>
      </c>
      <c r="G274" s="15">
        <v>1.6E-2</v>
      </c>
      <c r="H274" s="15">
        <v>9.9989999999999996E-4</v>
      </c>
      <c r="I274" s="31">
        <v>0.76</v>
      </c>
      <c r="J274" s="31">
        <v>7.0000000000000001E-3</v>
      </c>
      <c r="K274" s="31">
        <v>9.9989999999999996E-4</v>
      </c>
    </row>
    <row r="275" spans="1:11">
      <c r="A275" s="15">
        <v>5</v>
      </c>
      <c r="B275" s="22">
        <v>39217</v>
      </c>
      <c r="C275" s="15">
        <v>2007</v>
      </c>
      <c r="D275" s="11" t="s">
        <v>32</v>
      </c>
      <c r="E275" s="15">
        <v>5</v>
      </c>
      <c r="F275" s="31">
        <v>12.028</v>
      </c>
      <c r="G275" s="15">
        <v>5.8999999999999997E-2</v>
      </c>
      <c r="H275" s="15">
        <v>2.1469999999999998</v>
      </c>
      <c r="I275" s="31">
        <v>5.2670000000000003</v>
      </c>
      <c r="J275" s="31">
        <v>0.113</v>
      </c>
      <c r="K275" s="31">
        <v>0.01</v>
      </c>
    </row>
    <row r="276" spans="1:11">
      <c r="A276" s="15">
        <v>7</v>
      </c>
      <c r="B276" s="22">
        <v>39216</v>
      </c>
      <c r="C276" s="15">
        <v>2007</v>
      </c>
      <c r="D276" s="11" t="s">
        <v>32</v>
      </c>
      <c r="E276" s="15">
        <v>5</v>
      </c>
      <c r="F276" s="31">
        <v>12.683</v>
      </c>
      <c r="G276" s="15">
        <v>0.185</v>
      </c>
      <c r="H276" s="15">
        <v>1.7090000000000001</v>
      </c>
      <c r="I276" s="31">
        <v>5.742</v>
      </c>
      <c r="J276" s="31">
        <v>0.14899999999999999</v>
      </c>
      <c r="K276" s="31">
        <v>1.2E-2</v>
      </c>
    </row>
    <row r="277" spans="1:11">
      <c r="A277" s="15">
        <v>14</v>
      </c>
      <c r="B277" s="22">
        <v>39216</v>
      </c>
      <c r="C277" s="15">
        <v>2007</v>
      </c>
      <c r="D277" s="11" t="s">
        <v>32</v>
      </c>
      <c r="E277" s="15">
        <v>5</v>
      </c>
      <c r="F277" s="31">
        <v>9.6349999999999998</v>
      </c>
      <c r="G277" s="15">
        <v>0.104</v>
      </c>
      <c r="H277" s="15">
        <v>1.768</v>
      </c>
      <c r="I277" s="31">
        <v>4.125</v>
      </c>
      <c r="J277" s="31">
        <v>0.14000000000000001</v>
      </c>
      <c r="K277" s="31">
        <v>1.4999999999999999E-2</v>
      </c>
    </row>
    <row r="278" spans="1:11">
      <c r="A278" s="15">
        <v>5</v>
      </c>
      <c r="B278" s="22">
        <v>39246</v>
      </c>
      <c r="C278" s="15">
        <v>2007</v>
      </c>
      <c r="D278" s="11" t="s">
        <v>33</v>
      </c>
      <c r="E278" s="15">
        <v>6</v>
      </c>
      <c r="F278" s="31">
        <v>36.761000000000003</v>
      </c>
      <c r="G278">
        <v>3.5999999999999997E-2</v>
      </c>
      <c r="H278">
        <v>8.7569999999999997</v>
      </c>
      <c r="I278" s="31">
        <v>12.96</v>
      </c>
      <c r="J278" s="31">
        <v>0.51900000000000002</v>
      </c>
      <c r="K278" s="31">
        <v>1.0999999999999999E-2</v>
      </c>
    </row>
    <row r="279" spans="1:11">
      <c r="A279" s="15">
        <v>7</v>
      </c>
      <c r="B279" s="22">
        <v>39246</v>
      </c>
      <c r="C279" s="15">
        <v>2007</v>
      </c>
      <c r="D279" s="11" t="s">
        <v>33</v>
      </c>
      <c r="E279" s="15">
        <v>6</v>
      </c>
      <c r="F279" s="31">
        <v>25.888000000000002</v>
      </c>
      <c r="G279">
        <v>0.11700000000000001</v>
      </c>
      <c r="H279">
        <v>1.327</v>
      </c>
      <c r="I279" s="31">
        <v>6.5380000000000003</v>
      </c>
      <c r="J279" s="31">
        <v>1.1080000000000001</v>
      </c>
      <c r="K279" s="31">
        <v>0.06</v>
      </c>
    </row>
    <row r="280" spans="1:11">
      <c r="A280" s="15">
        <v>14</v>
      </c>
      <c r="B280" s="22">
        <v>39154</v>
      </c>
      <c r="C280" s="15">
        <v>2007</v>
      </c>
      <c r="D280" s="11" t="s">
        <v>33</v>
      </c>
      <c r="E280" s="15">
        <v>6</v>
      </c>
      <c r="F280" s="31">
        <v>30.686</v>
      </c>
      <c r="G280">
        <v>8.6999999999999994E-2</v>
      </c>
      <c r="H280">
        <v>5.7919999999999998</v>
      </c>
      <c r="I280" s="31">
        <v>10.273999999999999</v>
      </c>
      <c r="J280" s="31">
        <v>0.624</v>
      </c>
      <c r="K280" s="31">
        <v>1.9E-2</v>
      </c>
    </row>
    <row r="281" spans="1:11">
      <c r="A281" s="15">
        <v>5</v>
      </c>
      <c r="B281" s="22">
        <v>39280</v>
      </c>
      <c r="C281" s="15">
        <v>2007</v>
      </c>
      <c r="D281" s="11" t="s">
        <v>34</v>
      </c>
      <c r="E281" s="15">
        <v>7</v>
      </c>
      <c r="F281" s="31">
        <v>20.344999999999999</v>
      </c>
      <c r="G281">
        <v>0.127</v>
      </c>
      <c r="H281">
        <v>9.9989999999999996E-4</v>
      </c>
      <c r="I281" s="31">
        <v>1.6439999999999999</v>
      </c>
      <c r="J281" s="31">
        <v>2.4990000000000001</v>
      </c>
      <c r="K281" s="31">
        <v>9.9989999999999996E-4</v>
      </c>
    </row>
    <row r="282" spans="1:11">
      <c r="A282" s="15">
        <v>7</v>
      </c>
      <c r="B282" s="22">
        <v>39280</v>
      </c>
      <c r="C282" s="15">
        <v>2007</v>
      </c>
      <c r="D282" s="11" t="s">
        <v>34</v>
      </c>
      <c r="E282" s="15">
        <v>7</v>
      </c>
      <c r="F282" s="31">
        <v>24.135000000000002</v>
      </c>
      <c r="G282">
        <v>0.29699999999999999</v>
      </c>
      <c r="H282">
        <v>4.8000000000000001E-2</v>
      </c>
      <c r="I282" s="31">
        <v>3.3530000000000002</v>
      </c>
      <c r="J282" s="31">
        <v>1.536</v>
      </c>
      <c r="K282" s="31">
        <v>9.9989999999999996E-4</v>
      </c>
    </row>
    <row r="283" spans="1:11">
      <c r="A283" s="15">
        <v>14</v>
      </c>
      <c r="B283" s="22">
        <v>39280</v>
      </c>
      <c r="C283" s="15">
        <v>2007</v>
      </c>
      <c r="D283" s="11" t="s">
        <v>34</v>
      </c>
      <c r="E283" s="15">
        <v>7</v>
      </c>
      <c r="F283" s="31">
        <v>9.3070000000000004</v>
      </c>
      <c r="G283">
        <v>0.10100000000000001</v>
      </c>
      <c r="H283">
        <v>9.9989999999999996E-4</v>
      </c>
      <c r="I283" s="31">
        <v>1.7450000000000001</v>
      </c>
      <c r="J283" s="31">
        <v>0.85599999999999998</v>
      </c>
      <c r="K283" s="31">
        <v>9.9989999999999996E-4</v>
      </c>
    </row>
    <row r="284" spans="1:11">
      <c r="A284" s="15">
        <v>5</v>
      </c>
      <c r="B284" s="22">
        <v>39308</v>
      </c>
      <c r="C284" s="15">
        <v>2007</v>
      </c>
      <c r="D284" s="11" t="s">
        <v>35</v>
      </c>
      <c r="E284" s="15">
        <v>8</v>
      </c>
      <c r="F284" s="31">
        <v>21.533999999999999</v>
      </c>
      <c r="G284">
        <v>0.20599999999999999</v>
      </c>
      <c r="H284">
        <v>9.9989999999999996E-4</v>
      </c>
      <c r="I284" s="31">
        <v>1.379</v>
      </c>
      <c r="J284" s="31">
        <v>2.9750000000000001</v>
      </c>
      <c r="K284" s="31">
        <v>9.9989999999999996E-4</v>
      </c>
    </row>
    <row r="285" spans="1:11">
      <c r="A285" s="15">
        <v>7</v>
      </c>
      <c r="B285" s="22">
        <v>39308</v>
      </c>
      <c r="C285" s="15">
        <v>2007</v>
      </c>
      <c r="D285" s="11" t="s">
        <v>35</v>
      </c>
      <c r="E285" s="15">
        <v>8</v>
      </c>
      <c r="F285" s="31">
        <v>24.722000000000001</v>
      </c>
      <c r="G285">
        <v>0.56200000000000006</v>
      </c>
      <c r="H285">
        <v>9.9989999999999996E-4</v>
      </c>
      <c r="I285" s="31">
        <v>5.37</v>
      </c>
      <c r="J285" s="31">
        <v>1.4239999999999999</v>
      </c>
      <c r="K285" s="31">
        <v>9.9989999999999996E-4</v>
      </c>
    </row>
    <row r="286" spans="1:11">
      <c r="A286" s="15">
        <v>14</v>
      </c>
      <c r="B286" s="22">
        <v>39308</v>
      </c>
      <c r="C286" s="15">
        <v>2007</v>
      </c>
      <c r="D286" s="11" t="s">
        <v>35</v>
      </c>
      <c r="E286" s="15">
        <v>8</v>
      </c>
      <c r="F286" s="31">
        <v>14.334</v>
      </c>
      <c r="G286">
        <v>0.73599999999999999</v>
      </c>
      <c r="H286">
        <v>9.9989999999999996E-4</v>
      </c>
      <c r="I286" s="31">
        <v>3.89</v>
      </c>
      <c r="J286" s="31">
        <v>0.52300000000000002</v>
      </c>
      <c r="K286" s="31">
        <v>9.9989999999999996E-4</v>
      </c>
    </row>
    <row r="287" spans="1:11">
      <c r="A287" s="15">
        <v>5</v>
      </c>
      <c r="B287" s="22">
        <v>39336</v>
      </c>
      <c r="C287" s="15">
        <v>2007</v>
      </c>
      <c r="D287" s="11" t="s">
        <v>41</v>
      </c>
      <c r="E287" s="15">
        <v>9</v>
      </c>
      <c r="F287" s="31">
        <v>17.701000000000001</v>
      </c>
      <c r="G287">
        <v>0.121</v>
      </c>
      <c r="H287">
        <v>4.5999999999999999E-2</v>
      </c>
      <c r="I287" s="31">
        <v>5.0839999999999996</v>
      </c>
      <c r="J287" s="31">
        <v>0.93899999999999995</v>
      </c>
      <c r="K287" s="31">
        <v>9.9989999999999996E-4</v>
      </c>
    </row>
    <row r="288" spans="1:11">
      <c r="A288" s="15">
        <v>7</v>
      </c>
      <c r="B288" s="22">
        <v>39335</v>
      </c>
      <c r="C288" s="15">
        <v>2007</v>
      </c>
      <c r="D288" s="11" t="s">
        <v>41</v>
      </c>
      <c r="E288" s="15">
        <v>9</v>
      </c>
      <c r="F288" s="31">
        <v>29.951000000000001</v>
      </c>
      <c r="G288">
        <v>9.9989999999999996E-4</v>
      </c>
      <c r="H288">
        <v>3.5999999999999997E-2</v>
      </c>
      <c r="I288" s="31">
        <v>9.4120000000000008</v>
      </c>
      <c r="J288" s="31">
        <v>0.66400000000000003</v>
      </c>
      <c r="K288" s="31">
        <v>9.9989999999999996E-4</v>
      </c>
    </row>
    <row r="289" spans="1:18">
      <c r="A289" s="15">
        <v>14</v>
      </c>
      <c r="B289" s="22">
        <v>39335</v>
      </c>
      <c r="C289" s="15">
        <v>2007</v>
      </c>
      <c r="D289" s="11" t="s">
        <v>41</v>
      </c>
      <c r="E289" s="15">
        <v>9</v>
      </c>
      <c r="F289" s="31">
        <v>15.657</v>
      </c>
      <c r="G289">
        <v>0.04</v>
      </c>
      <c r="H289">
        <v>9.9989999999999996E-4</v>
      </c>
      <c r="I289" s="31">
        <v>6.0259999999999998</v>
      </c>
      <c r="J289" s="31">
        <v>0.22800000000000001</v>
      </c>
      <c r="K289" s="31">
        <v>9.9989999999999996E-4</v>
      </c>
    </row>
    <row r="290" spans="1:18">
      <c r="A290" s="15">
        <v>5</v>
      </c>
      <c r="B290" s="22">
        <v>39373</v>
      </c>
      <c r="C290" s="15">
        <v>2007</v>
      </c>
      <c r="D290" s="11" t="s">
        <v>37</v>
      </c>
      <c r="E290" s="15">
        <v>10</v>
      </c>
      <c r="F290" s="31">
        <v>5.6550000000000002</v>
      </c>
      <c r="G290" s="31">
        <v>9.9989999999999996E-4</v>
      </c>
      <c r="H290" s="31">
        <v>9.9989999999999996E-4</v>
      </c>
      <c r="I290" s="31">
        <v>1.879</v>
      </c>
      <c r="J290" s="31">
        <v>0.39</v>
      </c>
      <c r="K290" s="31">
        <v>9.9989999999999996E-4</v>
      </c>
    </row>
    <row r="291" spans="1:18">
      <c r="A291" s="15">
        <v>7</v>
      </c>
      <c r="B291" s="22">
        <v>39370</v>
      </c>
      <c r="C291" s="15">
        <v>2007</v>
      </c>
      <c r="D291" s="11" t="s">
        <v>37</v>
      </c>
      <c r="E291" s="15">
        <v>10</v>
      </c>
      <c r="F291" s="31">
        <v>5.0540000000000003</v>
      </c>
      <c r="G291" s="31">
        <v>1.9E-2</v>
      </c>
      <c r="H291" s="31">
        <v>9.9989999999999996E-4</v>
      </c>
      <c r="I291" s="31">
        <v>1.0669999999999999</v>
      </c>
      <c r="J291" s="31">
        <v>3.7999999999999999E-2</v>
      </c>
      <c r="K291" s="31">
        <v>9.9989999999999996E-4</v>
      </c>
    </row>
    <row r="292" spans="1:18">
      <c r="A292" s="15">
        <v>14</v>
      </c>
      <c r="B292" s="22">
        <v>39370</v>
      </c>
      <c r="C292" s="15">
        <v>2007</v>
      </c>
      <c r="D292" s="11" t="s">
        <v>37</v>
      </c>
      <c r="E292" s="15">
        <v>10</v>
      </c>
      <c r="F292" s="31">
        <v>3.0880000000000001</v>
      </c>
      <c r="G292" s="31">
        <v>9.9989999999999996E-4</v>
      </c>
      <c r="H292" s="31">
        <v>9.9989999999999996E-4</v>
      </c>
      <c r="I292" s="31">
        <v>0.57499999999999996</v>
      </c>
      <c r="J292" s="31">
        <v>2.1000000000000001E-2</v>
      </c>
      <c r="K292" s="31">
        <v>9.9989999999999996E-4</v>
      </c>
    </row>
    <row r="293" spans="1:18">
      <c r="A293" s="15">
        <v>5</v>
      </c>
      <c r="B293" s="22">
        <v>39400</v>
      </c>
      <c r="C293" s="15">
        <v>2007</v>
      </c>
      <c r="D293" s="11" t="s">
        <v>38</v>
      </c>
      <c r="E293" s="15">
        <v>11</v>
      </c>
      <c r="F293" s="31">
        <v>6.415</v>
      </c>
      <c r="G293" s="31">
        <v>0.04</v>
      </c>
      <c r="H293" s="31">
        <v>1.2E-2</v>
      </c>
      <c r="I293" s="31">
        <v>0.76900000000000002</v>
      </c>
      <c r="J293" s="31">
        <v>7.6999999999999999E-2</v>
      </c>
      <c r="K293" s="31">
        <v>9.9989999999999996E-4</v>
      </c>
    </row>
    <row r="294" spans="1:18">
      <c r="A294" s="15">
        <v>7</v>
      </c>
      <c r="B294" s="22">
        <v>39400</v>
      </c>
      <c r="C294" s="15">
        <v>2007</v>
      </c>
      <c r="D294" s="11" t="s">
        <v>38</v>
      </c>
      <c r="E294" s="15">
        <v>11</v>
      </c>
      <c r="F294" s="31">
        <v>3.0409999999999999</v>
      </c>
      <c r="G294" s="31">
        <v>3.9E-2</v>
      </c>
      <c r="H294" s="31">
        <v>9.9989999999999996E-4</v>
      </c>
      <c r="I294" s="31">
        <v>0.32700000000000001</v>
      </c>
      <c r="J294" s="31">
        <v>0.01</v>
      </c>
      <c r="K294" s="31">
        <v>9.9989999999999996E-4</v>
      </c>
    </row>
    <row r="295" spans="1:18">
      <c r="A295" s="15">
        <v>14</v>
      </c>
      <c r="B295" s="22">
        <v>39400</v>
      </c>
      <c r="C295" s="15">
        <v>2007</v>
      </c>
      <c r="D295" s="11" t="s">
        <v>38</v>
      </c>
      <c r="E295" s="15">
        <v>11</v>
      </c>
      <c r="F295" s="31">
        <v>2.3140000000000001</v>
      </c>
      <c r="G295" s="31">
        <v>9.9989999999999996E-4</v>
      </c>
      <c r="H295" s="31">
        <v>9.9989999999999996E-4</v>
      </c>
      <c r="I295" s="31">
        <v>0.17699999999999999</v>
      </c>
      <c r="J295" s="31">
        <v>8.0000000000000002E-3</v>
      </c>
      <c r="K295" s="31">
        <v>9.9989999999999996E-4</v>
      </c>
    </row>
    <row r="296" spans="1:18">
      <c r="A296" s="15">
        <v>5</v>
      </c>
      <c r="B296" s="22">
        <v>39427</v>
      </c>
      <c r="C296" s="15">
        <v>2007</v>
      </c>
      <c r="D296" s="11" t="s">
        <v>39</v>
      </c>
      <c r="E296" s="15">
        <v>12</v>
      </c>
      <c r="F296" s="31">
        <v>3.5459999999999998</v>
      </c>
      <c r="G296" s="31">
        <v>0.10299999999999999</v>
      </c>
      <c r="H296" s="31">
        <v>9.9989999999999996E-4</v>
      </c>
      <c r="I296" s="31">
        <v>0.68899999999999995</v>
      </c>
      <c r="J296" s="31">
        <v>1.6E-2</v>
      </c>
      <c r="K296" s="31">
        <v>9.9989999999999996E-4</v>
      </c>
    </row>
    <row r="297" spans="1:18">
      <c r="A297" s="15">
        <v>7</v>
      </c>
      <c r="B297" s="22">
        <v>39434</v>
      </c>
      <c r="C297" s="15">
        <v>2007</v>
      </c>
      <c r="D297" s="11" t="s">
        <v>39</v>
      </c>
      <c r="E297" s="15">
        <v>12</v>
      </c>
      <c r="F297" s="31">
        <v>2.734</v>
      </c>
      <c r="G297" s="31">
        <v>0.46</v>
      </c>
      <c r="H297" s="31">
        <v>9.9989999999999996E-4</v>
      </c>
      <c r="I297" s="31">
        <v>0.20799999999999999</v>
      </c>
      <c r="J297" s="31">
        <v>1.2E-2</v>
      </c>
      <c r="K297" s="31">
        <v>9.9989999999999996E-4</v>
      </c>
    </row>
    <row r="298" spans="1:18" ht="25.5">
      <c r="A298" s="15">
        <v>14</v>
      </c>
      <c r="B298" s="22">
        <v>39434</v>
      </c>
      <c r="C298" s="15">
        <v>2007</v>
      </c>
      <c r="D298" s="11" t="s">
        <v>39</v>
      </c>
      <c r="E298" s="15">
        <v>12</v>
      </c>
      <c r="F298" s="31">
        <v>0.92400000000000004</v>
      </c>
      <c r="G298" s="31">
        <v>4.2999999999999997E-2</v>
      </c>
      <c r="H298" s="31">
        <v>9.9989999999999996E-4</v>
      </c>
      <c r="I298" s="31">
        <v>0.10100000000000001</v>
      </c>
      <c r="J298" s="31">
        <v>8.9999999999999993E-3</v>
      </c>
      <c r="K298" s="31">
        <v>9.9989999999999996E-4</v>
      </c>
      <c r="L298" s="35" t="s">
        <v>44</v>
      </c>
      <c r="M298" s="6" t="s">
        <v>7</v>
      </c>
      <c r="N298" s="6" t="s">
        <v>8</v>
      </c>
      <c r="O298" s="6" t="s">
        <v>9</v>
      </c>
      <c r="P298" s="6" t="s">
        <v>10</v>
      </c>
      <c r="Q298" s="6" t="s">
        <v>11</v>
      </c>
      <c r="R298" s="6" t="s">
        <v>12</v>
      </c>
    </row>
    <row r="299" spans="1:18">
      <c r="A299" s="46">
        <v>5</v>
      </c>
      <c r="B299" s="53">
        <v>39462</v>
      </c>
      <c r="C299" s="46">
        <v>2008</v>
      </c>
      <c r="D299" s="43" t="s">
        <v>40</v>
      </c>
      <c r="E299" s="46">
        <v>1</v>
      </c>
      <c r="F299" s="58">
        <v>4.6689999999999996</v>
      </c>
      <c r="G299" s="58">
        <v>0.19</v>
      </c>
      <c r="H299" s="58">
        <v>1.7999999999999999E-2</v>
      </c>
      <c r="I299" s="58">
        <v>0.67200000000000004</v>
      </c>
      <c r="J299" s="58">
        <v>9.1999999999999998E-2</v>
      </c>
      <c r="K299" s="58">
        <v>9.9989999999999996E-4</v>
      </c>
      <c r="L299" s="35" t="s">
        <v>54</v>
      </c>
      <c r="M299" s="27">
        <f t="shared" ref="M299:R299" si="5">AVERAGE(F299:F334)</f>
        <v>8.9962499999999999</v>
      </c>
      <c r="N299" s="27">
        <f t="shared" si="5"/>
        <v>0.52841666666666676</v>
      </c>
      <c r="O299" s="27">
        <f t="shared" si="5"/>
        <v>0.1679721444444445</v>
      </c>
      <c r="P299" s="27">
        <f t="shared" si="5"/>
        <v>2.103444444444444</v>
      </c>
      <c r="Q299" s="27">
        <f t="shared" si="5"/>
        <v>0.26066666666666671</v>
      </c>
      <c r="R299" s="27">
        <f t="shared" si="5"/>
        <v>9.999000000000004E-4</v>
      </c>
    </row>
    <row r="300" spans="1:18">
      <c r="A300" s="15">
        <v>7</v>
      </c>
      <c r="B300" s="22">
        <v>39463</v>
      </c>
      <c r="C300" s="15">
        <v>2008</v>
      </c>
      <c r="D300" s="11" t="s">
        <v>40</v>
      </c>
      <c r="E300" s="15">
        <v>1</v>
      </c>
      <c r="F300" s="31">
        <v>1.601</v>
      </c>
      <c r="G300" s="31">
        <v>9.6000000000000002E-2</v>
      </c>
      <c r="H300" s="31">
        <v>9.9989999999999996E-4</v>
      </c>
      <c r="I300" s="31">
        <v>0.18099999999999999</v>
      </c>
      <c r="J300" s="31">
        <v>1.7999999999999999E-2</v>
      </c>
      <c r="K300" s="31">
        <v>9.9989999999999996E-4</v>
      </c>
    </row>
    <row r="301" spans="1:18">
      <c r="A301" s="15">
        <v>14</v>
      </c>
      <c r="B301" s="22">
        <v>39463</v>
      </c>
      <c r="C301" s="15">
        <v>2008</v>
      </c>
      <c r="D301" s="11" t="s">
        <v>40</v>
      </c>
      <c r="E301" s="15">
        <v>1</v>
      </c>
      <c r="F301" s="31">
        <v>1.2529999999999999</v>
      </c>
      <c r="G301" s="31">
        <v>6.4000000000000001E-2</v>
      </c>
      <c r="H301" s="31">
        <v>9.9989999999999996E-4</v>
      </c>
      <c r="I301" s="31">
        <v>0.13600000000000001</v>
      </c>
      <c r="J301" s="31">
        <v>2.5999999999999999E-2</v>
      </c>
      <c r="K301" s="31">
        <v>9.9989999999999996E-4</v>
      </c>
    </row>
    <row r="302" spans="1:18">
      <c r="A302" s="15">
        <v>5</v>
      </c>
      <c r="B302" s="22">
        <v>39490</v>
      </c>
      <c r="C302" s="15">
        <v>2008</v>
      </c>
      <c r="D302" s="11" t="s">
        <v>29</v>
      </c>
      <c r="E302" s="15">
        <v>2</v>
      </c>
      <c r="F302" s="31">
        <v>3.9</v>
      </c>
      <c r="G302" s="31">
        <v>0.20100000000000001</v>
      </c>
      <c r="H302" s="31">
        <v>6.5000000000000002E-2</v>
      </c>
      <c r="I302" s="31">
        <v>0.98299999999999998</v>
      </c>
      <c r="J302" s="31">
        <v>6.8000000000000005E-2</v>
      </c>
      <c r="K302" s="31">
        <v>9.9989999999999996E-4</v>
      </c>
    </row>
    <row r="303" spans="1:18">
      <c r="A303" s="15">
        <v>7</v>
      </c>
      <c r="B303" s="22">
        <v>39493</v>
      </c>
      <c r="C303" s="15">
        <v>2008</v>
      </c>
      <c r="D303" s="11" t="s">
        <v>29</v>
      </c>
      <c r="E303" s="15">
        <v>2</v>
      </c>
      <c r="F303" s="31">
        <v>1.7909999999999999</v>
      </c>
      <c r="G303" s="31">
        <v>0.20399999999999999</v>
      </c>
      <c r="H303" s="31">
        <v>9.9989999999999996E-4</v>
      </c>
      <c r="I303" s="31">
        <v>0.17799999999999999</v>
      </c>
      <c r="J303" s="31">
        <v>1.2999999999999999E-2</v>
      </c>
      <c r="K303" s="31">
        <v>9.9989999999999996E-4</v>
      </c>
    </row>
    <row r="304" spans="1:18">
      <c r="A304" s="15">
        <v>14</v>
      </c>
      <c r="B304" s="22">
        <v>39493</v>
      </c>
      <c r="C304" s="15">
        <v>2008</v>
      </c>
      <c r="D304" s="11" t="s">
        <v>29</v>
      </c>
      <c r="E304" s="15">
        <v>2</v>
      </c>
      <c r="F304" s="31">
        <v>2.5129999999999999</v>
      </c>
      <c r="G304" s="31">
        <v>0.13900000000000001</v>
      </c>
      <c r="H304" s="31">
        <v>9.9989999999999996E-4</v>
      </c>
      <c r="I304" s="31">
        <v>0.48599999999999999</v>
      </c>
      <c r="J304" s="31">
        <v>1.4999999999999999E-2</v>
      </c>
      <c r="K304" s="31">
        <v>9.9989999999999996E-4</v>
      </c>
    </row>
    <row r="305" spans="1:11">
      <c r="A305" s="15">
        <v>5</v>
      </c>
      <c r="B305" s="22">
        <v>39517</v>
      </c>
      <c r="C305" s="15">
        <v>2008</v>
      </c>
      <c r="D305" s="11" t="s">
        <v>30</v>
      </c>
      <c r="E305" s="15">
        <v>3</v>
      </c>
      <c r="F305" s="59">
        <v>1.9970000000000001</v>
      </c>
      <c r="G305" s="59">
        <v>4.1000000000000002E-2</v>
      </c>
      <c r="H305" s="59">
        <v>9.9989999999999996E-4</v>
      </c>
      <c r="I305" s="59">
        <v>0.60199999999999998</v>
      </c>
      <c r="J305" s="59">
        <v>2.9000000000000001E-2</v>
      </c>
      <c r="K305" s="59">
        <v>9.9989999999999996E-4</v>
      </c>
    </row>
    <row r="306" spans="1:11">
      <c r="A306" s="15">
        <v>7</v>
      </c>
      <c r="B306" s="22">
        <v>39517</v>
      </c>
      <c r="C306" s="15">
        <v>2008</v>
      </c>
      <c r="D306" s="11" t="s">
        <v>30</v>
      </c>
      <c r="E306" s="15">
        <v>3</v>
      </c>
      <c r="F306" s="59">
        <v>2.08</v>
      </c>
      <c r="G306" s="59">
        <v>3.5000000000000003E-2</v>
      </c>
      <c r="H306" s="59">
        <v>9.9989999999999996E-4</v>
      </c>
      <c r="I306" s="59">
        <v>0.32400000000000001</v>
      </c>
      <c r="J306" s="59">
        <v>2.7E-2</v>
      </c>
      <c r="K306" s="59">
        <v>9.9989999999999996E-4</v>
      </c>
    </row>
    <row r="307" spans="1:11">
      <c r="A307" s="15">
        <v>14</v>
      </c>
      <c r="B307" s="22">
        <v>39517</v>
      </c>
      <c r="C307" s="15">
        <v>2008</v>
      </c>
      <c r="D307" s="11" t="s">
        <v>30</v>
      </c>
      <c r="E307" s="15">
        <v>3</v>
      </c>
      <c r="F307" s="59">
        <v>1.8720000000000001</v>
      </c>
      <c r="G307" s="59">
        <v>0.04</v>
      </c>
      <c r="H307" s="59">
        <v>9.9989999999999996E-4</v>
      </c>
      <c r="I307" s="59">
        <v>0.379</v>
      </c>
      <c r="J307" s="59">
        <v>0.01</v>
      </c>
      <c r="K307" s="59">
        <v>9.9989999999999996E-4</v>
      </c>
    </row>
    <row r="308" spans="1:11">
      <c r="A308" s="15">
        <v>5</v>
      </c>
      <c r="B308" s="22">
        <v>39553</v>
      </c>
      <c r="C308" s="15">
        <v>2008</v>
      </c>
      <c r="D308" s="11" t="s">
        <v>31</v>
      </c>
      <c r="E308" s="15">
        <v>4</v>
      </c>
      <c r="F308" s="59">
        <v>3.9340000000000002</v>
      </c>
      <c r="G308" s="59">
        <v>0.111</v>
      </c>
      <c r="H308" s="59">
        <v>0.19700000000000001</v>
      </c>
      <c r="I308" s="59">
        <v>1.167</v>
      </c>
      <c r="J308" s="59">
        <v>5.0999999999999997E-2</v>
      </c>
      <c r="K308" s="59">
        <v>9.9989999999999996E-4</v>
      </c>
    </row>
    <row r="309" spans="1:11">
      <c r="A309" s="15">
        <v>7</v>
      </c>
      <c r="B309" s="22">
        <v>39552</v>
      </c>
      <c r="C309" s="15">
        <v>2008</v>
      </c>
      <c r="D309" s="11" t="s">
        <v>31</v>
      </c>
      <c r="E309" s="15">
        <v>4</v>
      </c>
      <c r="F309" s="59">
        <v>5.7969999999999997</v>
      </c>
      <c r="G309" s="59">
        <v>0.73799999999999999</v>
      </c>
      <c r="H309" s="59">
        <v>9.9989999999999996E-4</v>
      </c>
      <c r="I309" s="59">
        <v>0.26400000000000001</v>
      </c>
      <c r="J309" s="59">
        <v>2.1999999999999999E-2</v>
      </c>
      <c r="K309" s="59">
        <v>9.9989999999999996E-4</v>
      </c>
    </row>
    <row r="310" spans="1:11">
      <c r="A310" s="15">
        <v>14</v>
      </c>
      <c r="B310" s="22">
        <v>39552</v>
      </c>
      <c r="C310" s="15">
        <v>2008</v>
      </c>
      <c r="D310" s="11" t="s">
        <v>31</v>
      </c>
      <c r="E310" s="15">
        <v>4</v>
      </c>
      <c r="F310" s="59">
        <v>1.417</v>
      </c>
      <c r="G310" s="59">
        <v>0.11700000000000001</v>
      </c>
      <c r="H310" s="59">
        <v>9.9989999999999996E-4</v>
      </c>
      <c r="I310" s="59">
        <v>0.107</v>
      </c>
      <c r="J310" s="59">
        <v>1.4E-2</v>
      </c>
      <c r="K310" s="59">
        <v>9.9989999999999996E-4</v>
      </c>
    </row>
    <row r="311" spans="1:11">
      <c r="A311" s="15">
        <v>5</v>
      </c>
      <c r="B311" s="22">
        <v>39582</v>
      </c>
      <c r="C311" s="15">
        <v>2008</v>
      </c>
      <c r="D311" s="11" t="s">
        <v>32</v>
      </c>
      <c r="E311" s="15">
        <v>5</v>
      </c>
      <c r="F311" s="59">
        <v>6.69</v>
      </c>
      <c r="G311" s="59">
        <v>8.1000000000000003E-2</v>
      </c>
      <c r="H311" s="59">
        <v>4.7E-2</v>
      </c>
      <c r="I311" s="59">
        <v>1.33</v>
      </c>
      <c r="J311" s="59">
        <v>4.3999999999999997E-2</v>
      </c>
      <c r="K311" s="59">
        <v>9.9989999999999996E-4</v>
      </c>
    </row>
    <row r="312" spans="1:11">
      <c r="A312" s="15">
        <v>7</v>
      </c>
      <c r="B312" s="22">
        <v>39583</v>
      </c>
      <c r="C312" s="15">
        <v>2008</v>
      </c>
      <c r="D312" s="11" t="s">
        <v>32</v>
      </c>
      <c r="E312" s="15">
        <v>5</v>
      </c>
      <c r="F312" s="59">
        <v>3.6389999999999998</v>
      </c>
      <c r="G312" s="59">
        <v>0.75600000000000001</v>
      </c>
      <c r="H312" s="59">
        <v>9.9989999999999996E-4</v>
      </c>
      <c r="I312" s="59">
        <v>0.63100000000000001</v>
      </c>
      <c r="J312" s="59">
        <v>1.2999999999999999E-2</v>
      </c>
      <c r="K312" s="59">
        <v>9.9989999999999996E-4</v>
      </c>
    </row>
    <row r="313" spans="1:11">
      <c r="A313" s="15">
        <v>14</v>
      </c>
      <c r="B313" s="22">
        <v>39583</v>
      </c>
      <c r="C313" s="15">
        <v>2008</v>
      </c>
      <c r="D313" s="11" t="s">
        <v>32</v>
      </c>
      <c r="E313" s="15">
        <v>5</v>
      </c>
      <c r="F313" s="59">
        <v>1.901</v>
      </c>
      <c r="G313" s="59">
        <v>0.10199999999999999</v>
      </c>
      <c r="H313" s="59">
        <v>9.9989999999999996E-4</v>
      </c>
      <c r="I313" s="59">
        <v>0.57099999999999995</v>
      </c>
      <c r="J313" s="59">
        <v>1.2E-2</v>
      </c>
      <c r="K313" s="59">
        <v>9.9989999999999996E-4</v>
      </c>
    </row>
    <row r="314" spans="1:11">
      <c r="A314" s="15">
        <v>5</v>
      </c>
      <c r="B314" s="22">
        <v>39616</v>
      </c>
      <c r="C314" s="15">
        <v>2008</v>
      </c>
      <c r="D314" s="11" t="s">
        <v>33</v>
      </c>
      <c r="E314" s="15">
        <v>6</v>
      </c>
      <c r="F314" s="59">
        <v>11.015000000000001</v>
      </c>
      <c r="G314" s="59">
        <v>7.4999999999999997E-2</v>
      </c>
      <c r="H314" s="59">
        <v>9.9989999999999996E-4</v>
      </c>
      <c r="I314" s="59">
        <v>2.6659999999999999</v>
      </c>
      <c r="J314" s="59">
        <v>0.63400000000000001</v>
      </c>
      <c r="K314" s="59">
        <v>9.9989999999999996E-4</v>
      </c>
    </row>
    <row r="315" spans="1:11">
      <c r="A315" s="15">
        <v>7</v>
      </c>
      <c r="B315" s="22">
        <v>39617</v>
      </c>
      <c r="C315" s="15">
        <v>2008</v>
      </c>
      <c r="D315" s="11" t="s">
        <v>33</v>
      </c>
      <c r="E315" s="15">
        <v>6</v>
      </c>
      <c r="F315" s="59">
        <v>22.236999999999998</v>
      </c>
      <c r="G315" s="59">
        <v>3.242</v>
      </c>
      <c r="H315" s="59">
        <v>9.9989999999999996E-4</v>
      </c>
      <c r="I315" s="59">
        <v>3.2759999999999998</v>
      </c>
      <c r="J315" s="59">
        <v>0.33500000000000002</v>
      </c>
      <c r="K315" s="59">
        <v>9.9989999999999996E-4</v>
      </c>
    </row>
    <row r="316" spans="1:11">
      <c r="A316" s="15">
        <v>14</v>
      </c>
      <c r="B316" s="22">
        <v>39617</v>
      </c>
      <c r="C316" s="15">
        <v>2008</v>
      </c>
      <c r="D316" s="11" t="s">
        <v>33</v>
      </c>
      <c r="E316" s="15">
        <v>6</v>
      </c>
      <c r="F316" s="59">
        <v>9.8810000000000002</v>
      </c>
      <c r="G316" s="59">
        <v>0.20100000000000001</v>
      </c>
      <c r="H316" s="59">
        <v>9.9989999999999996E-4</v>
      </c>
      <c r="I316" s="59">
        <v>2.0099999999999998</v>
      </c>
      <c r="J316" s="59">
        <v>0.252</v>
      </c>
      <c r="K316" s="59">
        <v>9.9989999999999996E-4</v>
      </c>
    </row>
    <row r="317" spans="1:11">
      <c r="A317" s="15">
        <v>5</v>
      </c>
      <c r="B317" s="22">
        <v>39644</v>
      </c>
      <c r="C317" s="15">
        <v>2008</v>
      </c>
      <c r="D317" s="11" t="s">
        <v>34</v>
      </c>
      <c r="E317" s="15">
        <v>7</v>
      </c>
      <c r="F317" s="59">
        <v>15.352</v>
      </c>
      <c r="G317" s="59">
        <v>0.26600000000000001</v>
      </c>
      <c r="H317" s="59">
        <v>9.9989999999999996E-4</v>
      </c>
      <c r="I317" s="59">
        <v>3.2149999999999999</v>
      </c>
      <c r="J317" s="59">
        <v>1.526</v>
      </c>
      <c r="K317" s="59">
        <v>9.9989999999999996E-4</v>
      </c>
    </row>
    <row r="318" spans="1:11">
      <c r="A318" s="15">
        <v>7</v>
      </c>
      <c r="B318" s="22">
        <v>39645</v>
      </c>
      <c r="C318" s="15">
        <v>2008</v>
      </c>
      <c r="D318" s="11" t="s">
        <v>34</v>
      </c>
      <c r="E318" s="15">
        <v>7</v>
      </c>
      <c r="F318" s="59">
        <v>32.878</v>
      </c>
      <c r="G318" s="59">
        <v>1.986</v>
      </c>
      <c r="H318" s="59">
        <v>9.9989999999999996E-4</v>
      </c>
      <c r="I318" s="59">
        <v>8.0440000000000005</v>
      </c>
      <c r="J318" s="59">
        <v>0.66200000000000003</v>
      </c>
      <c r="K318" s="59">
        <v>9.9989999999999996E-4</v>
      </c>
    </row>
    <row r="319" spans="1:11">
      <c r="A319" s="15">
        <v>14</v>
      </c>
      <c r="B319" s="22">
        <v>39645</v>
      </c>
      <c r="C319" s="15">
        <v>2008</v>
      </c>
      <c r="D319" s="11" t="s">
        <v>34</v>
      </c>
      <c r="E319" s="15">
        <v>7</v>
      </c>
      <c r="F319" s="59">
        <v>14.779</v>
      </c>
      <c r="G319" s="59">
        <v>3.0590000000000002</v>
      </c>
      <c r="H319" s="59">
        <v>9.9989999999999996E-4</v>
      </c>
      <c r="I319" s="59">
        <v>1.2170000000000001</v>
      </c>
      <c r="J319" s="59">
        <v>0.151</v>
      </c>
      <c r="K319" s="59">
        <v>9.9989999999999996E-4</v>
      </c>
    </row>
    <row r="320" spans="1:11">
      <c r="A320" s="15">
        <v>5</v>
      </c>
      <c r="B320" s="22">
        <v>39672</v>
      </c>
      <c r="C320" s="15">
        <v>2008</v>
      </c>
      <c r="D320" s="11" t="s">
        <v>35</v>
      </c>
      <c r="E320" s="15">
        <v>8</v>
      </c>
      <c r="F320" s="59">
        <v>15.361000000000001</v>
      </c>
      <c r="G320" s="59">
        <v>0.28100000000000003</v>
      </c>
      <c r="H320" s="59">
        <v>9.9989999999999996E-4</v>
      </c>
      <c r="I320" s="59">
        <v>3.2309999999999999</v>
      </c>
      <c r="J320" s="59">
        <v>1.61</v>
      </c>
      <c r="K320" s="59">
        <v>9.9989999999999996E-4</v>
      </c>
    </row>
    <row r="321" spans="1:18">
      <c r="A321" s="15">
        <v>7</v>
      </c>
      <c r="B321" s="22">
        <v>39672</v>
      </c>
      <c r="C321" s="15">
        <v>2008</v>
      </c>
      <c r="D321" s="11" t="s">
        <v>35</v>
      </c>
      <c r="E321" s="15">
        <v>8</v>
      </c>
      <c r="F321" s="59">
        <v>40.704000000000001</v>
      </c>
      <c r="G321" s="59">
        <v>2.6930000000000001</v>
      </c>
      <c r="H321" s="59">
        <v>9.9989999999999996E-4</v>
      </c>
      <c r="I321" s="59">
        <v>7.7930000000000001</v>
      </c>
      <c r="J321" s="59">
        <v>0.30499999999999999</v>
      </c>
      <c r="K321" s="59">
        <v>9.9989999999999996E-4</v>
      </c>
    </row>
    <row r="322" spans="1:18">
      <c r="A322" s="15">
        <v>14</v>
      </c>
      <c r="B322" s="22">
        <v>39672</v>
      </c>
      <c r="C322" s="15">
        <v>2008</v>
      </c>
      <c r="D322" s="11" t="s">
        <v>35</v>
      </c>
      <c r="E322" s="15">
        <v>8</v>
      </c>
      <c r="F322" s="59">
        <v>20.457000000000001</v>
      </c>
      <c r="G322" s="59">
        <v>2.3660000000000001</v>
      </c>
      <c r="H322" s="59">
        <v>9.9989999999999996E-4</v>
      </c>
      <c r="I322" s="59">
        <v>4.681</v>
      </c>
      <c r="J322" s="59">
        <v>0.106</v>
      </c>
      <c r="K322" s="59">
        <v>9.9989999999999996E-4</v>
      </c>
    </row>
    <row r="323" spans="1:18">
      <c r="A323" s="15">
        <v>5</v>
      </c>
      <c r="B323" s="22">
        <v>39707</v>
      </c>
      <c r="C323" s="15">
        <v>2008</v>
      </c>
      <c r="D323" s="11" t="s">
        <v>41</v>
      </c>
      <c r="E323" s="15">
        <v>9</v>
      </c>
      <c r="F323" s="31">
        <v>30.481000000000002</v>
      </c>
      <c r="G323" s="31">
        <v>0.16700000000000001</v>
      </c>
      <c r="H323" s="31">
        <v>2.8650000000000002</v>
      </c>
      <c r="I323" s="31">
        <v>12.397</v>
      </c>
      <c r="J323" s="31">
        <v>1.0469999999999999</v>
      </c>
      <c r="K323" s="31">
        <v>9.9989999999999996E-4</v>
      </c>
    </row>
    <row r="324" spans="1:18">
      <c r="A324" s="15">
        <v>7</v>
      </c>
      <c r="B324" s="22">
        <v>39709</v>
      </c>
      <c r="C324" s="15">
        <v>2008</v>
      </c>
      <c r="D324" s="11" t="s">
        <v>41</v>
      </c>
      <c r="E324" s="15">
        <v>9</v>
      </c>
      <c r="F324" s="31">
        <v>13.15</v>
      </c>
      <c r="G324" s="31">
        <v>0.54900000000000004</v>
      </c>
      <c r="H324" s="31">
        <v>9.9989999999999996E-4</v>
      </c>
      <c r="I324" s="31">
        <v>3.0579999999999998</v>
      </c>
      <c r="J324" s="31">
        <v>0.33800000000000002</v>
      </c>
      <c r="K324" s="31">
        <v>9.9989999999999996E-4</v>
      </c>
    </row>
    <row r="325" spans="1:18">
      <c r="A325" s="15">
        <v>14</v>
      </c>
      <c r="B325" s="22">
        <v>39709</v>
      </c>
      <c r="C325" s="15">
        <v>2008</v>
      </c>
      <c r="D325" s="11" t="s">
        <v>41</v>
      </c>
      <c r="E325" s="15">
        <v>9</v>
      </c>
      <c r="F325" s="31">
        <v>3.0950000000000002</v>
      </c>
      <c r="G325" s="31">
        <v>0.16300000000000001</v>
      </c>
      <c r="H325" s="31">
        <v>9.9989999999999996E-4</v>
      </c>
      <c r="I325" s="31">
        <v>0.4</v>
      </c>
      <c r="J325" s="31">
        <v>0.03</v>
      </c>
      <c r="K325" s="31">
        <v>9.9989999999999996E-4</v>
      </c>
    </row>
    <row r="326" spans="1:18">
      <c r="A326" s="15">
        <v>5</v>
      </c>
      <c r="B326" s="22">
        <v>39737</v>
      </c>
      <c r="C326" s="15">
        <v>2008</v>
      </c>
      <c r="D326" s="11" t="s">
        <v>37</v>
      </c>
      <c r="E326" s="15">
        <v>10</v>
      </c>
      <c r="F326" s="26">
        <v>10.756</v>
      </c>
      <c r="G326" s="26">
        <v>1.9E-2</v>
      </c>
      <c r="H326" s="26">
        <v>1.41</v>
      </c>
      <c r="I326" s="26">
        <v>4.08</v>
      </c>
      <c r="J326" s="31">
        <v>0.77300000000000002</v>
      </c>
      <c r="K326" s="31">
        <v>9.9989999999999996E-4</v>
      </c>
    </row>
    <row r="327" spans="1:18">
      <c r="A327" s="15">
        <v>7</v>
      </c>
      <c r="B327" s="22">
        <v>39735</v>
      </c>
      <c r="C327" s="15">
        <v>2008</v>
      </c>
      <c r="D327" s="11" t="s">
        <v>37</v>
      </c>
      <c r="E327" s="15">
        <v>10</v>
      </c>
      <c r="F327" s="26">
        <v>19.638999999999999</v>
      </c>
      <c r="G327" s="26">
        <v>0.13100000000000001</v>
      </c>
      <c r="H327" s="26">
        <v>1.3660000000000001</v>
      </c>
      <c r="I327" s="26">
        <v>7.2329999999999997</v>
      </c>
      <c r="J327" s="31">
        <v>1.002</v>
      </c>
      <c r="K327" s="31">
        <v>9.9989999999999996E-4</v>
      </c>
    </row>
    <row r="328" spans="1:18">
      <c r="A328" s="15">
        <v>14</v>
      </c>
      <c r="B328" s="22">
        <v>39735</v>
      </c>
      <c r="C328" s="15">
        <v>2008</v>
      </c>
      <c r="D328" s="11" t="s">
        <v>37</v>
      </c>
      <c r="E328" s="15">
        <v>10</v>
      </c>
      <c r="F328" s="26">
        <v>2.2909999999999999</v>
      </c>
      <c r="G328" s="26">
        <v>2.1000000000000001E-2</v>
      </c>
      <c r="H328" s="26">
        <v>5.0999999999999997E-2</v>
      </c>
      <c r="I328" s="26">
        <v>0.622</v>
      </c>
      <c r="J328" s="31">
        <v>7.2999999999999995E-2</v>
      </c>
      <c r="K328" s="31">
        <v>9.9989999999999996E-4</v>
      </c>
    </row>
    <row r="329" spans="1:18">
      <c r="A329" s="15">
        <v>5</v>
      </c>
      <c r="B329" s="22">
        <v>39763</v>
      </c>
      <c r="C329" s="15">
        <v>2008</v>
      </c>
      <c r="D329" s="11" t="s">
        <v>38</v>
      </c>
      <c r="E329" s="15">
        <v>11</v>
      </c>
      <c r="F329" s="26">
        <v>1.7749999999999999</v>
      </c>
      <c r="G329" s="26">
        <v>1.2E-2</v>
      </c>
      <c r="H329" s="26">
        <v>9.9989999999999996E-4</v>
      </c>
      <c r="I329" s="26">
        <v>0.29399999999999998</v>
      </c>
      <c r="J329" s="31">
        <v>2.8000000000000001E-2</v>
      </c>
      <c r="K329" s="31">
        <v>9.9989999999999996E-4</v>
      </c>
    </row>
    <row r="330" spans="1:18">
      <c r="A330" s="15">
        <v>7</v>
      </c>
      <c r="B330" s="22">
        <v>39769</v>
      </c>
      <c r="C330" s="15">
        <v>2008</v>
      </c>
      <c r="D330" s="11" t="s">
        <v>38</v>
      </c>
      <c r="E330" s="15">
        <v>11</v>
      </c>
      <c r="F330" s="26">
        <v>4.7770000000000001</v>
      </c>
      <c r="G330" s="26">
        <v>0.113</v>
      </c>
      <c r="H330" s="26">
        <v>9.9989999999999996E-4</v>
      </c>
      <c r="I330" s="26">
        <v>1.121</v>
      </c>
      <c r="J330" s="31">
        <v>1.2999999999999999E-2</v>
      </c>
      <c r="K330" s="31">
        <v>9.9989999999999996E-4</v>
      </c>
    </row>
    <row r="331" spans="1:18">
      <c r="A331" s="15">
        <v>14</v>
      </c>
      <c r="B331" s="22">
        <v>39769</v>
      </c>
      <c r="C331" s="15">
        <v>2008</v>
      </c>
      <c r="D331" s="11" t="s">
        <v>38</v>
      </c>
      <c r="E331" s="15">
        <v>11</v>
      </c>
      <c r="F331" s="26">
        <v>1.095</v>
      </c>
      <c r="G331" s="26">
        <v>2.1000000000000001E-2</v>
      </c>
      <c r="H331" s="26">
        <v>9.9989999999999996E-4</v>
      </c>
      <c r="I331" s="26">
        <v>0.17299999999999999</v>
      </c>
      <c r="J331" s="31">
        <v>6.0000000000000001E-3</v>
      </c>
      <c r="K331" s="31">
        <v>9.9989999999999996E-4</v>
      </c>
    </row>
    <row r="332" spans="1:18">
      <c r="A332" s="15">
        <v>5</v>
      </c>
      <c r="B332" s="22">
        <v>39434</v>
      </c>
      <c r="C332" s="15">
        <v>2008</v>
      </c>
      <c r="D332" s="11" t="s">
        <v>39</v>
      </c>
      <c r="E332" s="15">
        <v>12</v>
      </c>
      <c r="F332" s="26">
        <v>3.83</v>
      </c>
      <c r="G332" s="26">
        <v>0.13200000000000001</v>
      </c>
      <c r="H332" s="26">
        <v>9.9989999999999996E-4</v>
      </c>
      <c r="I332" s="26">
        <v>1.044</v>
      </c>
      <c r="J332" s="31">
        <v>2.7E-2</v>
      </c>
      <c r="K332" s="31">
        <v>9.9989999999999996E-4</v>
      </c>
    </row>
    <row r="333" spans="1:18">
      <c r="A333" s="15">
        <v>7</v>
      </c>
      <c r="B333" s="22">
        <v>39797</v>
      </c>
      <c r="C333" s="15">
        <v>2008</v>
      </c>
      <c r="D333" s="11" t="s">
        <v>39</v>
      </c>
      <c r="E333" s="15">
        <v>12</v>
      </c>
      <c r="F333" s="26">
        <v>2.895</v>
      </c>
      <c r="G333" s="26">
        <v>0.39</v>
      </c>
      <c r="H333" s="26">
        <v>9.9989999999999996E-4</v>
      </c>
      <c r="I333" s="26">
        <v>0.55700000000000005</v>
      </c>
      <c r="J333" s="31">
        <v>6.0000000000000001E-3</v>
      </c>
      <c r="K333" s="31">
        <v>9.9989999999999996E-4</v>
      </c>
    </row>
    <row r="334" spans="1:18" ht="25.5">
      <c r="A334" s="15">
        <v>14</v>
      </c>
      <c r="B334" s="22">
        <v>39797</v>
      </c>
      <c r="C334" s="15">
        <v>2008</v>
      </c>
      <c r="D334" s="11" t="s">
        <v>39</v>
      </c>
      <c r="E334" s="15">
        <v>12</v>
      </c>
      <c r="F334" s="26">
        <v>2.363</v>
      </c>
      <c r="G334" s="26">
        <v>0.221</v>
      </c>
      <c r="H334" s="26">
        <v>9.9989999999999996E-4</v>
      </c>
      <c r="I334" s="26">
        <v>0.60099999999999998</v>
      </c>
      <c r="J334" s="31">
        <v>6.0000000000000001E-3</v>
      </c>
      <c r="K334" s="31">
        <v>9.9989999999999996E-4</v>
      </c>
      <c r="L334" s="35" t="s">
        <v>44</v>
      </c>
      <c r="M334" s="6" t="s">
        <v>7</v>
      </c>
      <c r="N334" s="6" t="s">
        <v>8</v>
      </c>
      <c r="O334" s="6" t="s">
        <v>9</v>
      </c>
      <c r="P334" s="6" t="s">
        <v>10</v>
      </c>
      <c r="Q334" s="6" t="s">
        <v>11</v>
      </c>
      <c r="R334" s="6" t="s">
        <v>12</v>
      </c>
    </row>
    <row r="335" spans="1:18">
      <c r="A335" s="46">
        <v>5</v>
      </c>
      <c r="B335" s="53">
        <v>39825</v>
      </c>
      <c r="C335" s="46">
        <v>2009</v>
      </c>
      <c r="D335" s="43" t="s">
        <v>40</v>
      </c>
      <c r="E335" s="41">
        <v>1</v>
      </c>
      <c r="F335" s="60">
        <v>4.41</v>
      </c>
      <c r="G335" s="60">
        <v>0.11899999999999999</v>
      </c>
      <c r="H335" s="60">
        <v>0.03</v>
      </c>
      <c r="I335" s="60">
        <v>1.1100000000000001</v>
      </c>
      <c r="J335" s="58">
        <v>4.2999999999999997E-2</v>
      </c>
      <c r="K335" s="58">
        <v>9.9989999999999996E-4</v>
      </c>
      <c r="L335" s="35" t="s">
        <v>55</v>
      </c>
      <c r="M335" s="27">
        <f t="shared" ref="M335:R335" si="6">AVERAGE(F335:F370)</f>
        <v>8.6750277777777782</v>
      </c>
      <c r="N335" s="27">
        <f t="shared" si="6"/>
        <v>0.8670833333333331</v>
      </c>
      <c r="O335" s="27">
        <f t="shared" si="6"/>
        <v>7.6527722222222205E-2</v>
      </c>
      <c r="P335" s="27">
        <f t="shared" si="6"/>
        <v>1.2288333333333337</v>
      </c>
      <c r="Q335" s="27">
        <f t="shared" si="6"/>
        <v>0.19008332777777776</v>
      </c>
      <c r="R335" s="27">
        <f t="shared" si="6"/>
        <v>1.3610249999999992E-3</v>
      </c>
    </row>
    <row r="336" spans="1:18">
      <c r="A336" s="15">
        <v>7</v>
      </c>
      <c r="B336" s="22">
        <v>39826</v>
      </c>
      <c r="C336" s="15">
        <v>2009</v>
      </c>
      <c r="D336" s="11" t="s">
        <v>40</v>
      </c>
      <c r="E336" s="12">
        <v>1</v>
      </c>
      <c r="F336" s="26">
        <v>4.9820000000000002</v>
      </c>
      <c r="G336" s="26">
        <v>0.20899999999999999</v>
      </c>
      <c r="H336" s="26">
        <v>9.9989999999999996E-4</v>
      </c>
      <c r="I336" s="26">
        <v>0.45600000000000002</v>
      </c>
      <c r="J336" s="31">
        <v>1.2999999999999999E-2</v>
      </c>
      <c r="K336" s="31">
        <v>9.9989999999999996E-4</v>
      </c>
    </row>
    <row r="337" spans="1:11">
      <c r="A337" s="15">
        <v>14</v>
      </c>
      <c r="B337" s="22">
        <v>39826</v>
      </c>
      <c r="C337" s="15">
        <v>2009</v>
      </c>
      <c r="D337" s="11" t="s">
        <v>40</v>
      </c>
      <c r="E337" s="12">
        <v>1</v>
      </c>
      <c r="F337" s="26">
        <v>2.9969999999999999</v>
      </c>
      <c r="G337" s="26">
        <v>0.107</v>
      </c>
      <c r="H337" s="26">
        <v>9.9989999999999996E-4</v>
      </c>
      <c r="I337" s="26">
        <v>0.41899999999999998</v>
      </c>
      <c r="J337" s="31">
        <v>8.9999999999999993E-3</v>
      </c>
      <c r="K337" s="31">
        <v>9.9989999999999996E-4</v>
      </c>
    </row>
    <row r="338" spans="1:11">
      <c r="A338" s="12">
        <v>5</v>
      </c>
      <c r="B338" s="22">
        <v>39854</v>
      </c>
      <c r="C338" s="15">
        <v>2009</v>
      </c>
      <c r="D338" s="11" t="s">
        <v>29</v>
      </c>
      <c r="E338" s="12">
        <v>2</v>
      </c>
      <c r="F338" s="26">
        <v>3.5470000000000002</v>
      </c>
      <c r="G338" s="26">
        <v>2.9000000000000001E-2</v>
      </c>
      <c r="H338" s="26">
        <v>1E-3</v>
      </c>
      <c r="I338" s="26">
        <v>1.0589999999999999</v>
      </c>
      <c r="J338" s="31">
        <v>0.02</v>
      </c>
      <c r="K338" s="31">
        <v>9.9989999999999996E-4</v>
      </c>
    </row>
    <row r="339" spans="1:11">
      <c r="A339" s="12">
        <v>7</v>
      </c>
      <c r="B339" s="22">
        <v>39855</v>
      </c>
      <c r="C339" s="15">
        <v>2009</v>
      </c>
      <c r="D339" s="11" t="s">
        <v>29</v>
      </c>
      <c r="E339" s="12">
        <v>2</v>
      </c>
      <c r="F339" s="26">
        <v>4.4909999999999997</v>
      </c>
      <c r="G339" s="26">
        <v>0.112</v>
      </c>
      <c r="H339" s="26">
        <v>9.9989999999999996E-4</v>
      </c>
      <c r="I339" s="26">
        <v>1.1919999999999999</v>
      </c>
      <c r="J339" s="31">
        <v>1.9E-2</v>
      </c>
      <c r="K339" s="31">
        <v>9.9989999999999996E-4</v>
      </c>
    </row>
    <row r="340" spans="1:11">
      <c r="A340" s="12">
        <v>14</v>
      </c>
      <c r="B340" s="22">
        <v>39855</v>
      </c>
      <c r="C340" s="15">
        <v>2009</v>
      </c>
      <c r="D340" s="11" t="s">
        <v>29</v>
      </c>
      <c r="E340" s="12">
        <v>2</v>
      </c>
      <c r="F340" s="26">
        <v>3.9569999999999999</v>
      </c>
      <c r="G340" s="26">
        <v>1.6E-2</v>
      </c>
      <c r="H340" s="26">
        <v>9.9989999999999996E-4</v>
      </c>
      <c r="I340" s="26">
        <v>1.127</v>
      </c>
      <c r="J340" s="31">
        <v>1.0999999999999999E-2</v>
      </c>
      <c r="K340" s="31">
        <v>9.9989999999999996E-4</v>
      </c>
    </row>
    <row r="341" spans="1:11">
      <c r="A341" s="12">
        <v>5</v>
      </c>
      <c r="B341" s="22">
        <v>39890</v>
      </c>
      <c r="C341" s="15">
        <v>2009</v>
      </c>
      <c r="D341" s="11" t="s">
        <v>30</v>
      </c>
      <c r="E341" s="12">
        <v>3</v>
      </c>
      <c r="F341" s="26">
        <v>6.4729999999999999</v>
      </c>
      <c r="G341" s="26">
        <v>3.6999999999999998E-2</v>
      </c>
      <c r="H341" s="26">
        <v>2.5999999999999999E-2</v>
      </c>
      <c r="I341" s="26">
        <v>2.871</v>
      </c>
      <c r="J341" s="31">
        <v>4.7E-2</v>
      </c>
      <c r="K341" s="31">
        <v>9.9989999999999996E-4</v>
      </c>
    </row>
    <row r="342" spans="1:11">
      <c r="A342" s="12">
        <v>7</v>
      </c>
      <c r="B342" s="22">
        <v>39888</v>
      </c>
      <c r="C342" s="15">
        <v>2009</v>
      </c>
      <c r="D342" s="11" t="s">
        <v>30</v>
      </c>
      <c r="E342" s="12">
        <v>3</v>
      </c>
      <c r="F342" s="26">
        <v>4.806</v>
      </c>
      <c r="G342" s="26">
        <v>0.14599999999999999</v>
      </c>
      <c r="H342" s="26">
        <v>1E-3</v>
      </c>
      <c r="I342" s="26">
        <v>0.60499999999999998</v>
      </c>
      <c r="J342" s="31">
        <v>3.9E-2</v>
      </c>
      <c r="K342" s="31">
        <v>9.9989999999999996E-4</v>
      </c>
    </row>
    <row r="343" spans="1:11">
      <c r="A343" s="12">
        <v>14</v>
      </c>
      <c r="B343" s="22">
        <v>39888</v>
      </c>
      <c r="C343" s="15">
        <v>2009</v>
      </c>
      <c r="D343" s="11" t="s">
        <v>30</v>
      </c>
      <c r="E343" s="12">
        <v>3</v>
      </c>
      <c r="F343" s="26">
        <v>2.1040000000000001</v>
      </c>
      <c r="G343" s="26">
        <v>0.08</v>
      </c>
      <c r="H343" s="26">
        <v>9.9989999999999996E-4</v>
      </c>
      <c r="I343" s="26">
        <v>0.498</v>
      </c>
      <c r="J343" s="31">
        <v>0.01</v>
      </c>
      <c r="K343" s="31">
        <v>9.9989999999999996E-4</v>
      </c>
    </row>
    <row r="344" spans="1:11">
      <c r="A344" s="12">
        <v>5</v>
      </c>
      <c r="B344" s="22">
        <v>39920</v>
      </c>
      <c r="C344" s="15">
        <v>2009</v>
      </c>
      <c r="D344" s="11" t="s">
        <v>31</v>
      </c>
      <c r="E344" s="12">
        <v>4</v>
      </c>
      <c r="F344" s="26">
        <v>2.0179999999999998</v>
      </c>
      <c r="G344" s="26">
        <v>1.9E-2</v>
      </c>
      <c r="H344" s="26">
        <v>1E-3</v>
      </c>
      <c r="I344" s="26">
        <v>0.44500000000000001</v>
      </c>
      <c r="J344" s="31">
        <v>0.02</v>
      </c>
      <c r="K344" s="31">
        <v>9.9989999999999996E-4</v>
      </c>
    </row>
    <row r="345" spans="1:11">
      <c r="A345" s="12">
        <v>7</v>
      </c>
      <c r="B345" s="22">
        <v>39916</v>
      </c>
      <c r="C345" s="15">
        <v>2009</v>
      </c>
      <c r="D345" s="11" t="s">
        <v>31</v>
      </c>
      <c r="E345" s="12">
        <v>4</v>
      </c>
      <c r="F345" s="26">
        <v>2.2160000000000002</v>
      </c>
      <c r="G345" s="26">
        <v>0.126</v>
      </c>
      <c r="H345" s="26">
        <v>9.9989999999999996E-4</v>
      </c>
      <c r="I345" s="26">
        <v>0.123</v>
      </c>
      <c r="J345" s="31">
        <v>1.0999999999999999E-2</v>
      </c>
      <c r="K345" s="31">
        <v>9.9989999999999996E-4</v>
      </c>
    </row>
    <row r="346" spans="1:11">
      <c r="A346" s="12">
        <v>14</v>
      </c>
      <c r="B346" s="22">
        <v>39916</v>
      </c>
      <c r="C346" s="15">
        <v>2009</v>
      </c>
      <c r="D346" s="11" t="s">
        <v>31</v>
      </c>
      <c r="E346" s="12">
        <v>4</v>
      </c>
      <c r="F346" s="26">
        <v>1.155</v>
      </c>
      <c r="G346" s="26">
        <v>1.4E-2</v>
      </c>
      <c r="H346" s="26">
        <v>9.9989999999999996E-4</v>
      </c>
      <c r="I346" s="26">
        <v>0.126</v>
      </c>
      <c r="J346" s="31">
        <v>1.4E-2</v>
      </c>
      <c r="K346" s="31">
        <v>9.9989999999999996E-4</v>
      </c>
    </row>
    <row r="347" spans="1:11">
      <c r="A347" s="12">
        <v>5</v>
      </c>
      <c r="B347" s="22">
        <v>39945</v>
      </c>
      <c r="C347" s="15">
        <v>2009</v>
      </c>
      <c r="D347" s="11" t="s">
        <v>32</v>
      </c>
      <c r="E347" s="12">
        <v>5</v>
      </c>
      <c r="F347" s="26">
        <v>2.8839999999999999</v>
      </c>
      <c r="G347" s="26">
        <v>0.17699999999999999</v>
      </c>
      <c r="H347" s="26">
        <v>7.5999999999999998E-2</v>
      </c>
      <c r="I347" s="26">
        <v>0.65800000000000003</v>
      </c>
      <c r="J347" s="31">
        <v>2.8000000000000001E-2</v>
      </c>
      <c r="K347" s="31">
        <v>9.9989999999999996E-4</v>
      </c>
    </row>
    <row r="348" spans="1:11">
      <c r="A348" s="12">
        <v>7</v>
      </c>
      <c r="B348" s="22">
        <v>39946</v>
      </c>
      <c r="C348" s="15">
        <v>2009</v>
      </c>
      <c r="D348" s="11" t="s">
        <v>32</v>
      </c>
      <c r="E348" s="12">
        <v>5</v>
      </c>
      <c r="F348" s="26">
        <v>2.2050000000000001</v>
      </c>
      <c r="G348" s="26">
        <v>6.7000000000000004E-2</v>
      </c>
      <c r="H348" s="26">
        <v>9.9989999999999996E-4</v>
      </c>
      <c r="I348" s="26">
        <v>0.35499999999999998</v>
      </c>
      <c r="J348" s="31">
        <v>5.0000000000000001E-3</v>
      </c>
      <c r="K348" s="31">
        <v>9.9989999999999996E-4</v>
      </c>
    </row>
    <row r="349" spans="1:11">
      <c r="A349" s="12">
        <v>14</v>
      </c>
      <c r="B349" s="22">
        <v>39946</v>
      </c>
      <c r="C349" s="15">
        <v>2009</v>
      </c>
      <c r="D349" s="11" t="s">
        <v>32</v>
      </c>
      <c r="E349" s="12">
        <v>5</v>
      </c>
      <c r="F349" s="26">
        <v>0.94399999999999995</v>
      </c>
      <c r="G349" s="26">
        <v>1.2E-2</v>
      </c>
      <c r="H349" s="26">
        <v>9.9989999999999996E-4</v>
      </c>
      <c r="I349" s="26">
        <v>0.16900000000000001</v>
      </c>
      <c r="J349" s="31">
        <v>9.9989999999999996E-4</v>
      </c>
      <c r="K349" s="31">
        <v>9.9989999999999996E-4</v>
      </c>
    </row>
    <row r="350" spans="1:11">
      <c r="A350" s="15">
        <v>5</v>
      </c>
      <c r="B350" s="22">
        <v>39980</v>
      </c>
      <c r="C350" s="15">
        <v>2009</v>
      </c>
      <c r="D350" s="11" t="s">
        <v>33</v>
      </c>
      <c r="E350" s="12">
        <v>6</v>
      </c>
      <c r="F350" s="26">
        <v>22.056999999999999</v>
      </c>
      <c r="G350" s="26">
        <v>2.5999999999999999E-2</v>
      </c>
      <c r="H350" s="26">
        <v>2.5270000000000001</v>
      </c>
      <c r="I350" s="26">
        <v>9.5510000000000002</v>
      </c>
      <c r="J350" s="31">
        <v>0.42499999999999999</v>
      </c>
      <c r="K350" s="31">
        <v>8.9999999999999993E-3</v>
      </c>
    </row>
    <row r="351" spans="1:11">
      <c r="A351" s="15">
        <v>7</v>
      </c>
      <c r="B351" s="22">
        <v>39983</v>
      </c>
      <c r="C351" s="15">
        <v>2009</v>
      </c>
      <c r="D351" s="11" t="s">
        <v>33</v>
      </c>
      <c r="E351" s="12">
        <v>6</v>
      </c>
      <c r="F351" s="26">
        <v>5.6120000000000001</v>
      </c>
      <c r="G351" s="26">
        <v>0.24099999999999999</v>
      </c>
      <c r="H351" s="26">
        <v>1E-3</v>
      </c>
      <c r="I351" s="26">
        <v>0.98899999999999999</v>
      </c>
      <c r="J351" s="31">
        <v>7.6999999999999999E-2</v>
      </c>
      <c r="K351" s="31">
        <v>9.9989999999999996E-4</v>
      </c>
    </row>
    <row r="352" spans="1:11">
      <c r="A352" s="15">
        <v>14</v>
      </c>
      <c r="B352" s="22">
        <v>39983</v>
      </c>
      <c r="C352" s="15">
        <v>2009</v>
      </c>
      <c r="D352" s="11" t="s">
        <v>33</v>
      </c>
      <c r="E352" s="12">
        <v>6</v>
      </c>
      <c r="F352" s="26">
        <v>4.7190000000000003</v>
      </c>
      <c r="G352" s="26">
        <v>0.17399999999999999</v>
      </c>
      <c r="H352" s="26">
        <v>1E-3</v>
      </c>
      <c r="I352" s="26">
        <v>1.0549999999999999</v>
      </c>
      <c r="J352" s="31">
        <v>7.0999999999999994E-2</v>
      </c>
      <c r="K352" s="31">
        <v>9.9989999999999996E-4</v>
      </c>
    </row>
    <row r="353" spans="1:11">
      <c r="A353" s="15">
        <v>5</v>
      </c>
      <c r="B353" s="22">
        <v>40007</v>
      </c>
      <c r="C353" s="15">
        <v>2009</v>
      </c>
      <c r="D353" s="11" t="s">
        <v>34</v>
      </c>
      <c r="E353" s="12">
        <v>7</v>
      </c>
      <c r="F353" s="26">
        <v>13.250999999999999</v>
      </c>
      <c r="G353" s="26">
        <v>0.24299999999999999</v>
      </c>
      <c r="H353" s="26">
        <v>6.5000000000000002E-2</v>
      </c>
      <c r="I353" s="26">
        <v>1.788</v>
      </c>
      <c r="J353" s="31">
        <v>2.4020000000000001</v>
      </c>
      <c r="K353" s="31">
        <v>1E-3</v>
      </c>
    </row>
    <row r="354" spans="1:11">
      <c r="A354" s="15">
        <v>7</v>
      </c>
      <c r="B354" s="22">
        <v>40007</v>
      </c>
      <c r="C354" s="15">
        <v>2009</v>
      </c>
      <c r="D354" s="11" t="s">
        <v>34</v>
      </c>
      <c r="E354" s="12">
        <v>7</v>
      </c>
      <c r="F354" s="26">
        <v>9.6219999999999999</v>
      </c>
      <c r="G354" s="26">
        <v>1.512</v>
      </c>
      <c r="H354" s="26">
        <v>1E-3</v>
      </c>
      <c r="I354" s="26">
        <v>1.2230000000000001</v>
      </c>
      <c r="J354" s="31">
        <v>0.114</v>
      </c>
      <c r="K354" s="31">
        <v>1E-3</v>
      </c>
    </row>
    <row r="355" spans="1:11">
      <c r="A355" s="15">
        <v>14</v>
      </c>
      <c r="B355" s="22">
        <v>40007</v>
      </c>
      <c r="C355" s="15">
        <v>2009</v>
      </c>
      <c r="D355" s="11" t="s">
        <v>34</v>
      </c>
      <c r="E355" s="12">
        <v>7</v>
      </c>
      <c r="F355" s="26">
        <v>5.0369999999999999</v>
      </c>
      <c r="G355" s="26">
        <v>0.39900000000000002</v>
      </c>
      <c r="H355" s="26">
        <v>1E-3</v>
      </c>
      <c r="I355" s="26">
        <v>0.75800000000000001</v>
      </c>
      <c r="J355" s="31">
        <v>8.4000000000000005E-2</v>
      </c>
      <c r="K355" s="31">
        <v>6.0000000000000001E-3</v>
      </c>
    </row>
    <row r="356" spans="1:11">
      <c r="A356" s="15">
        <v>5</v>
      </c>
      <c r="B356" s="22">
        <v>40043</v>
      </c>
      <c r="C356" s="15">
        <v>2009</v>
      </c>
      <c r="D356" s="11" t="s">
        <v>35</v>
      </c>
      <c r="E356" s="12">
        <v>8</v>
      </c>
      <c r="F356" s="26">
        <v>13.522</v>
      </c>
      <c r="G356" s="26">
        <v>0.17100000000000001</v>
      </c>
      <c r="H356" s="26">
        <v>9.9989999999999996E-4</v>
      </c>
      <c r="I356" s="26">
        <v>3.2080000000000002</v>
      </c>
      <c r="J356" s="31">
        <v>1.3779999999999999</v>
      </c>
      <c r="K356" s="31">
        <v>1E-3</v>
      </c>
    </row>
    <row r="357" spans="1:11">
      <c r="A357" s="15">
        <v>7</v>
      </c>
      <c r="B357" s="22">
        <v>40042</v>
      </c>
      <c r="C357" s="15">
        <v>2009</v>
      </c>
      <c r="D357" s="11" t="s">
        <v>35</v>
      </c>
      <c r="E357" s="12">
        <v>8</v>
      </c>
      <c r="F357" s="26">
        <v>73.146000000000001</v>
      </c>
      <c r="G357" s="26">
        <v>21.587</v>
      </c>
      <c r="H357" s="26">
        <v>9.9989999999999996E-4</v>
      </c>
      <c r="I357" s="26">
        <v>2.2090000000000001</v>
      </c>
      <c r="J357" s="31">
        <v>0.64800000000000002</v>
      </c>
      <c r="K357" s="31">
        <v>9.9989999999999996E-4</v>
      </c>
    </row>
    <row r="358" spans="1:11">
      <c r="A358" s="15">
        <v>14</v>
      </c>
      <c r="B358" s="22">
        <v>40042</v>
      </c>
      <c r="C358" s="15">
        <v>2009</v>
      </c>
      <c r="D358" s="11" t="s">
        <v>35</v>
      </c>
      <c r="E358" s="12">
        <v>8</v>
      </c>
      <c r="F358" s="26">
        <v>16.117999999999999</v>
      </c>
      <c r="G358" s="26">
        <v>2.3130000000000002</v>
      </c>
      <c r="H358" s="26">
        <v>1E-3</v>
      </c>
      <c r="I358" s="26">
        <v>0.86599999999999999</v>
      </c>
      <c r="J358" s="31">
        <v>0.68</v>
      </c>
      <c r="K358" s="31">
        <v>9.9989999999999996E-4</v>
      </c>
    </row>
    <row r="359" spans="1:11">
      <c r="A359" s="15">
        <v>5</v>
      </c>
      <c r="B359" s="22">
        <v>40070</v>
      </c>
      <c r="C359" s="15">
        <v>2009</v>
      </c>
      <c r="D359" s="11" t="s">
        <v>41</v>
      </c>
      <c r="E359" s="12">
        <v>9</v>
      </c>
      <c r="F359" s="26">
        <v>7.6310000000000002</v>
      </c>
      <c r="G359" s="26">
        <v>7.2999999999999995E-2</v>
      </c>
      <c r="H359" s="26">
        <v>1E-3</v>
      </c>
      <c r="I359" s="26">
        <v>1.6020000000000001</v>
      </c>
      <c r="J359" s="31">
        <v>0.17499999999999999</v>
      </c>
      <c r="K359" s="31">
        <v>9.9989999999999996E-4</v>
      </c>
    </row>
    <row r="360" spans="1:11">
      <c r="A360" s="15">
        <v>7</v>
      </c>
      <c r="B360" s="22">
        <v>40071</v>
      </c>
      <c r="C360" s="15">
        <v>2009</v>
      </c>
      <c r="D360" s="11" t="s">
        <v>41</v>
      </c>
      <c r="E360" s="12">
        <v>9</v>
      </c>
      <c r="F360" s="26">
        <v>18.936</v>
      </c>
      <c r="G360" s="26">
        <v>0.627</v>
      </c>
      <c r="H360" s="26">
        <v>1E-3</v>
      </c>
      <c r="I360" s="26">
        <v>3.0049999999999999</v>
      </c>
      <c r="J360" s="31">
        <v>0.16800000000000001</v>
      </c>
      <c r="K360" s="31">
        <v>9.9989999999999996E-4</v>
      </c>
    </row>
    <row r="361" spans="1:11">
      <c r="A361" s="15">
        <v>14</v>
      </c>
      <c r="B361" s="22">
        <v>40071</v>
      </c>
      <c r="C361" s="15">
        <v>2009</v>
      </c>
      <c r="D361" s="11" t="s">
        <v>41</v>
      </c>
      <c r="E361" s="12">
        <v>9</v>
      </c>
      <c r="F361" s="26">
        <v>15.295999999999999</v>
      </c>
      <c r="G361" s="26">
        <v>0.157</v>
      </c>
      <c r="H361" s="26">
        <v>9.9989999999999996E-4</v>
      </c>
      <c r="I361" s="26">
        <v>2.7149999999999999</v>
      </c>
      <c r="J361" s="31">
        <v>0.121</v>
      </c>
      <c r="K361" s="31">
        <v>9.9989999999999996E-4</v>
      </c>
    </row>
    <row r="362" spans="1:11">
      <c r="A362" s="15">
        <v>5</v>
      </c>
      <c r="B362" s="22">
        <v>40099</v>
      </c>
      <c r="C362" s="15">
        <v>2009</v>
      </c>
      <c r="D362" s="11" t="s">
        <v>37</v>
      </c>
      <c r="E362" s="12">
        <v>10</v>
      </c>
      <c r="F362" s="26">
        <v>6.7610000000000001</v>
      </c>
      <c r="G362" s="26">
        <v>0.23499999999999999</v>
      </c>
      <c r="H362" s="26">
        <v>1E-3</v>
      </c>
      <c r="I362" s="26">
        <v>0.90900000000000003</v>
      </c>
      <c r="J362" s="31">
        <v>0.106</v>
      </c>
      <c r="K362" s="31">
        <v>9.9989999999999996E-4</v>
      </c>
    </row>
    <row r="363" spans="1:11">
      <c r="A363" s="15">
        <v>7</v>
      </c>
      <c r="B363" s="22">
        <v>40100</v>
      </c>
      <c r="C363" s="15">
        <v>2009</v>
      </c>
      <c r="D363" s="11" t="s">
        <v>37</v>
      </c>
      <c r="E363" s="12">
        <v>10</v>
      </c>
      <c r="F363" s="26">
        <v>4.1459999999999999</v>
      </c>
      <c r="G363" s="26">
        <v>0.53200000000000003</v>
      </c>
      <c r="H363" s="26">
        <v>9.9989999999999996E-4</v>
      </c>
      <c r="I363" s="26">
        <v>0.36499999999999999</v>
      </c>
      <c r="J363" s="31">
        <v>1.2999999999999999E-2</v>
      </c>
      <c r="K363" s="31">
        <v>9.9989999999999996E-4</v>
      </c>
    </row>
    <row r="364" spans="1:11">
      <c r="A364" s="15">
        <v>14</v>
      </c>
      <c r="B364" s="22">
        <v>40100</v>
      </c>
      <c r="C364" s="15">
        <v>2009</v>
      </c>
      <c r="D364" s="11" t="s">
        <v>37</v>
      </c>
      <c r="E364" s="12">
        <v>10</v>
      </c>
      <c r="F364" s="26">
        <v>0.84099999999999997</v>
      </c>
      <c r="G364" s="26">
        <v>2.8000000000000001E-2</v>
      </c>
      <c r="H364" s="26">
        <v>9.9989999999999996E-4</v>
      </c>
      <c r="I364" s="26">
        <v>0.115</v>
      </c>
      <c r="J364" s="31">
        <v>4.0000000000000001E-3</v>
      </c>
      <c r="K364" s="31">
        <v>9.9989999999999996E-4</v>
      </c>
    </row>
    <row r="365" spans="1:11">
      <c r="A365" s="15">
        <v>5</v>
      </c>
      <c r="B365" s="22">
        <v>40133</v>
      </c>
      <c r="C365" s="15">
        <v>2009</v>
      </c>
      <c r="D365" s="11" t="s">
        <v>38</v>
      </c>
      <c r="E365" s="12">
        <v>11</v>
      </c>
      <c r="F365" s="26">
        <v>3.4159999999999999</v>
      </c>
      <c r="G365" s="26">
        <v>0.153</v>
      </c>
      <c r="H365" s="26">
        <v>9.9989999999999996E-4</v>
      </c>
      <c r="I365" s="26">
        <v>0.90100000000000002</v>
      </c>
      <c r="J365" s="31">
        <v>3.2000000000000001E-2</v>
      </c>
      <c r="K365" s="31">
        <v>9.9989999999999996E-4</v>
      </c>
    </row>
    <row r="366" spans="1:11">
      <c r="A366" s="15">
        <v>7</v>
      </c>
      <c r="B366" s="22">
        <v>40133</v>
      </c>
      <c r="C366" s="15">
        <v>2009</v>
      </c>
      <c r="D366" s="11" t="s">
        <v>38</v>
      </c>
      <c r="E366" s="12">
        <v>11</v>
      </c>
      <c r="F366" s="26">
        <v>1.85</v>
      </c>
      <c r="G366" s="26">
        <v>5.2999999999999999E-2</v>
      </c>
      <c r="H366" s="26">
        <v>9.9989999999999996E-4</v>
      </c>
      <c r="I366" s="26">
        <v>0.46500000000000002</v>
      </c>
      <c r="J366" s="31">
        <v>1.6E-2</v>
      </c>
      <c r="K366" s="31">
        <v>9.9989999999999996E-4</v>
      </c>
    </row>
    <row r="367" spans="1:11">
      <c r="A367" s="15">
        <v>14</v>
      </c>
      <c r="B367" s="22">
        <v>40133</v>
      </c>
      <c r="C367" s="15">
        <v>2009</v>
      </c>
      <c r="D367" s="11" t="s">
        <v>38</v>
      </c>
      <c r="E367" s="12">
        <v>11</v>
      </c>
      <c r="F367" s="26">
        <v>2.5369999999999999</v>
      </c>
      <c r="G367" s="26">
        <v>0.24299999999999999</v>
      </c>
      <c r="H367" s="26">
        <v>9.9989999999999996E-4</v>
      </c>
      <c r="I367" s="26">
        <v>0.49199999999999999</v>
      </c>
      <c r="J367" s="31">
        <v>1.6E-2</v>
      </c>
      <c r="K367" s="31">
        <v>9.9989999999999996E-4</v>
      </c>
    </row>
    <row r="368" spans="1:11">
      <c r="A368" s="15">
        <v>5</v>
      </c>
      <c r="B368" s="22">
        <v>40161</v>
      </c>
      <c r="C368" s="15">
        <v>2009</v>
      </c>
      <c r="D368" s="11" t="s">
        <v>39</v>
      </c>
      <c r="E368" s="12">
        <v>12</v>
      </c>
      <c r="F368" s="26">
        <v>2.4079999999999999</v>
      </c>
      <c r="G368" s="26">
        <v>0.14199999999999999</v>
      </c>
      <c r="H368" s="26">
        <v>9.9989999999999996E-4</v>
      </c>
      <c r="I368" s="61">
        <v>0.33500000000000002</v>
      </c>
      <c r="J368" s="31">
        <v>1.0999999999999999E-2</v>
      </c>
      <c r="K368" s="31">
        <v>9.9989999999999996E-4</v>
      </c>
    </row>
    <row r="369" spans="1:18">
      <c r="A369" s="15">
        <v>7</v>
      </c>
      <c r="B369" s="22">
        <v>40161</v>
      </c>
      <c r="C369" s="15">
        <v>2009</v>
      </c>
      <c r="D369" s="11" t="s">
        <v>39</v>
      </c>
      <c r="E369" s="12">
        <v>12</v>
      </c>
      <c r="F369" s="26">
        <v>33.402000000000001</v>
      </c>
      <c r="G369" s="26">
        <v>0.91400000000000003</v>
      </c>
      <c r="H369" s="26">
        <v>9.9989999999999996E-4</v>
      </c>
      <c r="I369" s="61">
        <v>0.182</v>
      </c>
      <c r="J369" s="31">
        <v>9.9989999999999996E-4</v>
      </c>
      <c r="K369" s="31">
        <v>9.9989999999999996E-4</v>
      </c>
    </row>
    <row r="370" spans="1:18" ht="25.5">
      <c r="A370" s="15">
        <v>14</v>
      </c>
      <c r="B370" s="22">
        <v>40161</v>
      </c>
      <c r="C370" s="15">
        <v>2009</v>
      </c>
      <c r="D370" s="11" t="s">
        <v>39</v>
      </c>
      <c r="E370" s="12">
        <v>12</v>
      </c>
      <c r="F370" s="26">
        <v>2.8039999999999998</v>
      </c>
      <c r="G370" s="26">
        <v>0.122</v>
      </c>
      <c r="H370" s="26">
        <v>9.9989999999999996E-4</v>
      </c>
      <c r="I370" s="61">
        <v>0.29199999999999998</v>
      </c>
      <c r="J370" s="31">
        <v>1.0999999999999999E-2</v>
      </c>
      <c r="K370" s="31">
        <v>9.9989999999999996E-4</v>
      </c>
      <c r="L370" s="35" t="s">
        <v>43</v>
      </c>
      <c r="M370" s="6" t="s">
        <v>7</v>
      </c>
      <c r="N370" s="6" t="s">
        <v>8</v>
      </c>
      <c r="O370" s="6" t="s">
        <v>9</v>
      </c>
      <c r="P370" s="6" t="s">
        <v>10</v>
      </c>
      <c r="Q370" s="6" t="s">
        <v>11</v>
      </c>
      <c r="R370" s="6" t="s">
        <v>12</v>
      </c>
    </row>
    <row r="371" spans="1:18">
      <c r="A371" s="46">
        <v>5</v>
      </c>
      <c r="B371" s="50">
        <v>40197</v>
      </c>
      <c r="C371" s="46">
        <v>2010</v>
      </c>
      <c r="D371" s="43" t="s">
        <v>40</v>
      </c>
      <c r="E371" s="41">
        <v>1</v>
      </c>
      <c r="F371" s="60">
        <v>5.4580000000000002</v>
      </c>
      <c r="G371" s="60">
        <v>0.10845374999999999</v>
      </c>
      <c r="H371" s="60">
        <v>0</v>
      </c>
      <c r="I371" s="62">
        <v>2.1161322500000002</v>
      </c>
      <c r="J371" s="58">
        <v>1.8650875000000001E-2</v>
      </c>
      <c r="K371" s="58">
        <v>0</v>
      </c>
      <c r="L371" s="35" t="s">
        <v>56</v>
      </c>
      <c r="M371" s="27">
        <f t="shared" ref="M371:R371" si="7">AVERAGE(F371:F406)</f>
        <v>8.2598611111111104</v>
      </c>
      <c r="N371" s="27">
        <f t="shared" si="7"/>
        <v>0.29378221180555569</v>
      </c>
      <c r="O371" s="27">
        <f t="shared" si="7"/>
        <v>4.2627503472222224E-2</v>
      </c>
      <c r="P371" s="27">
        <f t="shared" si="7"/>
        <v>2.8963049930555549</v>
      </c>
      <c r="Q371" s="27">
        <f t="shared" si="7"/>
        <v>0.34732020486111109</v>
      </c>
      <c r="R371" s="27">
        <f t="shared" si="7"/>
        <v>1.2904583333333331E-3</v>
      </c>
    </row>
    <row r="372" spans="1:18">
      <c r="A372" s="15">
        <v>7</v>
      </c>
      <c r="B372" s="18">
        <v>40197</v>
      </c>
      <c r="C372" s="15">
        <v>2010</v>
      </c>
      <c r="D372" s="11" t="s">
        <v>40</v>
      </c>
      <c r="E372" s="12">
        <v>1</v>
      </c>
      <c r="F372" s="26">
        <v>5.9630000000000001</v>
      </c>
      <c r="G372" s="26">
        <v>0.93845649999999992</v>
      </c>
      <c r="H372" s="26">
        <v>0</v>
      </c>
      <c r="I372" s="61">
        <v>1.9298513749999997</v>
      </c>
      <c r="J372" s="31">
        <v>3.131925E-2</v>
      </c>
      <c r="K372" s="31">
        <v>0</v>
      </c>
    </row>
    <row r="373" spans="1:18">
      <c r="A373" s="15">
        <v>14</v>
      </c>
      <c r="B373" s="18">
        <v>40197</v>
      </c>
      <c r="C373" s="15">
        <v>2010</v>
      </c>
      <c r="D373" s="11" t="s">
        <v>40</v>
      </c>
      <c r="E373" s="12">
        <v>1</v>
      </c>
      <c r="F373" s="26">
        <v>5.6950000000000003</v>
      </c>
      <c r="G373" s="26">
        <v>0.40216225</v>
      </c>
      <c r="H373" s="26">
        <v>0</v>
      </c>
      <c r="I373" s="61">
        <v>2.0735423750000002</v>
      </c>
      <c r="J373" s="31">
        <v>2.5784874999999995E-2</v>
      </c>
      <c r="K373" s="31">
        <v>0</v>
      </c>
    </row>
    <row r="374" spans="1:18">
      <c r="A374" s="15">
        <v>5</v>
      </c>
      <c r="C374" s="15">
        <v>2010</v>
      </c>
      <c r="D374" s="11" t="s">
        <v>29</v>
      </c>
      <c r="E374" s="12">
        <v>2</v>
      </c>
      <c r="F374" s="26">
        <v>0.83299999999999996</v>
      </c>
      <c r="G374" s="26">
        <v>0</v>
      </c>
      <c r="H374" s="26">
        <v>0</v>
      </c>
      <c r="I374" s="61">
        <v>0.24730362499999997</v>
      </c>
      <c r="J374" s="31">
        <v>1.0569124999999999E-2</v>
      </c>
      <c r="K374" s="31">
        <v>0</v>
      </c>
    </row>
    <row r="375" spans="1:18">
      <c r="A375" s="15">
        <v>7</v>
      </c>
      <c r="C375" s="15">
        <v>2010</v>
      </c>
      <c r="D375" s="11" t="s">
        <v>29</v>
      </c>
      <c r="E375" s="12">
        <v>2</v>
      </c>
      <c r="F375" s="26">
        <v>1.6459999999999999</v>
      </c>
      <c r="G375" s="26">
        <v>2.8400125000000002E-2</v>
      </c>
      <c r="H375" s="26">
        <v>0</v>
      </c>
      <c r="I375" s="61">
        <v>0.57884674999999997</v>
      </c>
      <c r="J375" s="31">
        <v>1.987125E-2</v>
      </c>
      <c r="K375" s="31">
        <v>0</v>
      </c>
    </row>
    <row r="376" spans="1:18">
      <c r="A376" s="15">
        <v>14</v>
      </c>
      <c r="C376" s="15">
        <v>2010</v>
      </c>
      <c r="D376" s="11" t="s">
        <v>29</v>
      </c>
      <c r="E376" s="12">
        <v>2</v>
      </c>
      <c r="F376" s="26">
        <v>5.359</v>
      </c>
      <c r="G376" s="26">
        <v>6.1096624999999995E-2</v>
      </c>
      <c r="H376" s="26">
        <v>0</v>
      </c>
      <c r="I376" s="61">
        <v>0.81133712499999999</v>
      </c>
      <c r="J376" s="31">
        <v>0.12589762500000001</v>
      </c>
      <c r="K376" s="31">
        <v>0</v>
      </c>
    </row>
    <row r="377" spans="1:18">
      <c r="A377" s="15">
        <v>5</v>
      </c>
      <c r="B377" s="18">
        <v>40254</v>
      </c>
      <c r="C377" s="15">
        <v>2010</v>
      </c>
      <c r="D377" s="11" t="s">
        <v>30</v>
      </c>
      <c r="E377" s="12">
        <v>3</v>
      </c>
      <c r="F377" s="26">
        <v>8.8989999999999991</v>
      </c>
      <c r="G377" s="26">
        <v>0</v>
      </c>
      <c r="H377" s="26">
        <v>0</v>
      </c>
      <c r="I377" s="61">
        <v>4.0875958749999999</v>
      </c>
      <c r="J377" s="31">
        <v>7.2606500000000004E-2</v>
      </c>
      <c r="K377" s="31">
        <v>0</v>
      </c>
    </row>
    <row r="378" spans="1:18">
      <c r="A378" s="15">
        <v>7</v>
      </c>
      <c r="B378" s="18">
        <v>40255</v>
      </c>
      <c r="C378" s="15">
        <v>2010</v>
      </c>
      <c r="D378" s="11" t="s">
        <v>30</v>
      </c>
      <c r="E378" s="12">
        <v>3</v>
      </c>
      <c r="F378" s="26">
        <v>6.4260000000000002</v>
      </c>
      <c r="G378" s="26">
        <v>0.24068562499999996</v>
      </c>
      <c r="H378" s="26">
        <v>0</v>
      </c>
      <c r="I378" s="61">
        <v>2.8043326249999994</v>
      </c>
      <c r="J378" s="31">
        <v>4.5634124999999991E-2</v>
      </c>
      <c r="K378" s="31">
        <v>0</v>
      </c>
    </row>
    <row r="379" spans="1:18">
      <c r="A379" s="15">
        <v>14</v>
      </c>
      <c r="B379" s="18">
        <v>40255</v>
      </c>
      <c r="C379" s="15">
        <v>2010</v>
      </c>
      <c r="D379" s="11" t="s">
        <v>30</v>
      </c>
      <c r="E379" s="12">
        <v>3</v>
      </c>
      <c r="F379" s="26">
        <v>6.8689999999999998</v>
      </c>
      <c r="G379" s="26">
        <v>5.786100000000001E-2</v>
      </c>
      <c r="H379" s="26">
        <v>0</v>
      </c>
      <c r="I379" s="61">
        <v>3.1748804999999996</v>
      </c>
      <c r="J379" s="31">
        <v>5.1597124999999987E-2</v>
      </c>
      <c r="K379" s="31">
        <v>0</v>
      </c>
    </row>
    <row r="380" spans="1:18">
      <c r="A380" s="15">
        <v>5</v>
      </c>
      <c r="B380" s="18">
        <v>40280</v>
      </c>
      <c r="C380" s="15">
        <v>2010</v>
      </c>
      <c r="D380" s="11" t="s">
        <v>31</v>
      </c>
      <c r="E380" s="12">
        <v>4</v>
      </c>
      <c r="F380" s="26">
        <v>4.75</v>
      </c>
      <c r="G380" s="26">
        <v>0</v>
      </c>
      <c r="H380" s="26">
        <v>0</v>
      </c>
      <c r="I380" s="61">
        <v>1.8462666249999997</v>
      </c>
      <c r="J380" s="31">
        <v>3.9953000000000002E-2</v>
      </c>
      <c r="K380" s="31">
        <v>0</v>
      </c>
    </row>
    <row r="381" spans="1:18">
      <c r="A381" s="15">
        <v>7</v>
      </c>
      <c r="B381" s="18">
        <v>40281</v>
      </c>
      <c r="C381" s="15">
        <v>2010</v>
      </c>
      <c r="D381" s="11" t="s">
        <v>31</v>
      </c>
      <c r="E381" s="12">
        <v>4</v>
      </c>
      <c r="F381" s="26">
        <v>3.3580000000000001</v>
      </c>
      <c r="G381" s="26">
        <v>0</v>
      </c>
      <c r="H381" s="26">
        <v>0</v>
      </c>
      <c r="I381" s="61">
        <v>1.0767918749999998</v>
      </c>
      <c r="J381" s="31">
        <v>1.4734250000000001E-2</v>
      </c>
      <c r="K381" s="31">
        <v>0</v>
      </c>
    </row>
    <row r="382" spans="1:18">
      <c r="A382" s="15">
        <v>14</v>
      </c>
      <c r="B382" s="18">
        <v>40281</v>
      </c>
      <c r="C382" s="15">
        <v>2010</v>
      </c>
      <c r="D382" s="11" t="s">
        <v>31</v>
      </c>
      <c r="E382" s="12">
        <v>4</v>
      </c>
      <c r="F382" s="26">
        <v>1.8879999999999999</v>
      </c>
      <c r="G382" s="26">
        <v>0</v>
      </c>
      <c r="H382" s="26">
        <v>0</v>
      </c>
      <c r="I382" s="61">
        <v>0.73453087500000003</v>
      </c>
      <c r="J382" s="31">
        <v>9.2835000000000001E-3</v>
      </c>
      <c r="K382" s="31">
        <v>0</v>
      </c>
    </row>
    <row r="383" spans="1:18">
      <c r="A383" s="15">
        <v>5</v>
      </c>
      <c r="B383" s="22">
        <v>40315</v>
      </c>
      <c r="C383" s="15">
        <v>2010</v>
      </c>
      <c r="D383" s="11" t="s">
        <v>32</v>
      </c>
      <c r="E383" s="12">
        <v>5</v>
      </c>
      <c r="F383" s="28">
        <v>10.981999999999999</v>
      </c>
      <c r="G383" s="28">
        <v>0.11020962499999999</v>
      </c>
      <c r="H383" s="28">
        <v>0.78130937499999997</v>
      </c>
      <c r="I383" s="28">
        <v>5.9627123749999988</v>
      </c>
      <c r="J383" s="28">
        <v>0.30643087499999999</v>
      </c>
      <c r="K383" s="28">
        <v>4.6456499999999991E-2</v>
      </c>
    </row>
    <row r="384" spans="1:18">
      <c r="A384" s="15">
        <v>7</v>
      </c>
      <c r="B384" s="22">
        <v>40317</v>
      </c>
      <c r="C384" s="15">
        <v>2010</v>
      </c>
      <c r="D384" s="11" t="s">
        <v>32</v>
      </c>
      <c r="E384" s="12">
        <v>5</v>
      </c>
      <c r="F384" s="28">
        <v>5.1840000000000002</v>
      </c>
      <c r="G384" s="28">
        <v>2.2408749999999998E-2</v>
      </c>
      <c r="H384" s="28">
        <v>0</v>
      </c>
      <c r="I384" s="28">
        <v>1.84562575</v>
      </c>
      <c r="J384" s="28">
        <v>6.9797999999999999E-2</v>
      </c>
      <c r="K384" s="28">
        <v>0</v>
      </c>
    </row>
    <row r="385" spans="1:11">
      <c r="A385" s="15">
        <v>14</v>
      </c>
      <c r="B385" s="22">
        <v>40317</v>
      </c>
      <c r="C385" s="15">
        <v>2010</v>
      </c>
      <c r="D385" s="11" t="s">
        <v>32</v>
      </c>
      <c r="E385" s="12">
        <v>5</v>
      </c>
      <c r="F385" s="28">
        <v>5.593</v>
      </c>
      <c r="G385" s="28">
        <v>0</v>
      </c>
      <c r="H385" s="28">
        <v>0.41625099999999998</v>
      </c>
      <c r="I385" s="28">
        <v>3.6885853750000002</v>
      </c>
      <c r="J385" s="28">
        <v>0.104687</v>
      </c>
      <c r="K385" s="28">
        <v>0</v>
      </c>
    </row>
    <row r="386" spans="1:11">
      <c r="A386" s="15">
        <v>5</v>
      </c>
      <c r="B386" s="22">
        <v>40344</v>
      </c>
      <c r="C386" s="15">
        <v>2010</v>
      </c>
      <c r="D386" s="11" t="s">
        <v>33</v>
      </c>
      <c r="E386" s="12">
        <v>6</v>
      </c>
      <c r="F386" s="28">
        <v>12.042999999999999</v>
      </c>
      <c r="G386" s="28">
        <v>0.217636625</v>
      </c>
      <c r="H386" s="28">
        <v>7.7362874999999998E-2</v>
      </c>
      <c r="I386" s="28">
        <v>2.8146417499999994</v>
      </c>
      <c r="J386" s="28">
        <v>1.8276483750000001</v>
      </c>
      <c r="K386" s="28">
        <v>0</v>
      </c>
    </row>
    <row r="387" spans="1:11">
      <c r="A387" s="15">
        <v>7</v>
      </c>
      <c r="B387" s="22">
        <v>40345</v>
      </c>
      <c r="C387" s="15">
        <v>2010</v>
      </c>
      <c r="D387" s="11" t="s">
        <v>33</v>
      </c>
      <c r="E387" s="12">
        <v>6</v>
      </c>
      <c r="F387" s="28">
        <v>20.408999999999999</v>
      </c>
      <c r="G387" s="28">
        <v>1.351972</v>
      </c>
      <c r="H387" s="28">
        <v>0</v>
      </c>
      <c r="I387" s="28">
        <v>5.1326553749999997</v>
      </c>
      <c r="J387" s="28">
        <v>1.016601375</v>
      </c>
      <c r="K387" s="28">
        <v>0</v>
      </c>
    </row>
    <row r="388" spans="1:11">
      <c r="A388" s="15">
        <v>14</v>
      </c>
      <c r="B388" s="22">
        <v>40345</v>
      </c>
      <c r="C388" s="15">
        <v>2010</v>
      </c>
      <c r="D388" s="11" t="s">
        <v>33</v>
      </c>
      <c r="E388" s="12">
        <v>6</v>
      </c>
      <c r="F388" s="28">
        <v>9.24</v>
      </c>
      <c r="G388" s="28">
        <v>0.29088724999999993</v>
      </c>
      <c r="H388" s="28">
        <v>4.1124750000000002E-2</v>
      </c>
      <c r="I388" s="28">
        <v>3.2435036249999993</v>
      </c>
      <c r="J388" s="28">
        <v>0.6658504999999999</v>
      </c>
      <c r="K388" s="28">
        <v>0</v>
      </c>
    </row>
    <row r="389" spans="1:11">
      <c r="A389" s="15">
        <v>5</v>
      </c>
      <c r="B389" s="22">
        <v>40373</v>
      </c>
      <c r="C389" s="15">
        <v>2010</v>
      </c>
      <c r="D389" s="11" t="s">
        <v>34</v>
      </c>
      <c r="E389" s="12">
        <v>7</v>
      </c>
      <c r="F389" s="28">
        <v>19.992000000000001</v>
      </c>
      <c r="G389" s="28">
        <v>0.46416337499999988</v>
      </c>
      <c r="H389" s="28">
        <v>0</v>
      </c>
      <c r="I389" s="28">
        <v>6.6997863749999995</v>
      </c>
      <c r="J389" s="28">
        <v>1.815882625</v>
      </c>
      <c r="K389" s="28">
        <v>0</v>
      </c>
    </row>
    <row r="390" spans="1:11">
      <c r="A390" s="15">
        <v>7</v>
      </c>
      <c r="B390" s="22">
        <v>40373</v>
      </c>
      <c r="C390" s="15">
        <v>2010</v>
      </c>
      <c r="D390" s="11" t="s">
        <v>34</v>
      </c>
      <c r="E390" s="12">
        <v>7</v>
      </c>
      <c r="F390" s="28">
        <v>18.753</v>
      </c>
      <c r="G390" s="28">
        <v>2.5273604999999999</v>
      </c>
      <c r="H390" s="28">
        <v>0</v>
      </c>
      <c r="I390" s="28">
        <v>3.9464158750000005</v>
      </c>
      <c r="J390" s="28">
        <v>0.95053212499999984</v>
      </c>
      <c r="K390" s="28">
        <v>0</v>
      </c>
    </row>
    <row r="391" spans="1:11">
      <c r="A391" s="15">
        <v>14</v>
      </c>
      <c r="B391" s="22">
        <v>40373</v>
      </c>
      <c r="C391" s="15">
        <v>2010</v>
      </c>
      <c r="D391" s="11" t="s">
        <v>34</v>
      </c>
      <c r="E391" s="12">
        <v>7</v>
      </c>
      <c r="F391" s="28">
        <v>11.59</v>
      </c>
      <c r="G391" s="28">
        <v>1.7816926250000003</v>
      </c>
      <c r="H391" s="28">
        <v>6.2762249999999992E-2</v>
      </c>
      <c r="I391" s="28">
        <v>2.7829877499999998</v>
      </c>
      <c r="J391" s="28">
        <v>0.47947275000000006</v>
      </c>
      <c r="K391" s="28">
        <v>0</v>
      </c>
    </row>
    <row r="392" spans="1:11">
      <c r="A392" s="15">
        <v>5</v>
      </c>
      <c r="B392" s="22">
        <v>40407</v>
      </c>
      <c r="C392" s="15">
        <v>2010</v>
      </c>
      <c r="D392" s="11" t="s">
        <v>35</v>
      </c>
      <c r="E392" s="12">
        <v>8</v>
      </c>
      <c r="F392" s="28">
        <v>22.228999999999999</v>
      </c>
      <c r="G392" s="28">
        <v>0.22649762500000001</v>
      </c>
      <c r="H392" s="28">
        <v>0</v>
      </c>
      <c r="I392" s="28">
        <v>10.618617499999999</v>
      </c>
      <c r="J392" s="28">
        <v>0.78608512500000005</v>
      </c>
      <c r="K392" s="28">
        <v>0</v>
      </c>
    </row>
    <row r="393" spans="1:11">
      <c r="A393" s="15">
        <v>7</v>
      </c>
      <c r="B393" s="22">
        <v>40409</v>
      </c>
      <c r="C393" s="15">
        <v>2010</v>
      </c>
      <c r="D393" s="11" t="s">
        <v>35</v>
      </c>
      <c r="E393" s="12">
        <v>8</v>
      </c>
      <c r="F393" s="28">
        <v>27.542000000000002</v>
      </c>
      <c r="G393" s="28">
        <v>0.80496900000000005</v>
      </c>
      <c r="H393" s="28">
        <v>0.10209412499999999</v>
      </c>
      <c r="I393" s="28">
        <v>9.4689682500000014</v>
      </c>
      <c r="J393" s="28">
        <v>1.1436459999999999</v>
      </c>
      <c r="K393" s="28">
        <v>0</v>
      </c>
    </row>
    <row r="394" spans="1:11">
      <c r="A394" s="15">
        <v>14</v>
      </c>
      <c r="B394" s="22">
        <v>40409</v>
      </c>
      <c r="C394" s="15">
        <v>2010</v>
      </c>
      <c r="D394" s="11" t="s">
        <v>35</v>
      </c>
      <c r="E394" s="12">
        <v>8</v>
      </c>
      <c r="F394" s="28">
        <v>10.205</v>
      </c>
      <c r="G394" s="28">
        <v>0.14675425</v>
      </c>
      <c r="H394" s="28">
        <v>3.8677375E-2</v>
      </c>
      <c r="I394" s="28">
        <v>4.5684318749999999</v>
      </c>
      <c r="J394" s="28">
        <v>0.45202224999999996</v>
      </c>
      <c r="K394" s="28">
        <v>0</v>
      </c>
    </row>
    <row r="395" spans="1:11">
      <c r="A395" s="15">
        <v>5</v>
      </c>
      <c r="B395" s="22">
        <v>40436</v>
      </c>
      <c r="C395" s="15">
        <v>2010</v>
      </c>
      <c r="D395" s="11" t="s">
        <v>41</v>
      </c>
      <c r="E395" s="12">
        <v>9</v>
      </c>
      <c r="F395" s="28">
        <v>12.015000000000001</v>
      </c>
      <c r="G395" s="28">
        <v>3.435125E-2</v>
      </c>
      <c r="H395" s="28">
        <v>0</v>
      </c>
      <c r="I395" s="28">
        <v>5.568946875</v>
      </c>
      <c r="J395" s="28">
        <v>0.61067950000000004</v>
      </c>
      <c r="K395" s="28">
        <v>0</v>
      </c>
    </row>
    <row r="396" spans="1:11">
      <c r="A396" s="15">
        <v>7</v>
      </c>
      <c r="B396" s="22">
        <v>40434</v>
      </c>
      <c r="C396" s="15">
        <v>2010</v>
      </c>
      <c r="D396" s="11" t="s">
        <v>41</v>
      </c>
      <c r="E396" s="12">
        <v>9</v>
      </c>
      <c r="F396" s="28">
        <v>13.039</v>
      </c>
      <c r="G396" s="28">
        <v>0.116666625</v>
      </c>
      <c r="H396" s="28">
        <v>0</v>
      </c>
      <c r="I396" s="28">
        <v>4.1098281249999991</v>
      </c>
      <c r="J396" s="28">
        <v>1.0853846249999999</v>
      </c>
      <c r="K396" s="28">
        <v>0</v>
      </c>
    </row>
    <row r="397" spans="1:11">
      <c r="A397" s="15">
        <v>14</v>
      </c>
      <c r="B397" s="22">
        <v>40434</v>
      </c>
      <c r="C397" s="15">
        <v>2010</v>
      </c>
      <c r="D397" s="11" t="s">
        <v>41</v>
      </c>
      <c r="E397" s="12">
        <v>9</v>
      </c>
      <c r="F397" s="28">
        <v>9.4990000000000006</v>
      </c>
      <c r="G397" s="28">
        <v>0.108947875</v>
      </c>
      <c r="H397" s="28">
        <v>0</v>
      </c>
      <c r="I397" s="28">
        <v>3.8653642499999994</v>
      </c>
      <c r="J397" s="28">
        <v>0.40666924999999998</v>
      </c>
      <c r="K397" s="28">
        <v>0</v>
      </c>
    </row>
    <row r="398" spans="1:11">
      <c r="A398" s="15">
        <v>5</v>
      </c>
      <c r="B398" s="22">
        <v>40464</v>
      </c>
      <c r="C398" s="15">
        <v>2010</v>
      </c>
      <c r="D398" s="11" t="s">
        <v>37</v>
      </c>
      <c r="E398" s="12">
        <v>10</v>
      </c>
      <c r="F398" s="26">
        <v>9.34</v>
      </c>
      <c r="G398" s="26">
        <v>0</v>
      </c>
      <c r="H398" s="26">
        <v>0</v>
      </c>
      <c r="I398" s="26">
        <v>4.9518684999999998</v>
      </c>
      <c r="J398" s="31">
        <v>0.134397875</v>
      </c>
      <c r="K398" s="31">
        <v>0</v>
      </c>
    </row>
    <row r="399" spans="1:11">
      <c r="A399" s="15">
        <v>7</v>
      </c>
      <c r="B399" s="22">
        <v>40463</v>
      </c>
      <c r="C399" s="15">
        <v>2010</v>
      </c>
      <c r="D399" s="11" t="s">
        <v>37</v>
      </c>
      <c r="E399" s="12">
        <v>10</v>
      </c>
      <c r="F399" s="26">
        <v>6.4480000000000004</v>
      </c>
      <c r="G399" s="26">
        <v>0.10507362499999999</v>
      </c>
      <c r="H399" s="26">
        <v>0</v>
      </c>
      <c r="I399" s="26">
        <v>0.8413402499999999</v>
      </c>
      <c r="J399" s="31">
        <v>7.4481749999999985E-2</v>
      </c>
      <c r="K399" s="31">
        <v>0</v>
      </c>
    </row>
    <row r="400" spans="1:11">
      <c r="A400" s="15">
        <v>14</v>
      </c>
      <c r="B400" s="22">
        <v>40463</v>
      </c>
      <c r="C400" s="15">
        <v>2010</v>
      </c>
      <c r="D400" s="11" t="s">
        <v>37</v>
      </c>
      <c r="E400" s="12">
        <v>10</v>
      </c>
      <c r="F400" s="26">
        <v>4.7690000000000001</v>
      </c>
      <c r="G400" s="26">
        <v>0.18988974999999997</v>
      </c>
      <c r="H400" s="26">
        <v>0</v>
      </c>
      <c r="I400" s="26">
        <v>0.49372649999999996</v>
      </c>
      <c r="J400" s="31">
        <v>3.1894749999999993E-2</v>
      </c>
      <c r="K400" s="31">
        <v>0</v>
      </c>
    </row>
    <row r="401" spans="1:18">
      <c r="A401" s="15">
        <v>5</v>
      </c>
      <c r="B401" s="22">
        <v>40498</v>
      </c>
      <c r="C401" s="15">
        <v>2010</v>
      </c>
      <c r="D401" s="11" t="s">
        <v>38</v>
      </c>
      <c r="E401" s="12">
        <v>11</v>
      </c>
      <c r="F401" s="26">
        <v>2.137</v>
      </c>
      <c r="G401" s="26">
        <v>5.6293500000000003E-2</v>
      </c>
      <c r="H401" s="26">
        <v>0</v>
      </c>
      <c r="I401" s="26">
        <v>0.68102937500000005</v>
      </c>
      <c r="J401" s="31">
        <v>4.5823375E-2</v>
      </c>
      <c r="K401" s="31">
        <v>0</v>
      </c>
    </row>
    <row r="402" spans="1:18">
      <c r="A402" s="15">
        <v>7</v>
      </c>
      <c r="B402" s="22">
        <v>40500</v>
      </c>
      <c r="C402" s="15">
        <v>2010</v>
      </c>
      <c r="D402" s="11" t="s">
        <v>38</v>
      </c>
      <c r="E402" s="12">
        <v>11</v>
      </c>
      <c r="F402" s="26">
        <v>3.3730000000000002</v>
      </c>
      <c r="G402" s="26">
        <v>0</v>
      </c>
      <c r="H402" s="26">
        <v>0</v>
      </c>
      <c r="I402" s="26">
        <v>0.62349675000000016</v>
      </c>
      <c r="J402" s="31">
        <v>1.4340124999999999E-2</v>
      </c>
      <c r="K402" s="31">
        <v>0</v>
      </c>
    </row>
    <row r="403" spans="1:18">
      <c r="A403" s="15">
        <v>14</v>
      </c>
      <c r="B403" s="22">
        <v>40500</v>
      </c>
      <c r="C403" s="15">
        <v>2010</v>
      </c>
      <c r="D403" s="11" t="s">
        <v>38</v>
      </c>
      <c r="E403" s="12">
        <v>11</v>
      </c>
      <c r="F403" s="26">
        <v>2.2999999999999998</v>
      </c>
      <c r="G403" s="26">
        <v>2.1414374999999999E-2</v>
      </c>
      <c r="H403" s="26">
        <v>0</v>
      </c>
      <c r="I403" s="26">
        <v>0.24862725000000005</v>
      </c>
      <c r="J403" s="31">
        <v>0</v>
      </c>
      <c r="K403" s="31">
        <v>0</v>
      </c>
    </row>
    <row r="404" spans="1:18">
      <c r="A404" s="15">
        <v>5</v>
      </c>
      <c r="B404" s="22">
        <v>40520</v>
      </c>
      <c r="C404" s="15">
        <v>2010</v>
      </c>
      <c r="D404" s="11" t="s">
        <v>39</v>
      </c>
      <c r="E404" s="12">
        <v>12</v>
      </c>
      <c r="F404" s="26">
        <v>1.663</v>
      </c>
      <c r="G404" s="26">
        <v>3.9588999999999999E-2</v>
      </c>
      <c r="H404" s="26">
        <v>1.5008374999999999E-2</v>
      </c>
      <c r="I404" s="26">
        <v>0.40279074999999992</v>
      </c>
      <c r="J404" s="31">
        <v>1.5297624999999999E-2</v>
      </c>
      <c r="K404" s="31">
        <v>0</v>
      </c>
    </row>
    <row r="405" spans="1:18">
      <c r="A405" s="15">
        <v>7</v>
      </c>
      <c r="B405" s="22">
        <v>40521</v>
      </c>
      <c r="C405" s="15">
        <v>2010</v>
      </c>
      <c r="D405" s="11" t="s">
        <v>39</v>
      </c>
      <c r="E405" s="12">
        <v>12</v>
      </c>
      <c r="F405" s="26">
        <v>0.93799999999999994</v>
      </c>
      <c r="G405" s="26">
        <v>7.1696250000000003E-2</v>
      </c>
      <c r="H405" s="26">
        <v>0</v>
      </c>
      <c r="I405" s="26">
        <v>9.4418125000000006E-2</v>
      </c>
      <c r="J405" s="31">
        <v>0</v>
      </c>
      <c r="K405" s="31">
        <v>0</v>
      </c>
    </row>
    <row r="406" spans="1:18" ht="25.5">
      <c r="A406" s="15">
        <v>14</v>
      </c>
      <c r="B406" s="22">
        <v>40521</v>
      </c>
      <c r="C406" s="15">
        <v>2010</v>
      </c>
      <c r="D406" s="11" t="s">
        <v>39</v>
      </c>
      <c r="E406" s="12">
        <v>12</v>
      </c>
      <c r="F406" s="26">
        <v>0.92800000000000005</v>
      </c>
      <c r="G406" s="26">
        <v>5.0569874999999993E-2</v>
      </c>
      <c r="H406" s="26">
        <v>0</v>
      </c>
      <c r="I406" s="26">
        <v>0.13119925000000002</v>
      </c>
      <c r="J406" s="31">
        <v>0</v>
      </c>
      <c r="K406" s="31">
        <v>0</v>
      </c>
      <c r="L406" s="35" t="s">
        <v>43</v>
      </c>
      <c r="M406" s="6" t="s">
        <v>7</v>
      </c>
      <c r="N406" s="6" t="s">
        <v>8</v>
      </c>
      <c r="O406" s="6" t="s">
        <v>9</v>
      </c>
      <c r="P406" s="6" t="s">
        <v>10</v>
      </c>
      <c r="Q406" s="6" t="s">
        <v>11</v>
      </c>
      <c r="R406" s="6" t="s">
        <v>12</v>
      </c>
    </row>
    <row r="407" spans="1:18">
      <c r="A407" s="46">
        <v>5</v>
      </c>
      <c r="B407" s="53">
        <v>40562</v>
      </c>
      <c r="C407" s="46">
        <v>2011</v>
      </c>
      <c r="D407" s="43" t="s">
        <v>40</v>
      </c>
      <c r="E407" s="41">
        <v>1</v>
      </c>
      <c r="F407" s="60">
        <v>4.2149999999999999</v>
      </c>
      <c r="G407" s="60">
        <v>7.4409875E-2</v>
      </c>
      <c r="H407" s="60">
        <v>0</v>
      </c>
      <c r="I407" s="60">
        <v>1.3021268749999997</v>
      </c>
      <c r="J407" s="58">
        <v>1.6983874999999996E-2</v>
      </c>
      <c r="K407" s="58">
        <v>0</v>
      </c>
      <c r="L407" s="35" t="s">
        <v>57</v>
      </c>
      <c r="M407" s="27">
        <f t="shared" ref="M407:R407" si="8">AVERAGE(F407:F442)</f>
        <v>4.4909722222222221</v>
      </c>
      <c r="N407" s="27">
        <f t="shared" si="8"/>
        <v>0.17407889583333333</v>
      </c>
      <c r="O407" s="27">
        <f t="shared" si="8"/>
        <v>1.2434447916666667E-2</v>
      </c>
      <c r="P407" s="27">
        <f t="shared" si="8"/>
        <v>1.1621795763888889</v>
      </c>
      <c r="Q407" s="27">
        <f t="shared" si="8"/>
        <v>0.30827169097222218</v>
      </c>
      <c r="R407" s="27">
        <f t="shared" si="8"/>
        <v>1.63371875E-3</v>
      </c>
    </row>
    <row r="408" spans="1:18">
      <c r="A408" s="15">
        <v>7</v>
      </c>
      <c r="B408" s="22">
        <v>40563</v>
      </c>
      <c r="C408" s="15">
        <v>2011</v>
      </c>
      <c r="D408" s="11" t="s">
        <v>40</v>
      </c>
      <c r="E408" s="12">
        <v>1</v>
      </c>
      <c r="F408" s="26">
        <v>3.4990000000000001</v>
      </c>
      <c r="G408" s="26">
        <v>0.20002887499999999</v>
      </c>
      <c r="H408" s="26">
        <v>0</v>
      </c>
      <c r="I408" s="26">
        <v>0.92987399999999998</v>
      </c>
      <c r="J408" s="31">
        <v>3.193062499999999E-2</v>
      </c>
      <c r="K408" s="31">
        <v>0</v>
      </c>
    </row>
    <row r="409" spans="1:18">
      <c r="A409" s="15">
        <v>14</v>
      </c>
      <c r="B409" s="22">
        <v>40563</v>
      </c>
      <c r="C409" s="15">
        <v>2011</v>
      </c>
      <c r="D409" s="11" t="s">
        <v>40</v>
      </c>
      <c r="E409" s="12">
        <v>1</v>
      </c>
      <c r="F409" s="26">
        <v>2.98</v>
      </c>
      <c r="G409" s="26">
        <v>9.2050000000000007E-2</v>
      </c>
      <c r="H409" s="26">
        <v>0</v>
      </c>
      <c r="I409" s="26">
        <v>0.82746724999999977</v>
      </c>
      <c r="J409" s="31">
        <v>2.3532374999999998E-2</v>
      </c>
      <c r="K409" s="31">
        <v>0</v>
      </c>
    </row>
    <row r="410" spans="1:18">
      <c r="A410" s="15">
        <v>5</v>
      </c>
      <c r="B410" s="22">
        <v>40591</v>
      </c>
      <c r="C410" s="15">
        <v>2011</v>
      </c>
      <c r="D410" s="11" t="s">
        <v>29</v>
      </c>
      <c r="E410" s="15">
        <v>2</v>
      </c>
      <c r="F410" s="26">
        <v>1.84</v>
      </c>
      <c r="G410" s="26">
        <v>7.9073874999999988E-2</v>
      </c>
      <c r="H410" s="26">
        <v>0</v>
      </c>
      <c r="I410" s="26">
        <v>0.65480324999999995</v>
      </c>
      <c r="J410" s="31">
        <v>1.2859874999999998E-2</v>
      </c>
      <c r="K410" s="31">
        <v>0</v>
      </c>
    </row>
    <row r="411" spans="1:18">
      <c r="A411" s="15">
        <v>7</v>
      </c>
      <c r="B411" s="22">
        <v>40598</v>
      </c>
      <c r="C411" s="15">
        <v>2011</v>
      </c>
      <c r="D411" s="11" t="s">
        <v>29</v>
      </c>
      <c r="E411" s="15">
        <v>2</v>
      </c>
      <c r="F411" s="26">
        <v>2.8570000000000002</v>
      </c>
      <c r="G411" s="26">
        <v>3.8677125000000007E-2</v>
      </c>
      <c r="H411" s="26">
        <v>3.0378374999999999E-2</v>
      </c>
      <c r="I411" s="26">
        <v>1.085356875</v>
      </c>
      <c r="J411" s="31">
        <v>1.3365125E-2</v>
      </c>
      <c r="K411" s="31">
        <v>0</v>
      </c>
    </row>
    <row r="412" spans="1:18">
      <c r="A412" s="15">
        <v>14</v>
      </c>
      <c r="B412" s="22">
        <v>40598</v>
      </c>
      <c r="C412" s="15">
        <v>2011</v>
      </c>
      <c r="D412" s="11" t="s">
        <v>29</v>
      </c>
      <c r="E412" s="15">
        <v>2</v>
      </c>
      <c r="F412" s="26">
        <v>3.6110000000000002</v>
      </c>
      <c r="G412" s="26">
        <v>5.7119374999999993E-2</v>
      </c>
      <c r="H412" s="26">
        <v>1.8909875E-2</v>
      </c>
      <c r="I412" s="26">
        <v>1.2840345</v>
      </c>
      <c r="J412" s="31">
        <v>8.3487500000000003E-3</v>
      </c>
      <c r="K412" s="31">
        <v>0</v>
      </c>
    </row>
    <row r="413" spans="1:18">
      <c r="A413" s="15">
        <v>5</v>
      </c>
      <c r="B413" s="22">
        <v>40619</v>
      </c>
      <c r="C413" s="15">
        <v>2011</v>
      </c>
      <c r="D413" s="11" t="s">
        <v>30</v>
      </c>
      <c r="E413" s="15">
        <v>3</v>
      </c>
      <c r="F413" s="26">
        <v>1.3129999999999999</v>
      </c>
      <c r="G413" s="26">
        <v>0</v>
      </c>
      <c r="H413" s="26">
        <v>0</v>
      </c>
      <c r="I413" s="26">
        <v>0.39138362500000001</v>
      </c>
      <c r="J413" s="31">
        <v>1.0134000000000001E-2</v>
      </c>
      <c r="K413" s="31">
        <v>0</v>
      </c>
    </row>
    <row r="414" spans="1:18">
      <c r="A414" s="15">
        <v>7</v>
      </c>
      <c r="B414" s="22">
        <v>40617</v>
      </c>
      <c r="C414" s="15">
        <v>2011</v>
      </c>
      <c r="D414" s="11" t="s">
        <v>30</v>
      </c>
      <c r="E414" s="15">
        <v>3</v>
      </c>
      <c r="F414" s="26">
        <v>1.3180000000000001</v>
      </c>
      <c r="G414" s="26">
        <v>2.9983125000000003E-2</v>
      </c>
      <c r="H414" s="26">
        <v>1.6179625E-2</v>
      </c>
      <c r="I414" s="26">
        <v>0.24441049999999997</v>
      </c>
      <c r="J414" s="31">
        <v>3.4206750000000001E-2</v>
      </c>
      <c r="K414" s="31">
        <v>0</v>
      </c>
    </row>
    <row r="415" spans="1:18">
      <c r="A415" s="15">
        <v>14</v>
      </c>
      <c r="B415" s="22">
        <v>40617</v>
      </c>
      <c r="C415" s="15">
        <v>2011</v>
      </c>
      <c r="D415" s="11" t="s">
        <v>30</v>
      </c>
      <c r="E415" s="15">
        <v>3</v>
      </c>
      <c r="F415" s="26">
        <v>0.77200000000000002</v>
      </c>
      <c r="G415" s="26">
        <v>0</v>
      </c>
      <c r="H415" s="26">
        <v>0</v>
      </c>
      <c r="I415" s="26">
        <v>0.24237774999999998</v>
      </c>
      <c r="J415" s="31">
        <v>1.113725E-2</v>
      </c>
      <c r="K415" s="31">
        <v>0</v>
      </c>
    </row>
    <row r="416" spans="1:18">
      <c r="A416" s="15">
        <v>5</v>
      </c>
      <c r="B416" s="22">
        <v>40646</v>
      </c>
      <c r="C416" s="15">
        <v>2011</v>
      </c>
      <c r="D416" s="11" t="s">
        <v>31</v>
      </c>
      <c r="E416" s="15">
        <v>4</v>
      </c>
      <c r="F416" s="26">
        <v>1.1399999999999999</v>
      </c>
      <c r="G416" s="26">
        <v>3.5857999999999994E-2</v>
      </c>
      <c r="H416" s="26">
        <v>0</v>
      </c>
      <c r="I416" s="26">
        <v>0.10170625</v>
      </c>
      <c r="J416" s="31">
        <v>9.4196249999999992E-3</v>
      </c>
      <c r="K416" s="31">
        <v>0</v>
      </c>
    </row>
    <row r="417" spans="1:11">
      <c r="A417" s="15">
        <v>7</v>
      </c>
      <c r="B417" s="22">
        <v>40647</v>
      </c>
      <c r="C417" s="15">
        <v>2011</v>
      </c>
      <c r="D417" s="11" t="s">
        <v>31</v>
      </c>
      <c r="E417" s="15">
        <v>4</v>
      </c>
      <c r="F417" s="26">
        <v>4.4039999999999999</v>
      </c>
      <c r="G417" s="26">
        <v>3.5615124999999991E-2</v>
      </c>
      <c r="H417" s="26">
        <v>0</v>
      </c>
      <c r="I417" s="26">
        <v>0.20879862499999993</v>
      </c>
      <c r="J417" s="31">
        <v>7.7988750000000011E-3</v>
      </c>
      <c r="K417" s="31">
        <v>0</v>
      </c>
    </row>
    <row r="418" spans="1:11">
      <c r="A418" s="15">
        <v>14</v>
      </c>
      <c r="B418" s="22">
        <v>40647</v>
      </c>
      <c r="C418" s="15">
        <v>2011</v>
      </c>
      <c r="D418" s="11" t="s">
        <v>31</v>
      </c>
      <c r="E418" s="15">
        <v>4</v>
      </c>
      <c r="F418" s="26">
        <v>0.46700000000000003</v>
      </c>
      <c r="G418" s="26">
        <v>0</v>
      </c>
      <c r="H418" s="26">
        <v>0</v>
      </c>
      <c r="I418" s="26">
        <v>6.7282124999999984E-2</v>
      </c>
      <c r="J418" s="31">
        <v>0</v>
      </c>
      <c r="K418" s="31">
        <v>0</v>
      </c>
    </row>
    <row r="419" spans="1:11">
      <c r="A419" s="15">
        <v>5</v>
      </c>
      <c r="B419" s="22">
        <v>40681</v>
      </c>
      <c r="C419" s="15">
        <v>2011</v>
      </c>
      <c r="D419" s="11" t="s">
        <v>32</v>
      </c>
      <c r="E419" s="15">
        <v>5</v>
      </c>
      <c r="F419" s="26">
        <v>6.0640000000000001</v>
      </c>
      <c r="G419" s="26">
        <v>0.11639962500000001</v>
      </c>
      <c r="H419" s="26">
        <v>0.13433100000000001</v>
      </c>
      <c r="I419" s="26">
        <v>2.1115977499999996</v>
      </c>
      <c r="J419" s="31">
        <v>0.35142562500000002</v>
      </c>
      <c r="K419" s="31">
        <v>0</v>
      </c>
    </row>
    <row r="420" spans="1:11">
      <c r="A420" s="15">
        <v>7</v>
      </c>
      <c r="B420" s="22">
        <v>40682</v>
      </c>
      <c r="C420" s="15">
        <v>2011</v>
      </c>
      <c r="D420" s="11" t="s">
        <v>32</v>
      </c>
      <c r="E420" s="15">
        <v>5</v>
      </c>
      <c r="F420" s="26">
        <v>5.2119999999999997</v>
      </c>
      <c r="G420" s="26">
        <v>0.11606925</v>
      </c>
      <c r="H420" s="26">
        <v>0.11586974999999999</v>
      </c>
      <c r="I420" s="26">
        <v>1.5996012500000001</v>
      </c>
      <c r="J420" s="31">
        <v>7.0847375000000004E-2</v>
      </c>
      <c r="K420" s="31">
        <v>0</v>
      </c>
    </row>
    <row r="421" spans="1:11">
      <c r="A421" s="15">
        <v>14</v>
      </c>
      <c r="B421" s="22">
        <v>40682</v>
      </c>
      <c r="C421" s="15">
        <v>2011</v>
      </c>
      <c r="D421" s="11" t="s">
        <v>32</v>
      </c>
      <c r="E421" s="15">
        <v>5</v>
      </c>
      <c r="F421" s="26">
        <v>4.5979999999999999</v>
      </c>
      <c r="G421" s="26">
        <v>5.0060499999999987E-2</v>
      </c>
      <c r="H421" s="26">
        <v>8.8623750000000001E-2</v>
      </c>
      <c r="I421" s="26">
        <v>1.6984227499999995</v>
      </c>
      <c r="J421" s="31">
        <v>3.0281499999999999E-2</v>
      </c>
      <c r="K421" s="31">
        <v>0</v>
      </c>
    </row>
    <row r="422" spans="1:11">
      <c r="A422" s="15">
        <v>5</v>
      </c>
      <c r="B422" s="22">
        <v>40709</v>
      </c>
      <c r="C422" s="15">
        <v>2011</v>
      </c>
      <c r="D422" s="11" t="s">
        <v>33</v>
      </c>
      <c r="E422" s="15">
        <v>6</v>
      </c>
      <c r="F422" s="26">
        <v>10.51</v>
      </c>
      <c r="G422" s="26">
        <v>8.5586374999999978E-2</v>
      </c>
      <c r="H422" s="26">
        <v>0</v>
      </c>
      <c r="I422" s="26">
        <v>0.97327362499999981</v>
      </c>
      <c r="J422" s="31">
        <v>2.8323291249999993</v>
      </c>
      <c r="K422" s="31">
        <v>5.8813875000000002E-2</v>
      </c>
    </row>
    <row r="423" spans="1:11">
      <c r="A423" s="15">
        <v>7</v>
      </c>
      <c r="B423" s="22">
        <v>40709</v>
      </c>
      <c r="C423" s="15">
        <v>2011</v>
      </c>
      <c r="D423" s="11" t="s">
        <v>33</v>
      </c>
      <c r="E423" s="15">
        <v>6</v>
      </c>
      <c r="F423" s="26">
        <v>7.7389999999999999</v>
      </c>
      <c r="G423" s="26">
        <v>0.3033865</v>
      </c>
      <c r="H423" s="26">
        <v>0</v>
      </c>
      <c r="I423" s="26">
        <v>1.3557718749999998</v>
      </c>
      <c r="J423" s="31">
        <v>0.35439312499999998</v>
      </c>
      <c r="K423" s="31">
        <v>0</v>
      </c>
    </row>
    <row r="424" spans="1:11">
      <c r="A424" s="15">
        <v>14</v>
      </c>
      <c r="B424" s="22">
        <v>40709</v>
      </c>
      <c r="C424" s="15">
        <v>2011</v>
      </c>
      <c r="D424" s="11" t="s">
        <v>33</v>
      </c>
      <c r="E424" s="15">
        <v>6</v>
      </c>
      <c r="F424" s="26">
        <v>6.5990000000000002</v>
      </c>
      <c r="G424" s="26">
        <v>0.17669174999999998</v>
      </c>
      <c r="H424" s="26">
        <v>1.0962624999999998E-2</v>
      </c>
      <c r="I424" s="26">
        <v>1.1783085</v>
      </c>
      <c r="J424" s="31">
        <v>0.37461437499999989</v>
      </c>
      <c r="K424" s="31">
        <v>0</v>
      </c>
    </row>
    <row r="425" spans="1:11">
      <c r="A425" s="15">
        <v>5</v>
      </c>
      <c r="B425" s="22">
        <v>40735</v>
      </c>
      <c r="C425" s="15">
        <v>2011</v>
      </c>
      <c r="D425" s="11" t="s">
        <v>34</v>
      </c>
      <c r="E425" s="15">
        <v>7</v>
      </c>
      <c r="F425" s="26">
        <v>7.0949999999999998</v>
      </c>
      <c r="G425" s="26">
        <v>0.14367487500000001</v>
      </c>
      <c r="H425" s="26">
        <v>0</v>
      </c>
      <c r="I425" s="26">
        <v>1.00546</v>
      </c>
      <c r="J425" s="31">
        <v>1.5545154999999999</v>
      </c>
      <c r="K425" s="31">
        <v>0</v>
      </c>
    </row>
    <row r="426" spans="1:11">
      <c r="A426" s="15">
        <v>7</v>
      </c>
      <c r="B426" s="22">
        <v>40736</v>
      </c>
      <c r="C426" s="15">
        <v>2011</v>
      </c>
      <c r="D426" s="11" t="s">
        <v>34</v>
      </c>
      <c r="E426" s="15">
        <v>7</v>
      </c>
      <c r="F426" s="26">
        <v>9.6560000000000006</v>
      </c>
      <c r="G426" s="26">
        <v>1.1057623750000001</v>
      </c>
      <c r="H426" s="26">
        <v>0</v>
      </c>
      <c r="I426" s="26">
        <v>1.6836973749999999</v>
      </c>
      <c r="J426" s="31">
        <v>0.92286924999999975</v>
      </c>
      <c r="K426" s="31">
        <v>0</v>
      </c>
    </row>
    <row r="427" spans="1:11">
      <c r="A427" s="15">
        <v>14</v>
      </c>
      <c r="B427" s="22">
        <v>40736</v>
      </c>
      <c r="C427" s="15">
        <v>2011</v>
      </c>
      <c r="D427" s="11" t="s">
        <v>34</v>
      </c>
      <c r="E427" s="15">
        <v>7</v>
      </c>
      <c r="F427" s="26">
        <v>5.9269999999999996</v>
      </c>
      <c r="G427" s="26">
        <v>0.41227350000000001</v>
      </c>
      <c r="H427" s="26">
        <v>0</v>
      </c>
      <c r="I427" s="26">
        <v>1.1711912499999997</v>
      </c>
      <c r="J427" s="31">
        <v>0.53225025000000004</v>
      </c>
      <c r="K427" s="31">
        <v>0</v>
      </c>
    </row>
    <row r="428" spans="1:11">
      <c r="A428" s="15">
        <v>5</v>
      </c>
      <c r="B428" s="22">
        <v>40771</v>
      </c>
      <c r="C428" s="15">
        <v>2011</v>
      </c>
      <c r="D428" s="11" t="s">
        <v>35</v>
      </c>
      <c r="E428" s="15">
        <v>8</v>
      </c>
      <c r="F428" s="26">
        <v>9.5779999999999994</v>
      </c>
      <c r="G428" s="26">
        <v>0.12113662499999998</v>
      </c>
      <c r="H428" s="26">
        <v>0</v>
      </c>
      <c r="I428" s="26">
        <v>3.5536088750000006</v>
      </c>
      <c r="J428" s="31">
        <v>0.80415762499999999</v>
      </c>
      <c r="K428" s="31">
        <v>0</v>
      </c>
    </row>
    <row r="429" spans="1:11">
      <c r="A429" s="15">
        <v>7</v>
      </c>
      <c r="B429" s="22">
        <v>40772</v>
      </c>
      <c r="C429" s="15">
        <v>2011</v>
      </c>
      <c r="D429" s="11" t="s">
        <v>35</v>
      </c>
      <c r="E429" s="15">
        <v>8</v>
      </c>
      <c r="F429" s="26">
        <v>11.446999999999999</v>
      </c>
      <c r="G429" s="26">
        <v>0.28692699999999999</v>
      </c>
      <c r="H429" s="26">
        <v>0</v>
      </c>
      <c r="I429" s="26">
        <v>2.9083570000000001</v>
      </c>
      <c r="J429" s="31">
        <v>1.081718</v>
      </c>
      <c r="K429" s="31">
        <v>0</v>
      </c>
    </row>
    <row r="430" spans="1:11">
      <c r="A430" s="15">
        <v>14</v>
      </c>
      <c r="B430" s="22">
        <v>40772</v>
      </c>
      <c r="C430" s="15">
        <v>2011</v>
      </c>
      <c r="D430" s="11" t="s">
        <v>35</v>
      </c>
      <c r="E430" s="15">
        <v>8</v>
      </c>
      <c r="F430" s="26">
        <v>14.853</v>
      </c>
      <c r="G430" s="26">
        <v>0.12725450000000002</v>
      </c>
      <c r="H430" s="26">
        <v>0</v>
      </c>
      <c r="I430" s="26">
        <v>5.8706284999999987</v>
      </c>
      <c r="J430" s="31">
        <v>0.67638149999999986</v>
      </c>
      <c r="K430" s="31">
        <v>0</v>
      </c>
    </row>
    <row r="431" spans="1:11">
      <c r="A431" s="15">
        <v>5</v>
      </c>
      <c r="B431" s="22">
        <v>40799</v>
      </c>
      <c r="C431" s="15">
        <v>2011</v>
      </c>
      <c r="D431" s="11" t="s">
        <v>41</v>
      </c>
      <c r="E431" s="15">
        <v>9</v>
      </c>
      <c r="F431" s="26">
        <v>7.4850000000000003</v>
      </c>
      <c r="G431" s="26">
        <v>0.170316625</v>
      </c>
      <c r="H431" s="26">
        <v>0</v>
      </c>
      <c r="I431" s="26">
        <v>2.9675815000000001</v>
      </c>
      <c r="J431" s="31">
        <v>0.60072249999999994</v>
      </c>
      <c r="K431" s="31">
        <v>0</v>
      </c>
    </row>
    <row r="432" spans="1:11">
      <c r="A432" s="15">
        <v>7</v>
      </c>
      <c r="B432" s="22">
        <v>40798</v>
      </c>
      <c r="C432" s="15">
        <v>2011</v>
      </c>
      <c r="D432" s="11" t="s">
        <v>41</v>
      </c>
      <c r="E432" s="15">
        <v>9</v>
      </c>
      <c r="F432" s="26">
        <v>3.5179999999999998</v>
      </c>
      <c r="G432" s="26">
        <v>0.45642362500000005</v>
      </c>
      <c r="H432" s="26">
        <v>0</v>
      </c>
      <c r="I432" s="26">
        <v>0.35080862499999999</v>
      </c>
      <c r="J432" s="31">
        <v>0.16611975000000001</v>
      </c>
      <c r="K432" s="31">
        <v>0</v>
      </c>
    </row>
    <row r="433" spans="1:18">
      <c r="A433" s="15">
        <v>14</v>
      </c>
      <c r="B433" s="22">
        <v>40798</v>
      </c>
      <c r="C433" s="15">
        <v>2011</v>
      </c>
      <c r="D433" s="11" t="s">
        <v>41</v>
      </c>
      <c r="E433" s="15">
        <v>9</v>
      </c>
      <c r="F433" s="26">
        <v>5.4429999999999996</v>
      </c>
      <c r="G433" s="26">
        <v>8.4384874999999998E-2</v>
      </c>
      <c r="H433" s="26">
        <v>0</v>
      </c>
      <c r="I433" s="26">
        <v>2.1281093750000002</v>
      </c>
      <c r="J433" s="31">
        <v>0.40626849999999998</v>
      </c>
      <c r="K433" s="31">
        <v>0</v>
      </c>
    </row>
    <row r="434" spans="1:18">
      <c r="A434" s="15">
        <v>5</v>
      </c>
      <c r="B434" s="22">
        <v>40827</v>
      </c>
      <c r="C434" s="15">
        <v>2011</v>
      </c>
      <c r="D434" s="11" t="s">
        <v>37</v>
      </c>
      <c r="E434" s="15">
        <v>10</v>
      </c>
      <c r="F434" s="28">
        <v>2.77</v>
      </c>
      <c r="G434" s="28">
        <v>0.207520125</v>
      </c>
      <c r="H434" s="28">
        <v>0</v>
      </c>
      <c r="I434" s="28">
        <v>0.58932599999999991</v>
      </c>
      <c r="J434" s="28">
        <v>8.1500749999999997E-2</v>
      </c>
      <c r="K434" s="28">
        <v>0</v>
      </c>
    </row>
    <row r="435" spans="1:18">
      <c r="A435" s="15">
        <v>7</v>
      </c>
      <c r="B435" s="22">
        <v>40829</v>
      </c>
      <c r="C435" s="15">
        <v>2011</v>
      </c>
      <c r="D435" s="11" t="s">
        <v>37</v>
      </c>
      <c r="E435" s="15">
        <v>10</v>
      </c>
      <c r="F435" s="28">
        <v>2.016</v>
      </c>
      <c r="G435" s="28">
        <v>0.47737537499999994</v>
      </c>
      <c r="H435" s="28">
        <v>0</v>
      </c>
      <c r="I435" s="28">
        <v>0.20834037499999997</v>
      </c>
      <c r="J435" s="28">
        <v>7.5169999999999994E-3</v>
      </c>
      <c r="K435" s="28">
        <v>0</v>
      </c>
    </row>
    <row r="436" spans="1:18">
      <c r="A436" s="15">
        <v>14</v>
      </c>
      <c r="B436" s="22">
        <v>40829</v>
      </c>
      <c r="C436" s="15">
        <v>2011</v>
      </c>
      <c r="D436" s="11" t="s">
        <v>37</v>
      </c>
      <c r="E436" s="15">
        <v>10</v>
      </c>
      <c r="F436" s="28">
        <v>1.399</v>
      </c>
      <c r="G436" s="28">
        <v>8.7415499999999979E-2</v>
      </c>
      <c r="H436" s="28">
        <v>0</v>
      </c>
      <c r="I436" s="28">
        <v>0.21547149999999995</v>
      </c>
      <c r="J436" s="28">
        <v>0</v>
      </c>
      <c r="K436" s="28">
        <v>0</v>
      </c>
    </row>
    <row r="437" spans="1:18">
      <c r="A437" s="15">
        <v>5</v>
      </c>
      <c r="B437" s="29">
        <v>40862</v>
      </c>
      <c r="C437" s="15">
        <v>2011</v>
      </c>
      <c r="D437" s="11" t="s">
        <v>38</v>
      </c>
      <c r="E437" s="15">
        <v>11</v>
      </c>
      <c r="F437" s="28">
        <v>4.5650000000000004</v>
      </c>
      <c r="G437" s="28">
        <v>9.3002749999999981E-2</v>
      </c>
      <c r="H437" s="28">
        <v>3.2385125000000001E-2</v>
      </c>
      <c r="I437" s="28">
        <v>1.8921403749999999</v>
      </c>
      <c r="J437" s="28">
        <v>5.5803999999999992E-2</v>
      </c>
      <c r="K437" s="28">
        <v>0</v>
      </c>
    </row>
    <row r="438" spans="1:18">
      <c r="A438" s="15">
        <v>7</v>
      </c>
      <c r="B438" s="29">
        <v>40865</v>
      </c>
      <c r="C438" s="15">
        <v>2011</v>
      </c>
      <c r="D438" s="11" t="s">
        <v>38</v>
      </c>
      <c r="E438" s="15">
        <v>11</v>
      </c>
      <c r="F438" s="28">
        <v>1.5209999999999999</v>
      </c>
      <c r="G438" s="28">
        <v>0.26376949999999999</v>
      </c>
      <c r="H438" s="28">
        <v>0</v>
      </c>
      <c r="I438" s="28">
        <v>0.25354775000000002</v>
      </c>
      <c r="J438" s="28">
        <v>0</v>
      </c>
      <c r="K438" s="28">
        <v>0</v>
      </c>
    </row>
    <row r="439" spans="1:18">
      <c r="A439" s="15">
        <v>14</v>
      </c>
      <c r="B439" s="29">
        <v>40877</v>
      </c>
      <c r="C439" s="15">
        <v>2011</v>
      </c>
      <c r="D439" s="11" t="s">
        <v>38</v>
      </c>
      <c r="E439" s="15">
        <v>11</v>
      </c>
      <c r="F439" s="28">
        <v>1.0429999999999999</v>
      </c>
      <c r="G439" s="28">
        <v>0.22616649999999996</v>
      </c>
      <c r="H439" s="28">
        <v>0</v>
      </c>
      <c r="I439" s="28">
        <v>0.20526999999999998</v>
      </c>
      <c r="J439" s="28">
        <v>0</v>
      </c>
      <c r="K439" s="28">
        <v>0</v>
      </c>
    </row>
    <row r="440" spans="1:18">
      <c r="A440" s="15">
        <v>5</v>
      </c>
      <c r="B440" s="29">
        <v>40891</v>
      </c>
      <c r="C440" s="15">
        <v>2011</v>
      </c>
      <c r="D440" s="11" t="s">
        <v>39</v>
      </c>
      <c r="E440" s="15">
        <v>12</v>
      </c>
      <c r="F440" s="28">
        <v>2.3290000000000002</v>
      </c>
      <c r="G440" s="28">
        <v>0.19859737499999996</v>
      </c>
      <c r="H440" s="28">
        <v>0</v>
      </c>
      <c r="I440" s="28">
        <v>0.38591249999999994</v>
      </c>
      <c r="J440" s="28">
        <v>1.4347999999999998E-2</v>
      </c>
      <c r="K440" s="28">
        <v>0</v>
      </c>
    </row>
    <row r="441" spans="1:18">
      <c r="A441" s="15">
        <v>7</v>
      </c>
      <c r="B441" s="29">
        <v>40891</v>
      </c>
      <c r="C441" s="15">
        <v>2011</v>
      </c>
      <c r="D441" s="11" t="s">
        <v>39</v>
      </c>
      <c r="E441" s="15">
        <v>12</v>
      </c>
      <c r="F441" s="28">
        <v>1.361</v>
      </c>
      <c r="G441" s="28">
        <v>0.27198250000000002</v>
      </c>
      <c r="H441" s="28">
        <v>0</v>
      </c>
      <c r="I441" s="28">
        <v>0.126180875</v>
      </c>
      <c r="J441" s="28">
        <v>0</v>
      </c>
      <c r="K441" s="28">
        <v>0</v>
      </c>
    </row>
    <row r="442" spans="1:18" ht="25.5">
      <c r="A442" s="15">
        <v>14</v>
      </c>
      <c r="B442" s="29">
        <v>40891</v>
      </c>
      <c r="C442" s="15">
        <v>2011</v>
      </c>
      <c r="D442" s="11" t="s">
        <v>39</v>
      </c>
      <c r="E442" s="15">
        <v>12</v>
      </c>
      <c r="F442" s="28">
        <v>0.53100000000000003</v>
      </c>
      <c r="G442" s="28">
        <v>4.1847250000000003E-2</v>
      </c>
      <c r="H442" s="28">
        <v>0</v>
      </c>
      <c r="I442" s="28">
        <v>6.6235500000000003E-2</v>
      </c>
      <c r="J442" s="28">
        <v>0</v>
      </c>
      <c r="K442" s="28">
        <v>0</v>
      </c>
      <c r="L442" s="35" t="s">
        <v>43</v>
      </c>
      <c r="M442" s="6" t="s">
        <v>7</v>
      </c>
      <c r="N442" s="6" t="s">
        <v>8</v>
      </c>
      <c r="O442" s="6" t="s">
        <v>9</v>
      </c>
      <c r="P442" s="6" t="s">
        <v>10</v>
      </c>
      <c r="Q442" s="6" t="s">
        <v>11</v>
      </c>
      <c r="R442" s="6" t="s">
        <v>12</v>
      </c>
    </row>
    <row r="443" spans="1:18">
      <c r="A443" s="46">
        <v>5</v>
      </c>
      <c r="B443" s="53">
        <v>40919</v>
      </c>
      <c r="C443" s="46">
        <v>2012</v>
      </c>
      <c r="D443" s="43" t="s">
        <v>40</v>
      </c>
      <c r="E443" s="46">
        <v>1</v>
      </c>
      <c r="F443" s="63">
        <v>11.461</v>
      </c>
      <c r="G443" s="63">
        <v>0.15698149999999997</v>
      </c>
      <c r="H443" s="63">
        <v>0</v>
      </c>
      <c r="I443" s="63">
        <v>3.576790125</v>
      </c>
      <c r="J443" s="66">
        <v>5.3899749999999996E-2</v>
      </c>
      <c r="K443" s="66">
        <v>0</v>
      </c>
      <c r="L443" s="35" t="s">
        <v>58</v>
      </c>
      <c r="M443" s="27">
        <f t="shared" ref="M443:R443" si="9">AVERAGE(F443:F478)</f>
        <v>6.6478333333333346</v>
      </c>
      <c r="N443" s="27">
        <f t="shared" si="9"/>
        <v>1.2590001249999998</v>
      </c>
      <c r="O443" s="27">
        <f t="shared" si="9"/>
        <v>4.7717916666666672E-3</v>
      </c>
      <c r="P443" s="27">
        <f t="shared" si="9"/>
        <v>1.1825390833333331</v>
      </c>
      <c r="Q443" s="27">
        <f t="shared" si="9"/>
        <v>8.0598458333333317E-2</v>
      </c>
      <c r="R443" s="27">
        <f t="shared" si="9"/>
        <v>0</v>
      </c>
    </row>
    <row r="444" spans="1:18">
      <c r="A444" s="15">
        <v>7</v>
      </c>
      <c r="B444" s="22">
        <v>40919</v>
      </c>
      <c r="C444" s="15">
        <v>2012</v>
      </c>
      <c r="D444" s="11" t="s">
        <v>40</v>
      </c>
      <c r="E444" s="15">
        <v>1</v>
      </c>
      <c r="F444" s="30">
        <v>2.4740000000000002</v>
      </c>
      <c r="G444" s="30">
        <v>0.37227999999999994</v>
      </c>
      <c r="H444" s="30">
        <v>0</v>
      </c>
      <c r="I444" s="30">
        <v>0.67706849999999985</v>
      </c>
      <c r="J444" s="28">
        <v>1.6233499999999998E-2</v>
      </c>
      <c r="K444" s="28">
        <v>0</v>
      </c>
    </row>
    <row r="445" spans="1:18">
      <c r="A445" s="15">
        <v>14</v>
      </c>
      <c r="B445" s="22">
        <v>40919</v>
      </c>
      <c r="C445" s="15">
        <v>2012</v>
      </c>
      <c r="D445" s="11" t="s">
        <v>40</v>
      </c>
      <c r="E445" s="15">
        <v>1</v>
      </c>
      <c r="F445" s="30">
        <v>1.694</v>
      </c>
      <c r="G445" s="30">
        <v>0.21017612499999996</v>
      </c>
      <c r="H445" s="30">
        <v>0</v>
      </c>
      <c r="I445" s="30">
        <v>0.42595349999999998</v>
      </c>
      <c r="J445" s="28">
        <v>8.1355000000000021E-3</v>
      </c>
      <c r="K445" s="28">
        <v>0</v>
      </c>
    </row>
    <row r="446" spans="1:18">
      <c r="A446" s="15">
        <v>5</v>
      </c>
      <c r="B446" s="22">
        <v>40962</v>
      </c>
      <c r="C446" s="15">
        <v>2012</v>
      </c>
      <c r="D446" s="11" t="s">
        <v>29</v>
      </c>
      <c r="E446" s="15">
        <v>2</v>
      </c>
      <c r="F446" s="30">
        <v>3.3820000000000001</v>
      </c>
      <c r="G446" s="30">
        <v>4.4984375E-2</v>
      </c>
      <c r="H446" s="30">
        <v>9.6094624999999989E-2</v>
      </c>
      <c r="I446" s="30">
        <v>1.793972125</v>
      </c>
      <c r="J446" s="28">
        <v>2.8702125000000002E-2</v>
      </c>
      <c r="K446" s="28">
        <v>0</v>
      </c>
    </row>
    <row r="447" spans="1:18">
      <c r="A447" s="15">
        <v>7</v>
      </c>
      <c r="B447" s="22">
        <v>40960</v>
      </c>
      <c r="C447" s="15">
        <v>2012</v>
      </c>
      <c r="D447" s="11" t="s">
        <v>29</v>
      </c>
      <c r="E447" s="15">
        <v>2</v>
      </c>
      <c r="F447" s="30">
        <v>1.637</v>
      </c>
      <c r="G447" s="30">
        <v>0.39141387499999997</v>
      </c>
      <c r="H447" s="30">
        <v>0</v>
      </c>
      <c r="I447" s="30">
        <v>0.23364374999999998</v>
      </c>
      <c r="J447" s="28">
        <v>1.4260874999999999E-2</v>
      </c>
      <c r="K447" s="28">
        <v>0</v>
      </c>
    </row>
    <row r="448" spans="1:18">
      <c r="A448" s="15">
        <v>14</v>
      </c>
      <c r="B448" s="22">
        <v>40960</v>
      </c>
      <c r="C448" s="15">
        <v>2012</v>
      </c>
      <c r="D448" s="11" t="s">
        <v>29</v>
      </c>
      <c r="E448" s="15">
        <v>2</v>
      </c>
      <c r="F448" s="30">
        <v>1.046</v>
      </c>
      <c r="G448" s="30">
        <v>5.5810749999999992E-2</v>
      </c>
      <c r="H448" s="30">
        <v>0</v>
      </c>
      <c r="I448" s="30">
        <v>0.28879437499999994</v>
      </c>
      <c r="J448" s="28">
        <v>1.0724625E-2</v>
      </c>
      <c r="K448" s="28">
        <v>0</v>
      </c>
    </row>
    <row r="449" spans="1:11">
      <c r="A449" s="15">
        <v>5</v>
      </c>
      <c r="B449" s="22">
        <v>40980</v>
      </c>
      <c r="C449" s="15">
        <v>2012</v>
      </c>
      <c r="D449" s="11" t="s">
        <v>30</v>
      </c>
      <c r="E449" s="15">
        <v>3</v>
      </c>
      <c r="F449" s="30">
        <v>3.1850000000000001</v>
      </c>
      <c r="G449" s="30">
        <v>0.10675899999999999</v>
      </c>
      <c r="H449" s="30">
        <v>0</v>
      </c>
      <c r="I449" s="30">
        <v>1.065917625</v>
      </c>
      <c r="J449" s="28">
        <v>3.0171875000000004E-2</v>
      </c>
      <c r="K449" s="28">
        <v>0</v>
      </c>
    </row>
    <row r="450" spans="1:11">
      <c r="A450" s="15">
        <v>7</v>
      </c>
      <c r="B450" s="22">
        <v>40982</v>
      </c>
      <c r="C450" s="15">
        <v>2012</v>
      </c>
      <c r="D450" s="11" t="s">
        <v>30</v>
      </c>
      <c r="E450" s="15">
        <v>3</v>
      </c>
      <c r="F450" s="30">
        <v>2.8159999999999998</v>
      </c>
      <c r="G450" s="30">
        <v>1.27299875</v>
      </c>
      <c r="H450" s="30">
        <v>0</v>
      </c>
      <c r="I450" s="30">
        <v>0.18160362499999999</v>
      </c>
      <c r="J450" s="28">
        <v>1.6994499999999999E-2</v>
      </c>
      <c r="K450" s="28">
        <v>0</v>
      </c>
    </row>
    <row r="451" spans="1:11">
      <c r="A451" s="15">
        <v>14</v>
      </c>
      <c r="B451" s="22">
        <v>40982</v>
      </c>
      <c r="C451" s="15">
        <v>2012</v>
      </c>
      <c r="D451" s="11" t="s">
        <v>30</v>
      </c>
      <c r="E451" s="15">
        <v>3</v>
      </c>
      <c r="F451" s="30">
        <v>1.1919999999999999</v>
      </c>
      <c r="G451" s="30">
        <v>0.10796475000000001</v>
      </c>
      <c r="H451" s="30">
        <v>0</v>
      </c>
      <c r="I451" s="30">
        <v>0.25109237499999998</v>
      </c>
      <c r="J451" s="28">
        <v>0</v>
      </c>
      <c r="K451" s="28">
        <v>0</v>
      </c>
    </row>
    <row r="452" spans="1:11">
      <c r="A452" s="15">
        <v>5</v>
      </c>
      <c r="B452" s="22">
        <v>41015</v>
      </c>
      <c r="C452" s="15">
        <v>2012</v>
      </c>
      <c r="D452" s="11" t="s">
        <v>31</v>
      </c>
      <c r="E452" s="15">
        <v>4</v>
      </c>
      <c r="F452" s="26">
        <v>1.6759999999999999</v>
      </c>
      <c r="G452" s="26">
        <v>0</v>
      </c>
      <c r="H452" s="26">
        <v>0</v>
      </c>
      <c r="I452" s="26">
        <v>0.71836437500000005</v>
      </c>
      <c r="J452" s="31">
        <v>1.7430250000000001E-2</v>
      </c>
      <c r="K452" s="31">
        <v>0</v>
      </c>
    </row>
    <row r="453" spans="1:11">
      <c r="A453" s="15">
        <v>7</v>
      </c>
      <c r="B453" s="22">
        <v>41016</v>
      </c>
      <c r="C453" s="15">
        <v>2012</v>
      </c>
      <c r="D453" s="11" t="s">
        <v>31</v>
      </c>
      <c r="E453" s="15">
        <v>4</v>
      </c>
      <c r="F453" s="26">
        <v>1.776</v>
      </c>
      <c r="G453" s="26">
        <v>4.2599875000000002E-2</v>
      </c>
      <c r="H453" s="26">
        <v>0</v>
      </c>
      <c r="I453" s="26">
        <v>0.10100875000000001</v>
      </c>
      <c r="J453" s="31">
        <v>2.0931624999999995E-2</v>
      </c>
      <c r="K453" s="31">
        <v>0</v>
      </c>
    </row>
    <row r="454" spans="1:11">
      <c r="A454" s="15">
        <v>14</v>
      </c>
      <c r="B454" s="22">
        <v>41016</v>
      </c>
      <c r="C454" s="15">
        <v>2012</v>
      </c>
      <c r="D454" s="11" t="s">
        <v>31</v>
      </c>
      <c r="E454" s="15">
        <v>4</v>
      </c>
      <c r="F454" s="26">
        <v>1.0149999999999999</v>
      </c>
      <c r="G454" s="26">
        <v>1.7628999999999999E-2</v>
      </c>
      <c r="H454" s="26">
        <v>0</v>
      </c>
      <c r="I454" s="26">
        <v>0.15699424999999997</v>
      </c>
      <c r="J454" s="31">
        <v>2.0936499999999997E-2</v>
      </c>
      <c r="K454" s="31">
        <v>0</v>
      </c>
    </row>
    <row r="455" spans="1:11">
      <c r="A455" s="15">
        <v>5</v>
      </c>
      <c r="B455" s="22">
        <v>41045</v>
      </c>
      <c r="C455" s="15">
        <v>2012</v>
      </c>
      <c r="D455" s="11" t="s">
        <v>32</v>
      </c>
      <c r="E455" s="15">
        <v>5</v>
      </c>
      <c r="F455" s="26">
        <v>3.4529999999999998</v>
      </c>
      <c r="G455" s="26">
        <v>5.8535875000000001E-2</v>
      </c>
      <c r="H455" s="26">
        <v>0</v>
      </c>
      <c r="I455" s="26">
        <v>1.74811775</v>
      </c>
      <c r="J455" s="31">
        <v>2.0098375000000002E-2</v>
      </c>
      <c r="K455" s="31">
        <v>0</v>
      </c>
    </row>
    <row r="456" spans="1:11">
      <c r="A456" s="15">
        <v>7</v>
      </c>
      <c r="B456" s="22">
        <v>41046</v>
      </c>
      <c r="C456" s="15">
        <v>2012</v>
      </c>
      <c r="D456" s="11" t="s">
        <v>32</v>
      </c>
      <c r="E456" s="15">
        <v>5</v>
      </c>
      <c r="F456" s="26">
        <v>6.641</v>
      </c>
      <c r="G456" s="26">
        <v>0.25983749999999994</v>
      </c>
      <c r="H456" s="26">
        <v>0</v>
      </c>
      <c r="I456" s="26">
        <v>2.0847282499999995</v>
      </c>
      <c r="J456" s="31">
        <v>0.10121724999999998</v>
      </c>
      <c r="K456" s="31">
        <v>0</v>
      </c>
    </row>
    <row r="457" spans="1:11">
      <c r="A457" s="15">
        <v>14</v>
      </c>
      <c r="B457" s="22">
        <v>41046</v>
      </c>
      <c r="C457" s="15">
        <v>2012</v>
      </c>
      <c r="D457" s="11" t="s">
        <v>32</v>
      </c>
      <c r="E457" s="15">
        <v>5</v>
      </c>
      <c r="F457" s="26">
        <v>4.2300000000000004</v>
      </c>
      <c r="G457" s="26">
        <v>0</v>
      </c>
      <c r="H457" s="26">
        <v>0</v>
      </c>
      <c r="I457" s="26">
        <v>0.99423299999999992</v>
      </c>
      <c r="J457" s="31">
        <v>1.5044999999999999E-2</v>
      </c>
      <c r="K457" s="31">
        <v>0</v>
      </c>
    </row>
    <row r="458" spans="1:11">
      <c r="A458" s="15">
        <v>5</v>
      </c>
      <c r="B458" s="22">
        <v>41073</v>
      </c>
      <c r="C458" s="15">
        <v>2012</v>
      </c>
      <c r="D458" s="11" t="s">
        <v>33</v>
      </c>
      <c r="E458" s="15">
        <v>6</v>
      </c>
      <c r="F458" s="26">
        <v>8.7240000000000002</v>
      </c>
      <c r="G458" s="26">
        <v>2.1453124999999997E-2</v>
      </c>
      <c r="H458" s="26">
        <v>0</v>
      </c>
      <c r="I458" s="26">
        <v>3.9196608749999995</v>
      </c>
      <c r="J458" s="31">
        <v>0.12665750000000001</v>
      </c>
      <c r="K458" s="31">
        <v>0</v>
      </c>
    </row>
    <row r="459" spans="1:11">
      <c r="A459" s="15">
        <v>7</v>
      </c>
      <c r="B459" s="22">
        <v>41080</v>
      </c>
      <c r="C459" s="15">
        <v>2012</v>
      </c>
      <c r="D459" s="11" t="s">
        <v>33</v>
      </c>
      <c r="E459" s="15">
        <v>6</v>
      </c>
      <c r="F459" s="26">
        <v>6.5609999999999999</v>
      </c>
      <c r="G459" s="26">
        <v>0.18889137499999997</v>
      </c>
      <c r="H459" s="26">
        <v>0</v>
      </c>
      <c r="I459" s="26">
        <v>1.0849872499999997</v>
      </c>
      <c r="J459" s="31">
        <v>0.46401162499999993</v>
      </c>
      <c r="K459" s="31">
        <v>0</v>
      </c>
    </row>
    <row r="460" spans="1:11">
      <c r="A460" s="15">
        <v>14</v>
      </c>
      <c r="B460" s="22">
        <v>41080</v>
      </c>
      <c r="C460" s="15">
        <v>2012</v>
      </c>
      <c r="D460" s="11" t="s">
        <v>33</v>
      </c>
      <c r="E460" s="15">
        <v>6</v>
      </c>
      <c r="F460" s="26">
        <v>1.976</v>
      </c>
      <c r="G460" s="26">
        <v>5.6003124999999994E-2</v>
      </c>
      <c r="H460" s="26">
        <v>7.5689875000000018E-2</v>
      </c>
      <c r="I460" s="26">
        <v>0.54121524999999993</v>
      </c>
      <c r="J460" s="31">
        <v>0.11574399999999999</v>
      </c>
      <c r="K460" s="31">
        <v>0</v>
      </c>
    </row>
    <row r="461" spans="1:11">
      <c r="A461" s="15">
        <v>5</v>
      </c>
      <c r="B461" s="22">
        <v>41107</v>
      </c>
      <c r="C461" s="15">
        <v>2012</v>
      </c>
      <c r="D461" s="11" t="s">
        <v>34</v>
      </c>
      <c r="E461" s="15">
        <v>7</v>
      </c>
      <c r="F461" s="26">
        <v>13.635999999999999</v>
      </c>
      <c r="G461" s="26">
        <v>0.24522775000000002</v>
      </c>
      <c r="H461" s="26">
        <v>0</v>
      </c>
      <c r="I461" s="26">
        <v>2.3662208749999998</v>
      </c>
      <c r="J461" s="31">
        <v>1.2550624999999996E-2</v>
      </c>
      <c r="K461" s="31">
        <v>0</v>
      </c>
    </row>
    <row r="462" spans="1:11">
      <c r="A462" s="15">
        <v>7</v>
      </c>
      <c r="B462" s="22">
        <v>41106</v>
      </c>
      <c r="C462" s="15">
        <v>2012</v>
      </c>
      <c r="D462" s="11" t="s">
        <v>34</v>
      </c>
      <c r="E462" s="15">
        <v>7</v>
      </c>
      <c r="F462" s="26">
        <v>10.025</v>
      </c>
      <c r="G462" s="26">
        <v>1.5582315</v>
      </c>
      <c r="H462" s="26">
        <v>0</v>
      </c>
      <c r="I462" s="26">
        <v>2.4759099999999994</v>
      </c>
      <c r="J462" s="31">
        <v>0.26002174999999994</v>
      </c>
      <c r="K462" s="31">
        <v>0</v>
      </c>
    </row>
    <row r="463" spans="1:11">
      <c r="A463" s="15">
        <v>14</v>
      </c>
      <c r="B463" s="22">
        <v>41106</v>
      </c>
      <c r="C463" s="15">
        <v>2012</v>
      </c>
      <c r="D463" s="11" t="s">
        <v>34</v>
      </c>
      <c r="E463" s="15">
        <v>7</v>
      </c>
      <c r="F463" s="26">
        <v>7.0940000000000003</v>
      </c>
      <c r="G463" s="26">
        <v>1.4122453749999997</v>
      </c>
      <c r="H463" s="26">
        <v>0</v>
      </c>
      <c r="I463" s="26">
        <v>1.8578566249999999</v>
      </c>
      <c r="J463" s="31">
        <v>0.11426099999999999</v>
      </c>
      <c r="K463" s="31">
        <v>0</v>
      </c>
    </row>
    <row r="464" spans="1:11">
      <c r="A464" s="15">
        <v>5</v>
      </c>
      <c r="B464" s="22">
        <v>41135</v>
      </c>
      <c r="C464" s="15">
        <v>2012</v>
      </c>
      <c r="D464" s="11" t="s">
        <v>35</v>
      </c>
      <c r="E464" s="15">
        <v>8</v>
      </c>
      <c r="F464" s="26">
        <v>57.398000000000003</v>
      </c>
      <c r="G464" s="26">
        <v>15.261165999999999</v>
      </c>
      <c r="H464" s="26">
        <v>0</v>
      </c>
      <c r="I464" s="26">
        <v>0.54515399999999992</v>
      </c>
      <c r="J464" s="31">
        <v>0.10055837500000001</v>
      </c>
      <c r="K464" s="31">
        <v>0</v>
      </c>
    </row>
    <row r="465" spans="1:18">
      <c r="A465" s="15">
        <v>7</v>
      </c>
      <c r="B465" s="22">
        <v>41137</v>
      </c>
      <c r="C465" s="15">
        <v>2012</v>
      </c>
      <c r="D465" s="11" t="s">
        <v>35</v>
      </c>
      <c r="E465" s="15">
        <v>8</v>
      </c>
      <c r="F465" s="26">
        <v>21.312999999999999</v>
      </c>
      <c r="G465" s="26">
        <v>9.8906587500000001</v>
      </c>
      <c r="H465" s="26">
        <v>0</v>
      </c>
      <c r="I465" s="26">
        <v>1.2212027499999998</v>
      </c>
      <c r="J465" s="31">
        <v>0.27001974999999995</v>
      </c>
      <c r="K465" s="31">
        <v>0</v>
      </c>
    </row>
    <row r="466" spans="1:18">
      <c r="A466" s="15">
        <v>14</v>
      </c>
      <c r="B466" s="22">
        <v>41137</v>
      </c>
      <c r="C466" s="15">
        <v>2012</v>
      </c>
      <c r="D466" s="11" t="s">
        <v>35</v>
      </c>
      <c r="E466" s="15">
        <v>8</v>
      </c>
      <c r="F466" s="26">
        <v>3.71</v>
      </c>
      <c r="G466" s="26">
        <v>1.1223240000000001</v>
      </c>
      <c r="H466" s="26">
        <v>0</v>
      </c>
      <c r="I466" s="26">
        <v>0.58436699999999997</v>
      </c>
      <c r="J466" s="31">
        <v>8.2683500000000007E-2</v>
      </c>
      <c r="K466" s="31">
        <v>0</v>
      </c>
    </row>
    <row r="467" spans="1:18">
      <c r="A467" s="15">
        <v>5</v>
      </c>
      <c r="B467" s="22">
        <v>41164</v>
      </c>
      <c r="C467" s="15">
        <v>2012</v>
      </c>
      <c r="D467" s="11" t="s">
        <v>41</v>
      </c>
      <c r="E467" s="15">
        <v>9</v>
      </c>
      <c r="F467" s="26">
        <v>13.07</v>
      </c>
      <c r="G467" s="26">
        <v>5.4359612499999983</v>
      </c>
      <c r="H467" s="26">
        <v>0</v>
      </c>
      <c r="I467" s="26">
        <v>2.3533545</v>
      </c>
      <c r="J467" s="31">
        <v>0.28563712499999999</v>
      </c>
      <c r="K467" s="31">
        <v>0</v>
      </c>
    </row>
    <row r="468" spans="1:18">
      <c r="A468" s="15">
        <v>7</v>
      </c>
      <c r="B468" s="22">
        <v>41163</v>
      </c>
      <c r="C468" s="15">
        <v>2012</v>
      </c>
      <c r="D468" s="11" t="s">
        <v>41</v>
      </c>
      <c r="E468" s="15">
        <v>9</v>
      </c>
      <c r="F468" s="26">
        <v>20.484999999999999</v>
      </c>
      <c r="G468" s="26">
        <v>5.4859546249999989</v>
      </c>
      <c r="H468" s="26">
        <v>0</v>
      </c>
      <c r="I468" s="26">
        <v>4.0982248749999997</v>
      </c>
      <c r="J468" s="31">
        <v>0.34916787499999996</v>
      </c>
      <c r="K468" s="31">
        <v>0</v>
      </c>
    </row>
    <row r="469" spans="1:18">
      <c r="A469" s="15">
        <v>14</v>
      </c>
      <c r="B469" s="22">
        <v>41163</v>
      </c>
      <c r="C469" s="15">
        <v>2012</v>
      </c>
      <c r="D469" s="11" t="s">
        <v>41</v>
      </c>
      <c r="E469" s="15">
        <v>9</v>
      </c>
      <c r="F469" s="26">
        <v>2.7469999999999999</v>
      </c>
      <c r="G469" s="26">
        <v>0.34613925000000006</v>
      </c>
      <c r="H469" s="26">
        <v>0</v>
      </c>
      <c r="I469" s="26">
        <v>0.55204874999999987</v>
      </c>
      <c r="J469" s="31">
        <v>0.156534125</v>
      </c>
      <c r="K469" s="31">
        <v>0</v>
      </c>
    </row>
    <row r="470" spans="1:18">
      <c r="A470" s="15">
        <v>5</v>
      </c>
      <c r="B470" s="22">
        <v>41199</v>
      </c>
      <c r="C470" s="15">
        <v>2012</v>
      </c>
      <c r="D470" s="11" t="s">
        <v>37</v>
      </c>
      <c r="E470" s="15">
        <v>10</v>
      </c>
      <c r="F470" s="26">
        <v>3.6970000000000001</v>
      </c>
      <c r="G470" s="26">
        <v>0.243508</v>
      </c>
      <c r="H470" s="26">
        <v>0</v>
      </c>
      <c r="I470" s="26">
        <v>0.78586574999999992</v>
      </c>
      <c r="J470" s="31">
        <v>7.5140999999999999E-2</v>
      </c>
      <c r="K470" s="31">
        <v>0</v>
      </c>
    </row>
    <row r="471" spans="1:18">
      <c r="A471" s="15">
        <v>7</v>
      </c>
      <c r="B471" s="22">
        <v>41199</v>
      </c>
      <c r="C471" s="15">
        <v>2012</v>
      </c>
      <c r="D471" s="11" t="s">
        <v>37</v>
      </c>
      <c r="E471" s="15">
        <v>10</v>
      </c>
      <c r="F471" s="26">
        <v>1.903</v>
      </c>
      <c r="G471" s="26">
        <v>7.3273624999999995E-2</v>
      </c>
      <c r="H471" s="26">
        <v>0</v>
      </c>
      <c r="I471" s="26">
        <v>7.2224625000000001E-2</v>
      </c>
      <c r="J471" s="31">
        <v>9.5239999999999995E-3</v>
      </c>
      <c r="K471" s="31">
        <v>0</v>
      </c>
    </row>
    <row r="472" spans="1:18">
      <c r="A472" s="15">
        <v>14</v>
      </c>
      <c r="B472" s="22">
        <v>41199</v>
      </c>
      <c r="C472" s="15">
        <v>2012</v>
      </c>
      <c r="D472" s="11" t="s">
        <v>37</v>
      </c>
      <c r="E472" s="15">
        <v>10</v>
      </c>
      <c r="F472" s="26">
        <v>1.704</v>
      </c>
      <c r="G472" s="26">
        <v>0.11216862499999999</v>
      </c>
      <c r="H472" s="26">
        <v>0</v>
      </c>
      <c r="I472" s="26">
        <v>0.11745587500000002</v>
      </c>
      <c r="J472" s="31">
        <v>0</v>
      </c>
      <c r="K472" s="31">
        <v>0</v>
      </c>
    </row>
    <row r="473" spans="1:18">
      <c r="A473" s="15">
        <v>5</v>
      </c>
      <c r="B473" s="22">
        <v>41225</v>
      </c>
      <c r="C473" s="15">
        <v>2012</v>
      </c>
      <c r="D473" s="11" t="s">
        <v>38</v>
      </c>
      <c r="E473" s="15">
        <v>11</v>
      </c>
      <c r="F473" s="26">
        <v>4.7450000000000001</v>
      </c>
      <c r="G473" s="26">
        <v>4.525524999999999E-2</v>
      </c>
      <c r="H473" s="26">
        <v>0</v>
      </c>
      <c r="I473" s="26">
        <v>1.504715875</v>
      </c>
      <c r="J473" s="31">
        <v>5.1626249999999992E-2</v>
      </c>
      <c r="K473" s="31">
        <v>0</v>
      </c>
    </row>
    <row r="474" spans="1:18">
      <c r="A474" s="15">
        <v>7</v>
      </c>
      <c r="B474" s="22">
        <v>41225</v>
      </c>
      <c r="C474" s="15">
        <v>2012</v>
      </c>
      <c r="D474" s="11" t="s">
        <v>38</v>
      </c>
      <c r="E474" s="15">
        <v>11</v>
      </c>
      <c r="F474" s="26">
        <v>4.2389999999999999</v>
      </c>
      <c r="G474" s="26">
        <v>0</v>
      </c>
      <c r="H474" s="26">
        <v>0</v>
      </c>
      <c r="I474" s="26">
        <v>0.60974062500000004</v>
      </c>
      <c r="J474" s="31">
        <v>3.4691124999999996E-2</v>
      </c>
      <c r="K474" s="31">
        <v>0</v>
      </c>
    </row>
    <row r="475" spans="1:18">
      <c r="A475" s="15">
        <v>14</v>
      </c>
      <c r="B475" s="22">
        <v>41225</v>
      </c>
      <c r="C475" s="15">
        <v>2012</v>
      </c>
      <c r="D475" s="11" t="s">
        <v>38</v>
      </c>
      <c r="E475" s="15">
        <v>11</v>
      </c>
      <c r="F475" s="26">
        <v>1.831</v>
      </c>
      <c r="G475" s="26">
        <v>0</v>
      </c>
      <c r="H475" s="26">
        <v>0</v>
      </c>
      <c r="I475" s="26">
        <v>0.27767249999999999</v>
      </c>
      <c r="J475" s="31">
        <v>1.0420499999999999E-2</v>
      </c>
      <c r="K475" s="31">
        <v>0</v>
      </c>
    </row>
    <row r="476" spans="1:18">
      <c r="A476" s="15">
        <v>5</v>
      </c>
      <c r="B476" s="22">
        <v>41254</v>
      </c>
      <c r="C476" s="15">
        <v>2012</v>
      </c>
      <c r="D476" s="11" t="s">
        <v>39</v>
      </c>
      <c r="E476" s="15">
        <v>12</v>
      </c>
      <c r="F476" s="26">
        <v>2.2109999999999999</v>
      </c>
      <c r="G476" s="26">
        <v>9.9273499999999987E-2</v>
      </c>
      <c r="H476" s="26">
        <v>0</v>
      </c>
      <c r="I476" s="26">
        <v>1.0618233749999997</v>
      </c>
      <c r="J476" s="31">
        <v>0</v>
      </c>
      <c r="K476" s="31">
        <v>0</v>
      </c>
    </row>
    <row r="477" spans="1:18">
      <c r="A477" s="15">
        <v>7</v>
      </c>
      <c r="B477" s="22">
        <v>41255</v>
      </c>
      <c r="C477" s="15">
        <v>2012</v>
      </c>
      <c r="D477" s="11" t="s">
        <v>39</v>
      </c>
      <c r="E477" s="15">
        <v>12</v>
      </c>
      <c r="F477" s="26">
        <v>3.383</v>
      </c>
      <c r="G477" s="26">
        <v>0.50575687499999999</v>
      </c>
      <c r="H477" s="26">
        <v>0</v>
      </c>
      <c r="I477" s="26">
        <v>1.6386555000000003</v>
      </c>
      <c r="J477" s="31">
        <v>7.5126250000000011E-3</v>
      </c>
      <c r="K477" s="31">
        <v>0</v>
      </c>
    </row>
    <row r="478" spans="1:18" ht="25.5">
      <c r="A478" s="15">
        <v>14</v>
      </c>
      <c r="B478" s="22">
        <v>41255</v>
      </c>
      <c r="C478" s="15">
        <v>2012</v>
      </c>
      <c r="D478" s="11" t="s">
        <v>39</v>
      </c>
      <c r="E478" s="15">
        <v>12</v>
      </c>
      <c r="F478" s="26">
        <v>1.1919999999999999</v>
      </c>
      <c r="G478" s="26">
        <v>0.12254112499999997</v>
      </c>
      <c r="H478" s="26">
        <v>0</v>
      </c>
      <c r="I478" s="26">
        <v>0.60476775000000005</v>
      </c>
      <c r="J478" s="31">
        <v>0</v>
      </c>
      <c r="K478" s="31">
        <v>0</v>
      </c>
      <c r="L478" s="35" t="s">
        <v>43</v>
      </c>
      <c r="M478" s="6" t="s">
        <v>7</v>
      </c>
      <c r="N478" s="6" t="s">
        <v>8</v>
      </c>
      <c r="O478" s="6" t="s">
        <v>9</v>
      </c>
      <c r="P478" s="6" t="s">
        <v>10</v>
      </c>
      <c r="Q478" s="6" t="s">
        <v>11</v>
      </c>
      <c r="R478" s="6" t="s">
        <v>12</v>
      </c>
    </row>
    <row r="479" spans="1:18">
      <c r="A479" s="46">
        <v>5</v>
      </c>
      <c r="B479" s="53">
        <v>41288</v>
      </c>
      <c r="C479" s="46">
        <v>2013</v>
      </c>
      <c r="D479" s="43" t="s">
        <v>40</v>
      </c>
      <c r="E479" s="41">
        <v>1</v>
      </c>
      <c r="F479" s="60">
        <v>2.3490000000000002</v>
      </c>
      <c r="G479" s="60">
        <v>0</v>
      </c>
      <c r="H479" s="60">
        <v>0</v>
      </c>
      <c r="I479" s="60">
        <v>0.9808332500000001</v>
      </c>
      <c r="J479" s="58">
        <v>0</v>
      </c>
      <c r="K479" s="58">
        <v>0</v>
      </c>
      <c r="L479" s="35" t="s">
        <v>59</v>
      </c>
      <c r="M479" s="27">
        <f t="shared" ref="M479:R479" si="10">AVERAGE(F479:F514)</f>
        <v>4.2898333333333332</v>
      </c>
      <c r="N479" s="27">
        <f t="shared" si="10"/>
        <v>0.37274589583333329</v>
      </c>
      <c r="O479" s="27">
        <f t="shared" si="10"/>
        <v>2.4636597222222221E-3</v>
      </c>
      <c r="P479" s="27">
        <f t="shared" si="10"/>
        <v>1.4614841597222221</v>
      </c>
      <c r="Q479" s="27">
        <f t="shared" si="10"/>
        <v>0.12090885416666662</v>
      </c>
      <c r="R479" s="27">
        <f t="shared" si="10"/>
        <v>0</v>
      </c>
    </row>
    <row r="480" spans="1:18">
      <c r="A480" s="15">
        <v>7</v>
      </c>
      <c r="B480" s="22">
        <v>41297</v>
      </c>
      <c r="C480" s="15">
        <v>2013</v>
      </c>
      <c r="D480" s="11" t="s">
        <v>40</v>
      </c>
      <c r="E480" s="12">
        <v>1</v>
      </c>
      <c r="F480" s="26">
        <v>2.6680000000000001</v>
      </c>
      <c r="G480" s="26">
        <v>0.17473962499999998</v>
      </c>
      <c r="H480" s="26">
        <v>0</v>
      </c>
      <c r="I480" s="26">
        <v>0.37740112499999989</v>
      </c>
      <c r="J480" s="31">
        <v>1.1120875000000001E-2</v>
      </c>
      <c r="K480" s="31">
        <v>0</v>
      </c>
    </row>
    <row r="481" spans="1:11">
      <c r="A481" s="15">
        <v>14</v>
      </c>
      <c r="B481" s="22">
        <v>41297</v>
      </c>
      <c r="C481" s="15">
        <v>2013</v>
      </c>
      <c r="D481" s="11" t="s">
        <v>40</v>
      </c>
      <c r="E481" s="12">
        <v>1</v>
      </c>
      <c r="F481" s="26">
        <v>1.38</v>
      </c>
      <c r="G481" s="26">
        <v>2.6025874999999997E-2</v>
      </c>
      <c r="H481" s="26">
        <v>0</v>
      </c>
      <c r="I481" s="26">
        <v>0.33170300000000008</v>
      </c>
      <c r="J481" s="31">
        <v>1.1739874999999999E-2</v>
      </c>
      <c r="K481" s="31">
        <v>0</v>
      </c>
    </row>
    <row r="482" spans="1:11">
      <c r="A482" s="15">
        <v>5</v>
      </c>
      <c r="B482" s="22">
        <v>41318</v>
      </c>
      <c r="C482" s="15">
        <v>2013</v>
      </c>
      <c r="D482" s="11" t="s">
        <v>29</v>
      </c>
      <c r="E482" s="12">
        <v>2</v>
      </c>
      <c r="F482" s="31">
        <v>8.3369999999999997</v>
      </c>
      <c r="G482" s="31">
        <v>0</v>
      </c>
      <c r="H482" s="31">
        <v>0</v>
      </c>
      <c r="I482" s="31">
        <v>4.9778297499999988</v>
      </c>
      <c r="J482" s="31">
        <v>2.5176125000000001E-2</v>
      </c>
      <c r="K482" s="31">
        <v>0</v>
      </c>
    </row>
    <row r="483" spans="1:11">
      <c r="A483" s="15">
        <v>7</v>
      </c>
      <c r="B483" s="22">
        <v>41319</v>
      </c>
      <c r="C483" s="15">
        <v>2013</v>
      </c>
      <c r="D483" s="11" t="s">
        <v>29</v>
      </c>
      <c r="E483" s="12">
        <v>2</v>
      </c>
      <c r="F483" s="31">
        <v>5.2880000000000003</v>
      </c>
      <c r="G483" s="31">
        <v>0.11775949999999999</v>
      </c>
      <c r="H483" s="31">
        <v>0</v>
      </c>
      <c r="I483" s="31">
        <v>2.3394633749999998</v>
      </c>
      <c r="J483" s="31">
        <v>1.0161E-2</v>
      </c>
      <c r="K483" s="31">
        <v>0</v>
      </c>
    </row>
    <row r="484" spans="1:11">
      <c r="A484" s="15">
        <v>14</v>
      </c>
      <c r="B484" s="22">
        <v>41319</v>
      </c>
      <c r="C484" s="15">
        <v>2013</v>
      </c>
      <c r="D484" s="11" t="s">
        <v>29</v>
      </c>
      <c r="E484" s="12">
        <v>2</v>
      </c>
      <c r="F484" s="31">
        <v>6.0389999999999997</v>
      </c>
      <c r="G484" s="31">
        <v>3.8291249999999999E-2</v>
      </c>
      <c r="H484" s="31">
        <v>1.3569375E-2</v>
      </c>
      <c r="I484" s="31">
        <v>3.1278204999999994</v>
      </c>
      <c r="J484" s="31">
        <v>0</v>
      </c>
      <c r="K484" s="31">
        <v>0</v>
      </c>
    </row>
    <row r="485" spans="1:11">
      <c r="A485" s="15">
        <v>5</v>
      </c>
      <c r="B485" s="22">
        <v>41344</v>
      </c>
      <c r="C485" s="15">
        <v>2013</v>
      </c>
      <c r="D485" s="11" t="s">
        <v>30</v>
      </c>
      <c r="E485" s="12">
        <v>3</v>
      </c>
      <c r="F485" s="31">
        <v>6.8650000000000002</v>
      </c>
      <c r="G485" s="31">
        <v>5.5329749999999997E-2</v>
      </c>
      <c r="H485" s="31">
        <v>0</v>
      </c>
      <c r="I485" s="31">
        <v>4.1329747499999998</v>
      </c>
      <c r="J485" s="31">
        <v>4.4098999999999999E-2</v>
      </c>
      <c r="K485" s="31">
        <v>0</v>
      </c>
    </row>
    <row r="486" spans="1:11">
      <c r="A486" s="15">
        <v>7</v>
      </c>
      <c r="B486" s="22">
        <v>41346</v>
      </c>
      <c r="C486" s="15">
        <v>2013</v>
      </c>
      <c r="D486" s="11" t="s">
        <v>30</v>
      </c>
      <c r="E486" s="12">
        <v>3</v>
      </c>
      <c r="F486" s="31">
        <v>10.744</v>
      </c>
      <c r="G486" s="31">
        <v>0.15812812499999998</v>
      </c>
      <c r="H486" s="31">
        <v>0</v>
      </c>
      <c r="I486" s="31">
        <v>6.8205334999999989</v>
      </c>
      <c r="J486" s="31">
        <v>4.7323625000000001E-2</v>
      </c>
      <c r="K486" s="31">
        <v>0</v>
      </c>
    </row>
    <row r="487" spans="1:11">
      <c r="A487" s="15">
        <v>14</v>
      </c>
      <c r="B487" s="22">
        <v>41346</v>
      </c>
      <c r="C487" s="15">
        <v>2013</v>
      </c>
      <c r="D487" s="11" t="s">
        <v>30</v>
      </c>
      <c r="E487" s="12">
        <v>3</v>
      </c>
      <c r="F487" s="31">
        <v>8.9760000000000009</v>
      </c>
      <c r="G487" s="31">
        <v>0</v>
      </c>
      <c r="H487" s="31">
        <v>0</v>
      </c>
      <c r="I487" s="31">
        <v>6.0120923749999999</v>
      </c>
      <c r="J487" s="31">
        <v>5.1243625000000001E-2</v>
      </c>
      <c r="K487" s="31">
        <v>0</v>
      </c>
    </row>
    <row r="488" spans="1:11">
      <c r="A488" s="15">
        <v>5</v>
      </c>
      <c r="B488" s="22">
        <v>41379</v>
      </c>
      <c r="C488" s="15">
        <v>2013</v>
      </c>
      <c r="D488" s="11" t="s">
        <v>31</v>
      </c>
      <c r="E488" s="12">
        <v>4</v>
      </c>
      <c r="F488" s="32">
        <v>2.5430000000000001</v>
      </c>
      <c r="G488" s="32">
        <v>0</v>
      </c>
      <c r="H488" s="32">
        <v>0</v>
      </c>
      <c r="I488" s="32">
        <v>1.3378622499999999</v>
      </c>
      <c r="J488" s="32">
        <v>7.2653750000000003E-2</v>
      </c>
      <c r="K488" s="32">
        <v>0</v>
      </c>
    </row>
    <row r="489" spans="1:11">
      <c r="A489" s="15">
        <v>7</v>
      </c>
      <c r="B489" s="22">
        <v>41380</v>
      </c>
      <c r="C489" s="15">
        <v>2013</v>
      </c>
      <c r="D489" s="11" t="s">
        <v>31</v>
      </c>
      <c r="E489" s="12">
        <v>4</v>
      </c>
      <c r="F489" s="32">
        <v>5.2409999999999997</v>
      </c>
      <c r="G489" s="32">
        <v>7.3791999999999983E-2</v>
      </c>
      <c r="H489" s="32">
        <v>0</v>
      </c>
      <c r="I489" s="32">
        <v>1.13628825</v>
      </c>
      <c r="J489" s="32">
        <v>2.3915374999999996E-2</v>
      </c>
      <c r="K489" s="32">
        <v>0</v>
      </c>
    </row>
    <row r="490" spans="1:11">
      <c r="A490" s="15">
        <v>14</v>
      </c>
      <c r="B490" s="22">
        <v>41380</v>
      </c>
      <c r="C490" s="15">
        <v>2013</v>
      </c>
      <c r="D490" s="11" t="s">
        <v>31</v>
      </c>
      <c r="E490" s="12">
        <v>4</v>
      </c>
      <c r="F490" s="32">
        <v>0.433</v>
      </c>
      <c r="G490" s="32">
        <v>0</v>
      </c>
      <c r="H490" s="32">
        <v>0</v>
      </c>
      <c r="I490" s="32">
        <v>8.6425500000000002E-2</v>
      </c>
      <c r="J490" s="32">
        <v>0</v>
      </c>
      <c r="K490" s="32">
        <v>0</v>
      </c>
    </row>
    <row r="491" spans="1:11">
      <c r="A491" s="15">
        <v>5</v>
      </c>
      <c r="B491" s="22">
        <v>41407</v>
      </c>
      <c r="C491" s="15">
        <v>2013</v>
      </c>
      <c r="D491" s="11" t="s">
        <v>32</v>
      </c>
      <c r="E491" s="12">
        <v>5</v>
      </c>
      <c r="F491" s="32">
        <v>1.2370000000000001</v>
      </c>
      <c r="G491" s="32">
        <v>5.5783999999999993E-2</v>
      </c>
      <c r="H491" s="32">
        <v>0</v>
      </c>
      <c r="I491" s="32">
        <v>5.142562500000001E-2</v>
      </c>
      <c r="J491" s="32">
        <v>1.4489374999999999E-2</v>
      </c>
      <c r="K491" s="32">
        <v>0</v>
      </c>
    </row>
    <row r="492" spans="1:11">
      <c r="A492" s="15">
        <v>7</v>
      </c>
      <c r="B492" s="22">
        <v>41407</v>
      </c>
      <c r="C492" s="15">
        <v>2013</v>
      </c>
      <c r="D492" s="11" t="s">
        <v>32</v>
      </c>
      <c r="E492" s="12">
        <v>5</v>
      </c>
      <c r="F492" s="32">
        <v>1.2390000000000001</v>
      </c>
      <c r="G492" s="32">
        <v>0</v>
      </c>
      <c r="H492" s="32">
        <v>0</v>
      </c>
      <c r="I492" s="32">
        <v>0.55525512499999985</v>
      </c>
      <c r="J492" s="32">
        <v>0</v>
      </c>
      <c r="K492" s="32">
        <v>0</v>
      </c>
    </row>
    <row r="493" spans="1:11">
      <c r="A493" s="15">
        <v>14</v>
      </c>
      <c r="B493" s="22">
        <v>41407</v>
      </c>
      <c r="C493" s="15">
        <v>2013</v>
      </c>
      <c r="D493" s="11" t="s">
        <v>32</v>
      </c>
      <c r="E493" s="12">
        <v>5</v>
      </c>
      <c r="F493" s="32">
        <v>0.63600000000000001</v>
      </c>
      <c r="G493" s="32">
        <v>0</v>
      </c>
      <c r="H493" s="32">
        <v>0</v>
      </c>
      <c r="I493" s="32">
        <v>0.2498658749999999</v>
      </c>
      <c r="J493" s="32">
        <v>0</v>
      </c>
      <c r="K493" s="32">
        <v>0</v>
      </c>
    </row>
    <row r="494" spans="1:11">
      <c r="A494" s="15">
        <v>5</v>
      </c>
      <c r="B494" s="22">
        <v>41436</v>
      </c>
      <c r="C494" s="15">
        <v>2013</v>
      </c>
      <c r="D494" s="11" t="s">
        <v>33</v>
      </c>
      <c r="E494" s="12">
        <v>6</v>
      </c>
      <c r="F494" s="32">
        <v>6.915</v>
      </c>
      <c r="G494" s="32">
        <v>6.516812499999998E-2</v>
      </c>
      <c r="H494" s="32">
        <v>0</v>
      </c>
      <c r="I494" s="32">
        <v>3.4232782500000001</v>
      </c>
      <c r="J494" s="32">
        <v>4.9302124999999995E-2</v>
      </c>
      <c r="K494" s="32">
        <v>0</v>
      </c>
    </row>
    <row r="495" spans="1:11">
      <c r="A495" s="15">
        <v>7</v>
      </c>
      <c r="B495" s="22">
        <v>41437</v>
      </c>
      <c r="C495" s="15">
        <v>2013</v>
      </c>
      <c r="D495" s="11" t="s">
        <v>33</v>
      </c>
      <c r="E495" s="12">
        <v>6</v>
      </c>
      <c r="F495" s="32">
        <v>7.1859999999999999</v>
      </c>
      <c r="G495" s="32">
        <v>0.36853812499999999</v>
      </c>
      <c r="H495" s="32">
        <v>0</v>
      </c>
      <c r="I495" s="32">
        <v>2.0410166250000001</v>
      </c>
      <c r="J495" s="32">
        <v>8.9196374999999994E-2</v>
      </c>
      <c r="K495" s="32">
        <v>0</v>
      </c>
    </row>
    <row r="496" spans="1:11">
      <c r="A496" s="15">
        <v>14</v>
      </c>
      <c r="B496" s="22">
        <v>41437</v>
      </c>
      <c r="C496" s="15">
        <v>2013</v>
      </c>
      <c r="D496" s="11" t="s">
        <v>33</v>
      </c>
      <c r="E496" s="12">
        <v>6</v>
      </c>
      <c r="F496" s="32">
        <v>5.2770000000000001</v>
      </c>
      <c r="G496" s="32">
        <v>0.19935900000000001</v>
      </c>
      <c r="H496" s="32">
        <v>0</v>
      </c>
      <c r="I496" s="32">
        <v>2.1256057500000001</v>
      </c>
      <c r="J496" s="32">
        <v>3.4667125E-2</v>
      </c>
      <c r="K496" s="32">
        <v>0</v>
      </c>
    </row>
    <row r="497" spans="1:11">
      <c r="A497" s="15">
        <v>5</v>
      </c>
      <c r="B497" s="22">
        <v>41470</v>
      </c>
      <c r="C497" s="15">
        <v>2013</v>
      </c>
      <c r="D497" s="11" t="s">
        <v>34</v>
      </c>
      <c r="E497" s="12">
        <v>7</v>
      </c>
      <c r="F497" s="32">
        <v>6.6029999999999998</v>
      </c>
      <c r="G497" s="32">
        <v>0.34459912500000001</v>
      </c>
      <c r="H497" s="32">
        <v>0</v>
      </c>
      <c r="I497" s="32">
        <v>1.5036761249999997</v>
      </c>
      <c r="J497" s="32">
        <v>1.593345375</v>
      </c>
      <c r="K497" s="32">
        <v>0</v>
      </c>
    </row>
    <row r="498" spans="1:11">
      <c r="A498" s="15">
        <v>7</v>
      </c>
      <c r="B498" s="22">
        <v>41470</v>
      </c>
      <c r="C498" s="15">
        <v>2013</v>
      </c>
      <c r="D498" s="11" t="s">
        <v>34</v>
      </c>
      <c r="E498" s="12">
        <v>7</v>
      </c>
      <c r="F498" s="32">
        <v>9.8219999999999992</v>
      </c>
      <c r="G498" s="32">
        <v>0.71107524999999994</v>
      </c>
      <c r="H498" s="32">
        <v>7.5122375000000005E-2</v>
      </c>
      <c r="I498" s="32">
        <v>2.3433163750000001</v>
      </c>
      <c r="J498" s="32">
        <v>0.37281312499999997</v>
      </c>
      <c r="K498" s="32">
        <v>0</v>
      </c>
    </row>
    <row r="499" spans="1:11">
      <c r="A499" s="15">
        <v>14</v>
      </c>
      <c r="B499" s="22">
        <v>41470</v>
      </c>
      <c r="C499" s="15">
        <v>2013</v>
      </c>
      <c r="D499" s="11" t="s">
        <v>34</v>
      </c>
      <c r="E499" s="12">
        <v>7</v>
      </c>
      <c r="F499" s="32">
        <v>4.4320000000000004</v>
      </c>
      <c r="G499" s="32">
        <v>0.18958487499999999</v>
      </c>
      <c r="H499" s="32">
        <v>0</v>
      </c>
      <c r="I499" s="32">
        <v>1.1304464999999997</v>
      </c>
      <c r="J499" s="32">
        <v>0.17482662499999999</v>
      </c>
      <c r="K499" s="32">
        <v>0</v>
      </c>
    </row>
    <row r="500" spans="1:11">
      <c r="A500" s="15">
        <v>5</v>
      </c>
      <c r="B500" s="22">
        <v>41498</v>
      </c>
      <c r="C500" s="15">
        <v>2013</v>
      </c>
      <c r="D500" s="11" t="s">
        <v>35</v>
      </c>
      <c r="E500" s="12">
        <v>8</v>
      </c>
      <c r="F500" s="32">
        <v>6.9290000000000003</v>
      </c>
      <c r="G500" s="32">
        <v>0.28015137499999998</v>
      </c>
      <c r="H500" s="32">
        <v>0</v>
      </c>
      <c r="I500" s="32">
        <v>1.9129505</v>
      </c>
      <c r="J500" s="32">
        <v>1.2639043750000001</v>
      </c>
      <c r="K500" s="32">
        <v>0</v>
      </c>
    </row>
    <row r="501" spans="1:11">
      <c r="A501" s="15">
        <v>7</v>
      </c>
      <c r="B501" s="22">
        <v>41498</v>
      </c>
      <c r="C501" s="15">
        <v>2013</v>
      </c>
      <c r="D501" s="11" t="s">
        <v>35</v>
      </c>
      <c r="E501" s="12">
        <v>8</v>
      </c>
      <c r="F501" s="32">
        <v>5.9130000000000003</v>
      </c>
      <c r="G501" s="32">
        <v>1.7123891250000001</v>
      </c>
      <c r="H501" s="32">
        <v>0</v>
      </c>
      <c r="I501" s="32">
        <v>0.42570212499999993</v>
      </c>
      <c r="J501" s="32">
        <v>0.21506762500000001</v>
      </c>
      <c r="K501" s="32">
        <v>0</v>
      </c>
    </row>
    <row r="502" spans="1:11">
      <c r="A502" s="15">
        <v>14</v>
      </c>
      <c r="B502" s="22">
        <v>41498</v>
      </c>
      <c r="C502" s="15">
        <v>2013</v>
      </c>
      <c r="D502" s="11" t="s">
        <v>35</v>
      </c>
      <c r="E502" s="12">
        <v>8</v>
      </c>
      <c r="F502" s="32">
        <v>4.3970000000000002</v>
      </c>
      <c r="G502" s="32">
        <v>1.6612114999999996</v>
      </c>
      <c r="H502" s="32">
        <v>0</v>
      </c>
      <c r="I502" s="32">
        <v>0.24674874999999996</v>
      </c>
      <c r="J502" s="32">
        <v>2.7241499999999995E-2</v>
      </c>
      <c r="K502" s="32">
        <v>0</v>
      </c>
    </row>
    <row r="503" spans="1:11">
      <c r="A503" s="15">
        <v>5</v>
      </c>
      <c r="B503" s="22">
        <v>41533</v>
      </c>
      <c r="C503" s="15">
        <v>2013</v>
      </c>
      <c r="D503" s="11" t="s">
        <v>41</v>
      </c>
      <c r="E503" s="12">
        <v>9</v>
      </c>
      <c r="F503" s="32">
        <v>3.4</v>
      </c>
      <c r="G503" s="32">
        <v>4.6190249999999995E-2</v>
      </c>
      <c r="H503" s="32">
        <v>0</v>
      </c>
      <c r="I503" s="32">
        <v>1.1208383749999999</v>
      </c>
      <c r="J503" s="32">
        <v>6.9370874999999999E-2</v>
      </c>
      <c r="K503" s="32">
        <v>0</v>
      </c>
    </row>
    <row r="504" spans="1:11">
      <c r="A504" s="15">
        <v>7</v>
      </c>
      <c r="B504" s="22">
        <v>41535</v>
      </c>
      <c r="C504" s="15">
        <v>2013</v>
      </c>
      <c r="D504" s="11" t="s">
        <v>41</v>
      </c>
      <c r="E504" s="12">
        <v>9</v>
      </c>
      <c r="F504" s="32">
        <v>7.87</v>
      </c>
      <c r="G504" s="32">
        <v>3.7157478749999995</v>
      </c>
      <c r="H504" s="32">
        <v>0</v>
      </c>
      <c r="I504" s="32">
        <v>0.166927875</v>
      </c>
      <c r="J504" s="32">
        <v>6.3457E-2</v>
      </c>
      <c r="K504" s="32">
        <v>0</v>
      </c>
    </row>
    <row r="505" spans="1:11">
      <c r="A505" s="15">
        <v>14</v>
      </c>
      <c r="B505" s="22">
        <v>41535</v>
      </c>
      <c r="C505" s="15">
        <v>2013</v>
      </c>
      <c r="D505" s="11" t="s">
        <v>41</v>
      </c>
      <c r="E505" s="12">
        <v>9</v>
      </c>
      <c r="F505" s="32">
        <v>0.88300000000000001</v>
      </c>
      <c r="G505" s="32">
        <v>0.14354525000000001</v>
      </c>
      <c r="H505" s="32">
        <v>0</v>
      </c>
      <c r="I505" s="32">
        <v>0.156142</v>
      </c>
      <c r="J505" s="32">
        <v>0</v>
      </c>
      <c r="K505" s="32">
        <v>0</v>
      </c>
    </row>
    <row r="506" spans="1:11">
      <c r="A506" s="15">
        <v>5</v>
      </c>
      <c r="B506" s="22">
        <v>41569</v>
      </c>
      <c r="C506" s="15">
        <v>2013</v>
      </c>
      <c r="D506" s="11" t="s">
        <v>37</v>
      </c>
      <c r="E506" s="12">
        <v>10</v>
      </c>
      <c r="F506" s="26">
        <v>2.6429999999999998</v>
      </c>
      <c r="G506" s="26">
        <v>4.0691375000000002E-2</v>
      </c>
      <c r="H506" s="26">
        <v>0</v>
      </c>
      <c r="I506" s="61">
        <v>6.7841374999999982E-2</v>
      </c>
      <c r="J506" s="31">
        <v>0</v>
      </c>
      <c r="K506" s="31">
        <v>0</v>
      </c>
    </row>
    <row r="507" spans="1:11">
      <c r="A507" s="15">
        <v>7</v>
      </c>
      <c r="B507" s="22">
        <v>406810</v>
      </c>
      <c r="C507" s="15">
        <v>2013</v>
      </c>
      <c r="D507" s="11" t="s">
        <v>37</v>
      </c>
      <c r="E507" s="12">
        <v>10</v>
      </c>
      <c r="F507" s="26">
        <v>3.2120000000000002</v>
      </c>
      <c r="G507" s="26">
        <v>0.133235625</v>
      </c>
      <c r="H507" s="26">
        <v>0</v>
      </c>
      <c r="I507" s="61">
        <v>0.50090887499999992</v>
      </c>
      <c r="J507" s="31">
        <v>2.6587999999999997E-2</v>
      </c>
      <c r="K507" s="31">
        <v>0</v>
      </c>
    </row>
    <row r="508" spans="1:11">
      <c r="A508" s="15">
        <v>14</v>
      </c>
      <c r="B508" s="22">
        <v>406810</v>
      </c>
      <c r="C508" s="15">
        <v>2013</v>
      </c>
      <c r="D508" s="11" t="s">
        <v>37</v>
      </c>
      <c r="E508" s="12">
        <v>10</v>
      </c>
      <c r="F508" s="26">
        <v>1.133</v>
      </c>
      <c r="G508" s="26">
        <v>6.076875000000001E-2</v>
      </c>
      <c r="H508" s="26">
        <v>0</v>
      </c>
      <c r="I508" s="61">
        <v>6.6877375000000003E-2</v>
      </c>
      <c r="J508" s="31">
        <v>8.1957499999999982E-3</v>
      </c>
      <c r="K508" s="31">
        <v>0</v>
      </c>
    </row>
    <row r="509" spans="1:11">
      <c r="A509" s="15">
        <v>5</v>
      </c>
      <c r="B509" s="22">
        <v>41597</v>
      </c>
      <c r="C509" s="15">
        <v>2013</v>
      </c>
      <c r="D509" s="11" t="s">
        <v>38</v>
      </c>
      <c r="E509" s="12">
        <v>11</v>
      </c>
      <c r="F509" s="26">
        <v>0.70799999999999996</v>
      </c>
      <c r="G509" s="26">
        <v>0</v>
      </c>
      <c r="H509" s="26">
        <v>0</v>
      </c>
      <c r="I509" s="61">
        <v>0.16126675000000001</v>
      </c>
      <c r="J509" s="31">
        <v>0</v>
      </c>
      <c r="K509" s="31">
        <v>0</v>
      </c>
    </row>
    <row r="510" spans="1:11">
      <c r="A510" s="15">
        <v>7</v>
      </c>
      <c r="B510" s="22">
        <v>41599</v>
      </c>
      <c r="C510" s="15">
        <v>2013</v>
      </c>
      <c r="D510" s="11" t="s">
        <v>38</v>
      </c>
      <c r="E510" s="12">
        <v>11</v>
      </c>
      <c r="F510" s="26">
        <v>0.64800000000000002</v>
      </c>
      <c r="G510" s="26">
        <v>3.8234749999999991E-2</v>
      </c>
      <c r="H510" s="26">
        <v>0</v>
      </c>
      <c r="I510" s="61">
        <v>0.11387787499999998</v>
      </c>
      <c r="J510" s="31">
        <v>0</v>
      </c>
      <c r="K510" s="31">
        <v>0</v>
      </c>
    </row>
    <row r="511" spans="1:11">
      <c r="A511" s="15">
        <v>14</v>
      </c>
      <c r="B511" s="22">
        <v>41599</v>
      </c>
      <c r="C511" s="15">
        <v>2013</v>
      </c>
      <c r="D511" s="11" t="s">
        <v>38</v>
      </c>
      <c r="E511" s="12">
        <v>11</v>
      </c>
      <c r="F511" s="26">
        <v>0.48199999999999998</v>
      </c>
      <c r="G511" s="26">
        <v>1.3696E-2</v>
      </c>
      <c r="H511" s="26">
        <v>0</v>
      </c>
      <c r="I511" s="61">
        <v>0.11209749999999999</v>
      </c>
      <c r="J511" s="31">
        <v>5.8508749999999993E-3</v>
      </c>
      <c r="K511" s="31">
        <v>0</v>
      </c>
    </row>
    <row r="512" spans="1:11">
      <c r="A512" s="15">
        <v>5</v>
      </c>
      <c r="B512" s="22">
        <v>41624</v>
      </c>
      <c r="C512" s="15">
        <v>2013</v>
      </c>
      <c r="D512" s="11" t="s">
        <v>39</v>
      </c>
      <c r="E512" s="12">
        <v>12</v>
      </c>
      <c r="F512" s="26">
        <v>3.2549999999999999</v>
      </c>
      <c r="G512" s="26">
        <v>7.7903750000000008E-2</v>
      </c>
      <c r="H512" s="26">
        <v>0</v>
      </c>
      <c r="I512" s="61">
        <v>1.2169337499999999</v>
      </c>
      <c r="J512" s="31">
        <v>0</v>
      </c>
      <c r="K512" s="31">
        <v>0</v>
      </c>
    </row>
    <row r="513" spans="1:18">
      <c r="A513" s="15">
        <v>7</v>
      </c>
      <c r="B513" s="22">
        <v>41627</v>
      </c>
      <c r="C513" s="15">
        <v>2013</v>
      </c>
      <c r="D513" s="11" t="s">
        <v>39</v>
      </c>
      <c r="E513" s="12">
        <v>12</v>
      </c>
      <c r="F513" s="26">
        <v>6.6989999999999998</v>
      </c>
      <c r="G513" s="26">
        <v>2.6235210000000002</v>
      </c>
      <c r="H513" s="26">
        <v>0</v>
      </c>
      <c r="I513" s="61">
        <v>0.76138462499999993</v>
      </c>
      <c r="J513" s="31">
        <v>3.7646249999999992E-2</v>
      </c>
      <c r="K513" s="31">
        <v>0</v>
      </c>
    </row>
    <row r="514" spans="1:18" ht="25.5">
      <c r="A514" s="15">
        <v>14</v>
      </c>
      <c r="B514" s="22">
        <v>41627</v>
      </c>
      <c r="C514" s="15">
        <v>2013</v>
      </c>
      <c r="D514" s="11" t="s">
        <v>39</v>
      </c>
      <c r="E514" s="12">
        <v>12</v>
      </c>
      <c r="F514" s="26">
        <v>2.052</v>
      </c>
      <c r="G514" s="26">
        <v>0.29339100000000001</v>
      </c>
      <c r="H514" s="26">
        <v>0</v>
      </c>
      <c r="I514" s="61">
        <v>0.49781812500000006</v>
      </c>
      <c r="J514" s="31">
        <v>9.3231249999999998E-3</v>
      </c>
      <c r="K514" s="31">
        <v>0</v>
      </c>
      <c r="L514" s="35" t="s">
        <v>43</v>
      </c>
      <c r="M514" s="6" t="s">
        <v>7</v>
      </c>
      <c r="N514" s="6" t="s">
        <v>8</v>
      </c>
      <c r="O514" s="6" t="s">
        <v>9</v>
      </c>
      <c r="P514" s="6" t="s">
        <v>10</v>
      </c>
      <c r="Q514" s="6" t="s">
        <v>11</v>
      </c>
      <c r="R514" s="6" t="s">
        <v>12</v>
      </c>
    </row>
    <row r="515" spans="1:18">
      <c r="A515" s="46">
        <v>5</v>
      </c>
      <c r="B515" s="53">
        <v>41654</v>
      </c>
      <c r="C515" s="46">
        <v>2014</v>
      </c>
      <c r="D515" s="43" t="s">
        <v>40</v>
      </c>
      <c r="E515" s="41">
        <v>1</v>
      </c>
      <c r="F515" s="60">
        <v>2.7160000000000002</v>
      </c>
      <c r="G515" s="60">
        <v>0</v>
      </c>
      <c r="H515" s="60">
        <v>0</v>
      </c>
      <c r="I515" s="62">
        <v>1.0902731249999997</v>
      </c>
      <c r="J515" s="58">
        <v>0</v>
      </c>
      <c r="K515" s="58">
        <v>0</v>
      </c>
      <c r="L515" s="35" t="s">
        <v>60</v>
      </c>
      <c r="M515" s="27">
        <f t="shared" ref="M515:R515" si="11">AVERAGE(F515:F550)</f>
        <v>3.2417222222222226</v>
      </c>
      <c r="N515" s="27">
        <f t="shared" si="11"/>
        <v>0.2037907349537037</v>
      </c>
      <c r="O515" s="27">
        <f t="shared" si="11"/>
        <v>0</v>
      </c>
      <c r="P515" s="27">
        <f t="shared" si="11"/>
        <v>0.84429909027777783</v>
      </c>
      <c r="Q515" s="27">
        <f t="shared" si="11"/>
        <v>5.4415364583333334E-2</v>
      </c>
      <c r="R515" s="27">
        <f t="shared" si="11"/>
        <v>0</v>
      </c>
    </row>
    <row r="516" spans="1:18">
      <c r="A516" s="15">
        <v>7</v>
      </c>
      <c r="B516" s="22">
        <v>41655</v>
      </c>
      <c r="C516" s="15">
        <v>2014</v>
      </c>
      <c r="D516" s="11" t="s">
        <v>40</v>
      </c>
      <c r="E516" s="12">
        <v>1</v>
      </c>
      <c r="F516" s="26">
        <v>4.1989999999999998</v>
      </c>
      <c r="G516" s="26">
        <v>0.40375324999999995</v>
      </c>
      <c r="H516" s="26">
        <v>0</v>
      </c>
      <c r="I516" s="61">
        <v>0.99440300000000004</v>
      </c>
      <c r="J516" s="31">
        <v>1.6791749999999998E-2</v>
      </c>
      <c r="K516" s="31">
        <v>0</v>
      </c>
    </row>
    <row r="517" spans="1:18">
      <c r="A517" s="15">
        <v>14</v>
      </c>
      <c r="B517" s="22">
        <v>41655</v>
      </c>
      <c r="C517" s="15">
        <v>2014</v>
      </c>
      <c r="D517" s="11" t="s">
        <v>40</v>
      </c>
      <c r="E517" s="12">
        <v>1</v>
      </c>
      <c r="F517" s="26">
        <v>2.839</v>
      </c>
      <c r="G517" s="26">
        <v>0.14082174999999997</v>
      </c>
      <c r="H517" s="26">
        <v>0</v>
      </c>
      <c r="I517" s="61">
        <v>0.86851774999999987</v>
      </c>
      <c r="J517" s="31">
        <v>1.8850749999999996E-2</v>
      </c>
      <c r="K517" s="31">
        <v>0</v>
      </c>
    </row>
    <row r="518" spans="1:18">
      <c r="A518" s="15">
        <v>5</v>
      </c>
      <c r="B518" s="22">
        <v>41688</v>
      </c>
      <c r="C518" s="15">
        <v>2014</v>
      </c>
      <c r="D518" s="11" t="s">
        <v>29</v>
      </c>
      <c r="E518" s="12">
        <v>2</v>
      </c>
      <c r="F518" s="26">
        <v>2.9209999999999998</v>
      </c>
      <c r="G518" s="26">
        <v>3.2449499999999999E-2</v>
      </c>
      <c r="H518" s="26">
        <v>0</v>
      </c>
      <c r="I518" s="61">
        <v>1.080244875</v>
      </c>
      <c r="J518" s="31">
        <v>2.0174374999999994E-2</v>
      </c>
      <c r="K518" s="31">
        <v>0</v>
      </c>
    </row>
    <row r="519" spans="1:18">
      <c r="A519" s="15">
        <v>7</v>
      </c>
      <c r="B519" s="22">
        <v>41690</v>
      </c>
      <c r="C519" s="15">
        <v>2014</v>
      </c>
      <c r="D519" s="11" t="s">
        <v>29</v>
      </c>
      <c r="E519" s="12">
        <v>2</v>
      </c>
      <c r="F519" s="26">
        <v>3.8149999999999999</v>
      </c>
      <c r="G519" s="26">
        <v>0.138683</v>
      </c>
      <c r="H519" s="26">
        <v>0</v>
      </c>
      <c r="I519" s="61">
        <v>1.4297617499999999</v>
      </c>
      <c r="J519" s="31">
        <v>1.9064874999999995E-2</v>
      </c>
      <c r="K519" s="31">
        <v>0</v>
      </c>
    </row>
    <row r="520" spans="1:18">
      <c r="A520" s="15">
        <v>14</v>
      </c>
      <c r="B520" s="22">
        <v>41690</v>
      </c>
      <c r="C520" s="15">
        <v>2014</v>
      </c>
      <c r="D520" s="11" t="s">
        <v>29</v>
      </c>
      <c r="E520" s="12">
        <v>2</v>
      </c>
      <c r="F520" s="26">
        <v>4.59</v>
      </c>
      <c r="G520" s="26">
        <v>6.8962124999999999E-2</v>
      </c>
      <c r="H520" s="26">
        <v>0</v>
      </c>
      <c r="I520" s="61">
        <v>1.6685007500000002</v>
      </c>
      <c r="J520" s="31">
        <v>1.9884249999999999E-2</v>
      </c>
      <c r="K520" s="31">
        <v>0</v>
      </c>
    </row>
    <row r="521" spans="1:18">
      <c r="A521" s="15">
        <v>5</v>
      </c>
      <c r="B521" s="22">
        <v>41718</v>
      </c>
      <c r="C521" s="15">
        <v>2014</v>
      </c>
      <c r="D521" s="11" t="s">
        <v>30</v>
      </c>
      <c r="E521" s="12">
        <v>3</v>
      </c>
      <c r="F521" s="26">
        <v>5.923</v>
      </c>
      <c r="G521" s="26">
        <v>0.15427262499999997</v>
      </c>
      <c r="H521" s="26">
        <v>0</v>
      </c>
      <c r="I521" s="61">
        <v>2.6624426249999997</v>
      </c>
      <c r="J521" s="31">
        <v>2.3510625E-2</v>
      </c>
      <c r="K521" s="31">
        <v>0</v>
      </c>
    </row>
    <row r="522" spans="1:18">
      <c r="A522" s="15">
        <v>7</v>
      </c>
      <c r="B522" s="22">
        <v>41718</v>
      </c>
      <c r="C522" s="15">
        <v>2014</v>
      </c>
      <c r="D522" s="11" t="s">
        <v>30</v>
      </c>
      <c r="E522" s="12">
        <v>3</v>
      </c>
      <c r="F522" s="26">
        <v>3.7069999999999999</v>
      </c>
      <c r="G522" s="26">
        <v>0.17214475000000001</v>
      </c>
      <c r="H522" s="26">
        <v>0</v>
      </c>
      <c r="I522" s="61">
        <v>1.3201890000000001</v>
      </c>
      <c r="J522" s="31">
        <v>2.1393624999999999E-2</v>
      </c>
      <c r="K522" s="31">
        <v>0</v>
      </c>
    </row>
    <row r="523" spans="1:18">
      <c r="A523" s="15">
        <v>14</v>
      </c>
      <c r="B523" s="22">
        <v>41718</v>
      </c>
      <c r="C523" s="15">
        <v>2014</v>
      </c>
      <c r="D523" s="11" t="s">
        <v>30</v>
      </c>
      <c r="E523" s="12">
        <v>3</v>
      </c>
      <c r="F523" s="26">
        <v>5.3289999999999997</v>
      </c>
      <c r="G523" s="26">
        <v>0.16295824999999997</v>
      </c>
      <c r="H523" s="26">
        <v>0</v>
      </c>
      <c r="I523" s="61">
        <v>2.259413125</v>
      </c>
      <c r="J523" s="31">
        <v>1.9279749999999998E-2</v>
      </c>
      <c r="K523" s="31">
        <v>0</v>
      </c>
    </row>
    <row r="524" spans="1:18">
      <c r="A524" s="15">
        <v>5</v>
      </c>
      <c r="B524" s="22">
        <v>41747</v>
      </c>
      <c r="C524" s="15">
        <v>2014</v>
      </c>
      <c r="D524" s="11" t="s">
        <v>31</v>
      </c>
      <c r="E524" s="12">
        <v>4</v>
      </c>
      <c r="F524" s="33">
        <v>5.7229999999999999</v>
      </c>
      <c r="G524" s="33">
        <v>0.13722800000000002</v>
      </c>
      <c r="H524" s="33">
        <v>0</v>
      </c>
      <c r="I524" s="64">
        <v>2.3290970000000004</v>
      </c>
      <c r="J524" s="67">
        <v>5.7789E-2</v>
      </c>
      <c r="K524" s="67">
        <v>0</v>
      </c>
    </row>
    <row r="525" spans="1:18">
      <c r="A525" s="15">
        <v>7</v>
      </c>
      <c r="B525" s="22">
        <v>41750</v>
      </c>
      <c r="C525" s="15">
        <v>2014</v>
      </c>
      <c r="D525" s="11" t="s">
        <v>31</v>
      </c>
      <c r="E525" s="12">
        <v>4</v>
      </c>
      <c r="F525" s="33">
        <v>2.2210000000000001</v>
      </c>
      <c r="G525" s="33">
        <v>1.8017249999999999E-2</v>
      </c>
      <c r="H525" s="33">
        <v>0</v>
      </c>
      <c r="I525" s="64">
        <v>0.70522625000000005</v>
      </c>
      <c r="J525" s="67">
        <v>1.4537749999999999E-2</v>
      </c>
      <c r="K525" s="67">
        <v>0</v>
      </c>
    </row>
    <row r="526" spans="1:18">
      <c r="A526" s="15">
        <v>14</v>
      </c>
      <c r="B526" s="22">
        <v>41750</v>
      </c>
      <c r="C526" s="15">
        <v>2014</v>
      </c>
      <c r="D526" s="11" t="s">
        <v>31</v>
      </c>
      <c r="E526" s="12">
        <v>4</v>
      </c>
      <c r="F526" s="34">
        <v>2.3580000000000001</v>
      </c>
      <c r="G526" s="34">
        <v>6.2692833333333337E-2</v>
      </c>
      <c r="H526" s="34">
        <v>0</v>
      </c>
      <c r="I526" s="65">
        <v>0.69970699999999997</v>
      </c>
      <c r="J526" s="68">
        <v>0</v>
      </c>
      <c r="K526" s="68">
        <v>0</v>
      </c>
    </row>
    <row r="527" spans="1:18">
      <c r="A527" s="15">
        <v>5</v>
      </c>
      <c r="B527" s="22">
        <v>41772</v>
      </c>
      <c r="C527" s="15">
        <v>2014</v>
      </c>
      <c r="D527" s="11" t="s">
        <v>32</v>
      </c>
      <c r="E527" s="12">
        <v>5</v>
      </c>
      <c r="F527" s="33">
        <v>1.1399999999999999</v>
      </c>
      <c r="G527" s="33">
        <v>0</v>
      </c>
      <c r="H527" s="33">
        <v>0</v>
      </c>
      <c r="I527" s="64">
        <v>0.32215225000000003</v>
      </c>
      <c r="J527" s="67">
        <v>1.1648374999999999E-2</v>
      </c>
      <c r="K527" s="67">
        <v>0</v>
      </c>
    </row>
    <row r="528" spans="1:18">
      <c r="A528" s="15">
        <v>7</v>
      </c>
      <c r="B528" s="22">
        <v>41406</v>
      </c>
      <c r="C528" s="15">
        <v>2014</v>
      </c>
      <c r="D528" s="11" t="s">
        <v>32</v>
      </c>
      <c r="E528" s="12">
        <v>5</v>
      </c>
      <c r="F528" s="33">
        <v>2.476</v>
      </c>
      <c r="G528" s="33">
        <v>0</v>
      </c>
      <c r="H528" s="33">
        <v>0</v>
      </c>
      <c r="I528" s="64">
        <v>0.13357137499999999</v>
      </c>
      <c r="J528" s="67">
        <v>1.4841750000000001E-2</v>
      </c>
      <c r="K528" s="67">
        <v>0</v>
      </c>
    </row>
    <row r="529" spans="1:11">
      <c r="A529" s="15">
        <v>14</v>
      </c>
      <c r="B529" s="22">
        <v>41406</v>
      </c>
      <c r="C529" s="15">
        <v>2014</v>
      </c>
      <c r="D529" s="11" t="s">
        <v>32</v>
      </c>
      <c r="E529" s="12">
        <v>5</v>
      </c>
      <c r="F529" s="33">
        <v>1.5740000000000001</v>
      </c>
      <c r="G529" s="33">
        <v>2.6669624999999995E-2</v>
      </c>
      <c r="H529" s="33">
        <v>0</v>
      </c>
      <c r="I529" s="64">
        <v>0.32052774999999994</v>
      </c>
      <c r="J529" s="67">
        <v>2.8773499999999997E-2</v>
      </c>
      <c r="K529" s="67">
        <v>0</v>
      </c>
    </row>
    <row r="530" spans="1:11">
      <c r="A530" s="15">
        <v>5</v>
      </c>
      <c r="B530" s="22">
        <v>41808</v>
      </c>
      <c r="C530" s="15">
        <v>2014</v>
      </c>
      <c r="D530" s="11" t="s">
        <v>33</v>
      </c>
      <c r="E530" s="12">
        <v>6</v>
      </c>
      <c r="F530" s="33">
        <v>4.274</v>
      </c>
      <c r="G530" s="33">
        <v>9.1353874999999987E-2</v>
      </c>
      <c r="H530" s="33">
        <v>0</v>
      </c>
      <c r="I530" s="64">
        <v>1.2837940000000001</v>
      </c>
      <c r="J530" s="67">
        <v>0.19684787500000001</v>
      </c>
      <c r="K530" s="67">
        <v>0</v>
      </c>
    </row>
    <row r="531" spans="1:11">
      <c r="A531" s="15">
        <v>7</v>
      </c>
      <c r="B531" s="22">
        <v>41807</v>
      </c>
      <c r="C531" s="15">
        <v>2014</v>
      </c>
      <c r="D531" s="11" t="s">
        <v>33</v>
      </c>
      <c r="E531" s="12">
        <v>6</v>
      </c>
      <c r="F531" s="33">
        <v>1.589</v>
      </c>
      <c r="G531" s="33">
        <v>0.237976875</v>
      </c>
      <c r="H531" s="33">
        <v>0</v>
      </c>
      <c r="I531" s="64">
        <v>8.2232124999999989E-2</v>
      </c>
      <c r="J531" s="67">
        <v>6.28605E-2</v>
      </c>
      <c r="K531" s="67">
        <v>0</v>
      </c>
    </row>
    <row r="532" spans="1:11">
      <c r="A532" s="15">
        <v>14</v>
      </c>
      <c r="B532" s="22">
        <v>41807</v>
      </c>
      <c r="C532" s="15">
        <v>2014</v>
      </c>
      <c r="D532" s="11" t="s">
        <v>33</v>
      </c>
      <c r="E532" s="12">
        <v>6</v>
      </c>
      <c r="F532" s="33">
        <v>1.0229999999999999</v>
      </c>
      <c r="G532" s="33">
        <v>4.6392124999999999E-2</v>
      </c>
      <c r="H532" s="33">
        <v>0</v>
      </c>
      <c r="I532" s="64">
        <v>0.16038850000000002</v>
      </c>
      <c r="J532" s="67">
        <v>4.9441375000000003E-2</v>
      </c>
      <c r="K532" s="67">
        <v>0</v>
      </c>
    </row>
    <row r="533" spans="1:11">
      <c r="A533" s="15">
        <v>5</v>
      </c>
      <c r="B533" s="22">
        <v>41834</v>
      </c>
      <c r="C533" s="15">
        <v>2014</v>
      </c>
      <c r="D533" s="11" t="s">
        <v>34</v>
      </c>
      <c r="E533" s="12">
        <v>7</v>
      </c>
      <c r="F533" s="33">
        <v>10.997999999999999</v>
      </c>
      <c r="G533" s="33">
        <v>0.43608549999999996</v>
      </c>
      <c r="H533" s="33">
        <v>0</v>
      </c>
      <c r="I533" s="64">
        <v>3.172333375</v>
      </c>
      <c r="J533" s="67">
        <v>0.75023187499999999</v>
      </c>
      <c r="K533" s="67">
        <v>0</v>
      </c>
    </row>
    <row r="534" spans="1:11">
      <c r="A534" s="15">
        <v>7</v>
      </c>
      <c r="B534" s="22">
        <v>41837</v>
      </c>
      <c r="C534" s="15">
        <v>2014</v>
      </c>
      <c r="D534" s="11" t="s">
        <v>34</v>
      </c>
      <c r="E534" s="12">
        <v>7</v>
      </c>
      <c r="F534" s="33">
        <v>5.3529999999999998</v>
      </c>
      <c r="G534" s="33">
        <v>0.80758562499999975</v>
      </c>
      <c r="H534" s="33">
        <v>0</v>
      </c>
      <c r="I534" s="64">
        <v>0.3300324999999999</v>
      </c>
      <c r="J534" s="67">
        <v>5.0934249999999993E-2</v>
      </c>
      <c r="K534" s="67">
        <v>0</v>
      </c>
    </row>
    <row r="535" spans="1:11">
      <c r="A535" s="15">
        <v>14</v>
      </c>
      <c r="B535" s="22">
        <v>41837</v>
      </c>
      <c r="C535" s="15">
        <v>2014</v>
      </c>
      <c r="D535" s="11" t="s">
        <v>34</v>
      </c>
      <c r="E535" s="12">
        <v>7</v>
      </c>
      <c r="F535" s="33">
        <v>3.3460000000000001</v>
      </c>
      <c r="G535" s="33">
        <v>0.24616237499999993</v>
      </c>
      <c r="H535" s="33">
        <v>0</v>
      </c>
      <c r="I535" s="64">
        <v>0.59621950000000001</v>
      </c>
      <c r="J535" s="67">
        <v>1.8154625000000004E-2</v>
      </c>
      <c r="K535" s="67">
        <v>0</v>
      </c>
    </row>
    <row r="536" spans="1:11">
      <c r="A536" s="15">
        <v>5</v>
      </c>
      <c r="B536" s="22">
        <v>41864</v>
      </c>
      <c r="C536" s="15">
        <v>2014</v>
      </c>
      <c r="D536" s="11" t="s">
        <v>35</v>
      </c>
      <c r="E536" s="12">
        <v>8</v>
      </c>
      <c r="F536" s="33">
        <v>3.7149999999999999</v>
      </c>
      <c r="G536" s="33">
        <v>0.22170287499999997</v>
      </c>
      <c r="H536" s="33">
        <v>0</v>
      </c>
      <c r="I536" s="64">
        <v>1.234309125</v>
      </c>
      <c r="J536" s="67">
        <v>0.24712112500000002</v>
      </c>
      <c r="K536" s="67">
        <v>0</v>
      </c>
    </row>
    <row r="537" spans="1:11">
      <c r="A537" s="15">
        <v>7</v>
      </c>
      <c r="B537" s="22">
        <v>41862</v>
      </c>
      <c r="C537" s="15">
        <v>2014</v>
      </c>
      <c r="D537" s="11" t="s">
        <v>35</v>
      </c>
      <c r="E537" s="12">
        <v>8</v>
      </c>
      <c r="F537" s="33">
        <v>9.3279999999999994</v>
      </c>
      <c r="G537" s="33">
        <v>2.2704987499999998</v>
      </c>
      <c r="H537" s="33">
        <v>0</v>
      </c>
      <c r="I537" s="64">
        <v>0.7375641249999999</v>
      </c>
      <c r="J537" s="67">
        <v>0.11665475000000002</v>
      </c>
      <c r="K537" s="67">
        <v>0</v>
      </c>
    </row>
    <row r="538" spans="1:11">
      <c r="A538" s="15">
        <v>14</v>
      </c>
      <c r="B538" s="22">
        <v>41862</v>
      </c>
      <c r="C538" s="15">
        <v>2014</v>
      </c>
      <c r="D538" s="11" t="s">
        <v>35</v>
      </c>
      <c r="E538" s="12">
        <v>8</v>
      </c>
      <c r="F538" s="33">
        <v>2.9540000000000002</v>
      </c>
      <c r="G538" s="33">
        <v>0.228185625</v>
      </c>
      <c r="H538" s="33">
        <v>0</v>
      </c>
      <c r="I538" s="64">
        <v>0.65681100000000014</v>
      </c>
      <c r="J538" s="67">
        <v>3.5728499999999996E-2</v>
      </c>
      <c r="K538" s="67">
        <v>0</v>
      </c>
    </row>
    <row r="539" spans="1:11">
      <c r="A539" s="15">
        <v>5</v>
      </c>
      <c r="B539" s="22">
        <v>41898</v>
      </c>
      <c r="C539" s="15">
        <v>2014</v>
      </c>
      <c r="D539" s="11" t="s">
        <v>41</v>
      </c>
      <c r="E539" s="12">
        <v>9</v>
      </c>
      <c r="F539" s="33">
        <v>4.335</v>
      </c>
      <c r="G539" s="33">
        <v>9.3033624999999981E-2</v>
      </c>
      <c r="H539" s="33">
        <v>0</v>
      </c>
      <c r="I539" s="64">
        <v>0.67707262499999998</v>
      </c>
      <c r="J539" s="67">
        <v>5.4866875000000002E-2</v>
      </c>
      <c r="K539" s="67">
        <v>0</v>
      </c>
    </row>
    <row r="540" spans="1:11">
      <c r="A540" s="15">
        <v>7</v>
      </c>
      <c r="B540" s="22">
        <v>41897</v>
      </c>
      <c r="C540" s="15">
        <v>2014</v>
      </c>
      <c r="D540" s="11" t="s">
        <v>41</v>
      </c>
      <c r="E540" s="12">
        <v>9</v>
      </c>
      <c r="F540" s="33">
        <v>1.879</v>
      </c>
      <c r="G540" s="33">
        <v>0.29378512499999998</v>
      </c>
      <c r="H540" s="33">
        <v>0</v>
      </c>
      <c r="I540" s="64">
        <v>0.18161424999999998</v>
      </c>
      <c r="J540" s="67">
        <v>3.0365500000000004E-2</v>
      </c>
      <c r="K540" s="67">
        <v>0</v>
      </c>
    </row>
    <row r="541" spans="1:11">
      <c r="A541" s="15">
        <v>14</v>
      </c>
      <c r="B541" s="22">
        <v>41897</v>
      </c>
      <c r="C541" s="15">
        <v>2014</v>
      </c>
      <c r="D541" s="11" t="s">
        <v>41</v>
      </c>
      <c r="E541" s="12">
        <v>9</v>
      </c>
      <c r="F541" s="33">
        <v>1.1180000000000001</v>
      </c>
      <c r="G541" s="33">
        <v>4.734374999999999E-2</v>
      </c>
      <c r="H541" s="33">
        <v>0</v>
      </c>
      <c r="I541" s="64">
        <v>0.20224887499999997</v>
      </c>
      <c r="J541" s="67">
        <v>0</v>
      </c>
      <c r="K541" s="67">
        <v>0</v>
      </c>
    </row>
    <row r="542" spans="1:11">
      <c r="A542" s="15">
        <v>5</v>
      </c>
      <c r="B542" s="22">
        <v>41929</v>
      </c>
      <c r="C542" s="15">
        <v>2014</v>
      </c>
      <c r="D542" s="11" t="s">
        <v>37</v>
      </c>
      <c r="E542" s="12">
        <v>10</v>
      </c>
      <c r="F542" s="26">
        <v>1.516</v>
      </c>
      <c r="G542" s="26">
        <v>4.6567875000000002E-2</v>
      </c>
      <c r="H542" s="26">
        <v>0</v>
      </c>
      <c r="I542" s="26">
        <v>0.48158412499999997</v>
      </c>
      <c r="J542" s="31">
        <v>1.3757625000000001E-2</v>
      </c>
      <c r="K542" s="31">
        <v>0</v>
      </c>
    </row>
    <row r="543" spans="1:11">
      <c r="A543" s="15">
        <v>7</v>
      </c>
      <c r="B543" s="22">
        <v>41928</v>
      </c>
      <c r="C543" s="15">
        <v>2014</v>
      </c>
      <c r="D543" s="11" t="s">
        <v>37</v>
      </c>
      <c r="E543" s="12">
        <v>10</v>
      </c>
      <c r="F543" s="26">
        <v>1.3819999999999999</v>
      </c>
      <c r="G543" s="26">
        <v>6.1296625E-2</v>
      </c>
      <c r="H543" s="26">
        <v>0</v>
      </c>
      <c r="I543" s="26">
        <v>0.18020962500000001</v>
      </c>
      <c r="J543" s="31">
        <v>1.3314124999999998E-2</v>
      </c>
      <c r="K543" s="31">
        <v>0</v>
      </c>
    </row>
    <row r="544" spans="1:11">
      <c r="A544" s="15">
        <v>14</v>
      </c>
      <c r="B544" s="22">
        <v>41928</v>
      </c>
      <c r="C544" s="15">
        <v>2014</v>
      </c>
      <c r="D544" s="11" t="s">
        <v>37</v>
      </c>
      <c r="E544" s="12">
        <v>10</v>
      </c>
      <c r="F544" s="26">
        <v>1.58</v>
      </c>
      <c r="G544" s="26">
        <v>4.2894124999999998E-2</v>
      </c>
      <c r="H544" s="26">
        <v>0</v>
      </c>
      <c r="I544" s="26">
        <v>0.2418505</v>
      </c>
      <c r="J544" s="31">
        <v>1.3265749999999998E-2</v>
      </c>
      <c r="K544" s="31">
        <v>0</v>
      </c>
    </row>
    <row r="545" spans="1:22">
      <c r="A545" s="15">
        <v>5</v>
      </c>
      <c r="B545" s="22">
        <v>41953</v>
      </c>
      <c r="C545" s="15">
        <v>2014</v>
      </c>
      <c r="D545" s="11" t="s">
        <v>38</v>
      </c>
      <c r="E545" s="12">
        <v>11</v>
      </c>
      <c r="F545" s="26">
        <v>1.988</v>
      </c>
      <c r="G545" s="26">
        <v>4.4916874999999988E-2</v>
      </c>
      <c r="H545" s="26">
        <v>0</v>
      </c>
      <c r="I545" s="26">
        <v>0.15184712499999997</v>
      </c>
      <c r="J545" s="31">
        <v>9.7029999999999998E-3</v>
      </c>
      <c r="K545" s="31">
        <v>0</v>
      </c>
    </row>
    <row r="546" spans="1:22">
      <c r="A546" s="15">
        <v>7</v>
      </c>
      <c r="B546" s="22">
        <v>41955</v>
      </c>
      <c r="C546" s="15">
        <v>2014</v>
      </c>
      <c r="D546" s="11" t="s">
        <v>38</v>
      </c>
      <c r="E546" s="12">
        <v>11</v>
      </c>
      <c r="F546" s="26">
        <v>1.7809999999999999</v>
      </c>
      <c r="G546" s="26">
        <v>0.15034562500000001</v>
      </c>
      <c r="H546" s="26">
        <v>0</v>
      </c>
      <c r="I546" s="26">
        <v>0.42885262500000004</v>
      </c>
      <c r="J546" s="31">
        <v>9.1649999999999995E-3</v>
      </c>
      <c r="K546" s="31">
        <v>0</v>
      </c>
    </row>
    <row r="547" spans="1:22">
      <c r="A547" s="15">
        <v>14</v>
      </c>
      <c r="B547" s="22">
        <v>41955</v>
      </c>
      <c r="C547" s="15">
        <v>2014</v>
      </c>
      <c r="D547" s="11" t="s">
        <v>38</v>
      </c>
      <c r="E547" s="12">
        <v>11</v>
      </c>
      <c r="F547" s="26">
        <v>1.137</v>
      </c>
      <c r="G547" s="26">
        <v>0.13461075</v>
      </c>
      <c r="H547" s="26">
        <v>0</v>
      </c>
      <c r="I547" s="26">
        <v>0.18599474999999996</v>
      </c>
      <c r="J547" s="31">
        <v>0</v>
      </c>
      <c r="K547" s="31">
        <v>0</v>
      </c>
    </row>
    <row r="548" spans="1:22">
      <c r="A548" s="15">
        <v>5</v>
      </c>
      <c r="B548" s="22">
        <v>41988</v>
      </c>
      <c r="C548" s="15">
        <v>2014</v>
      </c>
      <c r="D548" s="11" t="s">
        <v>39</v>
      </c>
      <c r="E548" s="12">
        <v>12</v>
      </c>
      <c r="F548" s="26">
        <v>3.3159999999999998</v>
      </c>
      <c r="G548" s="26">
        <v>0.11864650000000002</v>
      </c>
      <c r="H548" s="26">
        <v>0</v>
      </c>
      <c r="I548" s="26">
        <v>1.17470275</v>
      </c>
      <c r="J548" s="31">
        <v>0</v>
      </c>
      <c r="K548" s="31">
        <v>0</v>
      </c>
    </row>
    <row r="549" spans="1:22">
      <c r="A549" s="15">
        <v>7</v>
      </c>
      <c r="B549" s="22">
        <v>41992</v>
      </c>
      <c r="C549" s="15">
        <v>2014</v>
      </c>
      <c r="D549" s="11" t="s">
        <v>39</v>
      </c>
      <c r="E549" s="12">
        <v>12</v>
      </c>
      <c r="F549" s="26">
        <v>1.2729999999999999</v>
      </c>
      <c r="G549" s="26">
        <v>9.857912499999999E-2</v>
      </c>
      <c r="H549" s="26">
        <v>0</v>
      </c>
      <c r="I549" s="26">
        <v>0.14250425</v>
      </c>
      <c r="J549" s="31">
        <v>0</v>
      </c>
      <c r="K549" s="31">
        <v>0</v>
      </c>
    </row>
    <row r="550" spans="1:22">
      <c r="A550" s="15">
        <v>14</v>
      </c>
      <c r="B550" s="22">
        <v>41992</v>
      </c>
      <c r="C550" s="15">
        <v>2014</v>
      </c>
      <c r="D550" s="11" t="s">
        <v>39</v>
      </c>
      <c r="E550" s="12">
        <v>12</v>
      </c>
      <c r="F550" s="26">
        <v>1.286</v>
      </c>
      <c r="G550" s="26">
        <v>9.9849874999999991E-2</v>
      </c>
      <c r="H550" s="26">
        <v>0</v>
      </c>
      <c r="I550" s="26">
        <v>0.20857387499999999</v>
      </c>
      <c r="J550" s="31">
        <v>0</v>
      </c>
      <c r="K550" s="31">
        <v>0</v>
      </c>
      <c r="L550" s="35" t="s">
        <v>43</v>
      </c>
    </row>
    <row r="551" spans="1:22" ht="38.25">
      <c r="L551" s="35" t="s">
        <v>61</v>
      </c>
      <c r="M551" s="6" t="s">
        <v>7</v>
      </c>
      <c r="N551" s="6" t="s">
        <v>8</v>
      </c>
      <c r="O551" s="6" t="s">
        <v>9</v>
      </c>
      <c r="P551" s="6" t="s">
        <v>10</v>
      </c>
      <c r="Q551" s="6" t="s">
        <v>11</v>
      </c>
      <c r="R551" s="6" t="s">
        <v>12</v>
      </c>
      <c r="S551" s="69" t="s">
        <v>78</v>
      </c>
      <c r="T551" s="69" t="s">
        <v>79</v>
      </c>
      <c r="U551" s="69" t="s">
        <v>80</v>
      </c>
      <c r="V551" s="69" t="s">
        <v>81</v>
      </c>
    </row>
    <row r="552" spans="1:22">
      <c r="L552" s="35" t="s">
        <v>62</v>
      </c>
      <c r="M552" s="36">
        <f t="shared" ref="M552:R552" si="12">M2</f>
        <v>2.0514008957875074</v>
      </c>
      <c r="N552" s="36">
        <f t="shared" si="12"/>
        <v>7.5133066240740745E-2</v>
      </c>
      <c r="O552" s="36">
        <f t="shared" si="12"/>
        <v>2.0921362222222225E-3</v>
      </c>
      <c r="P552" s="36">
        <f t="shared" si="12"/>
        <v>0.20352711749999999</v>
      </c>
      <c r="Q552" s="36">
        <f t="shared" si="12"/>
        <v>7.3637277222222226E-3</v>
      </c>
      <c r="R552" s="36">
        <f t="shared" si="12"/>
        <v>0</v>
      </c>
      <c r="S552" s="27">
        <f>N552/M552</f>
        <v>3.6625247846495693E-2</v>
      </c>
      <c r="T552" s="27">
        <f>O552/M552</f>
        <v>1.0198573211693356E-3</v>
      </c>
      <c r="U552" s="27">
        <f>P552/M552</f>
        <v>9.9213721665978138E-2</v>
      </c>
      <c r="V552" s="27">
        <f>Q552/M552</f>
        <v>3.5896092944794093E-3</v>
      </c>
    </row>
    <row r="553" spans="1:22">
      <c r="L553" s="35" t="s">
        <v>63</v>
      </c>
      <c r="M553" s="36">
        <f>M11</f>
        <v>6.9938851001999316</v>
      </c>
      <c r="N553" s="36">
        <f t="shared" ref="N553:P553" si="13">N11</f>
        <v>0.34061195667129629</v>
      </c>
      <c r="O553" s="36">
        <f t="shared" si="13"/>
        <v>0.12681750300231484</v>
      </c>
      <c r="P553" s="36">
        <f t="shared" si="13"/>
        <v>1.881584285337963</v>
      </c>
      <c r="Q553" s="36">
        <f t="shared" ref="Q553:R553" si="14">Q11</f>
        <v>0.12051127921759261</v>
      </c>
      <c r="R553" s="36">
        <f t="shared" si="14"/>
        <v>0</v>
      </c>
      <c r="S553" s="27">
        <f t="shared" ref="S553:S567" si="15">N553/M553</f>
        <v>4.8701394402598824E-2</v>
      </c>
      <c r="T553" s="27">
        <f t="shared" ref="T553:T567" si="16">O553/M553</f>
        <v>1.8132626027655151E-2</v>
      </c>
      <c r="U553" s="27">
        <f t="shared" ref="U553:U567" si="17">P553/M553</f>
        <v>0.26903277053896335</v>
      </c>
      <c r="V553" s="27">
        <f t="shared" ref="V553:V567" si="18">Q553/M553</f>
        <v>1.7230949249387527E-2</v>
      </c>
    </row>
    <row r="554" spans="1:22">
      <c r="L554" s="35" t="s">
        <v>64</v>
      </c>
      <c r="M554" s="36">
        <f>M47</f>
        <v>6.3721467497182935</v>
      </c>
      <c r="N554" s="36">
        <f t="shared" ref="N554:P554" si="19">N47</f>
        <v>0.40890521266091029</v>
      </c>
      <c r="O554" s="36">
        <f t="shared" si="19"/>
        <v>0.2528799866929658</v>
      </c>
      <c r="P554" s="36">
        <f t="shared" si="19"/>
        <v>1.0825952258862506</v>
      </c>
      <c r="Q554" s="36">
        <f t="shared" ref="Q554:R554" si="20">Q47</f>
        <v>0.23076052961960258</v>
      </c>
      <c r="R554" s="36">
        <f t="shared" si="20"/>
        <v>0</v>
      </c>
      <c r="S554" s="27">
        <f t="shared" si="15"/>
        <v>6.4170714944533816E-2</v>
      </c>
      <c r="T554" s="27">
        <f t="shared" si="16"/>
        <v>3.9685210750073419E-2</v>
      </c>
      <c r="U554" s="27">
        <f t="shared" si="17"/>
        <v>0.16989489859663245</v>
      </c>
      <c r="V554" s="27">
        <f t="shared" si="18"/>
        <v>3.6213938360695204E-2</v>
      </c>
    </row>
    <row r="555" spans="1:22">
      <c r="L555" s="35" t="s">
        <v>65</v>
      </c>
      <c r="M555" s="36">
        <f>M83</f>
        <v>6.4445257527841129</v>
      </c>
      <c r="N555" s="36">
        <f t="shared" ref="N555:P555" si="21">N83</f>
        <v>0.19416975534605083</v>
      </c>
      <c r="O555" s="36">
        <f t="shared" si="21"/>
        <v>0.20981701129250566</v>
      </c>
      <c r="P555" s="36">
        <f t="shared" si="21"/>
        <v>0.69900890599436361</v>
      </c>
      <c r="Q555" s="36">
        <f t="shared" ref="Q555:R555" si="22">Q83</f>
        <v>2.1981646354772164E-2</v>
      </c>
      <c r="R555" s="36">
        <f t="shared" si="22"/>
        <v>0</v>
      </c>
      <c r="S555" s="27">
        <f t="shared" si="15"/>
        <v>3.0129409485588159E-2</v>
      </c>
      <c r="T555" s="27">
        <f t="shared" si="16"/>
        <v>3.2557401326523086E-2</v>
      </c>
      <c r="U555" s="27">
        <f t="shared" si="17"/>
        <v>0.10846553071688531</v>
      </c>
      <c r="V555" s="27">
        <f t="shared" si="18"/>
        <v>3.4109020893082517E-3</v>
      </c>
    </row>
    <row r="556" spans="1:22">
      <c r="L556" s="35" t="s">
        <v>66</v>
      </c>
      <c r="M556" s="36">
        <f>M119</f>
        <v>7.8833196998053472</v>
      </c>
      <c r="N556" s="36">
        <f t="shared" ref="N556:P556" si="23">N119</f>
        <v>0.21554267420873022</v>
      </c>
      <c r="O556" s="36">
        <f t="shared" si="23"/>
        <v>0.20887429282996572</v>
      </c>
      <c r="P556" s="36">
        <f t="shared" si="23"/>
        <v>1.9402830014971515</v>
      </c>
      <c r="Q556" s="36">
        <f t="shared" ref="Q556:R556" si="24">Q119</f>
        <v>0.31490985184149439</v>
      </c>
      <c r="R556" s="36">
        <f t="shared" si="24"/>
        <v>1.810473734103341E-3</v>
      </c>
      <c r="S556" s="27">
        <f t="shared" si="15"/>
        <v>2.7341612723641329E-2</v>
      </c>
      <c r="T556" s="27">
        <f t="shared" si="16"/>
        <v>2.6495727787764739E-2</v>
      </c>
      <c r="U556" s="27">
        <f t="shared" si="17"/>
        <v>0.24612511928763467</v>
      </c>
      <c r="V556" s="27">
        <f t="shared" si="18"/>
        <v>3.9946350501207005E-2</v>
      </c>
    </row>
    <row r="557" spans="1:22">
      <c r="L557" s="35" t="s">
        <v>67</v>
      </c>
      <c r="M557" s="36">
        <f>M155</f>
        <v>8.9410941176470597</v>
      </c>
      <c r="N557" s="36">
        <f t="shared" ref="N557:P557" si="25">N155</f>
        <v>0.49131310448072646</v>
      </c>
      <c r="O557" s="36">
        <f t="shared" si="25"/>
        <v>0.10265750118172623</v>
      </c>
      <c r="P557" s="36">
        <f t="shared" si="25"/>
        <v>1.5618255856824115</v>
      </c>
      <c r="Q557" s="36">
        <f t="shared" ref="Q557:R557" si="26">Q155</f>
        <v>0.25987881370625576</v>
      </c>
      <c r="R557" s="36">
        <f t="shared" si="26"/>
        <v>0</v>
      </c>
      <c r="S557" s="27">
        <f t="shared" si="15"/>
        <v>5.4949998066905544E-2</v>
      </c>
      <c r="T557" s="27">
        <f t="shared" si="16"/>
        <v>1.148153680421626E-2</v>
      </c>
      <c r="U557" s="27">
        <f t="shared" si="17"/>
        <v>0.17467947044644486</v>
      </c>
      <c r="V557" s="27">
        <f t="shared" si="18"/>
        <v>2.9065661348238389E-2</v>
      </c>
    </row>
    <row r="558" spans="1:22">
      <c r="L558" s="35" t="s">
        <v>68</v>
      </c>
      <c r="M558" s="36">
        <f>M191</f>
        <v>8.803555277777777</v>
      </c>
      <c r="N558" s="36">
        <f t="shared" ref="N558:P558" si="27">N191</f>
        <v>0.190454221936218</v>
      </c>
      <c r="O558" s="36">
        <f t="shared" si="27"/>
        <v>5.3686342064438834E-2</v>
      </c>
      <c r="P558" s="36">
        <f t="shared" si="27"/>
        <v>2.3621484360777827</v>
      </c>
      <c r="Q558" s="36">
        <f t="shared" ref="Q558:R558" si="28">Q191</f>
        <v>0.29855814827167065</v>
      </c>
      <c r="R558" s="36">
        <f t="shared" si="28"/>
        <v>2.9424419954271379E-3</v>
      </c>
      <c r="S558" s="27">
        <f t="shared" si="15"/>
        <v>2.1633784979685287E-2</v>
      </c>
      <c r="T558" s="27">
        <f t="shared" si="16"/>
        <v>6.0982569394385086E-3</v>
      </c>
      <c r="U558" s="27">
        <f t="shared" si="17"/>
        <v>0.26831755598109269</v>
      </c>
      <c r="V558" s="27">
        <f t="shared" si="18"/>
        <v>3.3913361006013207E-2</v>
      </c>
    </row>
    <row r="559" spans="1:22">
      <c r="L559" s="35" t="s">
        <v>69</v>
      </c>
      <c r="M559" s="36">
        <f>M227</f>
        <v>10.133972222222223</v>
      </c>
      <c r="N559" s="36">
        <f t="shared" ref="N559:P559" si="29">N227</f>
        <v>0.19832222222222223</v>
      </c>
      <c r="O559" s="36">
        <f t="shared" si="29"/>
        <v>0.24959998055555552</v>
      </c>
      <c r="P559" s="36">
        <f t="shared" si="29"/>
        <v>2.8869638888888889</v>
      </c>
      <c r="Q559" s="36">
        <f t="shared" ref="Q559:R559" si="30">Q227</f>
        <v>0.39941666666666681</v>
      </c>
      <c r="R559" s="36">
        <f t="shared" si="30"/>
        <v>1.6666416666666669E-3</v>
      </c>
      <c r="S559" s="27">
        <f t="shared" si="15"/>
        <v>1.9570038073257443E-2</v>
      </c>
      <c r="T559" s="27">
        <f t="shared" si="16"/>
        <v>2.463002414869676E-2</v>
      </c>
      <c r="U559" s="27">
        <f t="shared" si="17"/>
        <v>0.2848797910219476</v>
      </c>
      <c r="V559" s="27">
        <f t="shared" si="18"/>
        <v>3.9413633460609679E-2</v>
      </c>
    </row>
    <row r="560" spans="1:22">
      <c r="L560" s="35" t="s">
        <v>70</v>
      </c>
      <c r="M560" s="36">
        <f>M263</f>
        <v>10.84611111111111</v>
      </c>
      <c r="N560" s="36">
        <f t="shared" ref="N560:P560" si="31">N263</f>
        <v>0.14091665555555558</v>
      </c>
      <c r="O560" s="36">
        <f t="shared" si="31"/>
        <v>0.61169439166666673</v>
      </c>
      <c r="P560" s="36">
        <f t="shared" si="31"/>
        <v>2.9048611111111118</v>
      </c>
      <c r="Q560" s="36">
        <f t="shared" ref="Q560:R560" si="32">Q263</f>
        <v>0.4236111111111111</v>
      </c>
      <c r="R560" s="36">
        <f t="shared" si="32"/>
        <v>4.3610277777777762E-3</v>
      </c>
      <c r="S560" s="27">
        <f t="shared" si="15"/>
        <v>1.2992366951800444E-2</v>
      </c>
      <c r="T560" s="27">
        <f t="shared" si="16"/>
        <v>5.6397577472724489E-2</v>
      </c>
      <c r="U560" s="27">
        <f t="shared" si="17"/>
        <v>0.26782512933463104</v>
      </c>
      <c r="V560" s="27">
        <f t="shared" si="18"/>
        <v>3.9056497464529022E-2</v>
      </c>
    </row>
    <row r="561" spans="12:22">
      <c r="L561" s="35" t="s">
        <v>71</v>
      </c>
      <c r="M561" s="36">
        <f>M299</f>
        <v>8.9962499999999999</v>
      </c>
      <c r="N561" s="36">
        <f t="shared" ref="N561:P561" si="33">N299</f>
        <v>0.52841666666666676</v>
      </c>
      <c r="O561" s="36">
        <f t="shared" si="33"/>
        <v>0.1679721444444445</v>
      </c>
      <c r="P561" s="36">
        <f t="shared" si="33"/>
        <v>2.103444444444444</v>
      </c>
      <c r="Q561" s="36">
        <f t="shared" ref="Q561:R561" si="34">Q299</f>
        <v>0.26066666666666671</v>
      </c>
      <c r="R561" s="36">
        <f t="shared" si="34"/>
        <v>9.999000000000004E-4</v>
      </c>
      <c r="S561" s="27">
        <f t="shared" si="15"/>
        <v>5.8737436895002555E-2</v>
      </c>
      <c r="T561" s="27">
        <f t="shared" si="16"/>
        <v>1.8671351334661055E-2</v>
      </c>
      <c r="U561" s="27">
        <f t="shared" si="17"/>
        <v>0.23381347166257541</v>
      </c>
      <c r="V561" s="27">
        <f t="shared" si="18"/>
        <v>2.8975035894585714E-2</v>
      </c>
    </row>
    <row r="562" spans="12:22">
      <c r="L562" s="35" t="s">
        <v>72</v>
      </c>
      <c r="M562" s="36">
        <f>M335</f>
        <v>8.6750277777777782</v>
      </c>
      <c r="N562" s="36">
        <f t="shared" ref="N562:P562" si="35">N335</f>
        <v>0.8670833333333331</v>
      </c>
      <c r="O562" s="36">
        <f t="shared" si="35"/>
        <v>7.6527722222222205E-2</v>
      </c>
      <c r="P562" s="36">
        <f t="shared" si="35"/>
        <v>1.2288333333333337</v>
      </c>
      <c r="Q562" s="36">
        <f t="shared" ref="Q562:R562" si="36">Q335</f>
        <v>0.19008332777777776</v>
      </c>
      <c r="R562" s="36">
        <f t="shared" si="36"/>
        <v>1.3610249999999992E-3</v>
      </c>
      <c r="S562" s="27">
        <f t="shared" si="15"/>
        <v>9.9951649210217028E-2</v>
      </c>
      <c r="T562" s="27">
        <f t="shared" si="16"/>
        <v>8.821611202013439E-3</v>
      </c>
      <c r="U562" s="27">
        <f t="shared" si="17"/>
        <v>0.14165180386870363</v>
      </c>
      <c r="V562" s="27">
        <f t="shared" si="18"/>
        <v>2.191155263671906E-2</v>
      </c>
    </row>
    <row r="563" spans="12:22">
      <c r="L563" s="35" t="s">
        <v>73</v>
      </c>
      <c r="M563" s="36">
        <f>M371</f>
        <v>8.2598611111111104</v>
      </c>
      <c r="N563" s="36">
        <f t="shared" ref="N563:P563" si="37">N371</f>
        <v>0.29378221180555569</v>
      </c>
      <c r="O563" s="36">
        <f t="shared" si="37"/>
        <v>4.2627503472222224E-2</v>
      </c>
      <c r="P563" s="36">
        <f t="shared" si="37"/>
        <v>2.8963049930555549</v>
      </c>
      <c r="Q563" s="36">
        <f t="shared" ref="Q563:R563" si="38">Q371</f>
        <v>0.34732020486111109</v>
      </c>
      <c r="R563" s="36">
        <f t="shared" si="38"/>
        <v>1.2904583333333331E-3</v>
      </c>
      <c r="S563" s="27">
        <f t="shared" si="15"/>
        <v>3.5567451783222091E-2</v>
      </c>
      <c r="T563" s="27">
        <f t="shared" si="16"/>
        <v>5.1608014830757856E-3</v>
      </c>
      <c r="U563" s="27">
        <f t="shared" si="17"/>
        <v>0.35064814699601482</v>
      </c>
      <c r="V563" s="27">
        <f t="shared" si="18"/>
        <v>4.2049157992971369E-2</v>
      </c>
    </row>
    <row r="564" spans="12:22">
      <c r="L564" s="35" t="s">
        <v>74</v>
      </c>
      <c r="M564" s="36">
        <f>M407</f>
        <v>4.4909722222222221</v>
      </c>
      <c r="N564" s="36">
        <f t="shared" ref="N564:P564" si="39">N407</f>
        <v>0.17407889583333333</v>
      </c>
      <c r="O564" s="36">
        <f t="shared" si="39"/>
        <v>1.2434447916666667E-2</v>
      </c>
      <c r="P564" s="36">
        <f t="shared" si="39"/>
        <v>1.1621795763888889</v>
      </c>
      <c r="Q564" s="36">
        <f t="shared" ref="Q564:R564" si="40">Q407</f>
        <v>0.30827169097222218</v>
      </c>
      <c r="R564" s="36">
        <f t="shared" si="40"/>
        <v>1.63371875E-3</v>
      </c>
      <c r="S564" s="27">
        <f t="shared" si="15"/>
        <v>3.8761962269986086E-2</v>
      </c>
      <c r="T564" s="27">
        <f t="shared" si="16"/>
        <v>2.7687652698314522E-3</v>
      </c>
      <c r="U564" s="27">
        <f t="shared" si="17"/>
        <v>0.25878128807793416</v>
      </c>
      <c r="V564" s="27">
        <f t="shared" si="18"/>
        <v>6.8642528993350854E-2</v>
      </c>
    </row>
    <row r="565" spans="12:22">
      <c r="L565" s="35" t="s">
        <v>75</v>
      </c>
      <c r="M565" s="36">
        <f>M443</f>
        <v>6.6478333333333346</v>
      </c>
      <c r="N565" s="36">
        <f t="shared" ref="N565:P565" si="41">N443</f>
        <v>1.2590001249999998</v>
      </c>
      <c r="O565" s="36">
        <f t="shared" si="41"/>
        <v>4.7717916666666672E-3</v>
      </c>
      <c r="P565" s="36">
        <f t="shared" si="41"/>
        <v>1.1825390833333331</v>
      </c>
      <c r="Q565" s="36">
        <f t="shared" ref="Q565:R565" si="42">Q443</f>
        <v>8.0598458333333317E-2</v>
      </c>
      <c r="R565" s="36">
        <f t="shared" si="42"/>
        <v>0</v>
      </c>
      <c r="S565" s="27">
        <f t="shared" si="15"/>
        <v>0.18938503146388541</v>
      </c>
      <c r="T565" s="27">
        <f t="shared" si="16"/>
        <v>7.1779652518364379E-4</v>
      </c>
      <c r="U565" s="27">
        <f t="shared" si="17"/>
        <v>0.17788338305713636</v>
      </c>
      <c r="V565" s="27">
        <f t="shared" si="18"/>
        <v>1.2124019103968707E-2</v>
      </c>
    </row>
    <row r="566" spans="12:22">
      <c r="L566" s="35" t="s">
        <v>76</v>
      </c>
      <c r="M566" s="36">
        <f>M479</f>
        <v>4.2898333333333332</v>
      </c>
      <c r="N566" s="36">
        <f t="shared" ref="N566:P566" si="43">N479</f>
        <v>0.37274589583333329</v>
      </c>
      <c r="O566" s="36">
        <f t="shared" si="43"/>
        <v>2.4636597222222221E-3</v>
      </c>
      <c r="P566" s="36">
        <f t="shared" si="43"/>
        <v>1.4614841597222221</v>
      </c>
      <c r="Q566" s="36">
        <f t="shared" ref="Q566:R566" si="44">Q479</f>
        <v>0.12090885416666662</v>
      </c>
      <c r="R566" s="36">
        <f t="shared" si="44"/>
        <v>0</v>
      </c>
      <c r="S566" s="27">
        <f t="shared" si="15"/>
        <v>8.689053090640661E-2</v>
      </c>
      <c r="T566" s="27">
        <f t="shared" si="16"/>
        <v>5.7430196718339223E-4</v>
      </c>
      <c r="U566" s="27">
        <f t="shared" si="17"/>
        <v>0.34068553394977791</v>
      </c>
      <c r="V566" s="27">
        <f t="shared" si="18"/>
        <v>2.8184977077586531E-2</v>
      </c>
    </row>
    <row r="567" spans="12:22">
      <c r="L567" s="35" t="s">
        <v>77</v>
      </c>
      <c r="M567" s="36">
        <f>M515</f>
        <v>3.2417222222222226</v>
      </c>
      <c r="N567" s="36">
        <f t="shared" ref="N567:P567" si="45">N515</f>
        <v>0.2037907349537037</v>
      </c>
      <c r="O567" s="36">
        <f t="shared" si="45"/>
        <v>0</v>
      </c>
      <c r="P567" s="36">
        <f t="shared" si="45"/>
        <v>0.84429909027777783</v>
      </c>
      <c r="Q567" s="36">
        <f t="shared" ref="Q567:R567" si="46">Q515</f>
        <v>5.4415364583333334E-2</v>
      </c>
      <c r="R567" s="36">
        <f t="shared" si="46"/>
        <v>0</v>
      </c>
      <c r="S567" s="27">
        <f t="shared" si="15"/>
        <v>6.2864959112383101E-2</v>
      </c>
      <c r="T567" s="27">
        <f t="shared" si="16"/>
        <v>0</v>
      </c>
      <c r="U567" s="27">
        <f t="shared" si="17"/>
        <v>0.26044769798289658</v>
      </c>
      <c r="V567" s="27">
        <f t="shared" si="18"/>
        <v>1.678594304296413E-2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Zea update</vt:lpstr>
      <vt:lpstr>Fuco update</vt:lpstr>
      <vt:lpstr>But-fuco update</vt:lpstr>
      <vt:lpstr>Peridin update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2026-02-18T21:13:06Z</dcterms:modified>
</cp:coreProperties>
</file>